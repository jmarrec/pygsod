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 and Workflow\Weather Data and Weather Normalization\"/>
    </mc:Choice>
  </mc:AlternateContent>
  <bookViews>
    <workbookView xWindow="480" yWindow="180" windowWidth="18195" windowHeight="11445" firstSheet="1" activeTab="1"/>
  </bookViews>
  <sheets>
    <sheet name="Data" sheetId="2" state="hidden" r:id="rId1"/>
    <sheet name="Selection" sheetId="8" r:id="rId2"/>
    <sheet name="Regression" sheetId="12" r:id="rId3"/>
    <sheet name="Parametric" sheetId="11" state="hidden" r:id="rId4"/>
  </sheets>
  <functionGroups builtInGroupCount="18"/>
  <definedNames>
    <definedName name="_xlnm._FilterDatabase" localSheetId="1" hidden="1">Selection!#REF!</definedName>
    <definedName name="Base_CDD" localSheetId="2">Regression!$D$5</definedName>
    <definedName name="Base_HDD" localSheetId="2">Regression!$D$4</definedName>
    <definedName name="Days" localSheetId="2">OFFSET(Regression!$F$16,0,0,Regression!NB_Bills)</definedName>
    <definedName name="End_Date" localSheetId="2">OFFSET(Regression!$D$16,0,0,Regression!NB_Bills)</definedName>
    <definedName name="NB_Bills" localSheetId="2">Regression!$B$66</definedName>
    <definedName name="solver_adj" localSheetId="2" hidden="1">Regression!$D$5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Regression!$D$5</definedName>
    <definedName name="solver_lhs2" localSheetId="2" hidden="1">Regression!$D$5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Regression!$I$4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3</definedName>
    <definedName name="solver_rhs1" localSheetId="2" hidden="1">75</definedName>
    <definedName name="solver_rhs2" localSheetId="2" hidden="1">55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Start">Parametric!$C$4</definedName>
    <definedName name="X" localSheetId="2">Regression!$F$16:$H$27</definedName>
    <definedName name="X_C" localSheetId="2">OFFSET(Regression!$N$127,0,0,Regression!NB_Bills,2)</definedName>
    <definedName name="X_H" localSheetId="2">OFFSET(Regression!$I$127,0,0,Regression!NB_Bills,2)</definedName>
    <definedName name="X_HC" localSheetId="2">OFFSET(Regression!$C$127,0,0,Regression!NB_Bills,3)</definedName>
    <definedName name="Y" localSheetId="2">OFFSET(Regression!$I$16,0,0,Regression!NB_Bills)</definedName>
    <definedName name="Y_Pred" localSheetId="2">OFFSET(Regression!$J$16,0,0,Regression!NB_Bills)</definedName>
    <definedName name="Y_Pred_Baseload">OFFSET(Regression!$T$127,0,0,Regression!NB_Bills,1)</definedName>
    <definedName name="Y_Pred_C" localSheetId="2">OFFSET(Regression!$P$127,0,0,Regression!NB_Bills)</definedName>
    <definedName name="Y_Pred_H" localSheetId="2">OFFSET(Regression!$K$127,0,0,Regression!NB_Bills)</definedName>
    <definedName name="Y_Pred_HC" localSheetId="2">OFFSET(Regression!$F$127,0,0,Regression!NB_Bills)</definedName>
  </definedNames>
  <calcPr calcId="171027"/>
</workbook>
</file>

<file path=xl/calcChain.xml><?xml version="1.0" encoding="utf-8"?>
<calcChain xmlns="http://schemas.openxmlformats.org/spreadsheetml/2006/main">
  <c r="C29" i="8" l="1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C3002" i="8"/>
  <c r="C3003" i="8"/>
  <c r="C3004" i="8"/>
  <c r="C3005" i="8"/>
  <c r="C3006" i="8"/>
  <c r="C3007" i="8"/>
  <c r="C3008" i="8"/>
  <c r="C3009" i="8"/>
  <c r="C3010" i="8"/>
  <c r="C3011" i="8"/>
  <c r="C3012" i="8"/>
  <c r="C3013" i="8"/>
  <c r="C3014" i="8"/>
  <c r="C3015" i="8"/>
  <c r="C3016" i="8"/>
  <c r="C3017" i="8"/>
  <c r="C3018" i="8"/>
  <c r="C3019" i="8"/>
  <c r="C3020" i="8"/>
  <c r="C3021" i="8"/>
  <c r="C3022" i="8"/>
  <c r="C3023" i="8"/>
  <c r="C3024" i="8"/>
  <c r="C3025" i="8"/>
  <c r="C3026" i="8"/>
  <c r="C3027" i="8"/>
  <c r="C3028" i="8"/>
  <c r="C3029" i="8"/>
  <c r="C3030" i="8"/>
  <c r="C3031" i="8"/>
  <c r="C3032" i="8"/>
  <c r="C3033" i="8"/>
  <c r="C3034" i="8"/>
  <c r="C3035" i="8"/>
  <c r="C3036" i="8"/>
  <c r="C3037" i="8"/>
  <c r="C3038" i="8"/>
  <c r="C3039" i="8"/>
  <c r="C3040" i="8"/>
  <c r="C3041" i="8"/>
  <c r="C3042" i="8"/>
  <c r="C3043" i="8"/>
  <c r="C3044" i="8"/>
  <c r="C3045" i="8"/>
  <c r="C3046" i="8"/>
  <c r="C3047" i="8"/>
  <c r="C3048" i="8"/>
  <c r="C3049" i="8"/>
  <c r="C3050" i="8"/>
  <c r="C3051" i="8"/>
  <c r="C3052" i="8"/>
  <c r="C3053" i="8"/>
  <c r="C3054" i="8"/>
  <c r="C3055" i="8"/>
  <c r="C3056" i="8"/>
  <c r="C3057" i="8"/>
  <c r="C3058" i="8"/>
  <c r="C3059" i="8"/>
  <c r="C3060" i="8"/>
  <c r="C3061" i="8"/>
  <c r="C3062" i="8"/>
  <c r="C3063" i="8"/>
  <c r="C3064" i="8"/>
  <c r="C3065" i="8"/>
  <c r="C3066" i="8"/>
  <c r="C3067" i="8"/>
  <c r="C3068" i="8"/>
  <c r="C3069" i="8"/>
  <c r="C3070" i="8"/>
  <c r="C3071" i="8"/>
  <c r="C3072" i="8"/>
  <c r="C3073" i="8"/>
  <c r="C3074" i="8"/>
  <c r="C3075" i="8"/>
  <c r="C3076" i="8"/>
  <c r="C3077" i="8"/>
  <c r="C3078" i="8"/>
  <c r="C3079" i="8"/>
  <c r="C3080" i="8"/>
  <c r="C3081" i="8"/>
  <c r="C3082" i="8"/>
  <c r="C3083" i="8"/>
  <c r="C3084" i="8"/>
  <c r="C3085" i="8"/>
  <c r="C3086" i="8"/>
  <c r="C3087" i="8"/>
  <c r="C3088" i="8"/>
  <c r="C3089" i="8"/>
  <c r="C3090" i="8"/>
  <c r="C3091" i="8"/>
  <c r="C3092" i="8"/>
  <c r="C3093" i="8"/>
  <c r="C3094" i="8"/>
  <c r="C3095" i="8"/>
  <c r="C3096" i="8"/>
  <c r="C3097" i="8"/>
  <c r="C3098" i="8"/>
  <c r="C3099" i="8"/>
  <c r="C3100" i="8"/>
  <c r="C3101" i="8"/>
  <c r="C3102" i="8"/>
  <c r="C3103" i="8"/>
  <c r="C3104" i="8"/>
  <c r="C3105" i="8"/>
  <c r="C3106" i="8"/>
  <c r="C3107" i="8"/>
  <c r="C3108" i="8"/>
  <c r="C3109" i="8"/>
  <c r="C3110" i="8"/>
  <c r="C3111" i="8"/>
  <c r="C3112" i="8"/>
  <c r="C3113" i="8"/>
  <c r="C3114" i="8"/>
  <c r="C3115" i="8"/>
  <c r="C3116" i="8"/>
  <c r="C3117" i="8"/>
  <c r="C3118" i="8"/>
  <c r="C3119" i="8"/>
  <c r="C3120" i="8"/>
  <c r="C3121" i="8"/>
  <c r="C3122" i="8"/>
  <c r="C3123" i="8"/>
  <c r="C3124" i="8"/>
  <c r="C3125" i="8"/>
  <c r="C3126" i="8"/>
  <c r="C3127" i="8"/>
  <c r="C3128" i="8"/>
  <c r="C3129" i="8"/>
  <c r="C3130" i="8"/>
  <c r="C3131" i="8"/>
  <c r="C3132" i="8"/>
  <c r="C3133" i="8"/>
  <c r="C3134" i="8"/>
  <c r="C3135" i="8"/>
  <c r="C3136" i="8"/>
  <c r="C3137" i="8"/>
  <c r="C3138" i="8"/>
  <c r="C3139" i="8"/>
  <c r="C3140" i="8"/>
  <c r="C3141" i="8"/>
  <c r="C3142" i="8"/>
  <c r="C3143" i="8"/>
  <c r="C3144" i="8"/>
  <c r="C3145" i="8"/>
  <c r="C3146" i="8"/>
  <c r="C3147" i="8"/>
  <c r="C3148" i="8"/>
  <c r="C3149" i="8"/>
  <c r="C3150" i="8"/>
  <c r="C3151" i="8"/>
  <c r="C3152" i="8"/>
  <c r="C3153" i="8"/>
  <c r="C3154" i="8"/>
  <c r="C3155" i="8"/>
  <c r="C3156" i="8"/>
  <c r="C3157" i="8"/>
  <c r="C3158" i="8"/>
  <c r="C3159" i="8"/>
  <c r="C3160" i="8"/>
  <c r="C3161" i="8"/>
  <c r="C3162" i="8"/>
  <c r="C3163" i="8"/>
  <c r="C3164" i="8"/>
  <c r="C3165" i="8"/>
  <c r="C3166" i="8"/>
  <c r="C3167" i="8"/>
  <c r="C3168" i="8"/>
  <c r="C3169" i="8"/>
  <c r="C3170" i="8"/>
  <c r="C3171" i="8"/>
  <c r="C3172" i="8"/>
  <c r="C3173" i="8"/>
  <c r="C3174" i="8"/>
  <c r="C3175" i="8"/>
  <c r="C3176" i="8"/>
  <c r="C3177" i="8"/>
  <c r="C3178" i="8"/>
  <c r="C3179" i="8"/>
  <c r="C3180" i="8"/>
  <c r="C3181" i="8"/>
  <c r="C3182" i="8"/>
  <c r="C3183" i="8"/>
  <c r="C3184" i="8"/>
  <c r="C3185" i="8"/>
  <c r="C3186" i="8"/>
  <c r="C3187" i="8"/>
  <c r="C3188" i="8"/>
  <c r="C3189" i="8"/>
  <c r="C3190" i="8"/>
  <c r="C3191" i="8"/>
  <c r="C3192" i="8"/>
  <c r="C3193" i="8"/>
  <c r="C3194" i="8"/>
  <c r="C3195" i="8"/>
  <c r="C3196" i="8"/>
  <c r="C3197" i="8"/>
  <c r="C3198" i="8"/>
  <c r="C3199" i="8"/>
  <c r="C3200" i="8"/>
  <c r="C3201" i="8"/>
  <c r="C3202" i="8"/>
  <c r="C3203" i="8"/>
  <c r="C3204" i="8"/>
  <c r="C3205" i="8"/>
  <c r="C3206" i="8"/>
  <c r="C3207" i="8"/>
  <c r="C3208" i="8"/>
  <c r="C3209" i="8"/>
  <c r="C3210" i="8"/>
  <c r="C3211" i="8"/>
  <c r="C3212" i="8"/>
  <c r="C3213" i="8"/>
  <c r="C3214" i="8"/>
  <c r="C3215" i="8"/>
  <c r="C3216" i="8"/>
  <c r="C3217" i="8"/>
  <c r="C3218" i="8"/>
  <c r="C3219" i="8"/>
  <c r="C3220" i="8"/>
  <c r="C3221" i="8"/>
  <c r="C3222" i="8"/>
  <c r="C3223" i="8"/>
  <c r="C3224" i="8"/>
  <c r="C3225" i="8"/>
  <c r="C3226" i="8"/>
  <c r="C3227" i="8"/>
  <c r="C3228" i="8"/>
  <c r="C3229" i="8"/>
  <c r="C3230" i="8"/>
  <c r="C3231" i="8"/>
  <c r="C3232" i="8"/>
  <c r="C3233" i="8"/>
  <c r="C3234" i="8"/>
  <c r="C3235" i="8"/>
  <c r="C3236" i="8"/>
  <c r="C3237" i="8"/>
  <c r="C3238" i="8"/>
  <c r="C3239" i="8"/>
  <c r="C3240" i="8"/>
  <c r="C3241" i="8"/>
  <c r="C3242" i="8"/>
  <c r="C3243" i="8"/>
  <c r="C3244" i="8"/>
  <c r="C3245" i="8"/>
  <c r="C3246" i="8"/>
  <c r="C3247" i="8"/>
  <c r="C3248" i="8"/>
  <c r="C3249" i="8"/>
  <c r="C3250" i="8"/>
  <c r="C3251" i="8"/>
  <c r="C3252" i="8"/>
  <c r="C3253" i="8"/>
  <c r="C3254" i="8"/>
  <c r="C3255" i="8"/>
  <c r="C3256" i="8"/>
  <c r="C3257" i="8"/>
  <c r="C3258" i="8"/>
  <c r="C3259" i="8"/>
  <c r="C3260" i="8"/>
  <c r="C3261" i="8"/>
  <c r="C3262" i="8"/>
  <c r="C3263" i="8"/>
  <c r="C3264" i="8"/>
  <c r="C3265" i="8"/>
  <c r="C3266" i="8"/>
  <c r="C3267" i="8"/>
  <c r="C3268" i="8"/>
  <c r="C3269" i="8"/>
  <c r="C3270" i="8"/>
  <c r="C3271" i="8"/>
  <c r="C3272" i="8"/>
  <c r="C3273" i="8"/>
  <c r="C3274" i="8"/>
  <c r="C3275" i="8"/>
  <c r="C3276" i="8"/>
  <c r="C3277" i="8"/>
  <c r="C3278" i="8"/>
  <c r="C3279" i="8"/>
  <c r="C3280" i="8"/>
  <c r="C3281" i="8"/>
  <c r="C3282" i="8"/>
  <c r="C3283" i="8"/>
  <c r="C3284" i="8"/>
  <c r="C3285" i="8"/>
  <c r="C3286" i="8"/>
  <c r="C3287" i="8"/>
  <c r="C3288" i="8"/>
  <c r="C3289" i="8"/>
  <c r="C3290" i="8"/>
  <c r="C3291" i="8"/>
  <c r="C3292" i="8"/>
  <c r="C3293" i="8"/>
  <c r="C3294" i="8"/>
  <c r="C3295" i="8"/>
  <c r="C3296" i="8"/>
  <c r="C3297" i="8"/>
  <c r="C3298" i="8"/>
  <c r="C3299" i="8"/>
  <c r="C3300" i="8"/>
  <c r="C3301" i="8"/>
  <c r="C3302" i="8"/>
  <c r="C3303" i="8"/>
  <c r="C3304" i="8"/>
  <c r="C3305" i="8"/>
  <c r="C3306" i="8"/>
  <c r="C3307" i="8"/>
  <c r="C3308" i="8"/>
  <c r="C3309" i="8"/>
  <c r="C3310" i="8"/>
  <c r="C3311" i="8"/>
  <c r="C3312" i="8"/>
  <c r="C3313" i="8"/>
  <c r="C3314" i="8"/>
  <c r="C3315" i="8"/>
  <c r="C3316" i="8"/>
  <c r="C3317" i="8"/>
  <c r="C3318" i="8"/>
  <c r="C3319" i="8"/>
  <c r="C3320" i="8"/>
  <c r="C3321" i="8"/>
  <c r="C3322" i="8"/>
  <c r="C3323" i="8"/>
  <c r="C3324" i="8"/>
  <c r="C3325" i="8"/>
  <c r="C3326" i="8"/>
  <c r="C3327" i="8"/>
  <c r="C3328" i="8"/>
  <c r="C3329" i="8"/>
  <c r="C3330" i="8"/>
  <c r="C3331" i="8"/>
  <c r="C3332" i="8"/>
  <c r="C3333" i="8"/>
  <c r="C3334" i="8"/>
  <c r="C3335" i="8"/>
  <c r="C3336" i="8"/>
  <c r="C3337" i="8"/>
  <c r="C3338" i="8"/>
  <c r="C3339" i="8"/>
  <c r="C3340" i="8"/>
  <c r="C3341" i="8"/>
  <c r="C3342" i="8"/>
  <c r="C3343" i="8"/>
  <c r="C3344" i="8"/>
  <c r="C3345" i="8"/>
  <c r="C3346" i="8"/>
  <c r="C3347" i="8"/>
  <c r="C3348" i="8"/>
  <c r="C3349" i="8"/>
  <c r="C3350" i="8"/>
  <c r="C3351" i="8"/>
  <c r="C3352" i="8"/>
  <c r="C3353" i="8"/>
  <c r="C3354" i="8"/>
  <c r="C3355" i="8"/>
  <c r="C3356" i="8"/>
  <c r="C3357" i="8"/>
  <c r="C3358" i="8"/>
  <c r="C3359" i="8"/>
  <c r="C3360" i="8"/>
  <c r="C3361" i="8"/>
  <c r="C3362" i="8"/>
  <c r="C3363" i="8"/>
  <c r="C3364" i="8"/>
  <c r="C3365" i="8"/>
  <c r="C3366" i="8"/>
  <c r="C3367" i="8"/>
  <c r="C3368" i="8"/>
  <c r="C3369" i="8"/>
  <c r="C3370" i="8"/>
  <c r="C3371" i="8"/>
  <c r="C3372" i="8"/>
  <c r="C3373" i="8"/>
  <c r="C3374" i="8"/>
  <c r="C3375" i="8"/>
  <c r="C3376" i="8"/>
  <c r="C3377" i="8"/>
  <c r="C3378" i="8"/>
  <c r="C3379" i="8"/>
  <c r="C3380" i="8"/>
  <c r="C3381" i="8"/>
  <c r="C3382" i="8"/>
  <c r="C3383" i="8"/>
  <c r="C3384" i="8"/>
  <c r="C3385" i="8"/>
  <c r="C3386" i="8"/>
  <c r="C3387" i="8"/>
  <c r="C3388" i="8"/>
  <c r="C3389" i="8"/>
  <c r="C3390" i="8"/>
  <c r="C3391" i="8"/>
  <c r="C3392" i="8"/>
  <c r="C3393" i="8"/>
  <c r="C3394" i="8"/>
  <c r="C3395" i="8"/>
  <c r="C3396" i="8"/>
  <c r="C3397" i="8"/>
  <c r="C3398" i="8"/>
  <c r="C3399" i="8"/>
  <c r="C3400" i="8"/>
  <c r="C3401" i="8"/>
  <c r="C3402" i="8"/>
  <c r="C3403" i="8"/>
  <c r="C3404" i="8"/>
  <c r="C3405" i="8"/>
  <c r="C3406" i="8"/>
  <c r="C3407" i="8"/>
  <c r="C3408" i="8"/>
  <c r="C3409" i="8"/>
  <c r="C3410" i="8"/>
  <c r="C3411" i="8"/>
  <c r="C3412" i="8"/>
  <c r="C3413" i="8"/>
  <c r="C3414" i="8"/>
  <c r="C3415" i="8"/>
  <c r="C3416" i="8"/>
  <c r="C3417" i="8"/>
  <c r="C3418" i="8"/>
  <c r="C3419" i="8"/>
  <c r="C3420" i="8"/>
  <c r="C3421" i="8"/>
  <c r="C3422" i="8"/>
  <c r="C3423" i="8"/>
  <c r="C3424" i="8"/>
  <c r="C3425" i="8"/>
  <c r="C3426" i="8"/>
  <c r="C3427" i="8"/>
  <c r="C3428" i="8"/>
  <c r="C3429" i="8"/>
  <c r="C3430" i="8"/>
  <c r="C3431" i="8"/>
  <c r="C3432" i="8"/>
  <c r="C3433" i="8"/>
  <c r="C3434" i="8"/>
  <c r="C3435" i="8"/>
  <c r="C3436" i="8"/>
  <c r="C3437" i="8"/>
  <c r="C3438" i="8"/>
  <c r="C3439" i="8"/>
  <c r="C3440" i="8"/>
  <c r="C3441" i="8"/>
  <c r="C3442" i="8"/>
  <c r="C3443" i="8"/>
  <c r="C3444" i="8"/>
  <c r="C3445" i="8"/>
  <c r="C3446" i="8"/>
  <c r="C3447" i="8"/>
  <c r="C3448" i="8"/>
  <c r="C3449" i="8"/>
  <c r="C3450" i="8"/>
  <c r="C3451" i="8"/>
  <c r="C3452" i="8"/>
  <c r="C3453" i="8"/>
  <c r="C3454" i="8"/>
  <c r="C3455" i="8"/>
  <c r="C3456" i="8"/>
  <c r="C3457" i="8"/>
  <c r="C3458" i="8"/>
  <c r="C3459" i="8"/>
  <c r="C3460" i="8"/>
  <c r="C3461" i="8"/>
  <c r="C3462" i="8"/>
  <c r="C3463" i="8"/>
  <c r="C3464" i="8"/>
  <c r="C3465" i="8"/>
  <c r="C3466" i="8"/>
  <c r="C3467" i="8"/>
  <c r="C3468" i="8"/>
  <c r="C3469" i="8"/>
  <c r="C3470" i="8"/>
  <c r="C3471" i="8"/>
  <c r="C3472" i="8"/>
  <c r="C3473" i="8"/>
  <c r="C3474" i="8"/>
  <c r="C3475" i="8"/>
  <c r="C3476" i="8"/>
  <c r="C3477" i="8"/>
  <c r="C3478" i="8"/>
  <c r="C3479" i="8"/>
  <c r="C3480" i="8"/>
  <c r="C3481" i="8"/>
  <c r="C3482" i="8"/>
  <c r="C3483" i="8"/>
  <c r="C3484" i="8"/>
  <c r="C3485" i="8"/>
  <c r="C3486" i="8"/>
  <c r="C3487" i="8"/>
  <c r="C3488" i="8"/>
  <c r="C3489" i="8"/>
  <c r="C3490" i="8"/>
  <c r="C3491" i="8"/>
  <c r="C3492" i="8"/>
  <c r="C3493" i="8"/>
  <c r="C3494" i="8"/>
  <c r="C3495" i="8"/>
  <c r="C3496" i="8"/>
  <c r="C3497" i="8"/>
  <c r="C3498" i="8"/>
  <c r="C3499" i="8"/>
  <c r="C3500" i="8"/>
  <c r="C3501" i="8"/>
  <c r="C3502" i="8"/>
  <c r="C3503" i="8"/>
  <c r="C3504" i="8"/>
  <c r="C3505" i="8"/>
  <c r="C3506" i="8"/>
  <c r="C3507" i="8"/>
  <c r="C3508" i="8"/>
  <c r="C3509" i="8"/>
  <c r="C3510" i="8"/>
  <c r="C3511" i="8"/>
  <c r="C3512" i="8"/>
  <c r="C3513" i="8"/>
  <c r="C3514" i="8"/>
  <c r="C3515" i="8"/>
  <c r="C3516" i="8"/>
  <c r="C3517" i="8"/>
  <c r="C3518" i="8"/>
  <c r="C3519" i="8"/>
  <c r="C3520" i="8"/>
  <c r="C3521" i="8"/>
  <c r="C3522" i="8"/>
  <c r="C3523" i="8"/>
  <c r="C3524" i="8"/>
  <c r="C3525" i="8"/>
  <c r="C3526" i="8"/>
  <c r="C3527" i="8"/>
  <c r="C3528" i="8"/>
  <c r="C3529" i="8"/>
  <c r="C3530" i="8"/>
  <c r="C3531" i="8"/>
  <c r="C3532" i="8"/>
  <c r="C3533" i="8"/>
  <c r="C3534" i="8"/>
  <c r="C3535" i="8"/>
  <c r="C3536" i="8"/>
  <c r="C3537" i="8"/>
  <c r="C3538" i="8"/>
  <c r="C3539" i="8"/>
  <c r="C3540" i="8"/>
  <c r="C3541" i="8"/>
  <c r="C3542" i="8"/>
  <c r="C3543" i="8"/>
  <c r="C3544" i="8"/>
  <c r="C3545" i="8"/>
  <c r="C3546" i="8"/>
  <c r="C3547" i="8"/>
  <c r="C3548" i="8"/>
  <c r="C3549" i="8"/>
  <c r="C3550" i="8"/>
  <c r="C3551" i="8"/>
  <c r="C3552" i="8"/>
  <c r="C3553" i="8"/>
  <c r="C3554" i="8"/>
  <c r="C3555" i="8"/>
  <c r="C3556" i="8"/>
  <c r="C3557" i="8"/>
  <c r="C3558" i="8"/>
  <c r="C3559" i="8"/>
  <c r="C3560" i="8"/>
  <c r="C3561" i="8"/>
  <c r="C3562" i="8"/>
  <c r="C3563" i="8"/>
  <c r="C3564" i="8"/>
  <c r="C3565" i="8"/>
  <c r="C3566" i="8"/>
  <c r="C3567" i="8"/>
  <c r="C3568" i="8"/>
  <c r="C3569" i="8"/>
  <c r="C3570" i="8"/>
  <c r="C3571" i="8"/>
  <c r="C3572" i="8"/>
  <c r="C3573" i="8"/>
  <c r="C3574" i="8"/>
  <c r="C3575" i="8"/>
  <c r="C3576" i="8"/>
  <c r="C3577" i="8"/>
  <c r="C3578" i="8"/>
  <c r="C3579" i="8"/>
  <c r="C3580" i="8"/>
  <c r="C3581" i="8"/>
  <c r="C3582" i="8"/>
  <c r="C3583" i="8"/>
  <c r="C3584" i="8"/>
  <c r="C3585" i="8"/>
  <c r="C3586" i="8"/>
  <c r="C3587" i="8"/>
  <c r="C3588" i="8"/>
  <c r="C3589" i="8"/>
  <c r="C3590" i="8"/>
  <c r="C3591" i="8"/>
  <c r="C3592" i="8"/>
  <c r="C3593" i="8"/>
  <c r="C3594" i="8"/>
  <c r="C3595" i="8"/>
  <c r="C3596" i="8"/>
  <c r="C3597" i="8"/>
  <c r="C3598" i="8"/>
  <c r="C3599" i="8"/>
  <c r="C3600" i="8"/>
  <c r="C3601" i="8"/>
  <c r="C3602" i="8"/>
  <c r="C3603" i="8"/>
  <c r="C3604" i="8"/>
  <c r="C3605" i="8"/>
  <c r="C3606" i="8"/>
  <c r="C3607" i="8"/>
  <c r="C3608" i="8"/>
  <c r="C3609" i="8"/>
  <c r="C3610" i="8"/>
  <c r="C3611" i="8"/>
  <c r="C3612" i="8"/>
  <c r="C3613" i="8"/>
  <c r="C3614" i="8"/>
  <c r="C3615" i="8"/>
  <c r="C3616" i="8"/>
  <c r="C3617" i="8"/>
  <c r="C3618" i="8"/>
  <c r="C3619" i="8"/>
  <c r="C3620" i="8"/>
  <c r="C3621" i="8"/>
  <c r="C3622" i="8"/>
  <c r="C3623" i="8"/>
  <c r="C3624" i="8"/>
  <c r="C3625" i="8"/>
  <c r="C3626" i="8"/>
  <c r="C3627" i="8"/>
  <c r="C3628" i="8"/>
  <c r="C3629" i="8"/>
  <c r="C3630" i="8"/>
  <c r="C3631" i="8"/>
  <c r="C3632" i="8"/>
  <c r="C3633" i="8"/>
  <c r="C3634" i="8"/>
  <c r="C3635" i="8"/>
  <c r="C3636" i="8"/>
  <c r="C3637" i="8"/>
  <c r="C3638" i="8"/>
  <c r="C3639" i="8"/>
  <c r="C3640" i="8"/>
  <c r="C3641" i="8"/>
  <c r="C3642" i="8"/>
  <c r="C3643" i="8"/>
  <c r="C3644" i="8"/>
  <c r="C3645" i="8"/>
  <c r="C3646" i="8"/>
  <c r="C3647" i="8"/>
  <c r="C3648" i="8"/>
  <c r="C3649" i="8"/>
  <c r="C3650" i="8"/>
  <c r="C3651" i="8"/>
  <c r="C3652" i="8"/>
  <c r="C3653" i="8"/>
  <c r="C3654" i="8"/>
  <c r="C3655" i="8"/>
  <c r="C3656" i="8"/>
  <c r="C3657" i="8"/>
  <c r="C3658" i="8"/>
  <c r="C3659" i="8"/>
  <c r="C3660" i="8"/>
  <c r="C3661" i="8"/>
  <c r="C3662" i="8"/>
  <c r="C3663" i="8"/>
  <c r="C3664" i="8"/>
  <c r="C3665" i="8"/>
  <c r="C3666" i="8"/>
  <c r="C3667" i="8"/>
  <c r="C3668" i="8"/>
  <c r="C3669" i="8"/>
  <c r="C3670" i="8"/>
  <c r="C3671" i="8"/>
  <c r="C3672" i="8"/>
  <c r="C3673" i="8"/>
  <c r="C3674" i="8"/>
  <c r="C3675" i="8"/>
  <c r="C3676" i="8"/>
  <c r="C3677" i="8"/>
  <c r="C3678" i="8"/>
  <c r="C3679" i="8"/>
  <c r="C3680" i="8"/>
  <c r="C3681" i="8"/>
  <c r="C3682" i="8"/>
  <c r="C3683" i="8"/>
  <c r="C3684" i="8"/>
  <c r="C3685" i="8"/>
  <c r="C3686" i="8"/>
  <c r="C3687" i="8"/>
  <c r="C3688" i="8"/>
  <c r="C3689" i="8"/>
  <c r="C3690" i="8"/>
  <c r="C3691" i="8"/>
  <c r="C3692" i="8"/>
  <c r="C3693" i="8"/>
  <c r="C3694" i="8"/>
  <c r="C3695" i="8"/>
  <c r="C3696" i="8"/>
  <c r="C3697" i="8"/>
  <c r="C3698" i="8"/>
  <c r="C3699" i="8"/>
  <c r="C3700" i="8"/>
  <c r="C3701" i="8"/>
  <c r="C3702" i="8"/>
  <c r="C3703" i="8"/>
  <c r="C3704" i="8"/>
  <c r="C3705" i="8"/>
  <c r="C3706" i="8"/>
  <c r="C3707" i="8"/>
  <c r="C3708" i="8"/>
  <c r="C3709" i="8"/>
  <c r="C3710" i="8"/>
  <c r="C3711" i="8"/>
  <c r="C3712" i="8"/>
  <c r="C3713" i="8"/>
  <c r="C3714" i="8"/>
  <c r="C3715" i="8"/>
  <c r="C3716" i="8"/>
  <c r="C3717" i="8"/>
  <c r="C3718" i="8"/>
  <c r="C3719" i="8"/>
  <c r="C3720" i="8"/>
  <c r="C3721" i="8"/>
  <c r="C3722" i="8"/>
  <c r="C3723" i="8"/>
  <c r="C3724" i="8"/>
  <c r="C3725" i="8"/>
  <c r="C3726" i="8"/>
  <c r="C3727" i="8"/>
  <c r="C3728" i="8"/>
  <c r="C3729" i="8"/>
  <c r="C3730" i="8"/>
  <c r="C3731" i="8"/>
  <c r="C3732" i="8"/>
  <c r="C3733" i="8"/>
  <c r="C3734" i="8"/>
  <c r="C3735" i="8"/>
  <c r="C3736" i="8"/>
  <c r="C3737" i="8"/>
  <c r="C3738" i="8"/>
  <c r="C3739" i="8"/>
  <c r="C3740" i="8"/>
  <c r="C3741" i="8"/>
  <c r="C3742" i="8"/>
  <c r="C3743" i="8"/>
  <c r="C3744" i="8"/>
  <c r="C3745" i="8"/>
  <c r="C3746" i="8"/>
  <c r="C3747" i="8"/>
  <c r="C3748" i="8"/>
  <c r="C3749" i="8"/>
  <c r="C3750" i="8"/>
  <c r="C3751" i="8"/>
  <c r="C3752" i="8"/>
  <c r="C3753" i="8"/>
  <c r="C3754" i="8"/>
  <c r="C3755" i="8"/>
  <c r="C3756" i="8"/>
  <c r="C3757" i="8"/>
  <c r="C3758" i="8"/>
  <c r="C3759" i="8"/>
  <c r="C3760" i="8"/>
  <c r="C3761" i="8"/>
  <c r="C3762" i="8"/>
  <c r="C3763" i="8"/>
  <c r="C3764" i="8"/>
  <c r="C3765" i="8"/>
  <c r="C3766" i="8"/>
  <c r="C3767" i="8"/>
  <c r="C3768" i="8"/>
  <c r="C3769" i="8"/>
  <c r="C3770" i="8"/>
  <c r="C3771" i="8"/>
  <c r="C3772" i="8"/>
  <c r="C3773" i="8"/>
  <c r="C3774" i="8"/>
  <c r="C3775" i="8"/>
  <c r="C3776" i="8"/>
  <c r="C3777" i="8"/>
  <c r="C3778" i="8"/>
  <c r="C3779" i="8"/>
  <c r="C3780" i="8"/>
  <c r="C3781" i="8"/>
  <c r="C3782" i="8"/>
  <c r="C3783" i="8"/>
  <c r="C3784" i="8"/>
  <c r="C3785" i="8"/>
  <c r="C3786" i="8"/>
  <c r="C3787" i="8"/>
  <c r="C3788" i="8"/>
  <c r="C3789" i="8"/>
  <c r="C3790" i="8"/>
  <c r="C3791" i="8"/>
  <c r="C3792" i="8"/>
  <c r="C3793" i="8"/>
  <c r="C3794" i="8"/>
  <c r="C3795" i="8"/>
  <c r="C3796" i="8"/>
  <c r="C3797" i="8"/>
  <c r="C3798" i="8"/>
  <c r="C3799" i="8"/>
  <c r="C3800" i="8"/>
  <c r="C3801" i="8"/>
  <c r="C3802" i="8"/>
  <c r="C3803" i="8"/>
  <c r="C3804" i="8"/>
  <c r="C3805" i="8"/>
  <c r="C3806" i="8"/>
  <c r="C3807" i="8"/>
  <c r="C3808" i="8"/>
  <c r="C3809" i="8"/>
  <c r="C3810" i="8"/>
  <c r="C3811" i="8"/>
  <c r="C3812" i="8"/>
  <c r="C3813" i="8"/>
  <c r="C3814" i="8"/>
  <c r="C3815" i="8"/>
  <c r="C3816" i="8"/>
  <c r="C3817" i="8"/>
  <c r="C3818" i="8"/>
  <c r="C3819" i="8"/>
  <c r="C3820" i="8"/>
  <c r="C3821" i="8"/>
  <c r="C3822" i="8"/>
  <c r="C3823" i="8"/>
  <c r="C3824" i="8"/>
  <c r="C3825" i="8"/>
  <c r="C3826" i="8"/>
  <c r="C3827" i="8"/>
  <c r="C3828" i="8"/>
  <c r="C3829" i="8"/>
  <c r="C3830" i="8"/>
  <c r="C3831" i="8"/>
  <c r="C3832" i="8"/>
  <c r="C3833" i="8"/>
  <c r="C3834" i="8"/>
  <c r="C3835" i="8"/>
  <c r="C3836" i="8"/>
  <c r="C3837" i="8"/>
  <c r="C3838" i="8"/>
  <c r="C3839" i="8"/>
  <c r="C3840" i="8"/>
  <c r="C3841" i="8"/>
  <c r="C3842" i="8"/>
  <c r="C3843" i="8"/>
  <c r="C3844" i="8"/>
  <c r="C3845" i="8"/>
  <c r="C3846" i="8"/>
  <c r="C3847" i="8"/>
  <c r="C3848" i="8"/>
  <c r="C3849" i="8"/>
  <c r="C3850" i="8"/>
  <c r="C3851" i="8"/>
  <c r="C3852" i="8"/>
  <c r="C3853" i="8"/>
  <c r="C3854" i="8"/>
  <c r="C3855" i="8"/>
  <c r="C3856" i="8"/>
  <c r="C3857" i="8"/>
  <c r="C3858" i="8"/>
  <c r="C3859" i="8"/>
  <c r="C3860" i="8"/>
  <c r="C3861" i="8"/>
  <c r="C3862" i="8"/>
  <c r="C3863" i="8"/>
  <c r="C3864" i="8"/>
  <c r="C3865" i="8"/>
  <c r="C3866" i="8"/>
  <c r="C3867" i="8"/>
  <c r="C3868" i="8"/>
  <c r="C3869" i="8"/>
  <c r="C3870" i="8"/>
  <c r="C3871" i="8"/>
  <c r="C3872" i="8"/>
  <c r="C3873" i="8"/>
  <c r="C3874" i="8"/>
  <c r="C3875" i="8"/>
  <c r="C3876" i="8"/>
  <c r="C3877" i="8"/>
  <c r="C3878" i="8"/>
  <c r="C3879" i="8"/>
  <c r="C3880" i="8"/>
  <c r="C3881" i="8"/>
  <c r="C3882" i="8"/>
  <c r="C3883" i="8"/>
  <c r="C3884" i="8"/>
  <c r="C3885" i="8"/>
  <c r="C3886" i="8"/>
  <c r="C3887" i="8"/>
  <c r="C3888" i="8"/>
  <c r="C3889" i="8"/>
  <c r="C3890" i="8"/>
  <c r="C3891" i="8"/>
  <c r="C3892" i="8"/>
  <c r="C3893" i="8"/>
  <c r="C3894" i="8"/>
  <c r="C3895" i="8"/>
  <c r="C3896" i="8"/>
  <c r="C3897" i="8"/>
  <c r="C3898" i="8"/>
  <c r="C3899" i="8"/>
  <c r="C3900" i="8"/>
  <c r="C3901" i="8"/>
  <c r="C3902" i="8"/>
  <c r="C3903" i="8"/>
  <c r="C3904" i="8"/>
  <c r="C3905" i="8"/>
  <c r="C3906" i="8"/>
  <c r="C3907" i="8"/>
  <c r="C3908" i="8"/>
  <c r="C3909" i="8"/>
  <c r="C3910" i="8"/>
  <c r="C3911" i="8"/>
  <c r="C3912" i="8"/>
  <c r="C3913" i="8"/>
  <c r="C3914" i="8"/>
  <c r="C3915" i="8"/>
  <c r="C3916" i="8"/>
  <c r="C3917" i="8"/>
  <c r="C3918" i="8"/>
  <c r="C3919" i="8"/>
  <c r="C3920" i="8"/>
  <c r="C3921" i="8"/>
  <c r="C3922" i="8"/>
  <c r="C3923" i="8"/>
  <c r="C3924" i="8"/>
  <c r="C3925" i="8"/>
  <c r="C3926" i="8"/>
  <c r="C3927" i="8"/>
  <c r="C3928" i="8"/>
  <c r="C3929" i="8"/>
  <c r="C3930" i="8"/>
  <c r="C3931" i="8"/>
  <c r="C3932" i="8"/>
  <c r="C3933" i="8"/>
  <c r="C3934" i="8"/>
  <c r="C3935" i="8"/>
  <c r="C3936" i="8"/>
  <c r="C3937" i="8"/>
  <c r="C3938" i="8"/>
  <c r="C3939" i="8"/>
  <c r="C3940" i="8"/>
  <c r="C3941" i="8"/>
  <c r="C3942" i="8"/>
  <c r="C3943" i="8"/>
  <c r="C3944" i="8"/>
  <c r="C3945" i="8"/>
  <c r="C3946" i="8"/>
  <c r="C3947" i="8"/>
  <c r="C3948" i="8"/>
  <c r="C3949" i="8"/>
  <c r="C3950" i="8"/>
  <c r="C3951" i="8"/>
  <c r="C3952" i="8"/>
  <c r="C3953" i="8"/>
  <c r="C3954" i="8"/>
  <c r="C3955" i="8"/>
  <c r="C3956" i="8"/>
  <c r="C3957" i="8"/>
  <c r="C3958" i="8"/>
  <c r="C3959" i="8"/>
  <c r="C3960" i="8"/>
  <c r="C3961" i="8"/>
  <c r="C3962" i="8"/>
  <c r="C3963" i="8"/>
  <c r="C3964" i="8"/>
  <c r="C3965" i="8"/>
  <c r="C3966" i="8"/>
  <c r="C3967" i="8"/>
  <c r="C3968" i="8"/>
  <c r="C3969" i="8"/>
  <c r="C3970" i="8"/>
  <c r="C3971" i="8"/>
  <c r="C3972" i="8"/>
  <c r="C3973" i="8"/>
  <c r="C3974" i="8"/>
  <c r="C3975" i="8"/>
  <c r="C3976" i="8"/>
  <c r="C3977" i="8"/>
  <c r="C3978" i="8"/>
  <c r="C3979" i="8"/>
  <c r="C3980" i="8"/>
  <c r="C3981" i="8"/>
  <c r="C3982" i="8"/>
  <c r="C3983" i="8"/>
  <c r="C3984" i="8"/>
  <c r="C3985" i="8"/>
  <c r="C3986" i="8"/>
  <c r="C3987" i="8"/>
  <c r="C3988" i="8"/>
  <c r="C3989" i="8"/>
  <c r="C3990" i="8"/>
  <c r="C3991" i="8"/>
  <c r="C3992" i="8"/>
  <c r="C3993" i="8"/>
  <c r="C3994" i="8"/>
  <c r="C3995" i="8"/>
  <c r="C3996" i="8"/>
  <c r="C3997" i="8"/>
  <c r="C3998" i="8"/>
  <c r="C3999" i="8"/>
  <c r="C4000" i="8"/>
  <c r="C4001" i="8"/>
  <c r="C4002" i="8"/>
  <c r="C4003" i="8"/>
  <c r="C4004" i="8"/>
  <c r="C4005" i="8"/>
  <c r="C4006" i="8"/>
  <c r="C4007" i="8"/>
  <c r="C4008" i="8"/>
  <c r="C4009" i="8"/>
  <c r="C4010" i="8"/>
  <c r="C4011" i="8"/>
  <c r="C4012" i="8"/>
  <c r="C4013" i="8"/>
  <c r="C4014" i="8"/>
  <c r="C4015" i="8"/>
  <c r="C4016" i="8"/>
  <c r="C4017" i="8"/>
  <c r="C4018" i="8"/>
  <c r="C4019" i="8"/>
  <c r="C4020" i="8"/>
  <c r="C4021" i="8"/>
  <c r="C4022" i="8"/>
  <c r="C4023" i="8"/>
  <c r="C4024" i="8"/>
  <c r="C4025" i="8"/>
  <c r="C4026" i="8"/>
  <c r="C4027" i="8"/>
  <c r="C4028" i="8"/>
  <c r="C4029" i="8"/>
  <c r="C4030" i="8"/>
  <c r="C4031" i="8"/>
  <c r="C4032" i="8"/>
  <c r="C4033" i="8"/>
  <c r="C4034" i="8"/>
  <c r="C4035" i="8"/>
  <c r="C4036" i="8"/>
  <c r="C4037" i="8"/>
  <c r="C4038" i="8"/>
  <c r="C4039" i="8"/>
  <c r="C4040" i="8"/>
  <c r="C4041" i="8"/>
  <c r="C4042" i="8"/>
  <c r="C4043" i="8"/>
  <c r="C4044" i="8"/>
  <c r="C4045" i="8"/>
  <c r="C4046" i="8"/>
  <c r="C4047" i="8"/>
  <c r="C4048" i="8"/>
  <c r="C4049" i="8"/>
  <c r="C4050" i="8"/>
  <c r="C4051" i="8"/>
  <c r="C4052" i="8"/>
  <c r="C4053" i="8"/>
  <c r="C4054" i="8"/>
  <c r="C4055" i="8"/>
  <c r="C4056" i="8"/>
  <c r="C4057" i="8"/>
  <c r="C4058" i="8"/>
  <c r="C4059" i="8"/>
  <c r="C4060" i="8"/>
  <c r="C4061" i="8"/>
  <c r="C4062" i="8"/>
  <c r="C4063" i="8"/>
  <c r="C4064" i="8"/>
  <c r="C4065" i="8"/>
  <c r="C4066" i="8"/>
  <c r="C4067" i="8"/>
  <c r="C4068" i="8"/>
  <c r="C4069" i="8"/>
  <c r="C4070" i="8"/>
  <c r="C4071" i="8"/>
  <c r="C4072" i="8"/>
  <c r="C4073" i="8"/>
  <c r="C4074" i="8"/>
  <c r="C4075" i="8"/>
  <c r="C4076" i="8"/>
  <c r="C4077" i="8"/>
  <c r="C4078" i="8"/>
  <c r="C4079" i="8"/>
  <c r="C4080" i="8"/>
  <c r="C4081" i="8"/>
  <c r="C4082" i="8"/>
  <c r="C4083" i="8"/>
  <c r="C4084" i="8"/>
  <c r="C4085" i="8"/>
  <c r="C4086" i="8"/>
  <c r="C4087" i="8"/>
  <c r="C4088" i="8"/>
  <c r="C4089" i="8"/>
  <c r="C4090" i="8"/>
  <c r="C4091" i="8"/>
  <c r="C4092" i="8"/>
  <c r="C4093" i="8"/>
  <c r="C4094" i="8"/>
  <c r="C4095" i="8"/>
  <c r="C4096" i="8"/>
  <c r="C4097" i="8"/>
  <c r="C4098" i="8"/>
  <c r="C4099" i="8"/>
  <c r="C4100" i="8"/>
  <c r="C4101" i="8"/>
  <c r="C4102" i="8"/>
  <c r="C4103" i="8"/>
  <c r="C4104" i="8"/>
  <c r="C4105" i="8"/>
  <c r="C4106" i="8"/>
  <c r="C4107" i="8"/>
  <c r="C4108" i="8"/>
  <c r="C4109" i="8"/>
  <c r="C4110" i="8"/>
  <c r="C4111" i="8"/>
  <c r="C4112" i="8"/>
  <c r="C4113" i="8"/>
  <c r="C4114" i="8"/>
  <c r="C4115" i="8"/>
  <c r="C4116" i="8"/>
  <c r="C4117" i="8"/>
  <c r="C4118" i="8"/>
  <c r="C4119" i="8"/>
  <c r="C4120" i="8"/>
  <c r="C4121" i="8"/>
  <c r="C4122" i="8"/>
  <c r="C4123" i="8"/>
  <c r="C4124" i="8"/>
  <c r="C4125" i="8"/>
  <c r="C4126" i="8"/>
  <c r="C4127" i="8"/>
  <c r="C4128" i="8"/>
  <c r="C4129" i="8"/>
  <c r="C4130" i="8"/>
  <c r="C4131" i="8"/>
  <c r="C4132" i="8"/>
  <c r="C4133" i="8"/>
  <c r="C4134" i="8"/>
  <c r="C4135" i="8"/>
  <c r="C4136" i="8"/>
  <c r="C4137" i="8"/>
  <c r="C4138" i="8"/>
  <c r="C4139" i="8"/>
  <c r="C4140" i="8"/>
  <c r="C4141" i="8"/>
  <c r="C4142" i="8"/>
  <c r="C4143" i="8"/>
  <c r="C4144" i="8"/>
  <c r="C4145" i="8"/>
  <c r="C4146" i="8"/>
  <c r="C4147" i="8"/>
  <c r="C4148" i="8"/>
  <c r="C4149" i="8"/>
  <c r="C4150" i="8"/>
  <c r="C4151" i="8"/>
  <c r="C4152" i="8"/>
  <c r="C4153" i="8"/>
  <c r="C4154" i="8"/>
  <c r="C4155" i="8"/>
  <c r="C4156" i="8"/>
  <c r="C4157" i="8"/>
  <c r="C4158" i="8"/>
  <c r="C4159" i="8"/>
  <c r="C4160" i="8"/>
  <c r="C4161" i="8"/>
  <c r="C4162" i="8"/>
  <c r="C4163" i="8"/>
  <c r="C4164" i="8"/>
  <c r="C4165" i="8"/>
  <c r="C4166" i="8"/>
  <c r="C4167" i="8"/>
  <c r="C4168" i="8"/>
  <c r="C4169" i="8"/>
  <c r="C4170" i="8"/>
  <c r="C4171" i="8"/>
  <c r="C4172" i="8"/>
  <c r="C4173" i="8"/>
  <c r="C4174" i="8"/>
  <c r="C4175" i="8"/>
  <c r="C4176" i="8"/>
  <c r="C4177" i="8"/>
  <c r="C4178" i="8"/>
  <c r="C4179" i="8"/>
  <c r="C4180" i="8"/>
  <c r="C4181" i="8"/>
  <c r="C4182" i="8"/>
  <c r="C4183" i="8"/>
  <c r="C4184" i="8"/>
  <c r="C4185" i="8"/>
  <c r="C4186" i="8"/>
  <c r="C4187" i="8"/>
  <c r="C4188" i="8"/>
  <c r="C4189" i="8"/>
  <c r="C4190" i="8"/>
  <c r="C4191" i="8"/>
  <c r="C4192" i="8"/>
  <c r="C4193" i="8"/>
  <c r="C4194" i="8"/>
  <c r="C4195" i="8"/>
  <c r="C4196" i="8"/>
  <c r="C4197" i="8"/>
  <c r="C4198" i="8"/>
  <c r="C4199" i="8"/>
  <c r="C4200" i="8"/>
  <c r="C4201" i="8"/>
  <c r="C4202" i="8"/>
  <c r="C4203" i="8"/>
  <c r="C4204" i="8"/>
  <c r="C4205" i="8"/>
  <c r="C4206" i="8"/>
  <c r="C4207" i="8"/>
  <c r="C4208" i="8"/>
  <c r="C4209" i="8"/>
  <c r="C4210" i="8"/>
  <c r="C4211" i="8"/>
  <c r="C4212" i="8"/>
  <c r="C4213" i="8"/>
  <c r="C4214" i="8"/>
  <c r="C4215" i="8"/>
  <c r="C4216" i="8"/>
  <c r="C4217" i="8"/>
  <c r="C4218" i="8"/>
  <c r="C4219" i="8"/>
  <c r="C4220" i="8"/>
  <c r="C4221" i="8"/>
  <c r="C4222" i="8"/>
  <c r="C4223" i="8"/>
  <c r="C4224" i="8"/>
  <c r="C4225" i="8"/>
  <c r="C4226" i="8"/>
  <c r="C4227" i="8"/>
  <c r="C4228" i="8"/>
  <c r="C4229" i="8"/>
  <c r="C4230" i="8"/>
  <c r="C4231" i="8"/>
  <c r="C4232" i="8"/>
  <c r="C4233" i="8"/>
  <c r="C4234" i="8"/>
  <c r="C4235" i="8"/>
  <c r="C4236" i="8"/>
  <c r="C4237" i="8"/>
  <c r="C4238" i="8"/>
  <c r="C4239" i="8"/>
  <c r="C4240" i="8"/>
  <c r="C4241" i="8"/>
  <c r="C4242" i="8"/>
  <c r="C4243" i="8"/>
  <c r="C4244" i="8"/>
  <c r="C4245" i="8"/>
  <c r="C4246" i="8"/>
  <c r="C4247" i="8"/>
  <c r="C4248" i="8"/>
  <c r="C4249" i="8"/>
  <c r="C4250" i="8"/>
  <c r="C4251" i="8"/>
  <c r="C4252" i="8"/>
  <c r="C4253" i="8"/>
  <c r="C4254" i="8"/>
  <c r="C4255" i="8"/>
  <c r="C4256" i="8"/>
  <c r="C4257" i="8"/>
  <c r="C4258" i="8"/>
  <c r="C4259" i="8"/>
  <c r="C4260" i="8"/>
  <c r="C4261" i="8"/>
  <c r="C4262" i="8"/>
  <c r="C4263" i="8"/>
  <c r="C4264" i="8"/>
  <c r="C4265" i="8"/>
  <c r="C4266" i="8"/>
  <c r="C4267" i="8"/>
  <c r="C4268" i="8"/>
  <c r="C4269" i="8"/>
  <c r="C4270" i="8"/>
  <c r="C4271" i="8"/>
  <c r="C4272" i="8"/>
  <c r="C4273" i="8"/>
  <c r="C4274" i="8"/>
  <c r="C4275" i="8"/>
  <c r="C4276" i="8"/>
  <c r="C4277" i="8"/>
  <c r="C4278" i="8"/>
  <c r="C4279" i="8"/>
  <c r="C4280" i="8"/>
  <c r="C4281" i="8"/>
  <c r="C4282" i="8"/>
  <c r="C4283" i="8"/>
  <c r="C4284" i="8"/>
  <c r="C4285" i="8"/>
  <c r="C4286" i="8"/>
  <c r="C4287" i="8"/>
  <c r="C4288" i="8"/>
  <c r="C4289" i="8"/>
  <c r="C4290" i="8"/>
  <c r="C4291" i="8"/>
  <c r="C4292" i="8"/>
  <c r="C4293" i="8"/>
  <c r="C4294" i="8"/>
  <c r="C4295" i="8"/>
  <c r="C4296" i="8"/>
  <c r="C4297" i="8"/>
  <c r="C4298" i="8"/>
  <c r="C4299" i="8"/>
  <c r="C4300" i="8"/>
  <c r="C4301" i="8"/>
  <c r="C4302" i="8"/>
  <c r="C4303" i="8"/>
  <c r="C4304" i="8"/>
  <c r="C4305" i="8"/>
  <c r="C4306" i="8"/>
  <c r="C4307" i="8"/>
  <c r="C4308" i="8"/>
  <c r="C4309" i="8"/>
  <c r="C4310" i="8"/>
  <c r="C4311" i="8"/>
  <c r="C4312" i="8"/>
  <c r="C4313" i="8"/>
  <c r="C4314" i="8"/>
  <c r="C4315" i="8"/>
  <c r="C4316" i="8"/>
  <c r="C4317" i="8"/>
  <c r="C4318" i="8"/>
  <c r="C4319" i="8"/>
  <c r="C4320" i="8"/>
  <c r="C4321" i="8"/>
  <c r="C4322" i="8"/>
  <c r="C4323" i="8"/>
  <c r="C4324" i="8"/>
  <c r="C4325" i="8"/>
  <c r="C4326" i="8"/>
  <c r="C4327" i="8"/>
  <c r="C4328" i="8"/>
  <c r="C4329" i="8"/>
  <c r="C4330" i="8"/>
  <c r="C4331" i="8"/>
  <c r="C4332" i="8"/>
  <c r="C4333" i="8"/>
  <c r="C4334" i="8"/>
  <c r="C4335" i="8"/>
  <c r="C4336" i="8"/>
  <c r="C4337" i="8"/>
  <c r="C4338" i="8"/>
  <c r="C4339" i="8"/>
  <c r="C4340" i="8"/>
  <c r="C4341" i="8"/>
  <c r="C4342" i="8"/>
  <c r="C4343" i="8"/>
  <c r="C4344" i="8"/>
  <c r="C4345" i="8"/>
  <c r="C4346" i="8"/>
  <c r="C4347" i="8"/>
  <c r="C4348" i="8"/>
  <c r="C4349" i="8"/>
  <c r="C4350" i="8"/>
  <c r="C4351" i="8"/>
  <c r="C4352" i="8"/>
  <c r="C4353" i="8"/>
  <c r="C4354" i="8"/>
  <c r="C4355" i="8"/>
  <c r="C4356" i="8"/>
  <c r="C4357" i="8"/>
  <c r="C4358" i="8"/>
  <c r="C4359" i="8"/>
  <c r="C4360" i="8"/>
  <c r="C4361" i="8"/>
  <c r="C4362" i="8"/>
  <c r="C4363" i="8"/>
  <c r="C4364" i="8"/>
  <c r="C4365" i="8"/>
  <c r="C4366" i="8"/>
  <c r="C4367" i="8"/>
  <c r="C4368" i="8"/>
  <c r="C4369" i="8"/>
  <c r="C4370" i="8"/>
  <c r="C4371" i="8"/>
  <c r="C4372" i="8"/>
  <c r="C4373" i="8"/>
  <c r="C4374" i="8"/>
  <c r="C4375" i="8"/>
  <c r="C4376" i="8"/>
  <c r="C4377" i="8"/>
  <c r="C4378" i="8"/>
  <c r="C4379" i="8"/>
  <c r="C4380" i="8"/>
  <c r="C4381" i="8"/>
  <c r="C4382" i="8"/>
  <c r="C4383" i="8"/>
  <c r="C4384" i="8"/>
  <c r="C4385" i="8"/>
  <c r="C4386" i="8"/>
  <c r="C4387" i="8"/>
  <c r="C4388" i="8"/>
  <c r="C4389" i="8"/>
  <c r="C4390" i="8"/>
  <c r="C4391" i="8"/>
  <c r="C4392" i="8"/>
  <c r="C4393" i="8"/>
  <c r="C4394" i="8"/>
  <c r="C4395" i="8"/>
  <c r="C4396" i="8"/>
  <c r="C4397" i="8"/>
  <c r="C4398" i="8"/>
  <c r="C4399" i="8"/>
  <c r="C4400" i="8"/>
  <c r="C4401" i="8"/>
  <c r="C4402" i="8"/>
  <c r="C4403" i="8"/>
  <c r="C4404" i="8"/>
  <c r="C4405" i="8"/>
  <c r="C4406" i="8"/>
  <c r="C4407" i="8"/>
  <c r="C4408" i="8"/>
  <c r="C4409" i="8"/>
  <c r="C4410" i="8"/>
  <c r="C4411" i="8"/>
  <c r="C4412" i="8"/>
  <c r="C4413" i="8"/>
  <c r="C4414" i="8"/>
  <c r="C4415" i="8"/>
  <c r="C4416" i="8"/>
  <c r="C4417" i="8"/>
  <c r="C4418" i="8"/>
  <c r="C4419" i="8"/>
  <c r="C4420" i="8"/>
  <c r="C4421" i="8"/>
  <c r="C4422" i="8"/>
  <c r="C4423" i="8"/>
  <c r="C4424" i="8"/>
  <c r="C4425" i="8"/>
  <c r="C4426" i="8"/>
  <c r="C4427" i="8"/>
  <c r="C4428" i="8"/>
  <c r="C4429" i="8"/>
  <c r="C4430" i="8"/>
  <c r="C4431" i="8"/>
  <c r="C4432" i="8"/>
  <c r="C4433" i="8"/>
  <c r="C4434" i="8"/>
  <c r="C4435" i="8"/>
  <c r="C4436" i="8"/>
  <c r="C4437" i="8"/>
  <c r="C4438" i="8"/>
  <c r="C4439" i="8"/>
  <c r="C4440" i="8"/>
  <c r="C4441" i="8"/>
  <c r="C4442" i="8"/>
  <c r="C4443" i="8"/>
  <c r="C4444" i="8"/>
  <c r="C4445" i="8"/>
  <c r="C4446" i="8"/>
  <c r="C4447" i="8"/>
  <c r="C4448" i="8"/>
  <c r="C4449" i="8"/>
  <c r="C4450" i="8"/>
  <c r="C4451" i="8"/>
  <c r="C4452" i="8"/>
  <c r="C4453" i="8"/>
  <c r="C4454" i="8"/>
  <c r="C4455" i="8"/>
  <c r="C4456" i="8"/>
  <c r="C4457" i="8"/>
  <c r="C4458" i="8"/>
  <c r="C4459" i="8"/>
  <c r="C4460" i="8"/>
  <c r="C4461" i="8"/>
  <c r="C4462" i="8"/>
  <c r="C4463" i="8"/>
  <c r="C4464" i="8"/>
  <c r="C4465" i="8"/>
  <c r="C4466" i="8"/>
  <c r="C4467" i="8"/>
  <c r="C4468" i="8"/>
  <c r="C4469" i="8"/>
  <c r="C4470" i="8"/>
  <c r="C4471" i="8"/>
  <c r="C4472" i="8"/>
  <c r="C4473" i="8"/>
  <c r="C4474" i="8"/>
  <c r="C4475" i="8"/>
  <c r="C4476" i="8"/>
  <c r="C4477" i="8"/>
  <c r="C4478" i="8"/>
  <c r="C4479" i="8"/>
  <c r="C4480" i="8"/>
  <c r="C4481" i="8"/>
  <c r="C4482" i="8"/>
  <c r="C4483" i="8"/>
  <c r="C4484" i="8"/>
  <c r="C4485" i="8"/>
  <c r="C4486" i="8"/>
  <c r="C4487" i="8"/>
  <c r="C4488" i="8"/>
  <c r="C4489" i="8"/>
  <c r="C4490" i="8"/>
  <c r="C4491" i="8"/>
  <c r="C4492" i="8"/>
  <c r="C4493" i="8"/>
  <c r="C4494" i="8"/>
  <c r="C4495" i="8"/>
  <c r="C4496" i="8"/>
  <c r="C4497" i="8"/>
  <c r="C4498" i="8"/>
  <c r="C4499" i="8"/>
  <c r="C4500" i="8"/>
  <c r="C4501" i="8"/>
  <c r="C4502" i="8"/>
  <c r="C4503" i="8"/>
  <c r="C4504" i="8"/>
  <c r="C4505" i="8"/>
  <c r="C4506" i="8"/>
  <c r="C4507" i="8"/>
  <c r="C4508" i="8"/>
  <c r="C4509" i="8"/>
  <c r="C4510" i="8"/>
  <c r="C4511" i="8"/>
  <c r="C4512" i="8"/>
  <c r="C4513" i="8"/>
  <c r="C4514" i="8"/>
  <c r="C4515" i="8"/>
  <c r="C4516" i="8"/>
  <c r="C4517" i="8"/>
  <c r="C4518" i="8"/>
  <c r="C4519" i="8"/>
  <c r="C4520" i="8"/>
  <c r="C4521" i="8"/>
  <c r="C4522" i="8"/>
  <c r="C4523" i="8"/>
  <c r="C4524" i="8"/>
  <c r="C4525" i="8"/>
  <c r="C4526" i="8"/>
  <c r="C4527" i="8"/>
  <c r="C4528" i="8"/>
  <c r="C4529" i="8"/>
  <c r="C4530" i="8"/>
  <c r="C4531" i="8"/>
  <c r="C4532" i="8"/>
  <c r="C4533" i="8"/>
  <c r="C4534" i="8"/>
  <c r="C4535" i="8"/>
  <c r="C4536" i="8"/>
  <c r="C4537" i="8"/>
  <c r="C4538" i="8"/>
  <c r="C4539" i="8"/>
  <c r="C4540" i="8"/>
  <c r="C4541" i="8"/>
  <c r="C4542" i="8"/>
  <c r="C4543" i="8"/>
  <c r="C4544" i="8"/>
  <c r="C4545" i="8"/>
  <c r="C4546" i="8"/>
  <c r="C4547" i="8"/>
  <c r="C4548" i="8"/>
  <c r="C4549" i="8"/>
  <c r="C4550" i="8"/>
  <c r="C4551" i="8"/>
  <c r="C4552" i="8"/>
  <c r="C4553" i="8"/>
  <c r="C4554" i="8"/>
  <c r="C4555" i="8"/>
  <c r="C4556" i="8"/>
  <c r="C4557" i="8"/>
  <c r="C4558" i="8"/>
  <c r="C4559" i="8"/>
  <c r="C4560" i="8"/>
  <c r="C4561" i="8"/>
  <c r="C4562" i="8"/>
  <c r="C4563" i="8"/>
  <c r="C4564" i="8"/>
  <c r="C4565" i="8"/>
  <c r="C4566" i="8"/>
  <c r="C4567" i="8"/>
  <c r="C4568" i="8"/>
  <c r="C4569" i="8"/>
  <c r="C4570" i="8"/>
  <c r="C4571" i="8"/>
  <c r="C4572" i="8"/>
  <c r="C4573" i="8"/>
  <c r="C4574" i="8"/>
  <c r="C4575" i="8"/>
  <c r="C4576" i="8"/>
  <c r="C4577" i="8"/>
  <c r="C4578" i="8"/>
  <c r="C4579" i="8"/>
  <c r="C4580" i="8"/>
  <c r="C4581" i="8"/>
  <c r="C4582" i="8"/>
  <c r="C4583" i="8"/>
  <c r="C4584" i="8"/>
  <c r="C4585" i="8"/>
  <c r="C4586" i="8"/>
  <c r="C4587" i="8"/>
  <c r="C4588" i="8"/>
  <c r="C4589" i="8"/>
  <c r="C4590" i="8"/>
  <c r="C4591" i="8"/>
  <c r="C4592" i="8"/>
  <c r="C4593" i="8"/>
  <c r="C4594" i="8"/>
  <c r="C4595" i="8"/>
  <c r="C4596" i="8"/>
  <c r="C4597" i="8"/>
  <c r="C4598" i="8"/>
  <c r="C4599" i="8"/>
  <c r="C4600" i="8"/>
  <c r="C4601" i="8"/>
  <c r="C4602" i="8"/>
  <c r="C4603" i="8"/>
  <c r="C4604" i="8"/>
  <c r="C4605" i="8"/>
  <c r="C4606" i="8"/>
  <c r="C4607" i="8"/>
  <c r="C4608" i="8"/>
  <c r="C4609" i="8"/>
  <c r="C4610" i="8"/>
  <c r="C4611" i="8"/>
  <c r="C4612" i="8"/>
  <c r="C4613" i="8"/>
  <c r="C4614" i="8"/>
  <c r="C4615" i="8"/>
  <c r="C4616" i="8"/>
  <c r="C4617" i="8"/>
  <c r="C4618" i="8"/>
  <c r="C4619" i="8"/>
  <c r="C4620" i="8"/>
  <c r="C4621" i="8"/>
  <c r="C4622" i="8"/>
  <c r="C4623" i="8"/>
  <c r="C4624" i="8"/>
  <c r="C4625" i="8"/>
  <c r="C4626" i="8"/>
  <c r="C4627" i="8"/>
  <c r="C4628" i="8"/>
  <c r="C4629" i="8"/>
  <c r="C4630" i="8"/>
  <c r="C4631" i="8"/>
  <c r="C4632" i="8"/>
  <c r="C4633" i="8"/>
  <c r="C4634" i="8"/>
  <c r="C4635" i="8"/>
  <c r="C4636" i="8"/>
  <c r="C4637" i="8"/>
  <c r="C4638" i="8"/>
  <c r="C4639" i="8"/>
  <c r="C4640" i="8"/>
  <c r="C4641" i="8"/>
  <c r="C4642" i="8"/>
  <c r="C4643" i="8"/>
  <c r="C4644" i="8"/>
  <c r="C4645" i="8"/>
  <c r="C4646" i="8"/>
  <c r="C4647" i="8"/>
  <c r="C4648" i="8"/>
  <c r="C4649" i="8"/>
  <c r="C4650" i="8"/>
  <c r="C4651" i="8"/>
  <c r="C4652" i="8"/>
  <c r="C4653" i="8"/>
  <c r="C4654" i="8"/>
  <c r="C4655" i="8"/>
  <c r="C4656" i="8"/>
  <c r="C4657" i="8"/>
  <c r="C4658" i="8"/>
  <c r="C4659" i="8"/>
  <c r="C4660" i="8"/>
  <c r="C4661" i="8"/>
  <c r="C4662" i="8"/>
  <c r="C4663" i="8"/>
  <c r="C4664" i="8"/>
  <c r="C4665" i="8"/>
  <c r="C4666" i="8"/>
  <c r="C4667" i="8"/>
  <c r="C4668" i="8"/>
  <c r="C4669" i="8"/>
  <c r="C4670" i="8"/>
  <c r="C4671" i="8"/>
  <c r="C4672" i="8"/>
  <c r="C4673" i="8"/>
  <c r="C4674" i="8"/>
  <c r="C4675" i="8"/>
  <c r="C4676" i="8"/>
  <c r="C4677" i="8"/>
  <c r="C4678" i="8"/>
  <c r="C4679" i="8"/>
  <c r="C4680" i="8"/>
  <c r="C4681" i="8"/>
  <c r="C4682" i="8"/>
  <c r="C4683" i="8"/>
  <c r="C4684" i="8"/>
  <c r="C4685" i="8"/>
  <c r="C4686" i="8"/>
  <c r="C4687" i="8"/>
  <c r="C4688" i="8"/>
  <c r="C4689" i="8"/>
  <c r="C4690" i="8"/>
  <c r="C4691" i="8"/>
  <c r="C4692" i="8"/>
  <c r="C4693" i="8"/>
  <c r="C4694" i="8"/>
  <c r="C4695" i="8"/>
  <c r="C4696" i="8"/>
  <c r="C4697" i="8"/>
  <c r="C4698" i="8"/>
  <c r="C4699" i="8"/>
  <c r="C4700" i="8"/>
  <c r="C4701" i="8"/>
  <c r="C4702" i="8"/>
  <c r="C4703" i="8"/>
  <c r="C4704" i="8"/>
  <c r="C4705" i="8"/>
  <c r="C4706" i="8"/>
  <c r="C4707" i="8"/>
  <c r="C4708" i="8"/>
  <c r="C4709" i="8"/>
  <c r="C4710" i="8"/>
  <c r="C4711" i="8"/>
  <c r="C4712" i="8"/>
  <c r="C4713" i="8"/>
  <c r="C4714" i="8"/>
  <c r="C4715" i="8"/>
  <c r="C4716" i="8"/>
  <c r="C4717" i="8"/>
  <c r="C4718" i="8"/>
  <c r="C4719" i="8"/>
  <c r="C4720" i="8"/>
  <c r="C4721" i="8"/>
  <c r="C4722" i="8"/>
  <c r="C4723" i="8"/>
  <c r="C4724" i="8"/>
  <c r="C4725" i="8"/>
  <c r="C4726" i="8"/>
  <c r="C4727" i="8"/>
  <c r="C4728" i="8"/>
  <c r="C4729" i="8"/>
  <c r="C4730" i="8"/>
  <c r="C4731" i="8"/>
  <c r="C4732" i="8"/>
  <c r="C4733" i="8"/>
  <c r="C4734" i="8"/>
  <c r="C4735" i="8"/>
  <c r="C4736" i="8"/>
  <c r="C4737" i="8"/>
  <c r="C4738" i="8"/>
  <c r="C4739" i="8"/>
  <c r="C4740" i="8"/>
  <c r="C4741" i="8"/>
  <c r="C4742" i="8"/>
  <c r="C4743" i="8"/>
  <c r="C4744" i="8"/>
  <c r="C4745" i="8"/>
  <c r="C4746" i="8"/>
  <c r="C4747" i="8"/>
  <c r="C4748" i="8"/>
  <c r="C4749" i="8"/>
  <c r="C4750" i="8"/>
  <c r="C4751" i="8"/>
  <c r="C4752" i="8"/>
  <c r="C4753" i="8"/>
  <c r="C4754" i="8"/>
  <c r="C4755" i="8"/>
  <c r="C4756" i="8"/>
  <c r="C4757" i="8"/>
  <c r="C4758" i="8"/>
  <c r="C4759" i="8"/>
  <c r="C4760" i="8"/>
  <c r="C4761" i="8"/>
  <c r="C4762" i="8"/>
  <c r="C4763" i="8"/>
  <c r="C4764" i="8"/>
  <c r="C4765" i="8"/>
  <c r="C4766" i="8"/>
  <c r="C4767" i="8"/>
  <c r="C4768" i="8"/>
  <c r="C4769" i="8"/>
  <c r="C4770" i="8"/>
  <c r="C4771" i="8"/>
  <c r="C4772" i="8"/>
  <c r="C4773" i="8"/>
  <c r="C4774" i="8"/>
  <c r="C4775" i="8"/>
  <c r="C4776" i="8"/>
  <c r="C4777" i="8"/>
  <c r="C4778" i="8"/>
  <c r="C4779" i="8"/>
  <c r="C4780" i="8"/>
  <c r="C4781" i="8"/>
  <c r="C4782" i="8"/>
  <c r="C4783" i="8"/>
  <c r="C4784" i="8"/>
  <c r="C4785" i="8"/>
  <c r="C4786" i="8"/>
  <c r="C4787" i="8"/>
  <c r="C4788" i="8"/>
  <c r="C4789" i="8"/>
  <c r="C4790" i="8"/>
  <c r="C4791" i="8"/>
  <c r="C4792" i="8"/>
  <c r="C4793" i="8"/>
  <c r="C4794" i="8"/>
  <c r="C4795" i="8"/>
  <c r="C4796" i="8"/>
  <c r="C4797" i="8"/>
  <c r="C4798" i="8"/>
  <c r="C4799" i="8"/>
  <c r="C4800" i="8"/>
  <c r="C4801" i="8"/>
  <c r="C4802" i="8"/>
  <c r="C4803" i="8"/>
  <c r="C4804" i="8"/>
  <c r="C4805" i="8"/>
  <c r="C4806" i="8"/>
  <c r="C4807" i="8"/>
  <c r="C4808" i="8"/>
  <c r="C4809" i="8"/>
  <c r="C4810" i="8"/>
  <c r="C4811" i="8"/>
  <c r="C4812" i="8"/>
  <c r="C4813" i="8"/>
  <c r="C4814" i="8"/>
  <c r="C4815" i="8"/>
  <c r="C4816" i="8"/>
  <c r="C4817" i="8"/>
  <c r="C4818" i="8"/>
  <c r="C4819" i="8"/>
  <c r="C4820" i="8"/>
  <c r="C4821" i="8"/>
  <c r="C4822" i="8"/>
  <c r="C4823" i="8"/>
  <c r="C4824" i="8"/>
  <c r="C4825" i="8"/>
  <c r="C4826" i="8"/>
  <c r="C4827" i="8"/>
  <c r="C4828" i="8"/>
  <c r="C4829" i="8"/>
  <c r="C4830" i="8"/>
  <c r="C4831" i="8"/>
  <c r="C4832" i="8"/>
  <c r="C4833" i="8"/>
  <c r="C4834" i="8"/>
  <c r="C4835" i="8"/>
  <c r="C4836" i="8"/>
  <c r="C4837" i="8"/>
  <c r="C4838" i="8"/>
  <c r="C4839" i="8"/>
  <c r="C4840" i="8"/>
  <c r="C4841" i="8"/>
  <c r="C4842" i="8"/>
  <c r="C4843" i="8"/>
  <c r="C4844" i="8"/>
  <c r="C4845" i="8"/>
  <c r="C4846" i="8"/>
  <c r="C4847" i="8"/>
  <c r="C4848" i="8"/>
  <c r="C4849" i="8"/>
  <c r="C4850" i="8"/>
  <c r="C4851" i="8"/>
  <c r="C4852" i="8"/>
  <c r="C4853" i="8"/>
  <c r="C4854" i="8"/>
  <c r="C4855" i="8"/>
  <c r="C4856" i="8"/>
  <c r="C4857" i="8"/>
  <c r="C4858" i="8"/>
  <c r="C4859" i="8"/>
  <c r="C4860" i="8"/>
  <c r="C4861" i="8"/>
  <c r="C4862" i="8"/>
  <c r="C4863" i="8"/>
  <c r="C4864" i="8"/>
  <c r="C4865" i="8"/>
  <c r="C4866" i="8"/>
  <c r="C4867" i="8"/>
  <c r="C4868" i="8"/>
  <c r="C4869" i="8"/>
  <c r="C4870" i="8"/>
  <c r="C4871" i="8"/>
  <c r="C4872" i="8"/>
  <c r="C4873" i="8"/>
  <c r="C4874" i="8"/>
  <c r="C4875" i="8"/>
  <c r="C4876" i="8"/>
  <c r="C4877" i="8"/>
  <c r="C4878" i="8"/>
  <c r="C4879" i="8"/>
  <c r="C4880" i="8"/>
  <c r="C4881" i="8"/>
  <c r="C4882" i="8"/>
  <c r="C4883" i="8"/>
  <c r="C4884" i="8"/>
  <c r="C4885" i="8"/>
  <c r="C4886" i="8"/>
  <c r="C4887" i="8"/>
  <c r="C4888" i="8"/>
  <c r="C4889" i="8"/>
  <c r="C4890" i="8"/>
  <c r="C4891" i="8"/>
  <c r="C4892" i="8"/>
  <c r="C4893" i="8"/>
  <c r="C4894" i="8"/>
  <c r="C4895" i="8"/>
  <c r="C4896" i="8"/>
  <c r="C4897" i="8"/>
  <c r="C4898" i="8"/>
  <c r="C4899" i="8"/>
  <c r="C4900" i="8"/>
  <c r="C4901" i="8"/>
  <c r="C4902" i="8"/>
  <c r="C4903" i="8"/>
  <c r="C4904" i="8"/>
  <c r="C4905" i="8"/>
  <c r="C4906" i="8"/>
  <c r="C4907" i="8"/>
  <c r="C4908" i="8"/>
  <c r="C4909" i="8"/>
  <c r="C4910" i="8"/>
  <c r="C4911" i="8"/>
  <c r="C4912" i="8"/>
  <c r="C4913" i="8"/>
  <c r="C4914" i="8"/>
  <c r="C4915" i="8"/>
  <c r="C4916" i="8"/>
  <c r="C4917" i="8"/>
  <c r="C4918" i="8"/>
  <c r="C4919" i="8"/>
  <c r="C4920" i="8"/>
  <c r="C4921" i="8"/>
  <c r="C4922" i="8"/>
  <c r="C4923" i="8"/>
  <c r="C4924" i="8"/>
  <c r="C4925" i="8"/>
  <c r="C4926" i="8"/>
  <c r="C4927" i="8"/>
  <c r="C4928" i="8"/>
  <c r="C4929" i="8"/>
  <c r="C4930" i="8"/>
  <c r="C4931" i="8"/>
  <c r="C4932" i="8"/>
  <c r="C4933" i="8"/>
  <c r="C4934" i="8"/>
  <c r="C4935" i="8"/>
  <c r="C4936" i="8"/>
  <c r="C4937" i="8"/>
  <c r="C4938" i="8"/>
  <c r="C4939" i="8"/>
  <c r="C4940" i="8"/>
  <c r="C4941" i="8"/>
  <c r="C4942" i="8"/>
  <c r="C4943" i="8"/>
  <c r="C4944" i="8"/>
  <c r="C4945" i="8"/>
  <c r="C4946" i="8"/>
  <c r="C4947" i="8"/>
  <c r="C4948" i="8"/>
  <c r="C4949" i="8"/>
  <c r="C4950" i="8"/>
  <c r="C4951" i="8"/>
  <c r="C4952" i="8"/>
  <c r="C4953" i="8"/>
  <c r="C4954" i="8"/>
  <c r="C4955" i="8"/>
  <c r="C4956" i="8"/>
  <c r="C4957" i="8"/>
  <c r="C4958" i="8"/>
  <c r="C4959" i="8"/>
  <c r="C4960" i="8"/>
  <c r="C4961" i="8"/>
  <c r="C4962" i="8"/>
  <c r="C4963" i="8"/>
  <c r="C4964" i="8"/>
  <c r="C4965" i="8"/>
  <c r="C4966" i="8"/>
  <c r="C4967" i="8"/>
  <c r="C4968" i="8"/>
  <c r="C4969" i="8"/>
  <c r="C4970" i="8"/>
  <c r="C4971" i="8"/>
  <c r="C4972" i="8"/>
  <c r="C4973" i="8"/>
  <c r="C4974" i="8"/>
  <c r="C4975" i="8"/>
  <c r="C4976" i="8"/>
  <c r="C4977" i="8"/>
  <c r="C4978" i="8"/>
  <c r="C4979" i="8"/>
  <c r="C4980" i="8"/>
  <c r="C4981" i="8"/>
  <c r="C4982" i="8"/>
  <c r="C4983" i="8"/>
  <c r="C4984" i="8"/>
  <c r="C4985" i="8"/>
  <c r="C4986" i="8"/>
  <c r="C4987" i="8"/>
  <c r="C4988" i="8"/>
  <c r="C4989" i="8"/>
  <c r="C4990" i="8"/>
  <c r="C4991" i="8"/>
  <c r="C4992" i="8"/>
  <c r="C4993" i="8"/>
  <c r="C4994" i="8"/>
  <c r="C4995" i="8"/>
  <c r="C4996" i="8"/>
  <c r="C4997" i="8"/>
  <c r="C4998" i="8"/>
  <c r="C4999" i="8"/>
  <c r="C5000" i="8"/>
  <c r="C5001" i="8"/>
  <c r="C5002" i="8"/>
  <c r="C5003" i="8"/>
  <c r="C5004" i="8"/>
  <c r="C5005" i="8"/>
  <c r="C5006" i="8"/>
  <c r="C5007" i="8"/>
  <c r="C5008" i="8"/>
  <c r="C5009" i="8"/>
  <c r="C5010" i="8"/>
  <c r="C5011" i="8"/>
  <c r="C5012" i="8"/>
  <c r="C5013" i="8"/>
  <c r="C5014" i="8"/>
  <c r="C5015" i="8"/>
  <c r="C5016" i="8"/>
  <c r="C5017" i="8"/>
  <c r="C5018" i="8"/>
  <c r="C5019" i="8"/>
  <c r="C5020" i="8"/>
  <c r="C5021" i="8"/>
  <c r="C5022" i="8"/>
  <c r="C5023" i="8"/>
  <c r="C5024" i="8"/>
  <c r="C5025" i="8"/>
  <c r="C5026" i="8"/>
  <c r="C5027" i="8"/>
  <c r="C5028" i="8"/>
  <c r="C5029" i="8"/>
  <c r="C5030" i="8"/>
  <c r="C5031" i="8"/>
  <c r="C5032" i="8"/>
  <c r="C5033" i="8"/>
  <c r="C5034" i="8"/>
  <c r="C5035" i="8"/>
  <c r="C5036" i="8"/>
  <c r="C5037" i="8"/>
  <c r="C5038" i="8"/>
  <c r="C5039" i="8"/>
  <c r="C5040" i="8"/>
  <c r="C5041" i="8"/>
  <c r="C5042" i="8"/>
  <c r="C5043" i="8"/>
  <c r="C5044" i="8"/>
  <c r="C5045" i="8"/>
  <c r="C5046" i="8"/>
  <c r="C5047" i="8"/>
  <c r="C5048" i="8"/>
  <c r="C5049" i="8"/>
  <c r="C5050" i="8"/>
  <c r="C5051" i="8"/>
  <c r="C5052" i="8"/>
  <c r="C5053" i="8"/>
  <c r="C5054" i="8"/>
  <c r="C5055" i="8"/>
  <c r="C5056" i="8"/>
  <c r="C5057" i="8"/>
  <c r="C5058" i="8"/>
  <c r="C5059" i="8"/>
  <c r="C5060" i="8"/>
  <c r="C5061" i="8"/>
  <c r="C5062" i="8"/>
  <c r="C5063" i="8"/>
  <c r="C5064" i="8"/>
  <c r="C5065" i="8"/>
  <c r="C5066" i="8"/>
  <c r="C5067" i="8"/>
  <c r="C5068" i="8"/>
  <c r="C5069" i="8"/>
  <c r="C5070" i="8"/>
  <c r="C5071" i="8"/>
  <c r="C5072" i="8"/>
  <c r="C5073" i="8"/>
  <c r="C5074" i="8"/>
  <c r="C5075" i="8"/>
  <c r="C5076" i="8"/>
  <c r="C5077" i="8"/>
  <c r="C5078" i="8"/>
  <c r="C5079" i="8"/>
  <c r="C5080" i="8"/>
  <c r="C5081" i="8"/>
  <c r="C5082" i="8"/>
  <c r="C5083" i="8"/>
  <c r="C5084" i="8"/>
  <c r="C5085" i="8"/>
  <c r="C5086" i="8"/>
  <c r="C5087" i="8"/>
  <c r="C5088" i="8"/>
  <c r="C5089" i="8"/>
  <c r="C5090" i="8"/>
  <c r="C5091" i="8"/>
  <c r="C5092" i="8"/>
  <c r="C5093" i="8"/>
  <c r="C5094" i="8"/>
  <c r="C5095" i="8"/>
  <c r="C5096" i="8"/>
  <c r="C5097" i="8"/>
  <c r="C5098" i="8"/>
  <c r="C5099" i="8"/>
  <c r="C5100" i="8"/>
  <c r="C5101" i="8"/>
  <c r="C5102" i="8"/>
  <c r="C5103" i="8"/>
  <c r="C5104" i="8"/>
  <c r="C5105" i="8"/>
  <c r="C5106" i="8"/>
  <c r="C5107" i="8"/>
  <c r="C5108" i="8"/>
  <c r="C5109" i="8"/>
  <c r="C5110" i="8"/>
  <c r="C5111" i="8"/>
  <c r="C5112" i="8"/>
  <c r="C5113" i="8"/>
  <c r="C5114" i="8"/>
  <c r="C5115" i="8"/>
  <c r="C5116" i="8"/>
  <c r="C5117" i="8"/>
  <c r="C5118" i="8"/>
  <c r="C5119" i="8"/>
  <c r="C5120" i="8"/>
  <c r="C5121" i="8"/>
  <c r="C5122" i="8"/>
  <c r="C5123" i="8"/>
  <c r="C5124" i="8"/>
  <c r="C5125" i="8"/>
  <c r="C5126" i="8"/>
  <c r="C5127" i="8"/>
  <c r="C5128" i="8"/>
  <c r="C5129" i="8"/>
  <c r="C5130" i="8"/>
  <c r="C5131" i="8"/>
  <c r="C5132" i="8"/>
  <c r="C5133" i="8"/>
  <c r="C5134" i="8"/>
  <c r="C5135" i="8"/>
  <c r="C5136" i="8"/>
  <c r="C5137" i="8"/>
  <c r="C5138" i="8"/>
  <c r="C5139" i="8"/>
  <c r="C5140" i="8"/>
  <c r="C5141" i="8"/>
  <c r="C5142" i="8"/>
  <c r="C5143" i="8"/>
  <c r="C5144" i="8"/>
  <c r="E5144" i="8" s="1"/>
  <c r="C5145" i="8"/>
  <c r="C5146" i="8"/>
  <c r="E5146" i="8" s="1"/>
  <c r="C5147" i="8"/>
  <c r="E5147" i="8" s="1"/>
  <c r="C5148" i="8"/>
  <c r="C5149" i="8"/>
  <c r="C5150" i="8"/>
  <c r="C5151" i="8"/>
  <c r="C5152" i="8"/>
  <c r="C5153" i="8"/>
  <c r="C5154" i="8"/>
  <c r="C5155" i="8"/>
  <c r="C5156" i="8"/>
  <c r="C5157" i="8"/>
  <c r="E5157" i="8" s="1"/>
  <c r="C5158" i="8"/>
  <c r="C5159" i="8"/>
  <c r="C5160" i="8"/>
  <c r="E5160" i="8" s="1"/>
  <c r="C5161" i="8"/>
  <c r="C5162" i="8"/>
  <c r="C5163" i="8"/>
  <c r="C5164" i="8"/>
  <c r="E5164" i="8" s="1"/>
  <c r="C5165" i="8"/>
  <c r="E5165" i="8" s="1"/>
  <c r="C5166" i="8"/>
  <c r="C5167" i="8"/>
  <c r="C5168" i="8"/>
  <c r="E5168" i="8" s="1"/>
  <c r="C5169" i="8"/>
  <c r="C5170" i="8"/>
  <c r="C5171" i="8"/>
  <c r="C5172" i="8"/>
  <c r="C5173" i="8"/>
  <c r="C5174" i="8"/>
  <c r="C5175" i="8"/>
  <c r="C5176" i="8"/>
  <c r="E5176" i="8" s="1"/>
  <c r="C5177" i="8"/>
  <c r="E5177" i="8" s="1"/>
  <c r="C5178" i="8"/>
  <c r="C5179" i="8"/>
  <c r="C5180" i="8"/>
  <c r="C5181" i="8"/>
  <c r="E5181" i="8" s="1"/>
  <c r="C5182" i="8"/>
  <c r="C5183" i="8"/>
  <c r="C5184" i="8"/>
  <c r="C5185" i="8"/>
  <c r="E5185" i="8" s="1"/>
  <c r="C5186" i="8"/>
  <c r="C5187" i="8"/>
  <c r="C5188" i="8"/>
  <c r="C5189" i="8"/>
  <c r="C5190" i="8"/>
  <c r="C5191" i="8"/>
  <c r="C5192" i="8"/>
  <c r="C5193" i="8"/>
  <c r="C5194" i="8"/>
  <c r="C5195" i="8"/>
  <c r="C5196" i="8"/>
  <c r="C5197" i="8"/>
  <c r="C5198" i="8"/>
  <c r="C5199" i="8"/>
  <c r="C5200" i="8"/>
  <c r="E5200" i="8" s="1"/>
  <c r="C5201" i="8"/>
  <c r="C5202" i="8"/>
  <c r="C5203" i="8"/>
  <c r="C5204" i="8"/>
  <c r="C5205" i="8"/>
  <c r="E5205" i="8" s="1"/>
  <c r="C5206" i="8"/>
  <c r="C5207" i="8"/>
  <c r="C5208" i="8"/>
  <c r="C5209" i="8"/>
  <c r="C5210" i="8"/>
  <c r="C5211" i="8"/>
  <c r="E5211" i="8" s="1"/>
  <c r="C5212" i="8"/>
  <c r="C5213" i="8"/>
  <c r="C5214" i="8"/>
  <c r="C5215" i="8"/>
  <c r="C5216" i="8"/>
  <c r="C5217" i="8"/>
  <c r="E5217" i="8" s="1"/>
  <c r="C5218" i="8"/>
  <c r="C5219" i="8"/>
  <c r="C5220" i="8"/>
  <c r="C5221" i="8"/>
  <c r="C5222" i="8"/>
  <c r="C5223" i="8"/>
  <c r="C5224" i="8"/>
  <c r="C5225" i="8"/>
  <c r="C5226" i="8"/>
  <c r="C5227" i="8"/>
  <c r="C5228" i="8"/>
  <c r="C5229" i="8"/>
  <c r="C5230" i="8"/>
  <c r="C5231" i="8"/>
  <c r="C5232" i="8"/>
  <c r="E5232" i="8" s="1"/>
  <c r="C5233" i="8"/>
  <c r="C5234" i="8"/>
  <c r="E5234" i="8" s="1"/>
  <c r="C5235" i="8"/>
  <c r="C5236" i="8"/>
  <c r="C5237" i="8"/>
  <c r="C5238" i="8"/>
  <c r="C5239" i="8"/>
  <c r="C5240" i="8"/>
  <c r="C5241" i="8"/>
  <c r="C5242" i="8"/>
  <c r="C5243" i="8"/>
  <c r="C5244" i="8"/>
  <c r="E5244" i="8" s="1"/>
  <c r="C5245" i="8"/>
  <c r="C5246" i="8"/>
  <c r="C5247" i="8"/>
  <c r="C5248" i="8"/>
  <c r="C5249" i="8"/>
  <c r="E5249" i="8" s="1"/>
  <c r="C5250" i="8"/>
  <c r="E5250" i="8" s="1"/>
  <c r="C5251" i="8"/>
  <c r="E5251" i="8" s="1"/>
  <c r="C5252" i="8"/>
  <c r="C5253" i="8"/>
  <c r="C5254" i="8"/>
  <c r="C5255" i="8"/>
  <c r="C5256" i="8"/>
  <c r="C5257" i="8"/>
  <c r="C5258" i="8"/>
  <c r="C5259" i="8"/>
  <c r="C5260" i="8"/>
  <c r="C5261" i="8"/>
  <c r="E5261" i="8" s="1"/>
  <c r="C5262" i="8"/>
  <c r="C5263" i="8"/>
  <c r="C5264" i="8"/>
  <c r="E5264" i="8" s="1"/>
  <c r="C5265" i="8"/>
  <c r="C5266" i="8"/>
  <c r="C5267" i="8"/>
  <c r="C5268" i="8"/>
  <c r="C5269" i="8"/>
  <c r="E5269" i="8" s="1"/>
  <c r="C5270" i="8"/>
  <c r="C5271" i="8"/>
  <c r="C5272" i="8"/>
  <c r="C5273" i="8"/>
  <c r="C5274" i="8"/>
  <c r="C5275" i="8"/>
  <c r="C5276" i="8"/>
  <c r="C5277" i="8"/>
  <c r="C5278" i="8"/>
  <c r="C5279" i="8"/>
  <c r="C5280" i="8"/>
  <c r="C5281" i="8"/>
  <c r="C5282" i="8"/>
  <c r="C5283" i="8"/>
  <c r="C5284" i="8"/>
  <c r="C5285" i="8"/>
  <c r="E5285" i="8" s="1"/>
  <c r="C5286" i="8"/>
  <c r="C5287" i="8"/>
  <c r="C5288" i="8"/>
  <c r="C5289" i="8"/>
  <c r="E5289" i="8" s="1"/>
  <c r="C5290" i="8"/>
  <c r="C5291" i="8"/>
  <c r="C5292" i="8"/>
  <c r="C5293" i="8"/>
  <c r="C5294" i="8"/>
  <c r="C5295" i="8"/>
  <c r="C5296" i="8"/>
  <c r="C5297" i="8"/>
  <c r="C5298" i="8"/>
  <c r="C5299" i="8"/>
  <c r="E5299" i="8" s="1"/>
  <c r="C5300" i="8"/>
  <c r="C5301" i="8"/>
  <c r="C5302" i="8"/>
  <c r="C5303" i="8"/>
  <c r="C5304" i="8"/>
  <c r="C5305" i="8"/>
  <c r="E5305" i="8" s="1"/>
  <c r="C5306" i="8"/>
  <c r="C5307" i="8"/>
  <c r="C5308" i="8"/>
  <c r="C5309" i="8"/>
  <c r="C5310" i="8"/>
  <c r="C5311" i="8"/>
  <c r="C5312" i="8"/>
  <c r="C5313" i="8"/>
  <c r="E5313" i="8" s="1"/>
  <c r="C5314" i="8"/>
  <c r="C5315" i="8"/>
  <c r="C5316" i="8"/>
  <c r="C5317" i="8"/>
  <c r="C5318" i="8"/>
  <c r="C5319" i="8"/>
  <c r="C5320" i="8"/>
  <c r="E5320" i="8" s="1"/>
  <c r="C5321" i="8"/>
  <c r="C5322" i="8"/>
  <c r="C5323" i="8"/>
  <c r="C5324" i="8"/>
  <c r="C5325" i="8"/>
  <c r="C5326" i="8"/>
  <c r="C5327" i="8"/>
  <c r="C5328" i="8"/>
  <c r="C5329" i="8"/>
  <c r="C5330" i="8"/>
  <c r="C5331" i="8"/>
  <c r="C5332" i="8"/>
  <c r="E5332" i="8" s="1"/>
  <c r="C5333" i="8"/>
  <c r="C5334" i="8"/>
  <c r="C5335" i="8"/>
  <c r="C5336" i="8"/>
  <c r="E5336" i="8" s="1"/>
  <c r="C5337" i="8"/>
  <c r="C5338" i="8"/>
  <c r="C5339" i="8"/>
  <c r="C5340" i="8"/>
  <c r="C5341" i="8"/>
  <c r="C5342" i="8"/>
  <c r="C5343" i="8"/>
  <c r="C5344" i="8"/>
  <c r="C5345" i="8"/>
  <c r="C5346" i="8"/>
  <c r="C5347" i="8"/>
  <c r="E5347" i="8" s="1"/>
  <c r="C5348" i="8"/>
  <c r="C5349" i="8"/>
  <c r="C5350" i="8"/>
  <c r="C5351" i="8"/>
  <c r="C5352" i="8"/>
  <c r="E5352" i="8" s="1"/>
  <c r="C5353" i="8"/>
  <c r="C5354" i="8"/>
  <c r="C5355" i="8"/>
  <c r="C5356" i="8"/>
  <c r="C5357" i="8"/>
  <c r="C5358" i="8"/>
  <c r="C5359" i="8"/>
  <c r="C5360" i="8"/>
  <c r="C5361" i="8"/>
  <c r="C5362" i="8"/>
  <c r="C5363" i="8"/>
  <c r="C5364" i="8"/>
  <c r="E5364" i="8" s="1"/>
  <c r="C5365" i="8"/>
  <c r="C5366" i="8"/>
  <c r="C5367" i="8"/>
  <c r="C5368" i="8"/>
  <c r="E5368" i="8" s="1"/>
  <c r="C5369" i="8"/>
  <c r="C5370" i="8"/>
  <c r="C5371" i="8"/>
  <c r="C5372" i="8"/>
  <c r="C5373" i="8"/>
  <c r="C5374" i="8"/>
  <c r="C5375" i="8"/>
  <c r="C5376" i="8"/>
  <c r="C5377" i="8"/>
  <c r="C5378" i="8"/>
  <c r="C5379" i="8"/>
  <c r="C5380" i="8"/>
  <c r="C5381" i="8"/>
  <c r="C5382" i="8"/>
  <c r="C5383" i="8"/>
  <c r="C5384" i="8"/>
  <c r="E5384" i="8" s="1"/>
  <c r="C5385" i="8"/>
  <c r="C5386" i="8"/>
  <c r="C5387" i="8"/>
  <c r="C5388" i="8"/>
  <c r="C5389" i="8"/>
  <c r="C5390" i="8"/>
  <c r="C5391" i="8"/>
  <c r="C5392" i="8"/>
  <c r="C5393" i="8"/>
  <c r="C5394" i="8"/>
  <c r="E5394" i="8" s="1"/>
  <c r="C5395" i="8"/>
  <c r="C5396" i="8"/>
  <c r="C5397" i="8"/>
  <c r="C5398" i="8"/>
  <c r="C5399" i="8"/>
  <c r="C5400" i="8"/>
  <c r="E5400" i="8" s="1"/>
  <c r="C5401" i="8"/>
  <c r="C5402" i="8"/>
  <c r="C5403" i="8"/>
  <c r="C5404" i="8"/>
  <c r="C5405" i="8"/>
  <c r="C5406" i="8"/>
  <c r="C5407" i="8"/>
  <c r="C5408" i="8"/>
  <c r="C5409" i="8"/>
  <c r="C5410" i="8"/>
  <c r="C5411" i="8"/>
  <c r="C5412" i="8"/>
  <c r="E5412" i="8" s="1"/>
  <c r="C5413" i="8"/>
  <c r="C5414" i="8"/>
  <c r="C5415" i="8"/>
  <c r="C5416" i="8"/>
  <c r="E5416" i="8" s="1"/>
  <c r="C5417" i="8"/>
  <c r="C5418" i="8"/>
  <c r="C5419" i="8"/>
  <c r="C5420" i="8"/>
  <c r="C5421" i="8"/>
  <c r="C5422" i="8"/>
  <c r="C5423" i="8"/>
  <c r="C5424" i="8"/>
  <c r="E5424" i="8" s="1"/>
  <c r="C5425" i="8"/>
  <c r="C5426" i="8"/>
  <c r="E5426" i="8" s="1"/>
  <c r="C5427" i="8"/>
  <c r="E5427" i="8" s="1"/>
  <c r="C5428" i="8"/>
  <c r="C5429" i="8"/>
  <c r="C5430" i="8"/>
  <c r="C5431" i="8"/>
  <c r="C5432" i="8"/>
  <c r="E5432" i="8" s="1"/>
  <c r="C5433" i="8"/>
  <c r="C5434" i="8"/>
  <c r="C5435" i="8"/>
  <c r="E5435" i="8" s="1"/>
  <c r="C5436" i="8"/>
  <c r="C5437" i="8"/>
  <c r="C5438" i="8"/>
  <c r="C5439" i="8"/>
  <c r="C5440" i="8"/>
  <c r="C5441" i="8"/>
  <c r="C5442" i="8"/>
  <c r="C5443" i="8"/>
  <c r="E5443" i="8" s="1"/>
  <c r="C5444" i="8"/>
  <c r="C5445" i="8"/>
  <c r="C5446" i="8"/>
  <c r="C5447" i="8"/>
  <c r="C5448" i="8"/>
  <c r="C5449" i="8"/>
  <c r="E5449" i="8" s="1"/>
  <c r="C5450" i="8"/>
  <c r="C5451" i="8"/>
  <c r="C5452" i="8"/>
  <c r="E5452" i="8" s="1"/>
  <c r="C5453" i="8"/>
  <c r="C5454" i="8"/>
  <c r="C5455" i="8"/>
  <c r="C5456" i="8"/>
  <c r="C5457" i="8"/>
  <c r="E5457" i="8" s="1"/>
  <c r="C5458" i="8"/>
  <c r="C5459" i="8"/>
  <c r="C5460" i="8"/>
  <c r="C5461" i="8"/>
  <c r="C5462" i="8"/>
  <c r="C5463" i="8"/>
  <c r="C5464" i="8"/>
  <c r="C5465" i="8"/>
  <c r="C5466" i="8"/>
  <c r="C5467" i="8"/>
  <c r="C5468" i="8"/>
  <c r="C5469" i="8"/>
  <c r="C5470" i="8"/>
  <c r="C5471" i="8"/>
  <c r="E5471" i="8" s="1"/>
  <c r="C5472" i="8"/>
  <c r="C5473" i="8"/>
  <c r="C5474" i="8"/>
  <c r="C5475" i="8"/>
  <c r="E5475" i="8" s="1"/>
  <c r="C5476" i="8"/>
  <c r="C5477" i="8"/>
  <c r="C5478" i="8"/>
  <c r="E5478" i="8" s="1"/>
  <c r="C5479" i="8"/>
  <c r="C5480" i="8"/>
  <c r="C5481" i="8"/>
  <c r="C5482" i="8"/>
  <c r="C5483" i="8"/>
  <c r="C5484" i="8"/>
  <c r="C5485" i="8"/>
  <c r="C5486" i="8"/>
  <c r="C5487" i="8"/>
  <c r="C5488" i="8"/>
  <c r="C5489" i="8"/>
  <c r="C5490" i="8"/>
  <c r="C5491" i="8"/>
  <c r="C5492" i="8"/>
  <c r="C5493" i="8"/>
  <c r="C5494" i="8"/>
  <c r="C5495" i="8"/>
  <c r="C5496" i="8"/>
  <c r="C5497" i="8"/>
  <c r="C5498" i="8"/>
  <c r="C5499" i="8"/>
  <c r="C5500" i="8"/>
  <c r="C5501" i="8"/>
  <c r="C5502" i="8"/>
  <c r="C5503" i="8"/>
  <c r="C5504" i="8"/>
  <c r="C5505" i="8"/>
  <c r="C5506" i="8"/>
  <c r="C5507" i="8"/>
  <c r="C5508" i="8"/>
  <c r="C5509" i="8"/>
  <c r="C5510" i="8"/>
  <c r="C5511" i="8"/>
  <c r="C5512" i="8"/>
  <c r="E5512" i="8" s="1"/>
  <c r="C5513" i="8"/>
  <c r="C5514" i="8"/>
  <c r="C5515" i="8"/>
  <c r="C5516" i="8"/>
  <c r="C5517" i="8"/>
  <c r="C5518" i="8"/>
  <c r="C5519" i="8"/>
  <c r="C5520" i="8"/>
  <c r="C5521" i="8"/>
  <c r="C5522" i="8"/>
  <c r="C5523" i="8"/>
  <c r="C5524" i="8"/>
  <c r="C5525" i="8"/>
  <c r="C5526" i="8"/>
  <c r="C5527" i="8"/>
  <c r="C5528" i="8"/>
  <c r="E5528" i="8" s="1"/>
  <c r="C5529" i="8"/>
  <c r="C5530" i="8"/>
  <c r="C5531" i="8"/>
  <c r="C5532" i="8"/>
  <c r="C5533" i="8"/>
  <c r="C5534" i="8"/>
  <c r="C5535" i="8"/>
  <c r="C5536" i="8"/>
  <c r="C5537" i="8"/>
  <c r="C5538" i="8"/>
  <c r="C5539" i="8"/>
  <c r="C5540" i="8"/>
  <c r="C5541" i="8"/>
  <c r="C5542" i="8"/>
  <c r="C5543" i="8"/>
  <c r="C5544" i="8"/>
  <c r="E5544" i="8" s="1"/>
  <c r="C5545" i="8"/>
  <c r="C5546" i="8"/>
  <c r="C5547" i="8"/>
  <c r="C5548" i="8"/>
  <c r="C5549" i="8"/>
  <c r="C5550" i="8"/>
  <c r="C5551" i="8"/>
  <c r="C5552" i="8"/>
  <c r="C5553" i="8"/>
  <c r="C5554" i="8"/>
  <c r="C5555" i="8"/>
  <c r="C5556" i="8"/>
  <c r="C5557" i="8"/>
  <c r="C5558" i="8"/>
  <c r="C5559" i="8"/>
  <c r="C5560" i="8"/>
  <c r="E5560" i="8" s="1"/>
  <c r="C5561" i="8"/>
  <c r="C5562" i="8"/>
  <c r="C5563" i="8"/>
  <c r="C5564" i="8"/>
  <c r="C5565" i="8"/>
  <c r="C5566" i="8"/>
  <c r="C5567" i="8"/>
  <c r="C5568" i="8"/>
  <c r="C5569" i="8"/>
  <c r="C5570" i="8"/>
  <c r="C5571" i="8"/>
  <c r="C5572" i="8"/>
  <c r="E5572" i="8" s="1"/>
  <c r="C5573" i="8"/>
  <c r="C5574" i="8"/>
  <c r="C5575" i="8"/>
  <c r="C5576" i="8"/>
  <c r="C5577" i="8"/>
  <c r="C5578" i="8"/>
  <c r="C5579" i="8"/>
  <c r="C5580" i="8"/>
  <c r="C5581" i="8"/>
  <c r="C5582" i="8"/>
  <c r="C5583" i="8"/>
  <c r="C5584" i="8"/>
  <c r="C5585" i="8"/>
  <c r="E5585" i="8" s="1"/>
  <c r="C5586" i="8"/>
  <c r="C5587" i="8"/>
  <c r="C5588" i="8"/>
  <c r="E5588" i="8" s="1"/>
  <c r="C5589" i="8"/>
  <c r="C5590" i="8"/>
  <c r="C5591" i="8"/>
  <c r="C5592" i="8"/>
  <c r="E5592" i="8" s="1"/>
  <c r="C5593" i="8"/>
  <c r="C5594" i="8"/>
  <c r="C5595" i="8"/>
  <c r="C5596" i="8"/>
  <c r="C5597" i="8"/>
  <c r="C5598" i="8"/>
  <c r="E5598" i="8" s="1"/>
  <c r="C5599" i="8"/>
  <c r="C5600" i="8"/>
  <c r="E5600" i="8" s="1"/>
  <c r="C5601" i="8"/>
  <c r="C5602" i="8"/>
  <c r="C5603" i="8"/>
  <c r="C5604" i="8"/>
  <c r="C5605" i="8"/>
  <c r="C5606" i="8"/>
  <c r="C5607" i="8"/>
  <c r="C5608" i="8"/>
  <c r="C5609" i="8"/>
  <c r="C5610" i="8"/>
  <c r="C5611" i="8"/>
  <c r="C5612" i="8"/>
  <c r="C5613" i="8"/>
  <c r="C5614" i="8"/>
  <c r="C5615" i="8"/>
  <c r="C5616" i="8"/>
  <c r="C5617" i="8"/>
  <c r="C5618" i="8"/>
  <c r="C5619" i="8"/>
  <c r="C5620" i="8"/>
  <c r="C5621" i="8"/>
  <c r="C5622" i="8"/>
  <c r="C5623" i="8"/>
  <c r="C5624" i="8"/>
  <c r="C5625" i="8"/>
  <c r="C5626" i="8"/>
  <c r="C5627" i="8"/>
  <c r="E5627" i="8" s="1"/>
  <c r="C5628" i="8"/>
  <c r="C5629" i="8"/>
  <c r="C5630" i="8"/>
  <c r="C5631" i="8"/>
  <c r="C5632" i="8"/>
  <c r="C5633" i="8"/>
  <c r="C5634" i="8"/>
  <c r="C5635" i="8"/>
  <c r="C5636" i="8"/>
  <c r="E5636" i="8" s="1"/>
  <c r="C5637" i="8"/>
  <c r="C5638" i="8"/>
  <c r="C5639" i="8"/>
  <c r="C5640" i="8"/>
  <c r="C5641" i="8"/>
  <c r="C5642" i="8"/>
  <c r="C5643" i="8"/>
  <c r="E5643" i="8" s="1"/>
  <c r="C5644" i="8"/>
  <c r="C5645" i="8"/>
  <c r="C5646" i="8"/>
  <c r="E5646" i="8" s="1"/>
  <c r="C5647" i="8"/>
  <c r="C5648" i="8"/>
  <c r="C5649" i="8"/>
  <c r="C5650" i="8"/>
  <c r="C5651" i="8"/>
  <c r="C5652" i="8"/>
  <c r="C5653" i="8"/>
  <c r="C5654" i="8"/>
  <c r="C5655" i="8"/>
  <c r="C5656" i="8"/>
  <c r="C5657" i="8"/>
  <c r="C5658" i="8"/>
  <c r="C5659" i="8"/>
  <c r="C5660" i="8"/>
  <c r="E5660" i="8" s="1"/>
  <c r="C5661" i="8"/>
  <c r="C5662" i="8"/>
  <c r="C5663" i="8"/>
  <c r="C5664" i="8"/>
  <c r="C5665" i="8"/>
  <c r="E5665" i="8" s="1"/>
  <c r="C5666" i="8"/>
  <c r="C5667" i="8"/>
  <c r="C5668" i="8"/>
  <c r="E5668" i="8" s="1"/>
  <c r="C5669" i="8"/>
  <c r="C5670" i="8"/>
  <c r="E5670" i="8" s="1"/>
  <c r="C5671" i="8"/>
  <c r="C5672" i="8"/>
  <c r="C5673" i="8"/>
  <c r="C5674" i="8"/>
  <c r="C5675" i="8"/>
  <c r="C5676" i="8"/>
  <c r="E5676" i="8" s="1"/>
  <c r="C5677" i="8"/>
  <c r="C5678" i="8"/>
  <c r="C5679" i="8"/>
  <c r="C5680" i="8"/>
  <c r="C5681" i="8"/>
  <c r="C5682" i="8"/>
  <c r="C5683" i="8"/>
  <c r="C5684" i="8"/>
  <c r="E5684" i="8" s="1"/>
  <c r="C5685" i="8"/>
  <c r="C5686" i="8"/>
  <c r="C5687" i="8"/>
  <c r="C5688" i="8"/>
  <c r="C5689" i="8"/>
  <c r="C5690" i="8"/>
  <c r="C5691" i="8"/>
  <c r="C5692" i="8"/>
  <c r="E5692" i="8" s="1"/>
  <c r="C5693" i="8"/>
  <c r="C5694" i="8"/>
  <c r="C5695" i="8"/>
  <c r="C5696" i="8"/>
  <c r="C5697" i="8"/>
  <c r="C5698" i="8"/>
  <c r="C5699" i="8"/>
  <c r="C5700" i="8"/>
  <c r="C5701" i="8"/>
  <c r="C5702" i="8"/>
  <c r="E5702" i="8" s="1"/>
  <c r="C5703" i="8"/>
  <c r="C5704" i="8"/>
  <c r="E5704" i="8" s="1"/>
  <c r="C5705" i="8"/>
  <c r="C5706" i="8"/>
  <c r="C5707" i="8"/>
  <c r="C5708" i="8"/>
  <c r="E5708" i="8" s="1"/>
  <c r="C5709" i="8"/>
  <c r="C5710" i="8"/>
  <c r="C5711" i="8"/>
  <c r="C5712" i="8"/>
  <c r="C5713" i="8"/>
  <c r="C5714" i="8"/>
  <c r="C5715" i="8"/>
  <c r="C5716" i="8"/>
  <c r="C5717" i="8"/>
  <c r="C5718" i="8"/>
  <c r="E5718" i="8" s="1"/>
  <c r="C5719" i="8"/>
  <c r="C5720" i="8"/>
  <c r="C5721" i="8"/>
  <c r="C5722" i="8"/>
  <c r="C5723" i="8"/>
  <c r="C5724" i="8"/>
  <c r="E5724" i="8" s="1"/>
  <c r="C5725" i="8"/>
  <c r="C5726" i="8"/>
  <c r="E5726" i="8" s="1"/>
  <c r="C5727" i="8"/>
  <c r="C5728" i="8"/>
  <c r="E5728" i="8" s="1"/>
  <c r="C5729" i="8"/>
  <c r="E5729" i="8" s="1"/>
  <c r="C5730" i="8"/>
  <c r="C5731" i="8"/>
  <c r="C5732" i="8"/>
  <c r="E5732" i="8" s="1"/>
  <c r="C5733" i="8"/>
  <c r="C5734" i="8"/>
  <c r="E5734" i="8" s="1"/>
  <c r="C5735" i="8"/>
  <c r="C5736" i="8"/>
  <c r="C5737" i="8"/>
  <c r="C5738" i="8"/>
  <c r="C5739" i="8"/>
  <c r="C5740" i="8"/>
  <c r="E5740" i="8" s="1"/>
  <c r="C5741" i="8"/>
  <c r="C5742" i="8"/>
  <c r="C5743" i="8"/>
  <c r="C5744" i="8"/>
  <c r="E5744" i="8" s="1"/>
  <c r="C5745" i="8"/>
  <c r="C5746" i="8"/>
  <c r="C5747" i="8"/>
  <c r="C5748" i="8"/>
  <c r="E5748" i="8" s="1"/>
  <c r="C5749" i="8"/>
  <c r="C5750" i="8"/>
  <c r="C5751" i="8"/>
  <c r="C5752" i="8"/>
  <c r="C5753" i="8"/>
  <c r="E5753" i="8" s="1"/>
  <c r="C5754" i="8"/>
  <c r="C5755" i="8"/>
  <c r="C5756" i="8"/>
  <c r="E5756" i="8" s="1"/>
  <c r="C5757" i="8"/>
  <c r="C5758" i="8"/>
  <c r="E5758" i="8" s="1"/>
  <c r="C5759" i="8"/>
  <c r="C5760" i="8"/>
  <c r="E5760" i="8" s="1"/>
  <c r="C5761" i="8"/>
  <c r="C5762" i="8"/>
  <c r="C5763" i="8"/>
  <c r="E5763" i="8" s="1"/>
  <c r="C5764" i="8"/>
  <c r="C5765" i="8"/>
  <c r="C5766" i="8"/>
  <c r="C5767" i="8"/>
  <c r="C5768" i="8"/>
  <c r="C5769" i="8"/>
  <c r="C5770" i="8"/>
  <c r="C5771" i="8"/>
  <c r="C5772" i="8"/>
  <c r="E5772" i="8" s="1"/>
  <c r="C5773" i="8"/>
  <c r="C5774" i="8"/>
  <c r="C5775" i="8"/>
  <c r="C5776" i="8"/>
  <c r="C5777" i="8"/>
  <c r="E5777" i="8" s="1"/>
  <c r="C5778" i="8"/>
  <c r="C5779" i="8"/>
  <c r="E5779" i="8" s="1"/>
  <c r="C5780" i="8"/>
  <c r="E5780" i="8" s="1"/>
  <c r="C5781" i="8"/>
  <c r="C5782" i="8"/>
  <c r="E5782" i="8" s="1"/>
  <c r="C5783" i="8"/>
  <c r="C5784" i="8"/>
  <c r="E5784" i="8" s="1"/>
  <c r="C5785" i="8"/>
  <c r="C5786" i="8"/>
  <c r="C5787" i="8"/>
  <c r="E5787" i="8" s="1"/>
  <c r="C5788" i="8"/>
  <c r="C5789" i="8"/>
  <c r="C5790" i="8"/>
  <c r="E5790" i="8" s="1"/>
  <c r="C5791" i="8"/>
  <c r="C5792" i="8"/>
  <c r="C5793" i="8"/>
  <c r="C5794" i="8"/>
  <c r="E5794" i="8" s="1"/>
  <c r="C5795" i="8"/>
  <c r="C5796" i="8"/>
  <c r="C5797" i="8"/>
  <c r="C5798" i="8"/>
  <c r="C5799" i="8"/>
  <c r="E5799" i="8" s="1"/>
  <c r="C5800" i="8"/>
  <c r="C5801" i="8"/>
  <c r="C5802" i="8"/>
  <c r="C5803" i="8"/>
  <c r="E5803" i="8" s="1"/>
  <c r="C5804" i="8"/>
  <c r="C5805" i="8"/>
  <c r="C5806" i="8"/>
  <c r="E5806" i="8" s="1"/>
  <c r="C5807" i="8"/>
  <c r="C5808" i="8"/>
  <c r="E5808" i="8" s="1"/>
  <c r="C5809" i="8"/>
  <c r="E5809" i="8" s="1"/>
  <c r="C5810" i="8"/>
  <c r="C5811" i="8"/>
  <c r="C5812" i="8"/>
  <c r="C5813" i="8"/>
  <c r="C5814" i="8"/>
  <c r="E5814" i="8" s="1"/>
  <c r="C5815" i="8"/>
  <c r="C5816" i="8"/>
  <c r="E5816" i="8" s="1"/>
  <c r="C5817" i="8"/>
  <c r="E5817" i="8" s="1"/>
  <c r="C5818" i="8"/>
  <c r="C5819" i="8"/>
  <c r="E5819" i="8" s="1"/>
  <c r="C5820" i="8"/>
  <c r="C5821" i="8"/>
  <c r="C5822" i="8"/>
  <c r="E5822" i="8" s="1"/>
  <c r="C5823" i="8"/>
  <c r="C5824" i="8"/>
  <c r="C5825" i="8"/>
  <c r="C5826" i="8"/>
  <c r="E5826" i="8" s="1"/>
  <c r="C5827" i="8"/>
  <c r="C5828" i="8"/>
  <c r="C5829" i="8"/>
  <c r="C5830" i="8"/>
  <c r="C5831" i="8"/>
  <c r="C5832" i="8"/>
  <c r="C5833" i="8"/>
  <c r="E5833" i="8" s="1"/>
  <c r="C5834" i="8"/>
  <c r="C5835" i="8"/>
  <c r="C5836" i="8"/>
  <c r="C5837" i="8"/>
  <c r="C5838" i="8"/>
  <c r="C5839" i="8"/>
  <c r="C5840" i="8"/>
  <c r="C5841" i="8"/>
  <c r="C5842" i="8"/>
  <c r="C5843" i="8"/>
  <c r="C5844" i="8"/>
  <c r="C5845" i="8"/>
  <c r="C5846" i="8"/>
  <c r="C5847" i="8"/>
  <c r="C5848" i="8"/>
  <c r="C5849" i="8"/>
  <c r="E5849" i="8" s="1"/>
  <c r="C5850" i="8"/>
  <c r="C5851" i="8"/>
  <c r="C5852" i="8"/>
  <c r="C5853" i="8"/>
  <c r="C5854" i="8"/>
  <c r="C5855" i="8"/>
  <c r="C5856" i="8"/>
  <c r="C5857" i="8"/>
  <c r="E5857" i="8" s="1"/>
  <c r="C5858" i="8"/>
  <c r="E5858" i="8" s="1"/>
  <c r="C5859" i="8"/>
  <c r="C5860" i="8"/>
  <c r="C5861" i="8"/>
  <c r="C5862" i="8"/>
  <c r="E5862" i="8" s="1"/>
  <c r="C5863" i="8"/>
  <c r="C5864" i="8"/>
  <c r="C5865" i="8"/>
  <c r="C5866" i="8"/>
  <c r="C5867" i="8"/>
  <c r="C5868" i="8"/>
  <c r="E5868" i="8" s="1"/>
  <c r="C5869" i="8"/>
  <c r="C5870" i="8"/>
  <c r="E5870" i="8" s="1"/>
  <c r="C5871" i="8"/>
  <c r="C5872" i="8"/>
  <c r="C5873" i="8"/>
  <c r="C5874" i="8"/>
  <c r="C5875" i="8"/>
  <c r="C5876" i="8"/>
  <c r="C5877" i="8"/>
  <c r="C5878" i="8"/>
  <c r="E5878" i="8" s="1"/>
  <c r="C5879" i="8"/>
  <c r="C5880" i="8"/>
  <c r="C5881" i="8"/>
  <c r="C5882" i="8"/>
  <c r="C5883" i="8"/>
  <c r="C5884" i="8"/>
  <c r="C5885" i="8"/>
  <c r="C5886" i="8"/>
  <c r="C5887" i="8"/>
  <c r="C5888" i="8"/>
  <c r="C5889" i="8"/>
  <c r="C5890" i="8"/>
  <c r="C5891" i="8"/>
  <c r="C5892" i="8"/>
  <c r="C5893" i="8"/>
  <c r="C5894" i="8"/>
  <c r="E5894" i="8" s="1"/>
  <c r="C5895" i="8"/>
  <c r="C5896" i="8"/>
  <c r="C5897" i="8"/>
  <c r="E5897" i="8" s="1"/>
  <c r="C5898" i="8"/>
  <c r="E5898" i="8" s="1"/>
  <c r="C5899" i="8"/>
  <c r="C5900" i="8"/>
  <c r="E5900" i="8" s="1"/>
  <c r="C5901" i="8"/>
  <c r="C5902" i="8"/>
  <c r="E5902" i="8" s="1"/>
  <c r="C5903" i="8"/>
  <c r="C5904" i="8"/>
  <c r="C5905" i="8"/>
  <c r="C5906" i="8"/>
  <c r="E5906" i="8" s="1"/>
  <c r="C5907" i="8"/>
  <c r="C5908" i="8"/>
  <c r="C5909" i="8"/>
  <c r="C5910" i="8"/>
  <c r="C5911" i="8"/>
  <c r="C5912" i="8"/>
  <c r="C5913" i="8"/>
  <c r="E5913" i="8" s="1"/>
  <c r="C5914" i="8"/>
  <c r="C5915" i="8"/>
  <c r="C5916" i="8"/>
  <c r="C5917" i="8"/>
  <c r="C5918" i="8"/>
  <c r="C5919" i="8"/>
  <c r="C5920" i="8"/>
  <c r="C5921" i="8"/>
  <c r="E5921" i="8" s="1"/>
  <c r="C5922" i="8"/>
  <c r="E5922" i="8" s="1"/>
  <c r="C5923" i="8"/>
  <c r="C5924" i="8"/>
  <c r="C5925" i="8"/>
  <c r="C5926" i="8"/>
  <c r="C5927" i="8"/>
  <c r="C5928" i="8"/>
  <c r="C5929" i="8"/>
  <c r="E5929" i="8" s="1"/>
  <c r="C5930" i="8"/>
  <c r="C5931" i="8"/>
  <c r="C5932" i="8"/>
  <c r="C5933" i="8"/>
  <c r="C5934" i="8"/>
  <c r="E5934" i="8" s="1"/>
  <c r="C5935" i="8"/>
  <c r="C5936" i="8"/>
  <c r="C5937" i="8"/>
  <c r="C5938" i="8"/>
  <c r="C5939" i="8"/>
  <c r="C5940" i="8"/>
  <c r="C5941" i="8"/>
  <c r="C5942" i="8"/>
  <c r="E5942" i="8" s="1"/>
  <c r="C5943" i="8"/>
  <c r="C5944" i="8"/>
  <c r="C5945" i="8"/>
  <c r="E5945" i="8" s="1"/>
  <c r="C5946" i="8"/>
  <c r="C5947" i="8"/>
  <c r="C5948" i="8"/>
  <c r="E5948" i="8" s="1"/>
  <c r="C5949" i="8"/>
  <c r="C5950" i="8"/>
  <c r="C5951" i="8"/>
  <c r="C5952" i="8"/>
  <c r="C5953" i="8"/>
  <c r="C5954" i="8"/>
  <c r="C5955" i="8"/>
  <c r="C5956" i="8"/>
  <c r="C5957" i="8"/>
  <c r="C5958" i="8"/>
  <c r="C5959" i="8"/>
  <c r="C5960" i="8"/>
  <c r="C5961" i="8"/>
  <c r="E5961" i="8" s="1"/>
  <c r="C5962" i="8"/>
  <c r="C5963" i="8"/>
  <c r="C5964" i="8"/>
  <c r="E5964" i="8" s="1"/>
  <c r="C5965" i="8"/>
  <c r="C5966" i="8"/>
  <c r="C5967" i="8"/>
  <c r="C5968" i="8"/>
  <c r="C5969" i="8"/>
  <c r="C5970" i="8"/>
  <c r="C5971" i="8"/>
  <c r="C5972" i="8"/>
  <c r="E5972" i="8" s="1"/>
  <c r="C5973" i="8"/>
  <c r="C5974" i="8"/>
  <c r="E5974" i="8" s="1"/>
  <c r="C5975" i="8"/>
  <c r="C5976" i="8"/>
  <c r="C5977" i="8"/>
  <c r="C5978" i="8"/>
  <c r="E5978" i="8" s="1"/>
  <c r="C5979" i="8"/>
  <c r="C5980" i="8"/>
  <c r="E5980" i="8" s="1"/>
  <c r="C5981" i="8"/>
  <c r="C5982" i="8"/>
  <c r="C5983" i="8"/>
  <c r="C5984" i="8"/>
  <c r="C5985" i="8"/>
  <c r="E5985" i="8" s="1"/>
  <c r="C5986" i="8"/>
  <c r="C5987" i="8"/>
  <c r="C5988" i="8"/>
  <c r="C5989" i="8"/>
  <c r="C5990" i="8"/>
  <c r="E5990" i="8" s="1"/>
  <c r="C5991" i="8"/>
  <c r="C5992" i="8"/>
  <c r="C5993" i="8"/>
  <c r="E5993" i="8" s="1"/>
  <c r="C5994" i="8"/>
  <c r="E5994" i="8" s="1"/>
  <c r="C5995" i="8"/>
  <c r="C5996" i="8"/>
  <c r="C5997" i="8"/>
  <c r="C5998" i="8"/>
  <c r="E5998" i="8" s="1"/>
  <c r="C5999" i="8"/>
  <c r="C6000" i="8"/>
  <c r="C6001" i="8"/>
  <c r="E6001" i="8" s="1"/>
  <c r="C6002" i="8"/>
  <c r="C6003" i="8"/>
  <c r="C6004" i="8"/>
  <c r="E6004" i="8" s="1"/>
  <c r="C6005" i="8"/>
  <c r="C6006" i="8"/>
  <c r="C6007" i="8"/>
  <c r="C6008" i="8"/>
  <c r="C6009" i="8"/>
  <c r="C6010" i="8"/>
  <c r="C6011" i="8"/>
  <c r="C6012" i="8"/>
  <c r="E6012" i="8" s="1"/>
  <c r="C6013" i="8"/>
  <c r="C6014" i="8"/>
  <c r="C6015" i="8"/>
  <c r="C6016" i="8"/>
  <c r="C6017" i="8"/>
  <c r="C6018" i="8"/>
  <c r="C6019" i="8"/>
  <c r="C6020" i="8"/>
  <c r="C6021" i="8"/>
  <c r="C6022" i="8"/>
  <c r="C6023" i="8"/>
  <c r="C6024" i="8"/>
  <c r="C6025" i="8"/>
  <c r="E6025" i="8" s="1"/>
  <c r="C6026" i="8"/>
  <c r="C6027" i="8"/>
  <c r="C6028" i="8"/>
  <c r="C6029" i="8"/>
  <c r="C6030" i="8"/>
  <c r="C6031" i="8"/>
  <c r="C6032" i="8"/>
  <c r="C6033" i="8"/>
  <c r="C6034" i="8"/>
  <c r="C6035" i="8"/>
  <c r="C6036" i="8"/>
  <c r="C6037" i="8"/>
  <c r="C6038" i="8"/>
  <c r="E6038" i="8" s="1"/>
  <c r="C6039" i="8"/>
  <c r="C6040" i="8"/>
  <c r="C6041" i="8"/>
  <c r="C6042" i="8"/>
  <c r="C6043" i="8"/>
  <c r="C6044" i="8"/>
  <c r="E6044" i="8" s="1"/>
  <c r="C6045" i="8"/>
  <c r="C6046" i="8"/>
  <c r="C6047" i="8"/>
  <c r="C6048" i="8"/>
  <c r="C6049" i="8"/>
  <c r="C6050" i="8"/>
  <c r="C6051" i="8"/>
  <c r="C6052" i="8"/>
  <c r="C6053" i="8"/>
  <c r="C6054" i="8"/>
  <c r="E6054" i="8" s="1"/>
  <c r="C6055" i="8"/>
  <c r="C6056" i="8"/>
  <c r="C6057" i="8"/>
  <c r="E6057" i="8" s="1"/>
  <c r="C6058" i="8"/>
  <c r="C6059" i="8"/>
  <c r="C6060" i="8"/>
  <c r="C6061" i="8"/>
  <c r="C6062" i="8"/>
  <c r="C6063" i="8"/>
  <c r="C6064" i="8"/>
  <c r="C6065" i="8"/>
  <c r="E6065" i="8" s="1"/>
  <c r="C6066" i="8"/>
  <c r="C6067" i="8"/>
  <c r="C6068" i="8"/>
  <c r="E6068" i="8" s="1"/>
  <c r="C6069" i="8"/>
  <c r="C6070" i="8"/>
  <c r="E6070" i="8" s="1"/>
  <c r="C6071" i="8"/>
  <c r="C6072" i="8"/>
  <c r="C6073" i="8"/>
  <c r="E6073" i="8" s="1"/>
  <c r="C6074" i="8"/>
  <c r="C6075" i="8"/>
  <c r="C6076" i="8"/>
  <c r="E6076" i="8" s="1"/>
  <c r="C6077" i="8"/>
  <c r="C6078" i="8"/>
  <c r="C6079" i="8"/>
  <c r="C6080" i="8"/>
  <c r="C6081" i="8"/>
  <c r="E6081" i="8" s="1"/>
  <c r="C6082" i="8"/>
  <c r="C6083" i="8"/>
  <c r="C6084" i="8"/>
  <c r="E6084" i="8" s="1"/>
  <c r="C6085" i="8"/>
  <c r="C6086" i="8"/>
  <c r="E6086" i="8" s="1"/>
  <c r="C6087" i="8"/>
  <c r="C6088" i="8"/>
  <c r="C6089" i="8"/>
  <c r="E6089" i="8" s="1"/>
  <c r="C6090" i="8"/>
  <c r="C6091" i="8"/>
  <c r="C6092" i="8"/>
  <c r="C6093" i="8"/>
  <c r="C6094" i="8"/>
  <c r="C6095" i="8"/>
  <c r="C6096" i="8"/>
  <c r="C6097" i="8"/>
  <c r="E6097" i="8" s="1"/>
  <c r="C6098" i="8"/>
  <c r="C6099" i="8"/>
  <c r="C6100" i="8"/>
  <c r="C6101" i="8"/>
  <c r="C6102" i="8"/>
  <c r="C6103" i="8"/>
  <c r="C6104" i="8"/>
  <c r="C6105" i="8"/>
  <c r="E6105" i="8" s="1"/>
  <c r="C6106" i="8"/>
  <c r="C6107" i="8"/>
  <c r="C6108" i="8"/>
  <c r="E6108" i="8" s="1"/>
  <c r="C6109" i="8"/>
  <c r="C6110" i="8"/>
  <c r="C6111" i="8"/>
  <c r="C6112" i="8"/>
  <c r="C6113" i="8"/>
  <c r="C6114" i="8"/>
  <c r="C6115" i="8"/>
  <c r="C6116" i="8"/>
  <c r="C6117" i="8"/>
  <c r="C6118" i="8"/>
  <c r="C6119" i="8"/>
  <c r="E6119" i="8" s="1"/>
  <c r="C6120" i="8"/>
  <c r="C6121" i="8"/>
  <c r="E6121" i="8" s="1"/>
  <c r="C6122" i="8"/>
  <c r="E6122" i="8" s="1"/>
  <c r="C6123" i="8"/>
  <c r="C6124" i="8"/>
  <c r="C6125" i="8"/>
  <c r="C6126" i="8"/>
  <c r="C6127" i="8"/>
  <c r="C6128" i="8"/>
  <c r="E6128" i="8" s="1"/>
  <c r="C6129" i="8"/>
  <c r="C6130" i="8"/>
  <c r="C6131" i="8"/>
  <c r="C6132" i="8"/>
  <c r="E6132" i="8" s="1"/>
  <c r="C6133" i="8"/>
  <c r="E6133" i="8" s="1"/>
  <c r="C6134" i="8"/>
  <c r="C6135" i="8"/>
  <c r="C6136" i="8"/>
  <c r="C6137" i="8"/>
  <c r="C6138" i="8"/>
  <c r="E6138" i="8" s="1"/>
  <c r="C6139" i="8"/>
  <c r="C6140" i="8"/>
  <c r="C6141" i="8"/>
  <c r="C6142" i="8"/>
  <c r="E6142" i="8" s="1"/>
  <c r="C6143" i="8"/>
  <c r="C6144" i="8"/>
  <c r="C6145" i="8"/>
  <c r="E6145" i="8" s="1"/>
  <c r="C6146" i="8"/>
  <c r="C6147" i="8"/>
  <c r="E6147" i="8" s="1"/>
  <c r="C6148" i="8"/>
  <c r="C6149" i="8"/>
  <c r="E6149" i="8" s="1"/>
  <c r="C6150" i="8"/>
  <c r="C6151" i="8"/>
  <c r="C6152" i="8"/>
  <c r="E6152" i="8" s="1"/>
  <c r="C6153" i="8"/>
  <c r="C6154" i="8"/>
  <c r="C6155" i="8"/>
  <c r="C6156" i="8"/>
  <c r="C6157" i="8"/>
  <c r="C6158" i="8"/>
  <c r="E6158" i="8" s="1"/>
  <c r="C6159" i="8"/>
  <c r="C6160" i="8"/>
  <c r="C6161" i="8"/>
  <c r="C6162" i="8"/>
  <c r="E6162" i="8" s="1"/>
  <c r="C6163" i="8"/>
  <c r="E6163" i="8" s="1"/>
  <c r="C6164" i="8"/>
  <c r="C6165" i="8"/>
  <c r="E6165" i="8" s="1"/>
  <c r="C6166" i="8"/>
  <c r="E6166" i="8" s="1"/>
  <c r="C6167" i="8"/>
  <c r="C6168" i="8"/>
  <c r="C6169" i="8"/>
  <c r="E6169" i="8" s="1"/>
  <c r="C6170" i="8"/>
  <c r="C6171" i="8"/>
  <c r="E6171" i="8" s="1"/>
  <c r="C6172" i="8"/>
  <c r="C6173" i="8"/>
  <c r="C6174" i="8"/>
  <c r="C6175" i="8"/>
  <c r="C6176" i="8"/>
  <c r="E6176" i="8" s="1"/>
  <c r="C6177" i="8"/>
  <c r="C6178" i="8"/>
  <c r="E6178" i="8" s="1"/>
  <c r="C6179" i="8"/>
  <c r="C6180" i="8"/>
  <c r="C6181" i="8"/>
  <c r="C6182" i="8"/>
  <c r="E6182" i="8" s="1"/>
  <c r="C6183" i="8"/>
  <c r="C6184" i="8"/>
  <c r="E6184" i="8" s="1"/>
  <c r="C6185" i="8"/>
  <c r="E6185" i="8" s="1"/>
  <c r="C6186" i="8"/>
  <c r="E6186" i="8" s="1"/>
  <c r="C6187" i="8"/>
  <c r="C6188" i="8"/>
  <c r="C6189" i="8"/>
  <c r="C6190" i="8"/>
  <c r="E6190" i="8" s="1"/>
  <c r="C6191" i="8"/>
  <c r="C6192" i="8"/>
  <c r="C6193" i="8"/>
  <c r="C6194" i="8"/>
  <c r="E6194" i="8" s="1"/>
  <c r="C6195" i="8"/>
  <c r="C6196" i="8"/>
  <c r="E6196" i="8" s="1"/>
  <c r="C6197" i="8"/>
  <c r="E6197" i="8" s="1"/>
  <c r="C6198" i="8"/>
  <c r="C6199" i="8"/>
  <c r="C6200" i="8"/>
  <c r="E6200" i="8" s="1"/>
  <c r="C6201" i="8"/>
  <c r="E6201" i="8" s="1"/>
  <c r="C6202" i="8"/>
  <c r="E6202" i="8" s="1"/>
  <c r="C6203" i="8"/>
  <c r="E6203" i="8" s="1"/>
  <c r="C6204" i="8"/>
  <c r="C6205" i="8"/>
  <c r="C6206" i="8"/>
  <c r="E6206" i="8" s="1"/>
  <c r="C6207" i="8"/>
  <c r="C6208" i="8"/>
  <c r="E6208" i="8" s="1"/>
  <c r="C6209" i="8"/>
  <c r="C6210" i="8"/>
  <c r="C6211" i="8"/>
  <c r="C6212" i="8"/>
  <c r="C6213" i="8"/>
  <c r="C6214" i="8"/>
  <c r="C6215" i="8"/>
  <c r="C6216" i="8"/>
  <c r="E6216" i="8" s="1"/>
  <c r="C6217" i="8"/>
  <c r="C6218" i="8"/>
  <c r="E6218" i="8" s="1"/>
  <c r="C6219" i="8"/>
  <c r="C6220" i="8"/>
  <c r="C6221" i="8"/>
  <c r="C6222" i="8"/>
  <c r="C6223" i="8"/>
  <c r="C6224" i="8"/>
  <c r="C6225" i="8"/>
  <c r="E6225" i="8" s="1"/>
  <c r="C6226" i="8"/>
  <c r="C6227" i="8"/>
  <c r="E6227" i="8" s="1"/>
  <c r="C6228" i="8"/>
  <c r="C6229" i="8"/>
  <c r="C6230" i="8"/>
  <c r="E6230" i="8" s="1"/>
  <c r="C6231" i="8"/>
  <c r="C6232" i="8"/>
  <c r="C6233" i="8"/>
  <c r="C6234" i="8"/>
  <c r="E6234" i="8" s="1"/>
  <c r="C6235" i="8"/>
  <c r="E6235" i="8" s="1"/>
  <c r="C6236" i="8"/>
  <c r="C28" i="8"/>
  <c r="D6226" i="8" l="1"/>
  <c r="E6226" i="8"/>
  <c r="D6106" i="8"/>
  <c r="E6106" i="8"/>
  <c r="D6066" i="8"/>
  <c r="E6066" i="8"/>
  <c r="D5946" i="8"/>
  <c r="E5946" i="8"/>
  <c r="D5914" i="8"/>
  <c r="E5914" i="8"/>
  <c r="D5850" i="8"/>
  <c r="E5850" i="8"/>
  <c r="D5802" i="8"/>
  <c r="E5802" i="8"/>
  <c r="D5754" i="8"/>
  <c r="E5754" i="8"/>
  <c r="D5706" i="8"/>
  <c r="E5706" i="8"/>
  <c r="D5666" i="8"/>
  <c r="E5666" i="8"/>
  <c r="D5626" i="8"/>
  <c r="E5626" i="8"/>
  <c r="D5578" i="8"/>
  <c r="E5578" i="8"/>
  <c r="D5530" i="8"/>
  <c r="E5530" i="8"/>
  <c r="D5482" i="8"/>
  <c r="E5482" i="8"/>
  <c r="D5378" i="8"/>
  <c r="E5378" i="8"/>
  <c r="D5330" i="8"/>
  <c r="E5330" i="8"/>
  <c r="D5282" i="8"/>
  <c r="E5282" i="8"/>
  <c r="D5242" i="8"/>
  <c r="E5242" i="8"/>
  <c r="D5210" i="8"/>
  <c r="E5210" i="8"/>
  <c r="D5114" i="8"/>
  <c r="E5114" i="8"/>
  <c r="D6229" i="8"/>
  <c r="E6229" i="8"/>
  <c r="D6205" i="8"/>
  <c r="E6205" i="8"/>
  <c r="D6181" i="8"/>
  <c r="E6181" i="8"/>
  <c r="D6157" i="8"/>
  <c r="E6157" i="8"/>
  <c r="D6141" i="8"/>
  <c r="E6141" i="8"/>
  <c r="D6117" i="8"/>
  <c r="E6117" i="8"/>
  <c r="D6093" i="8"/>
  <c r="E6093" i="8"/>
  <c r="D6069" i="8"/>
  <c r="E6069" i="8"/>
  <c r="D6045" i="8"/>
  <c r="E6045" i="8"/>
  <c r="D6021" i="8"/>
  <c r="E6021" i="8"/>
  <c r="D5997" i="8"/>
  <c r="E5997" i="8"/>
  <c r="D5965" i="8"/>
  <c r="E5965" i="8"/>
  <c r="D5941" i="8"/>
  <c r="E5941" i="8"/>
  <c r="D5917" i="8"/>
  <c r="E5917" i="8"/>
  <c r="D5901" i="8"/>
  <c r="E5901" i="8"/>
  <c r="D5877" i="8"/>
  <c r="E5877" i="8"/>
  <c r="D5853" i="8"/>
  <c r="E5853" i="8"/>
  <c r="D5829" i="8"/>
  <c r="E5829" i="8"/>
  <c r="D5805" i="8"/>
  <c r="E5805" i="8"/>
  <c r="D5781" i="8"/>
  <c r="E5781" i="8"/>
  <c r="D5757" i="8"/>
  <c r="E5757" i="8"/>
  <c r="D5733" i="8"/>
  <c r="E5733" i="8"/>
  <c r="D5709" i="8"/>
  <c r="E5709" i="8"/>
  <c r="D5685" i="8"/>
  <c r="E5685" i="8"/>
  <c r="D5661" i="8"/>
  <c r="E5661" i="8"/>
  <c r="D5645" i="8"/>
  <c r="E5645" i="8"/>
  <c r="D5621" i="8"/>
  <c r="E5621" i="8"/>
  <c r="D5597" i="8"/>
  <c r="E5597" i="8"/>
  <c r="D5573" i="8"/>
  <c r="E5573" i="8"/>
  <c r="D5549" i="8"/>
  <c r="E5549" i="8"/>
  <c r="D5525" i="8"/>
  <c r="E5525" i="8"/>
  <c r="D5501" i="8"/>
  <c r="E5501" i="8"/>
  <c r="D5485" i="8"/>
  <c r="E5485" i="8"/>
  <c r="D5469" i="8"/>
  <c r="E5469" i="8"/>
  <c r="D5453" i="8"/>
  <c r="E5453" i="8"/>
  <c r="D5429" i="8"/>
  <c r="E5429" i="8"/>
  <c r="D5413" i="8"/>
  <c r="E5413" i="8"/>
  <c r="D5397" i="8"/>
  <c r="E5397" i="8"/>
  <c r="D5381" i="8"/>
  <c r="E5381" i="8"/>
  <c r="D5365" i="8"/>
  <c r="E5365" i="8"/>
  <c r="D5349" i="8"/>
  <c r="E5349" i="8"/>
  <c r="D5333" i="8"/>
  <c r="E5333" i="8"/>
  <c r="D5317" i="8"/>
  <c r="E5317" i="8"/>
  <c r="D5301" i="8"/>
  <c r="E5301" i="8"/>
  <c r="D5293" i="8"/>
  <c r="E5293" i="8"/>
  <c r="D5277" i="8"/>
  <c r="E5277" i="8"/>
  <c r="D5253" i="8"/>
  <c r="E5253" i="8"/>
  <c r="D5245" i="8"/>
  <c r="E5245" i="8"/>
  <c r="D5237" i="8"/>
  <c r="E5237" i="8"/>
  <c r="D5229" i="8"/>
  <c r="E5229" i="8"/>
  <c r="D5221" i="8"/>
  <c r="E5221" i="8"/>
  <c r="D5213" i="8"/>
  <c r="E5213" i="8"/>
  <c r="D5197" i="8"/>
  <c r="E5197" i="8"/>
  <c r="D5189" i="8"/>
  <c r="E5189" i="8"/>
  <c r="D5173" i="8"/>
  <c r="E5173" i="8"/>
  <c r="D5149" i="8"/>
  <c r="E5149" i="8"/>
  <c r="D5141" i="8"/>
  <c r="E5141" i="8"/>
  <c r="D5133" i="8"/>
  <c r="E5133" i="8"/>
  <c r="D5125" i="8"/>
  <c r="E5125" i="8"/>
  <c r="D5117" i="8"/>
  <c r="E5117" i="8"/>
  <c r="D5109" i="8"/>
  <c r="E5109" i="8"/>
  <c r="D5101" i="8"/>
  <c r="E5101" i="8"/>
  <c r="D5093" i="8"/>
  <c r="E5093" i="8"/>
  <c r="D5085" i="8"/>
  <c r="E5085" i="8"/>
  <c r="D5077" i="8"/>
  <c r="E5077" i="8"/>
  <c r="D5069" i="8"/>
  <c r="E5069" i="8"/>
  <c r="D5061" i="8"/>
  <c r="E5061" i="8"/>
  <c r="D5053" i="8"/>
  <c r="E5053" i="8"/>
  <c r="D5045" i="8"/>
  <c r="E5045" i="8"/>
  <c r="D5037" i="8"/>
  <c r="E5037" i="8"/>
  <c r="D5029" i="8"/>
  <c r="E5029" i="8"/>
  <c r="D5021" i="8"/>
  <c r="E5021" i="8"/>
  <c r="D5013" i="8"/>
  <c r="E5013" i="8"/>
  <c r="D5005" i="8"/>
  <c r="E5005" i="8"/>
  <c r="D4997" i="8"/>
  <c r="E4997" i="8"/>
  <c r="D4989" i="8"/>
  <c r="E4989" i="8"/>
  <c r="D4981" i="8"/>
  <c r="E4981" i="8"/>
  <c r="D4973" i="8"/>
  <c r="E4973" i="8"/>
  <c r="D4965" i="8"/>
  <c r="E4965" i="8"/>
  <c r="D4957" i="8"/>
  <c r="E4957" i="8"/>
  <c r="D4949" i="8"/>
  <c r="E4949" i="8"/>
  <c r="D4941" i="8"/>
  <c r="E4941" i="8"/>
  <c r="D4933" i="8"/>
  <c r="E4933" i="8"/>
  <c r="D4925" i="8"/>
  <c r="E4925" i="8"/>
  <c r="D6228" i="8"/>
  <c r="E6228" i="8"/>
  <c r="D6212" i="8"/>
  <c r="E6212" i="8"/>
  <c r="D6204" i="8"/>
  <c r="E6204" i="8"/>
  <c r="D6188" i="8"/>
  <c r="E6188" i="8"/>
  <c r="D6172" i="8"/>
  <c r="E6172" i="8"/>
  <c r="D6156" i="8"/>
  <c r="E6156" i="8"/>
  <c r="D6140" i="8"/>
  <c r="E6140" i="8"/>
  <c r="D6124" i="8"/>
  <c r="E6124" i="8"/>
  <c r="D6092" i="8"/>
  <c r="E6092" i="8"/>
  <c r="D6060" i="8"/>
  <c r="E6060" i="8"/>
  <c r="D6052" i="8"/>
  <c r="E6052" i="8"/>
  <c r="D6036" i="8"/>
  <c r="E6036" i="8"/>
  <c r="D6020" i="8"/>
  <c r="E6020" i="8"/>
  <c r="D5988" i="8"/>
  <c r="E5988" i="8"/>
  <c r="D5932" i="8"/>
  <c r="E5932" i="8"/>
  <c r="D5916" i="8"/>
  <c r="E5916" i="8"/>
  <c r="D5908" i="8"/>
  <c r="E5908" i="8"/>
  <c r="D5892" i="8"/>
  <c r="E5892" i="8"/>
  <c r="D5876" i="8"/>
  <c r="E5876" i="8"/>
  <c r="D5860" i="8"/>
  <c r="E5860" i="8"/>
  <c r="D5844" i="8"/>
  <c r="E5844" i="8"/>
  <c r="D5828" i="8"/>
  <c r="E5828" i="8"/>
  <c r="D5812" i="8"/>
  <c r="E5812" i="8"/>
  <c r="D5796" i="8"/>
  <c r="E5796" i="8"/>
  <c r="D5716" i="8"/>
  <c r="E5716" i="8"/>
  <c r="D5700" i="8"/>
  <c r="E5700" i="8"/>
  <c r="D5652" i="8"/>
  <c r="E5652" i="8"/>
  <c r="D5644" i="8"/>
  <c r="E5644" i="8"/>
  <c r="D5628" i="8"/>
  <c r="E5628" i="8"/>
  <c r="D5604" i="8"/>
  <c r="E5604" i="8"/>
  <c r="D5556" i="8"/>
  <c r="E5556" i="8"/>
  <c r="D5540" i="8"/>
  <c r="E5540" i="8"/>
  <c r="D5524" i="8"/>
  <c r="E5524" i="8"/>
  <c r="D5508" i="8"/>
  <c r="E5508" i="8"/>
  <c r="D5492" i="8"/>
  <c r="E5492" i="8"/>
  <c r="D5476" i="8"/>
  <c r="E5476" i="8"/>
  <c r="D5436" i="8"/>
  <c r="E5436" i="8"/>
  <c r="D5396" i="8"/>
  <c r="E5396" i="8"/>
  <c r="D5380" i="8"/>
  <c r="E5380" i="8"/>
  <c r="D5372" i="8"/>
  <c r="E5372" i="8"/>
  <c r="D5356" i="8"/>
  <c r="E5356" i="8"/>
  <c r="D5340" i="8"/>
  <c r="E5340" i="8"/>
  <c r="D5324" i="8"/>
  <c r="E5324" i="8"/>
  <c r="D5308" i="8"/>
  <c r="E5308" i="8"/>
  <c r="D5292" i="8"/>
  <c r="E5292" i="8"/>
  <c r="D5276" i="8"/>
  <c r="E5276" i="8"/>
  <c r="D5260" i="8"/>
  <c r="E5260" i="8"/>
  <c r="D5252" i="8"/>
  <c r="E5252" i="8"/>
  <c r="D5236" i="8"/>
  <c r="E5236" i="8"/>
  <c r="D5220" i="8"/>
  <c r="E5220" i="8"/>
  <c r="D5196" i="8"/>
  <c r="E5196" i="8"/>
  <c r="D5180" i="8"/>
  <c r="E5180" i="8"/>
  <c r="D5148" i="8"/>
  <c r="E5148" i="8"/>
  <c r="D5132" i="8"/>
  <c r="E5132" i="8"/>
  <c r="D5116" i="8"/>
  <c r="E5116" i="8"/>
  <c r="D5100" i="8"/>
  <c r="E5100" i="8"/>
  <c r="D5076" i="8"/>
  <c r="E5076" i="8"/>
  <c r="D5052" i="8"/>
  <c r="E5052" i="8"/>
  <c r="D6170" i="8"/>
  <c r="E6170" i="8"/>
  <c r="D6114" i="8"/>
  <c r="E6114" i="8"/>
  <c r="D6058" i="8"/>
  <c r="E6058" i="8"/>
  <c r="D6018" i="8"/>
  <c r="E6018" i="8"/>
  <c r="D5986" i="8"/>
  <c r="E5986" i="8"/>
  <c r="D5938" i="8"/>
  <c r="E5938" i="8"/>
  <c r="D5882" i="8"/>
  <c r="E5882" i="8"/>
  <c r="D5778" i="8"/>
  <c r="E5778" i="8"/>
  <c r="D5730" i="8"/>
  <c r="E5730" i="8"/>
  <c r="D5682" i="8"/>
  <c r="E5682" i="8"/>
  <c r="D5642" i="8"/>
  <c r="E5642" i="8"/>
  <c r="D5594" i="8"/>
  <c r="E5594" i="8"/>
  <c r="D5546" i="8"/>
  <c r="E5546" i="8"/>
  <c r="D5498" i="8"/>
  <c r="E5498" i="8"/>
  <c r="D5442" i="8"/>
  <c r="E5442" i="8"/>
  <c r="D5402" i="8"/>
  <c r="E5402" i="8"/>
  <c r="D5354" i="8"/>
  <c r="E5354" i="8"/>
  <c r="D5306" i="8"/>
  <c r="E5306" i="8"/>
  <c r="D5266" i="8"/>
  <c r="E5266" i="8"/>
  <c r="D5194" i="8"/>
  <c r="E5194" i="8"/>
  <c r="D6221" i="8"/>
  <c r="E6221" i="8"/>
  <c r="D6173" i="8"/>
  <c r="E6173" i="8"/>
  <c r="D6125" i="8"/>
  <c r="E6125" i="8"/>
  <c r="D6109" i="8"/>
  <c r="E6109" i="8"/>
  <c r="D6085" i="8"/>
  <c r="E6085" i="8"/>
  <c r="D6061" i="8"/>
  <c r="E6061" i="8"/>
  <c r="D6037" i="8"/>
  <c r="E6037" i="8"/>
  <c r="D6013" i="8"/>
  <c r="E6013" i="8"/>
  <c r="D5989" i="8"/>
  <c r="E5989" i="8"/>
  <c r="D5973" i="8"/>
  <c r="E5973" i="8"/>
  <c r="D5949" i="8"/>
  <c r="E5949" i="8"/>
  <c r="D5925" i="8"/>
  <c r="E5925" i="8"/>
  <c r="D5893" i="8"/>
  <c r="E5893" i="8"/>
  <c r="D5869" i="8"/>
  <c r="E5869" i="8"/>
  <c r="D5845" i="8"/>
  <c r="E5845" i="8"/>
  <c r="D5821" i="8"/>
  <c r="E5821" i="8"/>
  <c r="D5797" i="8"/>
  <c r="E5797" i="8"/>
  <c r="D5773" i="8"/>
  <c r="E5773" i="8"/>
  <c r="D5749" i="8"/>
  <c r="E5749" i="8"/>
  <c r="D5725" i="8"/>
  <c r="E5725" i="8"/>
  <c r="D5701" i="8"/>
  <c r="E5701" i="8"/>
  <c r="D5677" i="8"/>
  <c r="E5677" i="8"/>
  <c r="D5653" i="8"/>
  <c r="E5653" i="8"/>
  <c r="D5629" i="8"/>
  <c r="E5629" i="8"/>
  <c r="D5605" i="8"/>
  <c r="E5605" i="8"/>
  <c r="D5581" i="8"/>
  <c r="E5581" i="8"/>
  <c r="D5557" i="8"/>
  <c r="E5557" i="8"/>
  <c r="D5533" i="8"/>
  <c r="E5533" i="8"/>
  <c r="D5517" i="8"/>
  <c r="E5517" i="8"/>
  <c r="D5493" i="8"/>
  <c r="E5493" i="8"/>
  <c r="D5477" i="8"/>
  <c r="E5477" i="8"/>
  <c r="D5461" i="8"/>
  <c r="E5461" i="8"/>
  <c r="D5437" i="8"/>
  <c r="E5437" i="8"/>
  <c r="D5421" i="8"/>
  <c r="E5421" i="8"/>
  <c r="D5405" i="8"/>
  <c r="E5405" i="8"/>
  <c r="D5389" i="8"/>
  <c r="E5389" i="8"/>
  <c r="D5373" i="8"/>
  <c r="E5373" i="8"/>
  <c r="D5357" i="8"/>
  <c r="E5357" i="8"/>
  <c r="D5341" i="8"/>
  <c r="E5341" i="8"/>
  <c r="D5325" i="8"/>
  <c r="E5325" i="8"/>
  <c r="D5309" i="8"/>
  <c r="E5309" i="8"/>
  <c r="D6236" i="8"/>
  <c r="E6236" i="8"/>
  <c r="D6220" i="8"/>
  <c r="E6220" i="8"/>
  <c r="D6180" i="8"/>
  <c r="E6180" i="8"/>
  <c r="D6164" i="8"/>
  <c r="E6164" i="8"/>
  <c r="D6148" i="8"/>
  <c r="E6148" i="8"/>
  <c r="D6116" i="8"/>
  <c r="E6116" i="8"/>
  <c r="D6100" i="8"/>
  <c r="E6100" i="8"/>
  <c r="D6028" i="8"/>
  <c r="E6028" i="8"/>
  <c r="D5996" i="8"/>
  <c r="E5996" i="8"/>
  <c r="D5956" i="8"/>
  <c r="E5956" i="8"/>
  <c r="D5940" i="8"/>
  <c r="E5940" i="8"/>
  <c r="D5924" i="8"/>
  <c r="E5924" i="8"/>
  <c r="D5884" i="8"/>
  <c r="E5884" i="8"/>
  <c r="D5852" i="8"/>
  <c r="E5852" i="8"/>
  <c r="D5836" i="8"/>
  <c r="E5836" i="8"/>
  <c r="D5820" i="8"/>
  <c r="E5820" i="8"/>
  <c r="D5804" i="8"/>
  <c r="E5804" i="8"/>
  <c r="D5788" i="8"/>
  <c r="E5788" i="8"/>
  <c r="D5764" i="8"/>
  <c r="E5764" i="8"/>
  <c r="D5620" i="8"/>
  <c r="E5620" i="8"/>
  <c r="D5612" i="8"/>
  <c r="E5612" i="8"/>
  <c r="D5596" i="8"/>
  <c r="E5596" i="8"/>
  <c r="D5580" i="8"/>
  <c r="E5580" i="8"/>
  <c r="D5564" i="8"/>
  <c r="E5564" i="8"/>
  <c r="D5548" i="8"/>
  <c r="E5548" i="8"/>
  <c r="D5532" i="8"/>
  <c r="E5532" i="8"/>
  <c r="D5516" i="8"/>
  <c r="E5516" i="8"/>
  <c r="D5500" i="8"/>
  <c r="E5500" i="8"/>
  <c r="D5484" i="8"/>
  <c r="E5484" i="8"/>
  <c r="D5468" i="8"/>
  <c r="E5468" i="8"/>
  <c r="D5460" i="8"/>
  <c r="E5460" i="8"/>
  <c r="D5444" i="8"/>
  <c r="E5444" i="8"/>
  <c r="D5428" i="8"/>
  <c r="E5428" i="8"/>
  <c r="D5420" i="8"/>
  <c r="E5420" i="8"/>
  <c r="D5404" i="8"/>
  <c r="E5404" i="8"/>
  <c r="D5388" i="8"/>
  <c r="E5388" i="8"/>
  <c r="D5348" i="8"/>
  <c r="E5348" i="8"/>
  <c r="D5316" i="8"/>
  <c r="E5316" i="8"/>
  <c r="D5300" i="8"/>
  <c r="E5300" i="8"/>
  <c r="D5284" i="8"/>
  <c r="E5284" i="8"/>
  <c r="D5268" i="8"/>
  <c r="E5268" i="8"/>
  <c r="D5228" i="8"/>
  <c r="E5228" i="8"/>
  <c r="D5212" i="8"/>
  <c r="E5212" i="8"/>
  <c r="D5204" i="8"/>
  <c r="E5204" i="8"/>
  <c r="D5188" i="8"/>
  <c r="E5188" i="8"/>
  <c r="D5172" i="8"/>
  <c r="E5172" i="8"/>
  <c r="D5156" i="8"/>
  <c r="E5156" i="8"/>
  <c r="D5140" i="8"/>
  <c r="E5140" i="8"/>
  <c r="D5124" i="8"/>
  <c r="E5124" i="8"/>
  <c r="D5108" i="8"/>
  <c r="E5108" i="8"/>
  <c r="D5092" i="8"/>
  <c r="E5092" i="8"/>
  <c r="D5084" i="8"/>
  <c r="E5084" i="8"/>
  <c r="D5068" i="8"/>
  <c r="E5068" i="8"/>
  <c r="D5060" i="8"/>
  <c r="E5060" i="8"/>
  <c r="D5044" i="8"/>
  <c r="E5044" i="8"/>
  <c r="D5036" i="8"/>
  <c r="E5036" i="8"/>
  <c r="D5028" i="8"/>
  <c r="E5028" i="8"/>
  <c r="D5020" i="8"/>
  <c r="E5020" i="8"/>
  <c r="D5012" i="8"/>
  <c r="E5012" i="8"/>
  <c r="D5004" i="8"/>
  <c r="E5004" i="8"/>
  <c r="D4996" i="8"/>
  <c r="E4996" i="8"/>
  <c r="D4988" i="8"/>
  <c r="E4988" i="8"/>
  <c r="D4980" i="8"/>
  <c r="E4980" i="8"/>
  <c r="D4972" i="8"/>
  <c r="E4972" i="8"/>
  <c r="D4964" i="8"/>
  <c r="E4964" i="8"/>
  <c r="D4956" i="8"/>
  <c r="E4956" i="8"/>
  <c r="D4948" i="8"/>
  <c r="E4948" i="8"/>
  <c r="D4940" i="8"/>
  <c r="E4940" i="8"/>
  <c r="D4932" i="8"/>
  <c r="E4932" i="8"/>
  <c r="D4924" i="8"/>
  <c r="E4924" i="8"/>
  <c r="D6219" i="8"/>
  <c r="E6219" i="8"/>
  <c r="D6211" i="8"/>
  <c r="E6211" i="8"/>
  <c r="D6195" i="8"/>
  <c r="E6195" i="8"/>
  <c r="D6187" i="8"/>
  <c r="E6187" i="8"/>
  <c r="D6179" i="8"/>
  <c r="E6179" i="8"/>
  <c r="D6155" i="8"/>
  <c r="E6155" i="8"/>
  <c r="D6139" i="8"/>
  <c r="E6139" i="8"/>
  <c r="D6131" i="8"/>
  <c r="E6131" i="8"/>
  <c r="D6123" i="8"/>
  <c r="E6123" i="8"/>
  <c r="D6115" i="8"/>
  <c r="E6115" i="8"/>
  <c r="D6107" i="8"/>
  <c r="E6107" i="8"/>
  <c r="D6099" i="8"/>
  <c r="E6099" i="8"/>
  <c r="D6091" i="8"/>
  <c r="E6091" i="8"/>
  <c r="D6083" i="8"/>
  <c r="E6083" i="8"/>
  <c r="D6075" i="8"/>
  <c r="E6075" i="8"/>
  <c r="D6067" i="8"/>
  <c r="E6067" i="8"/>
  <c r="D6059" i="8"/>
  <c r="E6059" i="8"/>
  <c r="D6051" i="8"/>
  <c r="E6051" i="8"/>
  <c r="D6043" i="8"/>
  <c r="E6043" i="8"/>
  <c r="D6035" i="8"/>
  <c r="E6035" i="8"/>
  <c r="D6027" i="8"/>
  <c r="E6027" i="8"/>
  <c r="D6019" i="8"/>
  <c r="E6019" i="8"/>
  <c r="D6011" i="8"/>
  <c r="E6011" i="8"/>
  <c r="D6003" i="8"/>
  <c r="E6003" i="8"/>
  <c r="D5995" i="8"/>
  <c r="E5995" i="8"/>
  <c r="D5987" i="8"/>
  <c r="E5987" i="8"/>
  <c r="D5979" i="8"/>
  <c r="E5979" i="8"/>
  <c r="D5971" i="8"/>
  <c r="E5971" i="8"/>
  <c r="D5963" i="8"/>
  <c r="E5963" i="8"/>
  <c r="D5955" i="8"/>
  <c r="E5955" i="8"/>
  <c r="D5947" i="8"/>
  <c r="E5947" i="8"/>
  <c r="D5939" i="8"/>
  <c r="E5939" i="8"/>
  <c r="D5931" i="8"/>
  <c r="E5931" i="8"/>
  <c r="D5923" i="8"/>
  <c r="E5923" i="8"/>
  <c r="D5915" i="8"/>
  <c r="E5915" i="8"/>
  <c r="D5907" i="8"/>
  <c r="E5907" i="8"/>
  <c r="D5899" i="8"/>
  <c r="E5899" i="8"/>
  <c r="D5891" i="8"/>
  <c r="E5891" i="8"/>
  <c r="D5883" i="8"/>
  <c r="E5883" i="8"/>
  <c r="D5875" i="8"/>
  <c r="E5875" i="8"/>
  <c r="D5867" i="8"/>
  <c r="E5867" i="8"/>
  <c r="D5859" i="8"/>
  <c r="E5859" i="8"/>
  <c r="D5851" i="8"/>
  <c r="E5851" i="8"/>
  <c r="D5843" i="8"/>
  <c r="E5843" i="8"/>
  <c r="D5835" i="8"/>
  <c r="E5835" i="8"/>
  <c r="D5827" i="8"/>
  <c r="E5827" i="8"/>
  <c r="D5811" i="8"/>
  <c r="E5811" i="8"/>
  <c r="D5795" i="8"/>
  <c r="E5795" i="8"/>
  <c r="D5771" i="8"/>
  <c r="E5771" i="8"/>
  <c r="D5755" i="8"/>
  <c r="E5755" i="8"/>
  <c r="D5747" i="8"/>
  <c r="E5747" i="8"/>
  <c r="D5739" i="8"/>
  <c r="E5739" i="8"/>
  <c r="D5731" i="8"/>
  <c r="E5731" i="8"/>
  <c r="D5723" i="8"/>
  <c r="E5723" i="8"/>
  <c r="D5715" i="8"/>
  <c r="E5715" i="8"/>
  <c r="D5707" i="8"/>
  <c r="E5707" i="8"/>
  <c r="D5699" i="8"/>
  <c r="E5699" i="8"/>
  <c r="D5691" i="8"/>
  <c r="E5691" i="8"/>
  <c r="D5683" i="8"/>
  <c r="E5683" i="8"/>
  <c r="D5675" i="8"/>
  <c r="E5675" i="8"/>
  <c r="D5667" i="8"/>
  <c r="E5667" i="8"/>
  <c r="D5659" i="8"/>
  <c r="E5659" i="8"/>
  <c r="D5651" i="8"/>
  <c r="E5651" i="8"/>
  <c r="D5635" i="8"/>
  <c r="E5635" i="8"/>
  <c r="D5619" i="8"/>
  <c r="E5619" i="8"/>
  <c r="D5611" i="8"/>
  <c r="E5611" i="8"/>
  <c r="D5603" i="8"/>
  <c r="E5603" i="8"/>
  <c r="D5595" i="8"/>
  <c r="E5595" i="8"/>
  <c r="D5587" i="8"/>
  <c r="E5587" i="8"/>
  <c r="D5579" i="8"/>
  <c r="E5579" i="8"/>
  <c r="D5571" i="8"/>
  <c r="E5571" i="8"/>
  <c r="D5563" i="8"/>
  <c r="E5563" i="8"/>
  <c r="D5555" i="8"/>
  <c r="E5555" i="8"/>
  <c r="D5547" i="8"/>
  <c r="E5547" i="8"/>
  <c r="D5539" i="8"/>
  <c r="E5539" i="8"/>
  <c r="D5531" i="8"/>
  <c r="E5531" i="8"/>
  <c r="D5523" i="8"/>
  <c r="E5523" i="8"/>
  <c r="D5515" i="8"/>
  <c r="E5515" i="8"/>
  <c r="D5507" i="8"/>
  <c r="E5507" i="8"/>
  <c r="D5499" i="8"/>
  <c r="E5499" i="8"/>
  <c r="D5491" i="8"/>
  <c r="E5491" i="8"/>
  <c r="D5483" i="8"/>
  <c r="E5483" i="8"/>
  <c r="D5467" i="8"/>
  <c r="E5467" i="8"/>
  <c r="D5459" i="8"/>
  <c r="E5459" i="8"/>
  <c r="D5451" i="8"/>
  <c r="E5451" i="8"/>
  <c r="D5419" i="8"/>
  <c r="E5419" i="8"/>
  <c r="D5411" i="8"/>
  <c r="E5411" i="8"/>
  <c r="D5403" i="8"/>
  <c r="E5403" i="8"/>
  <c r="D5395" i="8"/>
  <c r="E5395" i="8"/>
  <c r="D5387" i="8"/>
  <c r="E5387" i="8"/>
  <c r="D5379" i="8"/>
  <c r="E5379" i="8"/>
  <c r="D5371" i="8"/>
  <c r="E5371" i="8"/>
  <c r="D5363" i="8"/>
  <c r="E5363" i="8"/>
  <c r="D5355" i="8"/>
  <c r="E5355" i="8"/>
  <c r="D5339" i="8"/>
  <c r="E5339" i="8"/>
  <c r="D5331" i="8"/>
  <c r="E5331" i="8"/>
  <c r="D5323" i="8"/>
  <c r="E5323" i="8"/>
  <c r="D5315" i="8"/>
  <c r="E5315" i="8"/>
  <c r="D5307" i="8"/>
  <c r="E5307" i="8"/>
  <c r="D5291" i="8"/>
  <c r="E5291" i="8"/>
  <c r="D5283" i="8"/>
  <c r="E5283" i="8"/>
  <c r="D5275" i="8"/>
  <c r="E5275" i="8"/>
  <c r="D5267" i="8"/>
  <c r="E5267" i="8"/>
  <c r="D5259" i="8"/>
  <c r="E5259" i="8"/>
  <c r="D5243" i="8"/>
  <c r="E5243" i="8"/>
  <c r="D5235" i="8"/>
  <c r="E5235" i="8"/>
  <c r="D5227" i="8"/>
  <c r="E5227" i="8"/>
  <c r="D5219" i="8"/>
  <c r="E5219" i="8"/>
  <c r="D5203" i="8"/>
  <c r="E5203" i="8"/>
  <c r="D5195" i="8"/>
  <c r="E5195" i="8"/>
  <c r="D5187" i="8"/>
  <c r="E5187" i="8"/>
  <c r="D5179" i="8"/>
  <c r="E5179" i="8"/>
  <c r="D5171" i="8"/>
  <c r="E5171" i="8"/>
  <c r="D5163" i="8"/>
  <c r="E5163" i="8"/>
  <c r="D5155" i="8"/>
  <c r="E5155" i="8"/>
  <c r="D5139" i="8"/>
  <c r="E5139" i="8"/>
  <c r="D5131" i="8"/>
  <c r="E5131" i="8"/>
  <c r="D5123" i="8"/>
  <c r="E5123" i="8"/>
  <c r="D5115" i="8"/>
  <c r="E5115" i="8"/>
  <c r="D5107" i="8"/>
  <c r="E5107" i="8"/>
  <c r="D5099" i="8"/>
  <c r="E5099" i="8"/>
  <c r="D5091" i="8"/>
  <c r="E5091" i="8"/>
  <c r="D5083" i="8"/>
  <c r="E5083" i="8"/>
  <c r="D5075" i="8"/>
  <c r="E5075" i="8"/>
  <c r="D5067" i="8"/>
  <c r="E5067" i="8"/>
  <c r="D5059" i="8"/>
  <c r="E5059" i="8"/>
  <c r="D5051" i="8"/>
  <c r="E5051" i="8"/>
  <c r="D5043" i="8"/>
  <c r="E5043" i="8"/>
  <c r="D5035" i="8"/>
  <c r="E5035" i="8"/>
  <c r="D5027" i="8"/>
  <c r="E5027" i="8"/>
  <c r="D5019" i="8"/>
  <c r="E5019" i="8"/>
  <c r="D5011" i="8"/>
  <c r="E5011" i="8"/>
  <c r="D5003" i="8"/>
  <c r="E5003" i="8"/>
  <c r="D4995" i="8"/>
  <c r="E4995" i="8"/>
  <c r="D4987" i="8"/>
  <c r="E4987" i="8"/>
  <c r="D4979" i="8"/>
  <c r="E4979" i="8"/>
  <c r="D4971" i="8"/>
  <c r="E4971" i="8"/>
  <c r="D4963" i="8"/>
  <c r="E4963" i="8"/>
  <c r="D4955" i="8"/>
  <c r="E4955" i="8"/>
  <c r="D4947" i="8"/>
  <c r="E4947" i="8"/>
  <c r="D4939" i="8"/>
  <c r="E4939" i="8"/>
  <c r="D4931" i="8"/>
  <c r="E4931" i="8"/>
  <c r="D4923" i="8"/>
  <c r="E4923" i="8"/>
  <c r="D6050" i="8"/>
  <c r="E6050" i="8"/>
  <c r="D5890" i="8"/>
  <c r="E5890" i="8"/>
  <c r="D6130" i="8"/>
  <c r="E6130" i="8"/>
  <c r="D6074" i="8"/>
  <c r="E6074" i="8"/>
  <c r="D6010" i="8"/>
  <c r="E6010" i="8"/>
  <c r="D5962" i="8"/>
  <c r="E5962" i="8"/>
  <c r="D5930" i="8"/>
  <c r="E5930" i="8"/>
  <c r="D5818" i="8"/>
  <c r="E5818" i="8"/>
  <c r="D5762" i="8"/>
  <c r="E5762" i="8"/>
  <c r="D5722" i="8"/>
  <c r="E5722" i="8"/>
  <c r="D5658" i="8"/>
  <c r="E5658" i="8"/>
  <c r="D5602" i="8"/>
  <c r="E5602" i="8"/>
  <c r="D5554" i="8"/>
  <c r="E5554" i="8"/>
  <c r="D5506" i="8"/>
  <c r="E5506" i="8"/>
  <c r="D5458" i="8"/>
  <c r="E5458" i="8"/>
  <c r="D5418" i="8"/>
  <c r="E5418" i="8"/>
  <c r="D5370" i="8"/>
  <c r="E5370" i="8"/>
  <c r="D5314" i="8"/>
  <c r="E5314" i="8"/>
  <c r="D5218" i="8"/>
  <c r="E5218" i="8"/>
  <c r="D5170" i="8"/>
  <c r="E5170" i="8"/>
  <c r="D5138" i="8"/>
  <c r="E5138" i="8"/>
  <c r="D5122" i="8"/>
  <c r="E5122" i="8"/>
  <c r="D5090" i="8"/>
  <c r="E5090" i="8"/>
  <c r="D5074" i="8"/>
  <c r="E5074" i="8"/>
  <c r="D5058" i="8"/>
  <c r="E5058" i="8"/>
  <c r="D5034" i="8"/>
  <c r="E5034" i="8"/>
  <c r="D6217" i="8"/>
  <c r="E6217" i="8"/>
  <c r="D6153" i="8"/>
  <c r="E6153" i="8"/>
  <c r="D6129" i="8"/>
  <c r="E6129" i="8"/>
  <c r="D6033" i="8"/>
  <c r="E6033" i="8"/>
  <c r="D6009" i="8"/>
  <c r="E6009" i="8"/>
  <c r="D5977" i="8"/>
  <c r="E5977" i="8"/>
  <c r="D5953" i="8"/>
  <c r="E5953" i="8"/>
  <c r="D5889" i="8"/>
  <c r="E5889" i="8"/>
  <c r="D5697" i="8"/>
  <c r="E5697" i="8"/>
  <c r="D5641" i="8"/>
  <c r="E5641" i="8"/>
  <c r="D5617" i="8"/>
  <c r="E5617" i="8"/>
  <c r="D5593" i="8"/>
  <c r="E5593" i="8"/>
  <c r="D5569" i="8"/>
  <c r="E5569" i="8"/>
  <c r="D5545" i="8"/>
  <c r="E5545" i="8"/>
  <c r="D5513" i="8"/>
  <c r="E5513" i="8"/>
  <c r="D5489" i="8"/>
  <c r="E5489" i="8"/>
  <c r="D5465" i="8"/>
  <c r="E5465" i="8"/>
  <c r="D5441" i="8"/>
  <c r="E5441" i="8"/>
  <c r="D5401" i="8"/>
  <c r="E5401" i="8"/>
  <c r="D5377" i="8"/>
  <c r="E5377" i="8"/>
  <c r="D5353" i="8"/>
  <c r="E5353" i="8"/>
  <c r="D5329" i="8"/>
  <c r="E5329" i="8"/>
  <c r="D5321" i="8"/>
  <c r="E5321" i="8"/>
  <c r="D5265" i="8"/>
  <c r="E5265" i="8"/>
  <c r="D5257" i="8"/>
  <c r="E5257" i="8"/>
  <c r="D5233" i="8"/>
  <c r="E5233" i="8"/>
  <c r="D5201" i="8"/>
  <c r="E5201" i="8"/>
  <c r="D5153" i="8"/>
  <c r="E5153" i="8"/>
  <c r="D6210" i="8"/>
  <c r="E6210" i="8"/>
  <c r="D6082" i="8"/>
  <c r="E6082" i="8"/>
  <c r="D6026" i="8"/>
  <c r="E6026" i="8"/>
  <c r="D5970" i="8"/>
  <c r="E5970" i="8"/>
  <c r="D5842" i="8"/>
  <c r="E5842" i="8"/>
  <c r="D5810" i="8"/>
  <c r="E5810" i="8"/>
  <c r="D5770" i="8"/>
  <c r="E5770" i="8"/>
  <c r="D5714" i="8"/>
  <c r="E5714" i="8"/>
  <c r="D5674" i="8"/>
  <c r="E5674" i="8"/>
  <c r="D5618" i="8"/>
  <c r="E5618" i="8"/>
  <c r="D5570" i="8"/>
  <c r="E5570" i="8"/>
  <c r="D5522" i="8"/>
  <c r="E5522" i="8"/>
  <c r="D5474" i="8"/>
  <c r="E5474" i="8"/>
  <c r="D5434" i="8"/>
  <c r="E5434" i="8"/>
  <c r="D5386" i="8"/>
  <c r="E5386" i="8"/>
  <c r="D5338" i="8"/>
  <c r="E5338" i="8"/>
  <c r="D5290" i="8"/>
  <c r="E5290" i="8"/>
  <c r="D5258" i="8"/>
  <c r="E5258" i="8"/>
  <c r="D5226" i="8"/>
  <c r="E5226" i="8"/>
  <c r="D5178" i="8"/>
  <c r="E5178" i="8"/>
  <c r="D5154" i="8"/>
  <c r="E5154" i="8"/>
  <c r="D5098" i="8"/>
  <c r="E5098" i="8"/>
  <c r="D6193" i="8"/>
  <c r="E6193" i="8"/>
  <c r="D6161" i="8"/>
  <c r="E6161" i="8"/>
  <c r="D6113" i="8"/>
  <c r="E6113" i="8"/>
  <c r="D6049" i="8"/>
  <c r="E6049" i="8"/>
  <c r="D6017" i="8"/>
  <c r="E6017" i="8"/>
  <c r="D5881" i="8"/>
  <c r="E5881" i="8"/>
  <c r="D5865" i="8"/>
  <c r="E5865" i="8"/>
  <c r="D5785" i="8"/>
  <c r="E5785" i="8"/>
  <c r="D5721" i="8"/>
  <c r="E5721" i="8"/>
  <c r="D5681" i="8"/>
  <c r="E5681" i="8"/>
  <c r="D5609" i="8"/>
  <c r="E5609" i="8"/>
  <c r="D6232" i="8"/>
  <c r="E6232" i="8"/>
  <c r="D6168" i="8"/>
  <c r="E6168" i="8"/>
  <c r="D6136" i="8"/>
  <c r="E6136" i="8"/>
  <c r="D6120" i="8"/>
  <c r="E6120" i="8"/>
  <c r="D6112" i="8"/>
  <c r="E6112" i="8"/>
  <c r="D6096" i="8"/>
  <c r="E6096" i="8"/>
  <c r="D6088" i="8"/>
  <c r="E6088" i="8"/>
  <c r="D6072" i="8"/>
  <c r="E6072" i="8"/>
  <c r="D6056" i="8"/>
  <c r="E6056" i="8"/>
  <c r="D6040" i="8"/>
  <c r="E6040" i="8"/>
  <c r="D6024" i="8"/>
  <c r="E6024" i="8"/>
  <c r="D6016" i="8"/>
  <c r="E6016" i="8"/>
  <c r="D5992" i="8"/>
  <c r="E5992" i="8"/>
  <c r="D5984" i="8"/>
  <c r="E5984" i="8"/>
  <c r="D5968" i="8"/>
  <c r="E5968" i="8"/>
  <c r="D5952" i="8"/>
  <c r="E5952" i="8"/>
  <c r="D5936" i="8"/>
  <c r="E5936" i="8"/>
  <c r="D5920" i="8"/>
  <c r="E5920" i="8"/>
  <c r="D5904" i="8"/>
  <c r="E5904" i="8"/>
  <c r="D5888" i="8"/>
  <c r="E5888" i="8"/>
  <c r="D5872" i="8"/>
  <c r="E5872" i="8"/>
  <c r="D5856" i="8"/>
  <c r="E5856" i="8"/>
  <c r="D5848" i="8"/>
  <c r="E5848" i="8"/>
  <c r="D5832" i="8"/>
  <c r="E5832" i="8"/>
  <c r="D5800" i="8"/>
  <c r="E5800" i="8"/>
  <c r="D5752" i="8"/>
  <c r="E5752" i="8"/>
  <c r="D5736" i="8"/>
  <c r="E5736" i="8"/>
  <c r="D5720" i="8"/>
  <c r="E5720" i="8"/>
  <c r="D5696" i="8"/>
  <c r="E5696" i="8"/>
  <c r="D5680" i="8"/>
  <c r="E5680" i="8"/>
  <c r="D5672" i="8"/>
  <c r="E5672" i="8"/>
  <c r="D5664" i="8"/>
  <c r="E5664" i="8"/>
  <c r="D5656" i="8"/>
  <c r="E5656" i="8"/>
  <c r="D5648" i="8"/>
  <c r="E5648" i="8"/>
  <c r="D5640" i="8"/>
  <c r="E5640" i="8"/>
  <c r="D5632" i="8"/>
  <c r="E5632" i="8"/>
  <c r="D5624" i="8"/>
  <c r="E5624" i="8"/>
  <c r="D5616" i="8"/>
  <c r="E5616" i="8"/>
  <c r="D5608" i="8"/>
  <c r="E5608" i="8"/>
  <c r="D5584" i="8"/>
  <c r="E5584" i="8"/>
  <c r="D5552" i="8"/>
  <c r="E5552" i="8"/>
  <c r="D5496" i="8"/>
  <c r="E5496" i="8"/>
  <c r="D5480" i="8"/>
  <c r="E5480" i="8"/>
  <c r="D5472" i="8"/>
  <c r="E5472" i="8"/>
  <c r="D5464" i="8"/>
  <c r="E5464" i="8"/>
  <c r="D5448" i="8"/>
  <c r="E5448" i="8"/>
  <c r="D5440" i="8"/>
  <c r="E5440" i="8"/>
  <c r="D5408" i="8"/>
  <c r="E5408" i="8"/>
  <c r="D5392" i="8"/>
  <c r="E5392" i="8"/>
  <c r="D5376" i="8"/>
  <c r="E5376" i="8"/>
  <c r="D5360" i="8"/>
  <c r="E5360" i="8"/>
  <c r="D5344" i="8"/>
  <c r="E5344" i="8"/>
  <c r="D5328" i="8"/>
  <c r="E5328" i="8"/>
  <c r="D5312" i="8"/>
  <c r="E5312" i="8"/>
  <c r="D5304" i="8"/>
  <c r="E5304" i="8"/>
  <c r="D5296" i="8"/>
  <c r="E5296" i="8"/>
  <c r="D5288" i="8"/>
  <c r="E5288" i="8"/>
  <c r="D5280" i="8"/>
  <c r="E5280" i="8"/>
  <c r="D5272" i="8"/>
  <c r="E5272" i="8"/>
  <c r="D5256" i="8"/>
  <c r="E5256" i="8"/>
  <c r="D5248" i="8"/>
  <c r="E5248" i="8"/>
  <c r="D5240" i="8"/>
  <c r="E5240" i="8"/>
  <c r="D5224" i="8"/>
  <c r="E5224" i="8"/>
  <c r="D5216" i="8"/>
  <c r="E5216" i="8"/>
  <c r="D5208" i="8"/>
  <c r="E5208" i="8"/>
  <c r="D5192" i="8"/>
  <c r="E5192" i="8"/>
  <c r="D5184" i="8"/>
  <c r="E5184" i="8"/>
  <c r="D5152" i="8"/>
  <c r="E5152" i="8"/>
  <c r="D5136" i="8"/>
  <c r="E5136" i="8"/>
  <c r="D5128" i="8"/>
  <c r="E5128" i="8"/>
  <c r="D5120" i="8"/>
  <c r="E5120" i="8"/>
  <c r="D5112" i="8"/>
  <c r="E5112" i="8"/>
  <c r="D5104" i="8"/>
  <c r="E5104" i="8"/>
  <c r="D5096" i="8"/>
  <c r="E5096" i="8"/>
  <c r="D5088" i="8"/>
  <c r="E5088" i="8"/>
  <c r="D5080" i="8"/>
  <c r="E5080" i="8"/>
  <c r="D5072" i="8"/>
  <c r="E5072" i="8"/>
  <c r="D5064" i="8"/>
  <c r="E5064" i="8"/>
  <c r="D5056" i="8"/>
  <c r="E5056" i="8"/>
  <c r="D5048" i="8"/>
  <c r="E5048" i="8"/>
  <c r="D5040" i="8"/>
  <c r="E5040" i="8"/>
  <c r="D5032" i="8"/>
  <c r="E5032" i="8"/>
  <c r="D5024" i="8"/>
  <c r="E5024" i="8"/>
  <c r="D5016" i="8"/>
  <c r="E5016" i="8"/>
  <c r="D5008" i="8"/>
  <c r="E5008" i="8"/>
  <c r="D5000" i="8"/>
  <c r="E5000" i="8"/>
  <c r="D4992" i="8"/>
  <c r="E4992" i="8"/>
  <c r="D4984" i="8"/>
  <c r="E4984" i="8"/>
  <c r="D4976" i="8"/>
  <c r="E4976" i="8"/>
  <c r="D4968" i="8"/>
  <c r="E4968" i="8"/>
  <c r="D4960" i="8"/>
  <c r="E4960" i="8"/>
  <c r="D4952" i="8"/>
  <c r="E4952" i="8"/>
  <c r="D4944" i="8"/>
  <c r="E4944" i="8"/>
  <c r="D4936" i="8"/>
  <c r="E4936" i="8"/>
  <c r="D4928" i="8"/>
  <c r="E4928" i="8"/>
  <c r="D6146" i="8"/>
  <c r="E6146" i="8"/>
  <c r="D6090" i="8"/>
  <c r="E6090" i="8"/>
  <c r="D6042" i="8"/>
  <c r="E6042" i="8"/>
  <c r="D6002" i="8"/>
  <c r="E6002" i="8"/>
  <c r="D5954" i="8"/>
  <c r="E5954" i="8"/>
  <c r="D5874" i="8"/>
  <c r="E5874" i="8"/>
  <c r="D5834" i="8"/>
  <c r="E5834" i="8"/>
  <c r="D5786" i="8"/>
  <c r="E5786" i="8"/>
  <c r="D5738" i="8"/>
  <c r="E5738" i="8"/>
  <c r="D5690" i="8"/>
  <c r="E5690" i="8"/>
  <c r="D5634" i="8"/>
  <c r="E5634" i="8"/>
  <c r="D5586" i="8"/>
  <c r="E5586" i="8"/>
  <c r="D5538" i="8"/>
  <c r="E5538" i="8"/>
  <c r="D5490" i="8"/>
  <c r="E5490" i="8"/>
  <c r="D5450" i="8"/>
  <c r="E5450" i="8"/>
  <c r="D5410" i="8"/>
  <c r="E5410" i="8"/>
  <c r="D5362" i="8"/>
  <c r="E5362" i="8"/>
  <c r="D5322" i="8"/>
  <c r="E5322" i="8"/>
  <c r="D5274" i="8"/>
  <c r="E5274" i="8"/>
  <c r="D5186" i="8"/>
  <c r="E5186" i="8"/>
  <c r="D6233" i="8"/>
  <c r="E6233" i="8"/>
  <c r="D6209" i="8"/>
  <c r="E6209" i="8"/>
  <c r="D6177" i="8"/>
  <c r="E6177" i="8"/>
  <c r="D5969" i="8"/>
  <c r="E5969" i="8"/>
  <c r="D5905" i="8"/>
  <c r="E5905" i="8"/>
  <c r="D5873" i="8"/>
  <c r="E5873" i="8"/>
  <c r="D5841" i="8"/>
  <c r="E5841" i="8"/>
  <c r="D5825" i="8"/>
  <c r="E5825" i="8"/>
  <c r="D5801" i="8"/>
  <c r="E5801" i="8"/>
  <c r="D5769" i="8"/>
  <c r="E5769" i="8"/>
  <c r="D5745" i="8"/>
  <c r="E5745" i="8"/>
  <c r="D5705" i="8"/>
  <c r="E5705" i="8"/>
  <c r="D5673" i="8"/>
  <c r="E5673" i="8"/>
  <c r="D5649" i="8"/>
  <c r="E5649" i="8"/>
  <c r="D5625" i="8"/>
  <c r="E5625" i="8"/>
  <c r="D5561" i="8"/>
  <c r="E5561" i="8"/>
  <c r="D5537" i="8"/>
  <c r="E5537" i="8"/>
  <c r="D5529" i="8"/>
  <c r="E5529" i="8"/>
  <c r="D5505" i="8"/>
  <c r="E5505" i="8"/>
  <c r="D5481" i="8"/>
  <c r="E5481" i="8"/>
  <c r="D5433" i="8"/>
  <c r="E5433" i="8"/>
  <c r="D5409" i="8"/>
  <c r="E5409" i="8"/>
  <c r="D5385" i="8"/>
  <c r="E5385" i="8"/>
  <c r="D5361" i="8"/>
  <c r="E5361" i="8"/>
  <c r="D5337" i="8"/>
  <c r="E5337" i="8"/>
  <c r="D5273" i="8"/>
  <c r="E5273" i="8"/>
  <c r="D6224" i="8"/>
  <c r="E6224" i="8"/>
  <c r="D6192" i="8"/>
  <c r="E6192" i="8"/>
  <c r="D6160" i="8"/>
  <c r="E6160" i="8"/>
  <c r="D6144" i="8"/>
  <c r="E6144" i="8"/>
  <c r="D6104" i="8"/>
  <c r="E6104" i="8"/>
  <c r="D6080" i="8"/>
  <c r="E6080" i="8"/>
  <c r="D6064" i="8"/>
  <c r="E6064" i="8"/>
  <c r="D6048" i="8"/>
  <c r="E6048" i="8"/>
  <c r="D6032" i="8"/>
  <c r="E6032" i="8"/>
  <c r="D6008" i="8"/>
  <c r="E6008" i="8"/>
  <c r="D6000" i="8"/>
  <c r="E6000" i="8"/>
  <c r="D5976" i="8"/>
  <c r="E5976" i="8"/>
  <c r="D5960" i="8"/>
  <c r="E5960" i="8"/>
  <c r="D5944" i="8"/>
  <c r="E5944" i="8"/>
  <c r="D5928" i="8"/>
  <c r="E5928" i="8"/>
  <c r="D5912" i="8"/>
  <c r="E5912" i="8"/>
  <c r="D5896" i="8"/>
  <c r="E5896" i="8"/>
  <c r="D5880" i="8"/>
  <c r="E5880" i="8"/>
  <c r="D5864" i="8"/>
  <c r="E5864" i="8"/>
  <c r="D5840" i="8"/>
  <c r="E5840" i="8"/>
  <c r="D5824" i="8"/>
  <c r="E5824" i="8"/>
  <c r="D5792" i="8"/>
  <c r="E5792" i="8"/>
  <c r="D5776" i="8"/>
  <c r="E5776" i="8"/>
  <c r="D5768" i="8"/>
  <c r="E5768" i="8"/>
  <c r="D5712" i="8"/>
  <c r="E5712" i="8"/>
  <c r="D5688" i="8"/>
  <c r="E5688" i="8"/>
  <c r="D5576" i="8"/>
  <c r="E5576" i="8"/>
  <c r="D5568" i="8"/>
  <c r="E5568" i="8"/>
  <c r="D5536" i="8"/>
  <c r="E5536" i="8"/>
  <c r="D5520" i="8"/>
  <c r="E5520" i="8"/>
  <c r="D5504" i="8"/>
  <c r="E5504" i="8"/>
  <c r="D5488" i="8"/>
  <c r="E5488" i="8"/>
  <c r="D5456" i="8"/>
  <c r="E5456" i="8"/>
  <c r="D6231" i="8"/>
  <c r="E6231" i="8"/>
  <c r="D6223" i="8"/>
  <c r="E6223" i="8"/>
  <c r="D6215" i="8"/>
  <c r="E6215" i="8"/>
  <c r="D6207" i="8"/>
  <c r="E6207" i="8"/>
  <c r="D6199" i="8"/>
  <c r="E6199" i="8"/>
  <c r="D6191" i="8"/>
  <c r="E6191" i="8"/>
  <c r="D6183" i="8"/>
  <c r="E6183" i="8"/>
  <c r="D6175" i="8"/>
  <c r="E6175" i="8"/>
  <c r="D6167" i="8"/>
  <c r="E6167" i="8"/>
  <c r="D6159" i="8"/>
  <c r="E6159" i="8"/>
  <c r="D6151" i="8"/>
  <c r="E6151" i="8"/>
  <c r="D6143" i="8"/>
  <c r="E6143" i="8"/>
  <c r="D6135" i="8"/>
  <c r="E6135" i="8"/>
  <c r="D6127" i="8"/>
  <c r="E6127" i="8"/>
  <c r="D6111" i="8"/>
  <c r="E6111" i="8"/>
  <c r="D6103" i="8"/>
  <c r="E6103" i="8"/>
  <c r="D6095" i="8"/>
  <c r="E6095" i="8"/>
  <c r="D6087" i="8"/>
  <c r="E6087" i="8"/>
  <c r="D6079" i="8"/>
  <c r="E6079" i="8"/>
  <c r="D6071" i="8"/>
  <c r="E6071" i="8"/>
  <c r="D6063" i="8"/>
  <c r="E6063" i="8"/>
  <c r="D6055" i="8"/>
  <c r="E6055" i="8"/>
  <c r="D6047" i="8"/>
  <c r="E6047" i="8"/>
  <c r="D6039" i="8"/>
  <c r="E6039" i="8"/>
  <c r="D6031" i="8"/>
  <c r="E6031" i="8"/>
  <c r="D6023" i="8"/>
  <c r="E6023" i="8"/>
  <c r="D6015" i="8"/>
  <c r="E6015" i="8"/>
  <c r="D6007" i="8"/>
  <c r="E6007" i="8"/>
  <c r="D5999" i="8"/>
  <c r="E5999" i="8"/>
  <c r="D5991" i="8"/>
  <c r="E5991" i="8"/>
  <c r="D5983" i="8"/>
  <c r="E5983" i="8"/>
  <c r="D5975" i="8"/>
  <c r="E5975" i="8"/>
  <c r="D5967" i="8"/>
  <c r="E5967" i="8"/>
  <c r="D5959" i="8"/>
  <c r="E5959" i="8"/>
  <c r="D5951" i="8"/>
  <c r="E5951" i="8"/>
  <c r="D5943" i="8"/>
  <c r="E5943" i="8"/>
  <c r="D5935" i="8"/>
  <c r="E5935" i="8"/>
  <c r="D5927" i="8"/>
  <c r="E5927" i="8"/>
  <c r="D5919" i="8"/>
  <c r="E5919" i="8"/>
  <c r="D5911" i="8"/>
  <c r="E5911" i="8"/>
  <c r="D5903" i="8"/>
  <c r="E5903" i="8"/>
  <c r="D5895" i="8"/>
  <c r="E5895" i="8"/>
  <c r="D5887" i="8"/>
  <c r="E5887" i="8"/>
  <c r="D5879" i="8"/>
  <c r="E5879" i="8"/>
  <c r="D5871" i="8"/>
  <c r="E5871" i="8"/>
  <c r="D5863" i="8"/>
  <c r="E5863" i="8"/>
  <c r="D5855" i="8"/>
  <c r="E5855" i="8"/>
  <c r="D5847" i="8"/>
  <c r="E5847" i="8"/>
  <c r="D5839" i="8"/>
  <c r="E5839" i="8"/>
  <c r="D5831" i="8"/>
  <c r="E5831" i="8"/>
  <c r="D5823" i="8"/>
  <c r="E5823" i="8"/>
  <c r="D5815" i="8"/>
  <c r="E5815" i="8"/>
  <c r="D5807" i="8"/>
  <c r="E5807" i="8"/>
  <c r="D5791" i="8"/>
  <c r="E5791" i="8"/>
  <c r="D5783" i="8"/>
  <c r="E5783" i="8"/>
  <c r="D5775" i="8"/>
  <c r="E5775" i="8"/>
  <c r="D5767" i="8"/>
  <c r="E5767" i="8"/>
  <c r="D5759" i="8"/>
  <c r="E5759" i="8"/>
  <c r="D5751" i="8"/>
  <c r="E5751" i="8"/>
  <c r="D5743" i="8"/>
  <c r="E5743" i="8"/>
  <c r="D5735" i="8"/>
  <c r="E5735" i="8"/>
  <c r="D5727" i="8"/>
  <c r="E5727" i="8"/>
  <c r="D5719" i="8"/>
  <c r="E5719" i="8"/>
  <c r="D5711" i="8"/>
  <c r="E5711" i="8"/>
  <c r="D5703" i="8"/>
  <c r="E5703" i="8"/>
  <c r="D5695" i="8"/>
  <c r="E5695" i="8"/>
  <c r="D5687" i="8"/>
  <c r="E5687" i="8"/>
  <c r="D5679" i="8"/>
  <c r="E5679" i="8"/>
  <c r="D5671" i="8"/>
  <c r="E5671" i="8"/>
  <c r="D5663" i="8"/>
  <c r="E5663" i="8"/>
  <c r="D5655" i="8"/>
  <c r="E5655" i="8"/>
  <c r="D5647" i="8"/>
  <c r="E5647" i="8"/>
  <c r="D5639" i="8"/>
  <c r="E5639" i="8"/>
  <c r="D5631" i="8"/>
  <c r="E5631" i="8"/>
  <c r="D5623" i="8"/>
  <c r="E5623" i="8"/>
  <c r="D5615" i="8"/>
  <c r="E5615" i="8"/>
  <c r="D5607" i="8"/>
  <c r="E5607" i="8"/>
  <c r="D5599" i="8"/>
  <c r="E5599" i="8"/>
  <c r="D5591" i="8"/>
  <c r="E5591" i="8"/>
  <c r="D5583" i="8"/>
  <c r="E5583" i="8"/>
  <c r="D5575" i="8"/>
  <c r="E5575" i="8"/>
  <c r="D5567" i="8"/>
  <c r="E5567" i="8"/>
  <c r="D5559" i="8"/>
  <c r="E5559" i="8"/>
  <c r="D5551" i="8"/>
  <c r="E5551" i="8"/>
  <c r="D5543" i="8"/>
  <c r="E5543" i="8"/>
  <c r="D5535" i="8"/>
  <c r="E5535" i="8"/>
  <c r="D5527" i="8"/>
  <c r="E5527" i="8"/>
  <c r="D5519" i="8"/>
  <c r="E5519" i="8"/>
  <c r="D5511" i="8"/>
  <c r="E5511" i="8"/>
  <c r="D5503" i="8"/>
  <c r="E5503" i="8"/>
  <c r="D5495" i="8"/>
  <c r="E5495" i="8"/>
  <c r="D5487" i="8"/>
  <c r="E5487" i="8"/>
  <c r="D5479" i="8"/>
  <c r="E5479" i="8"/>
  <c r="D5463" i="8"/>
  <c r="E5463" i="8"/>
  <c r="D5455" i="8"/>
  <c r="E5455" i="8"/>
  <c r="D5447" i="8"/>
  <c r="E5447" i="8"/>
  <c r="D5439" i="8"/>
  <c r="E5439" i="8"/>
  <c r="D5431" i="8"/>
  <c r="E5431" i="8"/>
  <c r="D5423" i="8"/>
  <c r="E5423" i="8"/>
  <c r="D5415" i="8"/>
  <c r="E5415" i="8"/>
  <c r="D5407" i="8"/>
  <c r="E5407" i="8"/>
  <c r="D5399" i="8"/>
  <c r="E5399" i="8"/>
  <c r="D5391" i="8"/>
  <c r="E5391" i="8"/>
  <c r="D5383" i="8"/>
  <c r="E5383" i="8"/>
  <c r="D5375" i="8"/>
  <c r="E5375" i="8"/>
  <c r="D5367" i="8"/>
  <c r="E5367" i="8"/>
  <c r="D5359" i="8"/>
  <c r="E5359" i="8"/>
  <c r="D5351" i="8"/>
  <c r="E5351" i="8"/>
  <c r="D5343" i="8"/>
  <c r="E5343" i="8"/>
  <c r="D5335" i="8"/>
  <c r="E5335" i="8"/>
  <c r="D5327" i="8"/>
  <c r="E5327" i="8"/>
  <c r="D5319" i="8"/>
  <c r="E5319" i="8"/>
  <c r="D5311" i="8"/>
  <c r="E5311" i="8"/>
  <c r="D5303" i="8"/>
  <c r="E5303" i="8"/>
  <c r="D5295" i="8"/>
  <c r="E5295" i="8"/>
  <c r="D5287" i="8"/>
  <c r="E5287" i="8"/>
  <c r="D5279" i="8"/>
  <c r="E5279" i="8"/>
  <c r="D5271" i="8"/>
  <c r="E5271" i="8"/>
  <c r="D5263" i="8"/>
  <c r="E5263" i="8"/>
  <c r="D5255" i="8"/>
  <c r="E5255" i="8"/>
  <c r="D5247" i="8"/>
  <c r="E5247" i="8"/>
  <c r="D5239" i="8"/>
  <c r="E5239" i="8"/>
  <c r="D5231" i="8"/>
  <c r="E5231" i="8"/>
  <c r="D5223" i="8"/>
  <c r="E5223" i="8"/>
  <c r="D5215" i="8"/>
  <c r="E5215" i="8"/>
  <c r="D5207" i="8"/>
  <c r="E5207" i="8"/>
  <c r="D5199" i="8"/>
  <c r="E5199" i="8"/>
  <c r="D5191" i="8"/>
  <c r="E5191" i="8"/>
  <c r="D5183" i="8"/>
  <c r="E5183" i="8"/>
  <c r="D5175" i="8"/>
  <c r="E5175" i="8"/>
  <c r="D5167" i="8"/>
  <c r="E5167" i="8"/>
  <c r="D5159" i="8"/>
  <c r="E5159" i="8"/>
  <c r="D5151" i="8"/>
  <c r="E5151" i="8"/>
  <c r="D5143" i="8"/>
  <c r="E5143" i="8"/>
  <c r="D5135" i="8"/>
  <c r="E5135" i="8"/>
  <c r="D5127" i="8"/>
  <c r="E5127" i="8"/>
  <c r="D5119" i="8"/>
  <c r="E5119" i="8"/>
  <c r="D5111" i="8"/>
  <c r="E5111" i="8"/>
  <c r="D5103" i="8"/>
  <c r="E5103" i="8"/>
  <c r="D5095" i="8"/>
  <c r="E5095" i="8"/>
  <c r="D5087" i="8"/>
  <c r="E5087" i="8"/>
  <c r="D5079" i="8"/>
  <c r="E5079" i="8"/>
  <c r="D5071" i="8"/>
  <c r="E5071" i="8"/>
  <c r="D5063" i="8"/>
  <c r="E5063" i="8"/>
  <c r="D5055" i="8"/>
  <c r="E5055" i="8"/>
  <c r="D5047" i="8"/>
  <c r="E5047" i="8"/>
  <c r="D5039" i="8"/>
  <c r="E5039" i="8"/>
  <c r="D5031" i="8"/>
  <c r="E5031" i="8"/>
  <c r="D5023" i="8"/>
  <c r="E5023" i="8"/>
  <c r="D5015" i="8"/>
  <c r="E5015" i="8"/>
  <c r="D5007" i="8"/>
  <c r="E5007" i="8"/>
  <c r="D4999" i="8"/>
  <c r="E4999" i="8"/>
  <c r="D4991" i="8"/>
  <c r="E4991" i="8"/>
  <c r="D4983" i="8"/>
  <c r="E4983" i="8"/>
  <c r="D4975" i="8"/>
  <c r="E4975" i="8"/>
  <c r="D4967" i="8"/>
  <c r="E4967" i="8"/>
  <c r="D4959" i="8"/>
  <c r="E4959" i="8"/>
  <c r="D4951" i="8"/>
  <c r="E4951" i="8"/>
  <c r="D4943" i="8"/>
  <c r="E4943" i="8"/>
  <c r="D4935" i="8"/>
  <c r="E4935" i="8"/>
  <c r="D4927" i="8"/>
  <c r="E4927" i="8"/>
  <c r="D6154" i="8"/>
  <c r="E6154" i="8"/>
  <c r="D6098" i="8"/>
  <c r="E6098" i="8"/>
  <c r="D6034" i="8"/>
  <c r="E6034" i="8"/>
  <c r="D5866" i="8"/>
  <c r="E5866" i="8"/>
  <c r="D5746" i="8"/>
  <c r="E5746" i="8"/>
  <c r="D5698" i="8"/>
  <c r="E5698" i="8"/>
  <c r="D5650" i="8"/>
  <c r="E5650" i="8"/>
  <c r="D5610" i="8"/>
  <c r="E5610" i="8"/>
  <c r="D5562" i="8"/>
  <c r="E5562" i="8"/>
  <c r="D5514" i="8"/>
  <c r="E5514" i="8"/>
  <c r="D5466" i="8"/>
  <c r="E5466" i="8"/>
  <c r="D5346" i="8"/>
  <c r="E5346" i="8"/>
  <c r="D5298" i="8"/>
  <c r="E5298" i="8"/>
  <c r="D5202" i="8"/>
  <c r="E5202" i="8"/>
  <c r="D5162" i="8"/>
  <c r="E5162" i="8"/>
  <c r="D5130" i="8"/>
  <c r="E5130" i="8"/>
  <c r="D5106" i="8"/>
  <c r="E5106" i="8"/>
  <c r="D5082" i="8"/>
  <c r="E5082" i="8"/>
  <c r="D5066" i="8"/>
  <c r="E5066" i="8"/>
  <c r="D5050" i="8"/>
  <c r="E5050" i="8"/>
  <c r="D5042" i="8"/>
  <c r="E5042" i="8"/>
  <c r="D5026" i="8"/>
  <c r="E5026" i="8"/>
  <c r="D5018" i="8"/>
  <c r="E5018" i="8"/>
  <c r="D5010" i="8"/>
  <c r="E5010" i="8"/>
  <c r="D5002" i="8"/>
  <c r="E5002" i="8"/>
  <c r="D4994" i="8"/>
  <c r="E4994" i="8"/>
  <c r="D4986" i="8"/>
  <c r="E4986" i="8"/>
  <c r="D4978" i="8"/>
  <c r="E4978" i="8"/>
  <c r="D4970" i="8"/>
  <c r="E4970" i="8"/>
  <c r="D4962" i="8"/>
  <c r="E4962" i="8"/>
  <c r="D4954" i="8"/>
  <c r="E4954" i="8"/>
  <c r="D4946" i="8"/>
  <c r="E4946" i="8"/>
  <c r="D4938" i="8"/>
  <c r="E4938" i="8"/>
  <c r="D4930" i="8"/>
  <c r="E4930" i="8"/>
  <c r="D4922" i="8"/>
  <c r="E4922" i="8"/>
  <c r="D6137" i="8"/>
  <c r="E6137" i="8"/>
  <c r="D6041" i="8"/>
  <c r="E6041" i="8"/>
  <c r="D5937" i="8"/>
  <c r="E5937" i="8"/>
  <c r="D5793" i="8"/>
  <c r="E5793" i="8"/>
  <c r="D5761" i="8"/>
  <c r="E5761" i="8"/>
  <c r="D5737" i="8"/>
  <c r="E5737" i="8"/>
  <c r="D5713" i="8"/>
  <c r="E5713" i="8"/>
  <c r="D5689" i="8"/>
  <c r="E5689" i="8"/>
  <c r="D5657" i="8"/>
  <c r="E5657" i="8"/>
  <c r="D5633" i="8"/>
  <c r="E5633" i="8"/>
  <c r="D5601" i="8"/>
  <c r="E5601" i="8"/>
  <c r="D5577" i="8"/>
  <c r="E5577" i="8"/>
  <c r="D5553" i="8"/>
  <c r="E5553" i="8"/>
  <c r="D5521" i="8"/>
  <c r="E5521" i="8"/>
  <c r="D5497" i="8"/>
  <c r="E5497" i="8"/>
  <c r="D5473" i="8"/>
  <c r="E5473" i="8"/>
  <c r="D5425" i="8"/>
  <c r="E5425" i="8"/>
  <c r="D5417" i="8"/>
  <c r="E5417" i="8"/>
  <c r="D5393" i="8"/>
  <c r="E5393" i="8"/>
  <c r="D5369" i="8"/>
  <c r="E5369" i="8"/>
  <c r="D5345" i="8"/>
  <c r="E5345" i="8"/>
  <c r="D5297" i="8"/>
  <c r="E5297" i="8"/>
  <c r="D5281" i="8"/>
  <c r="E5281" i="8"/>
  <c r="D5241" i="8"/>
  <c r="E5241" i="8"/>
  <c r="D5225" i="8"/>
  <c r="E5225" i="8"/>
  <c r="D5209" i="8"/>
  <c r="E5209" i="8"/>
  <c r="D5193" i="8"/>
  <c r="E5193" i="8"/>
  <c r="D5169" i="8"/>
  <c r="E5169" i="8"/>
  <c r="D5161" i="8"/>
  <c r="E5161" i="8"/>
  <c r="D5145" i="8"/>
  <c r="E5145" i="8"/>
  <c r="D5137" i="8"/>
  <c r="E5137" i="8"/>
  <c r="D5129" i="8"/>
  <c r="E5129" i="8"/>
  <c r="D5121" i="8"/>
  <c r="E5121" i="8"/>
  <c r="D5113" i="8"/>
  <c r="E5113" i="8"/>
  <c r="D5105" i="8"/>
  <c r="E5105" i="8"/>
  <c r="D5097" i="8"/>
  <c r="E5097" i="8"/>
  <c r="D5089" i="8"/>
  <c r="E5089" i="8"/>
  <c r="D5081" i="8"/>
  <c r="E5081" i="8"/>
  <c r="D5073" i="8"/>
  <c r="E5073" i="8"/>
  <c r="D5065" i="8"/>
  <c r="E5065" i="8"/>
  <c r="D5057" i="8"/>
  <c r="E5057" i="8"/>
  <c r="D5049" i="8"/>
  <c r="E5049" i="8"/>
  <c r="D5041" i="8"/>
  <c r="E5041" i="8"/>
  <c r="D5033" i="8"/>
  <c r="E5033" i="8"/>
  <c r="D5025" i="8"/>
  <c r="E5025" i="8"/>
  <c r="D5017" i="8"/>
  <c r="E5017" i="8"/>
  <c r="D5009" i="8"/>
  <c r="E5009" i="8"/>
  <c r="D5001" i="8"/>
  <c r="E5001" i="8"/>
  <c r="D4993" i="8"/>
  <c r="E4993" i="8"/>
  <c r="D4985" i="8"/>
  <c r="E4985" i="8"/>
  <c r="D4977" i="8"/>
  <c r="E4977" i="8"/>
  <c r="D4969" i="8"/>
  <c r="E4969" i="8"/>
  <c r="D4961" i="8"/>
  <c r="E4961" i="8"/>
  <c r="D4953" i="8"/>
  <c r="E4953" i="8"/>
  <c r="D4945" i="8"/>
  <c r="E4945" i="8"/>
  <c r="D4937" i="8"/>
  <c r="E4937" i="8"/>
  <c r="D4929" i="8"/>
  <c r="E4929" i="8"/>
  <c r="D6222" i="8"/>
  <c r="E6222" i="8"/>
  <c r="D6214" i="8"/>
  <c r="E6214" i="8"/>
  <c r="D6198" i="8"/>
  <c r="E6198" i="8"/>
  <c r="D6174" i="8"/>
  <c r="E6174" i="8"/>
  <c r="D6150" i="8"/>
  <c r="E6150" i="8"/>
  <c r="D6134" i="8"/>
  <c r="E6134" i="8"/>
  <c r="D6126" i="8"/>
  <c r="E6126" i="8"/>
  <c r="D6118" i="8"/>
  <c r="E6118" i="8"/>
  <c r="D6110" i="8"/>
  <c r="E6110" i="8"/>
  <c r="D6102" i="8"/>
  <c r="E6102" i="8"/>
  <c r="D6094" i="8"/>
  <c r="E6094" i="8"/>
  <c r="D6078" i="8"/>
  <c r="E6078" i="8"/>
  <c r="D6062" i="8"/>
  <c r="E6062" i="8"/>
  <c r="D6046" i="8"/>
  <c r="E6046" i="8"/>
  <c r="D6030" i="8"/>
  <c r="E6030" i="8"/>
  <c r="D6022" i="8"/>
  <c r="E6022" i="8"/>
  <c r="D6014" i="8"/>
  <c r="E6014" i="8"/>
  <c r="D6006" i="8"/>
  <c r="E6006" i="8"/>
  <c r="D5982" i="8"/>
  <c r="E5982" i="8"/>
  <c r="D5966" i="8"/>
  <c r="E5966" i="8"/>
  <c r="D5958" i="8"/>
  <c r="E5958" i="8"/>
  <c r="D5950" i="8"/>
  <c r="E5950" i="8"/>
  <c r="D5926" i="8"/>
  <c r="E5926" i="8"/>
  <c r="D5918" i="8"/>
  <c r="E5918" i="8"/>
  <c r="D5910" i="8"/>
  <c r="E5910" i="8"/>
  <c r="D5886" i="8"/>
  <c r="E5886" i="8"/>
  <c r="D5854" i="8"/>
  <c r="E5854" i="8"/>
  <c r="D5846" i="8"/>
  <c r="E5846" i="8"/>
  <c r="D5838" i="8"/>
  <c r="E5838" i="8"/>
  <c r="D5830" i="8"/>
  <c r="E5830" i="8"/>
  <c r="D5798" i="8"/>
  <c r="E5798" i="8"/>
  <c r="D5774" i="8"/>
  <c r="E5774" i="8"/>
  <c r="D5766" i="8"/>
  <c r="E5766" i="8"/>
  <c r="D5750" i="8"/>
  <c r="E5750" i="8"/>
  <c r="D5742" i="8"/>
  <c r="E5742" i="8"/>
  <c r="D5710" i="8"/>
  <c r="E5710" i="8"/>
  <c r="D5694" i="8"/>
  <c r="E5694" i="8"/>
  <c r="D5686" i="8"/>
  <c r="E5686" i="8"/>
  <c r="D5678" i="8"/>
  <c r="E5678" i="8"/>
  <c r="D5662" i="8"/>
  <c r="E5662" i="8"/>
  <c r="D5654" i="8"/>
  <c r="E5654" i="8"/>
  <c r="D5638" i="8"/>
  <c r="E5638" i="8"/>
  <c r="D5630" i="8"/>
  <c r="E5630" i="8"/>
  <c r="D5622" i="8"/>
  <c r="E5622" i="8"/>
  <c r="D5614" i="8"/>
  <c r="E5614" i="8"/>
  <c r="D5606" i="8"/>
  <c r="E5606" i="8"/>
  <c r="D5590" i="8"/>
  <c r="E5590" i="8"/>
  <c r="D5582" i="8"/>
  <c r="E5582" i="8"/>
  <c r="D5574" i="8"/>
  <c r="E5574" i="8"/>
  <c r="D5566" i="8"/>
  <c r="E5566" i="8"/>
  <c r="D5558" i="8"/>
  <c r="E5558" i="8"/>
  <c r="D5550" i="8"/>
  <c r="E5550" i="8"/>
  <c r="D5542" i="8"/>
  <c r="E5542" i="8"/>
  <c r="D5534" i="8"/>
  <c r="E5534" i="8"/>
  <c r="D5526" i="8"/>
  <c r="E5526" i="8"/>
  <c r="D5518" i="8"/>
  <c r="E5518" i="8"/>
  <c r="D5510" i="8"/>
  <c r="E5510" i="8"/>
  <c r="D5502" i="8"/>
  <c r="E5502" i="8"/>
  <c r="D5494" i="8"/>
  <c r="E5494" i="8"/>
  <c r="D5486" i="8"/>
  <c r="E5486" i="8"/>
  <c r="D5470" i="8"/>
  <c r="E5470" i="8"/>
  <c r="D5462" i="8"/>
  <c r="E5462" i="8"/>
  <c r="D5454" i="8"/>
  <c r="E5454" i="8"/>
  <c r="D5446" i="8"/>
  <c r="E5446" i="8"/>
  <c r="D5438" i="8"/>
  <c r="E5438" i="8"/>
  <c r="D5430" i="8"/>
  <c r="E5430" i="8"/>
  <c r="D5422" i="8"/>
  <c r="E5422" i="8"/>
  <c r="D5414" i="8"/>
  <c r="E5414" i="8"/>
  <c r="D5406" i="8"/>
  <c r="E5406" i="8"/>
  <c r="D5398" i="8"/>
  <c r="E5398" i="8"/>
  <c r="D5390" i="8"/>
  <c r="E5390" i="8"/>
  <c r="D5382" i="8"/>
  <c r="E5382" i="8"/>
  <c r="D5374" i="8"/>
  <c r="E5374" i="8"/>
  <c r="D5366" i="8"/>
  <c r="E5366" i="8"/>
  <c r="D5358" i="8"/>
  <c r="E5358" i="8"/>
  <c r="D5350" i="8"/>
  <c r="E5350" i="8"/>
  <c r="D5342" i="8"/>
  <c r="E5342" i="8"/>
  <c r="D5334" i="8"/>
  <c r="E5334" i="8"/>
  <c r="D5326" i="8"/>
  <c r="E5326" i="8"/>
  <c r="D5318" i="8"/>
  <c r="E5318" i="8"/>
  <c r="D5310" i="8"/>
  <c r="E5310" i="8"/>
  <c r="D5302" i="8"/>
  <c r="E5302" i="8"/>
  <c r="D5294" i="8"/>
  <c r="E5294" i="8"/>
  <c r="D5286" i="8"/>
  <c r="E5286" i="8"/>
  <c r="D5278" i="8"/>
  <c r="E5278" i="8"/>
  <c r="D5270" i="8"/>
  <c r="E5270" i="8"/>
  <c r="D5262" i="8"/>
  <c r="E5262" i="8"/>
  <c r="D5254" i="8"/>
  <c r="E5254" i="8"/>
  <c r="D5246" i="8"/>
  <c r="E5246" i="8"/>
  <c r="D5238" i="8"/>
  <c r="E5238" i="8"/>
  <c r="D5230" i="8"/>
  <c r="E5230" i="8"/>
  <c r="D5222" i="8"/>
  <c r="E5222" i="8"/>
  <c r="D5214" i="8"/>
  <c r="E5214" i="8"/>
  <c r="D5206" i="8"/>
  <c r="E5206" i="8"/>
  <c r="D5198" i="8"/>
  <c r="E5198" i="8"/>
  <c r="D5190" i="8"/>
  <c r="E5190" i="8"/>
  <c r="D5182" i="8"/>
  <c r="E5182" i="8"/>
  <c r="D5174" i="8"/>
  <c r="E5174" i="8"/>
  <c r="D5166" i="8"/>
  <c r="E5166" i="8"/>
  <c r="D5158" i="8"/>
  <c r="E5158" i="8"/>
  <c r="D5150" i="8"/>
  <c r="E5150" i="8"/>
  <c r="D5142" i="8"/>
  <c r="E5142" i="8"/>
  <c r="D5134" i="8"/>
  <c r="E5134" i="8"/>
  <c r="D5126" i="8"/>
  <c r="E5126" i="8"/>
  <c r="D5118" i="8"/>
  <c r="E5118" i="8"/>
  <c r="D5110" i="8"/>
  <c r="E5110" i="8"/>
  <c r="D5102" i="8"/>
  <c r="E5102" i="8"/>
  <c r="D5094" i="8"/>
  <c r="E5094" i="8"/>
  <c r="D5086" i="8"/>
  <c r="E5086" i="8"/>
  <c r="D5078" i="8"/>
  <c r="E5078" i="8"/>
  <c r="D5070" i="8"/>
  <c r="E5070" i="8"/>
  <c r="D5062" i="8"/>
  <c r="E5062" i="8"/>
  <c r="D5054" i="8"/>
  <c r="E5054" i="8"/>
  <c r="D5046" i="8"/>
  <c r="E5046" i="8"/>
  <c r="D5038" i="8"/>
  <c r="E5038" i="8"/>
  <c r="D5030" i="8"/>
  <c r="E5030" i="8"/>
  <c r="D5022" i="8"/>
  <c r="E5022" i="8"/>
  <c r="D5014" i="8"/>
  <c r="E5014" i="8"/>
  <c r="D5006" i="8"/>
  <c r="E5006" i="8"/>
  <c r="D4998" i="8"/>
  <c r="E4998" i="8"/>
  <c r="D4990" i="8"/>
  <c r="E4990" i="8"/>
  <c r="D4982" i="8"/>
  <c r="E4982" i="8"/>
  <c r="D4974" i="8"/>
  <c r="E4974" i="8"/>
  <c r="D4966" i="8"/>
  <c r="E4966" i="8"/>
  <c r="D4958" i="8"/>
  <c r="E4958" i="8"/>
  <c r="D4950" i="8"/>
  <c r="E4950" i="8"/>
  <c r="D4942" i="8"/>
  <c r="E4942" i="8"/>
  <c r="D4934" i="8"/>
  <c r="E4934" i="8"/>
  <c r="D4926" i="8"/>
  <c r="E4926" i="8"/>
  <c r="D6213" i="8"/>
  <c r="E6213" i="8"/>
  <c r="D6189" i="8"/>
  <c r="E6189" i="8"/>
  <c r="D6101" i="8"/>
  <c r="E6101" i="8"/>
  <c r="D6077" i="8"/>
  <c r="E6077" i="8"/>
  <c r="D6053" i="8"/>
  <c r="E6053" i="8"/>
  <c r="D6029" i="8"/>
  <c r="E6029" i="8"/>
  <c r="D6005" i="8"/>
  <c r="E6005" i="8"/>
  <c r="D5981" i="8"/>
  <c r="E5981" i="8"/>
  <c r="D5957" i="8"/>
  <c r="E5957" i="8"/>
  <c r="D5933" i="8"/>
  <c r="E5933" i="8"/>
  <c r="D5909" i="8"/>
  <c r="E5909" i="8"/>
  <c r="D5885" i="8"/>
  <c r="E5885" i="8"/>
  <c r="D5861" i="8"/>
  <c r="E5861" i="8"/>
  <c r="D5837" i="8"/>
  <c r="E5837" i="8"/>
  <c r="D5813" i="8"/>
  <c r="E5813" i="8"/>
  <c r="D5789" i="8"/>
  <c r="E5789" i="8"/>
  <c r="D5765" i="8"/>
  <c r="E5765" i="8"/>
  <c r="D5741" i="8"/>
  <c r="E5741" i="8"/>
  <c r="D5717" i="8"/>
  <c r="E5717" i="8"/>
  <c r="D5693" i="8"/>
  <c r="E5693" i="8"/>
  <c r="D5669" i="8"/>
  <c r="E5669" i="8"/>
  <c r="D5637" i="8"/>
  <c r="E5637" i="8"/>
  <c r="D5613" i="8"/>
  <c r="E5613" i="8"/>
  <c r="D5589" i="8"/>
  <c r="E5589" i="8"/>
  <c r="D5565" i="8"/>
  <c r="E5565" i="8"/>
  <c r="D5541" i="8"/>
  <c r="E5541" i="8"/>
  <c r="D5509" i="8"/>
  <c r="E5509" i="8"/>
  <c r="D5445" i="8"/>
  <c r="E5445" i="8"/>
  <c r="D5819" i="8"/>
  <c r="D5347" i="8"/>
  <c r="D5211" i="8"/>
  <c r="D6235" i="8"/>
  <c r="D6227" i="8"/>
  <c r="D6203" i="8"/>
  <c r="D6171" i="8"/>
  <c r="D6163" i="8"/>
  <c r="D6147" i="8"/>
  <c r="D5922" i="8"/>
  <c r="D5858" i="8"/>
  <c r="D5794" i="8"/>
  <c r="D5740" i="8"/>
  <c r="D5718" i="8"/>
  <c r="D5676" i="8"/>
  <c r="D5588" i="8"/>
  <c r="D5452" i="8"/>
  <c r="D5803" i="8"/>
  <c r="D5147" i="8"/>
  <c r="D5250" i="8"/>
  <c r="D5234" i="8"/>
  <c r="D6234" i="8"/>
  <c r="D6218" i="8"/>
  <c r="D6202" i="8"/>
  <c r="D6194" i="8"/>
  <c r="D6186" i="8"/>
  <c r="D6178" i="8"/>
  <c r="D6162" i="8"/>
  <c r="D6138" i="8"/>
  <c r="D6122" i="8"/>
  <c r="D5994" i="8"/>
  <c r="D5985" i="8"/>
  <c r="D5948" i="8"/>
  <c r="D5921" i="8"/>
  <c r="D5900" i="8"/>
  <c r="D5878" i="8"/>
  <c r="D5868" i="8"/>
  <c r="D5857" i="8"/>
  <c r="D5822" i="8"/>
  <c r="D5809" i="8"/>
  <c r="D5777" i="8"/>
  <c r="D5758" i="8"/>
  <c r="D5787" i="8"/>
  <c r="D5475" i="8"/>
  <c r="D5427" i="8"/>
  <c r="D5299" i="8"/>
  <c r="D5426" i="8"/>
  <c r="D5665" i="8"/>
  <c r="D6225" i="8"/>
  <c r="D6201" i="8"/>
  <c r="D6185" i="8"/>
  <c r="D6169" i="8"/>
  <c r="D6145" i="8"/>
  <c r="D6121" i="8"/>
  <c r="D6105" i="8"/>
  <c r="D6097" i="8"/>
  <c r="D6089" i="8"/>
  <c r="D6081" i="8"/>
  <c r="D6073" i="8"/>
  <c r="D6065" i="8"/>
  <c r="D6057" i="8"/>
  <c r="D6025" i="8"/>
  <c r="D6001" i="8"/>
  <c r="D5993" i="8"/>
  <c r="D5974" i="8"/>
  <c r="D5929" i="8"/>
  <c r="D5898" i="8"/>
  <c r="D5833" i="8"/>
  <c r="D5806" i="8"/>
  <c r="D5790" i="8"/>
  <c r="D5756" i="8"/>
  <c r="D5734" i="8"/>
  <c r="D5692" i="8"/>
  <c r="D5670" i="8"/>
  <c r="D5244" i="8"/>
  <c r="D5585" i="8"/>
  <c r="D5457" i="8"/>
  <c r="D5249" i="8"/>
  <c r="D5217" i="8"/>
  <c r="D5177" i="8"/>
  <c r="D6216" i="8"/>
  <c r="D6208" i="8"/>
  <c r="D6200" i="8"/>
  <c r="D6184" i="8"/>
  <c r="D6176" i="8"/>
  <c r="D6152" i="8"/>
  <c r="D6128" i="8"/>
  <c r="D5964" i="8"/>
  <c r="D5897" i="8"/>
  <c r="D5772" i="8"/>
  <c r="D5732" i="8"/>
  <c r="D5668" i="8"/>
  <c r="D5646" i="8"/>
  <c r="D5364" i="8"/>
  <c r="D5779" i="8"/>
  <c r="D5394" i="8"/>
  <c r="D5146" i="8"/>
  <c r="D5753" i="8"/>
  <c r="D5305" i="8"/>
  <c r="D5744" i="8"/>
  <c r="D5600" i="8"/>
  <c r="D5528" i="8"/>
  <c r="D5512" i="8"/>
  <c r="D5424" i="8"/>
  <c r="D5416" i="8"/>
  <c r="D5400" i="8"/>
  <c r="D5368" i="8"/>
  <c r="D5352" i="8"/>
  <c r="D5336" i="8"/>
  <c r="D5320" i="8"/>
  <c r="D5264" i="8"/>
  <c r="D5232" i="8"/>
  <c r="D5200" i="8"/>
  <c r="D5168" i="8"/>
  <c r="D5799" i="8"/>
  <c r="D6119" i="8"/>
  <c r="D5990" i="8"/>
  <c r="D5972" i="8"/>
  <c r="D5945" i="8"/>
  <c r="D5906" i="8"/>
  <c r="D5817" i="8"/>
  <c r="D5708" i="8"/>
  <c r="D5572" i="8"/>
  <c r="D5164" i="8"/>
  <c r="D5627" i="8"/>
  <c r="D5443" i="8"/>
  <c r="D5808" i="8"/>
  <c r="D5784" i="8"/>
  <c r="D5760" i="8"/>
  <c r="D5592" i="8"/>
  <c r="D5471" i="8"/>
  <c r="D6230" i="8"/>
  <c r="D6206" i="8"/>
  <c r="D6190" i="8"/>
  <c r="D6182" i="8"/>
  <c r="D6166" i="8"/>
  <c r="D6158" i="8"/>
  <c r="D6142" i="8"/>
  <c r="D6086" i="8"/>
  <c r="D6070" i="8"/>
  <c r="D6054" i="8"/>
  <c r="D6038" i="8"/>
  <c r="D5998" i="8"/>
  <c r="D5980" i="8"/>
  <c r="D5934" i="8"/>
  <c r="D5894" i="8"/>
  <c r="D5862" i="8"/>
  <c r="D5816" i="8"/>
  <c r="D5748" i="8"/>
  <c r="D5726" i="8"/>
  <c r="D5684" i="8"/>
  <c r="D5598" i="8"/>
  <c r="D5412" i="8"/>
  <c r="D5643" i="8"/>
  <c r="D5729" i="8"/>
  <c r="D5449" i="8"/>
  <c r="D5289" i="8"/>
  <c r="D5185" i="8"/>
  <c r="D5728" i="8"/>
  <c r="D5704" i="8"/>
  <c r="D5560" i="8"/>
  <c r="D5544" i="8"/>
  <c r="D5432" i="8"/>
  <c r="D5384" i="8"/>
  <c r="D5176" i="8"/>
  <c r="D5160" i="8"/>
  <c r="D5144" i="8"/>
  <c r="D5478" i="8"/>
  <c r="D5285" i="8"/>
  <c r="D5269" i="8"/>
  <c r="D5261" i="8"/>
  <c r="D5205" i="8"/>
  <c r="D5181" i="8"/>
  <c r="D5165" i="8"/>
  <c r="D5157" i="8"/>
  <c r="D6197" i="8"/>
  <c r="D6165" i="8"/>
  <c r="D6149" i="8"/>
  <c r="D6133" i="8"/>
  <c r="D5961" i="8"/>
  <c r="D5942" i="8"/>
  <c r="D5826" i="8"/>
  <c r="D5814" i="8"/>
  <c r="D5782" i="8"/>
  <c r="D5724" i="8"/>
  <c r="D5702" i="8"/>
  <c r="D5660" i="8"/>
  <c r="D5763" i="8"/>
  <c r="D5435" i="8"/>
  <c r="D5251" i="8"/>
  <c r="D5313" i="8"/>
  <c r="D6196" i="8"/>
  <c r="D6132" i="8"/>
  <c r="D6108" i="8"/>
  <c r="D6084" i="8"/>
  <c r="D6076" i="8"/>
  <c r="D6068" i="8"/>
  <c r="D6044" i="8"/>
  <c r="D6012" i="8"/>
  <c r="D6004" i="8"/>
  <c r="D5978" i="8"/>
  <c r="D5913" i="8"/>
  <c r="D5902" i="8"/>
  <c r="D5870" i="8"/>
  <c r="D5849" i="8"/>
  <c r="D5780" i="8"/>
  <c r="D5636" i="8"/>
  <c r="D5332" i="8"/>
  <c r="P7" i="12"/>
  <c r="P6" i="12"/>
  <c r="P5" i="12"/>
  <c r="P4" i="12"/>
  <c r="E26" i="8" l="1"/>
  <c r="D26" i="8"/>
  <c r="D3355" i="8" l="1"/>
  <c r="D3871" i="8"/>
  <c r="D3609" i="8"/>
  <c r="D3743" i="8"/>
  <c r="D4722" i="8"/>
  <c r="D4490" i="8"/>
  <c r="D4892" i="8"/>
  <c r="D4860" i="8"/>
  <c r="D4828" i="8"/>
  <c r="D4796" i="8"/>
  <c r="D4764" i="8"/>
  <c r="D4732" i="8"/>
  <c r="D4700" i="8"/>
  <c r="D4668" i="8"/>
  <c r="D4636" i="8"/>
  <c r="D4604" i="8"/>
  <c r="D4572" i="8"/>
  <c r="D4540" i="8"/>
  <c r="D4882" i="8"/>
  <c r="D4610" i="8"/>
  <c r="D4917" i="8"/>
  <c r="D4900" i="8"/>
  <c r="D4915" i="8"/>
  <c r="D4883" i="8"/>
  <c r="D4851" i="8"/>
  <c r="D4819" i="8"/>
  <c r="D4787" i="8"/>
  <c r="D4755" i="8"/>
  <c r="D4723" i="8"/>
  <c r="D4691" i="8"/>
  <c r="D4659" i="8"/>
  <c r="D4627" i="8"/>
  <c r="D4595" i="8"/>
  <c r="D4563" i="8"/>
  <c r="D4898" i="8"/>
  <c r="D4250" i="8"/>
  <c r="D4186" i="8"/>
  <c r="D4154" i="8"/>
  <c r="D4122" i="8"/>
  <c r="D4090" i="8"/>
  <c r="D4058" i="8"/>
  <c r="D4026" i="8"/>
  <c r="D3994" i="8"/>
  <c r="D3962" i="8"/>
  <c r="D3930" i="8"/>
  <c r="D3898" i="8"/>
  <c r="D3866" i="8"/>
  <c r="D3834" i="8"/>
  <c r="D3802" i="8"/>
  <c r="D4690" i="8"/>
  <c r="D4466" i="8"/>
  <c r="D4338" i="8"/>
  <c r="D4905" i="8"/>
  <c r="D4785" i="8"/>
  <c r="D4729" i="8"/>
  <c r="D4697" i="8"/>
  <c r="D4665" i="8"/>
  <c r="D4633" i="8"/>
  <c r="D4601" i="8"/>
  <c r="D4569" i="8"/>
  <c r="D4537" i="8"/>
  <c r="D4505" i="8"/>
  <c r="D4473" i="8"/>
  <c r="D4441" i="8"/>
  <c r="D4826" i="8"/>
  <c r="D4586" i="8"/>
  <c r="D4410" i="8"/>
  <c r="D4282" i="8"/>
  <c r="D4817" i="8"/>
  <c r="D4912" i="8"/>
  <c r="D4880" i="8"/>
  <c r="D4848" i="8"/>
  <c r="D4816" i="8"/>
  <c r="D4784" i="8"/>
  <c r="D4752" i="8"/>
  <c r="D4720" i="8"/>
  <c r="D4688" i="8"/>
  <c r="D4656" i="8"/>
  <c r="D4810" i="8"/>
  <c r="D4570" i="8"/>
  <c r="D4394" i="8"/>
  <c r="D4274" i="8"/>
  <c r="D4921" i="8"/>
  <c r="D4801" i="8"/>
  <c r="D4639" i="8"/>
  <c r="D28" i="8"/>
  <c r="D4511" i="8"/>
  <c r="D4914" i="8"/>
  <c r="D4650" i="8"/>
  <c r="D4884" i="8"/>
  <c r="D4852" i="8"/>
  <c r="D4820" i="8"/>
  <c r="D4788" i="8"/>
  <c r="D4756" i="8"/>
  <c r="D4724" i="8"/>
  <c r="D4692" i="8"/>
  <c r="D4660" i="8"/>
  <c r="D4628" i="8"/>
  <c r="D4596" i="8"/>
  <c r="D4564" i="8"/>
  <c r="D4532" i="8"/>
  <c r="D4802" i="8"/>
  <c r="D4554" i="8"/>
  <c r="D4907" i="8"/>
  <c r="D4875" i="8"/>
  <c r="D4843" i="8"/>
  <c r="D4811" i="8"/>
  <c r="D4779" i="8"/>
  <c r="D4747" i="8"/>
  <c r="D4715" i="8"/>
  <c r="D4683" i="8"/>
  <c r="D4651" i="8"/>
  <c r="D4619" i="8"/>
  <c r="D4587" i="8"/>
  <c r="D4555" i="8"/>
  <c r="D4834" i="8"/>
  <c r="D4210" i="8"/>
  <c r="D4178" i="8"/>
  <c r="D4146" i="8"/>
  <c r="D4114" i="8"/>
  <c r="D4082" i="8"/>
  <c r="D4050" i="8"/>
  <c r="D4018" i="8"/>
  <c r="D3986" i="8"/>
  <c r="D3954" i="8"/>
  <c r="D3922" i="8"/>
  <c r="D3890" i="8"/>
  <c r="D3858" i="8"/>
  <c r="D3826" i="8"/>
  <c r="D4866" i="8"/>
  <c r="D4634" i="8"/>
  <c r="D4434" i="8"/>
  <c r="D4306" i="8"/>
  <c r="D4873" i="8"/>
  <c r="D4769" i="8"/>
  <c r="D4721" i="8"/>
  <c r="D4689" i="8"/>
  <c r="D4657" i="8"/>
  <c r="D4625" i="8"/>
  <c r="D4593" i="8"/>
  <c r="D4561" i="8"/>
  <c r="D4529" i="8"/>
  <c r="D4497" i="8"/>
  <c r="D4465" i="8"/>
  <c r="D4762" i="8"/>
  <c r="D4530" i="8"/>
  <c r="D4378" i="8"/>
  <c r="D4242" i="8"/>
  <c r="D4913" i="8"/>
  <c r="D4793" i="8"/>
  <c r="D4904" i="8"/>
  <c r="D4872" i="8"/>
  <c r="D4840" i="8"/>
  <c r="D4808" i="8"/>
  <c r="D4776" i="8"/>
  <c r="D4744" i="8"/>
  <c r="D4712" i="8"/>
  <c r="D4680" i="8"/>
  <c r="D4648" i="8"/>
  <c r="D4738" i="8"/>
  <c r="D4514" i="8"/>
  <c r="D4362" i="8"/>
  <c r="D4234" i="8"/>
  <c r="D4889" i="8"/>
  <c r="D4761" i="8"/>
  <c r="D4911" i="8"/>
  <c r="D4879" i="8"/>
  <c r="D4847" i="8"/>
  <c r="D4815" i="8"/>
  <c r="D4783" i="8"/>
  <c r="D4751" i="8"/>
  <c r="D4383" i="8"/>
  <c r="D4255" i="8"/>
  <c r="D4850" i="8"/>
  <c r="D4602" i="8"/>
  <c r="D4876" i="8"/>
  <c r="D4844" i="8"/>
  <c r="D4812" i="8"/>
  <c r="D4780" i="8"/>
  <c r="D4748" i="8"/>
  <c r="D4716" i="8"/>
  <c r="D4684" i="8"/>
  <c r="D4652" i="8"/>
  <c r="D4620" i="8"/>
  <c r="D4588" i="8"/>
  <c r="D4556" i="8"/>
  <c r="D4524" i="8"/>
  <c r="D4746" i="8"/>
  <c r="D4498" i="8"/>
  <c r="D4899" i="8"/>
  <c r="D4867" i="8"/>
  <c r="D4835" i="8"/>
  <c r="D4803" i="8"/>
  <c r="D4771" i="8"/>
  <c r="D4739" i="8"/>
  <c r="D4707" i="8"/>
  <c r="D4675" i="8"/>
  <c r="D4643" i="8"/>
  <c r="D4611" i="8"/>
  <c r="D4579" i="8"/>
  <c r="D4770" i="8"/>
  <c r="D4202" i="8"/>
  <c r="D4170" i="8"/>
  <c r="D4138" i="8"/>
  <c r="D4106" i="8"/>
  <c r="D4074" i="8"/>
  <c r="D4042" i="8"/>
  <c r="D4010" i="8"/>
  <c r="D3978" i="8"/>
  <c r="D3946" i="8"/>
  <c r="D3914" i="8"/>
  <c r="D3882" i="8"/>
  <c r="D3850" i="8"/>
  <c r="D3818" i="8"/>
  <c r="D4818" i="8"/>
  <c r="D4578" i="8"/>
  <c r="D4402" i="8"/>
  <c r="D4266" i="8"/>
  <c r="D4841" i="8"/>
  <c r="D4745" i="8"/>
  <c r="D4713" i="8"/>
  <c r="D4681" i="8"/>
  <c r="D4649" i="8"/>
  <c r="D4617" i="8"/>
  <c r="D4585" i="8"/>
  <c r="D4553" i="8"/>
  <c r="D4521" i="8"/>
  <c r="D4489" i="8"/>
  <c r="D4457" i="8"/>
  <c r="D4698" i="8"/>
  <c r="D4474" i="8"/>
  <c r="D4346" i="8"/>
  <c r="D4881" i="8"/>
  <c r="D4777" i="8"/>
  <c r="D4896" i="8"/>
  <c r="D4864" i="8"/>
  <c r="D4832" i="8"/>
  <c r="D4800" i="8"/>
  <c r="D4768" i="8"/>
  <c r="D4736" i="8"/>
  <c r="D4704" i="8"/>
  <c r="D4672" i="8"/>
  <c r="D4640" i="8"/>
  <c r="D4682" i="8"/>
  <c r="D4458" i="8"/>
  <c r="D4330" i="8"/>
  <c r="D4857" i="8"/>
  <c r="D4127" i="8"/>
  <c r="D3999" i="8"/>
  <c r="D4868" i="8"/>
  <c r="D4612" i="8"/>
  <c r="D4699" i="8"/>
  <c r="D4002" i="8"/>
  <c r="D4522" i="8"/>
  <c r="D4609" i="8"/>
  <c r="D4792" i="8"/>
  <c r="D4298" i="8"/>
  <c r="D4887" i="8"/>
  <c r="D4759" i="8"/>
  <c r="D4719" i="8"/>
  <c r="D4687" i="8"/>
  <c r="D4655" i="8"/>
  <c r="D4858" i="8"/>
  <c r="D4594" i="8"/>
  <c r="D4418" i="8"/>
  <c r="D4290" i="8"/>
  <c r="D4897" i="8"/>
  <c r="D4786" i="8"/>
  <c r="D4836" i="8"/>
  <c r="D4580" i="8"/>
  <c r="D4667" i="8"/>
  <c r="D4706" i="8"/>
  <c r="D3970" i="8"/>
  <c r="D4370" i="8"/>
  <c r="D4577" i="8"/>
  <c r="D4760" i="8"/>
  <c r="D4839" i="8"/>
  <c r="D4799" i="8"/>
  <c r="D4546" i="8"/>
  <c r="D4804" i="8"/>
  <c r="D4548" i="8"/>
  <c r="D4891" i="8"/>
  <c r="D4635" i="8"/>
  <c r="D4194" i="8"/>
  <c r="D3938" i="8"/>
  <c r="D4226" i="8"/>
  <c r="D4545" i="8"/>
  <c r="D4890" i="8"/>
  <c r="D4728" i="8"/>
  <c r="D4919" i="8"/>
  <c r="D4791" i="8"/>
  <c r="D4711" i="8"/>
  <c r="D4679" i="8"/>
  <c r="D4794" i="8"/>
  <c r="D4538" i="8"/>
  <c r="D4386" i="8"/>
  <c r="D4258" i="8"/>
  <c r="D4865" i="8"/>
  <c r="D4910" i="8"/>
  <c r="D4878" i="8"/>
  <c r="D4846" i="8"/>
  <c r="D4814" i="8"/>
  <c r="D4782" i="8"/>
  <c r="D4750" i="8"/>
  <c r="D4718" i="8"/>
  <c r="D4686" i="8"/>
  <c r="D4654" i="8"/>
  <c r="D4622" i="8"/>
  <c r="D4714" i="8"/>
  <c r="D4506" i="8"/>
  <c r="D4885" i="8"/>
  <c r="D4853" i="8"/>
  <c r="D4821" i="8"/>
  <c r="D4789" i="8"/>
  <c r="D4757" i="8"/>
  <c r="D4725" i="8"/>
  <c r="D4693" i="8"/>
  <c r="D4661" i="8"/>
  <c r="D4629" i="8"/>
  <c r="D4597" i="8"/>
  <c r="D4565" i="8"/>
  <c r="D4533" i="8"/>
  <c r="D4501" i="8"/>
  <c r="D3770" i="8"/>
  <c r="D3738" i="8"/>
  <c r="D3706" i="8"/>
  <c r="D3674" i="8"/>
  <c r="D4772" i="8"/>
  <c r="D4516" i="8"/>
  <c r="D4916" i="8"/>
  <c r="D4859" i="8"/>
  <c r="D4603" i="8"/>
  <c r="D4162" i="8"/>
  <c r="D3906" i="8"/>
  <c r="D4809" i="8"/>
  <c r="D4513" i="8"/>
  <c r="D4642" i="8"/>
  <c r="D4696" i="8"/>
  <c r="D4871" i="8"/>
  <c r="D4831" i="8"/>
  <c r="D4743" i="8"/>
  <c r="D4740" i="8"/>
  <c r="D4658" i="8"/>
  <c r="D4827" i="8"/>
  <c r="D4571" i="8"/>
  <c r="D4130" i="8"/>
  <c r="D3874" i="8"/>
  <c r="D4737" i="8"/>
  <c r="D4481" i="8"/>
  <c r="D4442" i="8"/>
  <c r="D4849" i="8"/>
  <c r="D4920" i="8"/>
  <c r="D4664" i="8"/>
  <c r="D4823" i="8"/>
  <c r="D4703" i="8"/>
  <c r="D4671" i="8"/>
  <c r="D4730" i="8"/>
  <c r="D4482" i="8"/>
  <c r="D4354" i="8"/>
  <c r="D4218" i="8"/>
  <c r="D4833" i="8"/>
  <c r="D4902" i="8"/>
  <c r="D4870" i="8"/>
  <c r="D4838" i="8"/>
  <c r="D4806" i="8"/>
  <c r="D4774" i="8"/>
  <c r="D4742" i="8"/>
  <c r="D4710" i="8"/>
  <c r="D4678" i="8"/>
  <c r="D4646" i="8"/>
  <c r="D4906" i="8"/>
  <c r="D4666" i="8"/>
  <c r="D4909" i="8"/>
  <c r="D4877" i="8"/>
  <c r="D4845" i="8"/>
  <c r="D4813" i="8"/>
  <c r="D4781" i="8"/>
  <c r="D4749" i="8"/>
  <c r="D4717" i="8"/>
  <c r="D4685" i="8"/>
  <c r="D4653" i="8"/>
  <c r="D4621" i="8"/>
  <c r="D4589" i="8"/>
  <c r="D4557" i="8"/>
  <c r="D4525" i="8"/>
  <c r="D3794" i="8"/>
  <c r="D3762" i="8"/>
  <c r="D3730" i="8"/>
  <c r="D3698" i="8"/>
  <c r="D4708" i="8"/>
  <c r="D4795" i="8"/>
  <c r="D4098" i="8"/>
  <c r="D3842" i="8"/>
  <c r="D4705" i="8"/>
  <c r="D4449" i="8"/>
  <c r="D4314" i="8"/>
  <c r="D4753" i="8"/>
  <c r="D4888" i="8"/>
  <c r="D4874" i="8"/>
  <c r="D4825" i="8"/>
  <c r="D4903" i="8"/>
  <c r="D4863" i="8"/>
  <c r="D4775" i="8"/>
  <c r="D4735" i="8"/>
  <c r="D4676" i="8"/>
  <c r="D4763" i="8"/>
  <c r="D4066" i="8"/>
  <c r="D3810" i="8"/>
  <c r="D4673" i="8"/>
  <c r="D4856" i="8"/>
  <c r="D4626" i="8"/>
  <c r="D4855" i="8"/>
  <c r="D4727" i="8"/>
  <c r="D4695" i="8"/>
  <c r="D4663" i="8"/>
  <c r="D4674" i="8"/>
  <c r="D4450" i="8"/>
  <c r="D4322" i="8"/>
  <c r="D4894" i="8"/>
  <c r="D4862" i="8"/>
  <c r="D4830" i="8"/>
  <c r="D4798" i="8"/>
  <c r="D4766" i="8"/>
  <c r="D4734" i="8"/>
  <c r="D4702" i="8"/>
  <c r="D4670" i="8"/>
  <c r="D4638" i="8"/>
  <c r="D4842" i="8"/>
  <c r="D4618" i="8"/>
  <c r="D4901" i="8"/>
  <c r="D4869" i="8"/>
  <c r="D4837" i="8"/>
  <c r="D4805" i="8"/>
  <c r="D4773" i="8"/>
  <c r="D4741" i="8"/>
  <c r="D4709" i="8"/>
  <c r="D4677" i="8"/>
  <c r="D4645" i="8"/>
  <c r="D4613" i="8"/>
  <c r="D4581" i="8"/>
  <c r="D4549" i="8"/>
  <c r="D4517" i="8"/>
  <c r="D3786" i="8"/>
  <c r="D3754" i="8"/>
  <c r="D3722" i="8"/>
  <c r="D3690" i="8"/>
  <c r="D3658" i="8"/>
  <c r="D3626" i="8"/>
  <c r="D3594" i="8"/>
  <c r="D3562" i="8"/>
  <c r="D3530" i="8"/>
  <c r="D3498" i="8"/>
  <c r="D3466" i="8"/>
  <c r="D3434" i="8"/>
  <c r="D3402" i="8"/>
  <c r="D3370" i="8"/>
  <c r="D3338" i="8"/>
  <c r="D3306" i="8"/>
  <c r="D3274" i="8"/>
  <c r="D3242" i="8"/>
  <c r="D3210" i="8"/>
  <c r="D3178" i="8"/>
  <c r="D3146" i="8"/>
  <c r="D3114" i="8"/>
  <c r="D3082" i="8"/>
  <c r="D3050" i="8"/>
  <c r="D3018" i="8"/>
  <c r="D2986" i="8"/>
  <c r="D2954" i="8"/>
  <c r="D2922" i="8"/>
  <c r="D2890" i="8"/>
  <c r="D2858" i="8"/>
  <c r="D2826" i="8"/>
  <c r="D2794" i="8"/>
  <c r="D2762" i="8"/>
  <c r="D2730" i="8"/>
  <c r="D2698" i="8"/>
  <c r="D2666" i="8"/>
  <c r="D2634" i="8"/>
  <c r="D2602" i="8"/>
  <c r="D2570" i="8"/>
  <c r="D2538" i="8"/>
  <c r="D4908" i="8"/>
  <c r="D4644" i="8"/>
  <c r="D4731" i="8"/>
  <c r="D4034" i="8"/>
  <c r="D4754" i="8"/>
  <c r="D4641" i="8"/>
  <c r="D4824" i="8"/>
  <c r="D4426" i="8"/>
  <c r="D4895" i="8"/>
  <c r="D4807" i="8"/>
  <c r="D4767" i="8"/>
  <c r="D4854" i="8"/>
  <c r="D4562" i="8"/>
  <c r="D4669" i="8"/>
  <c r="D3714" i="8"/>
  <c r="D3642" i="8"/>
  <c r="D3602" i="8"/>
  <c r="D3514" i="8"/>
  <c r="D3474" i="8"/>
  <c r="D3386" i="8"/>
  <c r="D3346" i="8"/>
  <c r="D3258" i="8"/>
  <c r="D3218" i="8"/>
  <c r="D3130" i="8"/>
  <c r="D3090" i="8"/>
  <c r="D3002" i="8"/>
  <c r="D2962" i="8"/>
  <c r="D2874" i="8"/>
  <c r="D2834" i="8"/>
  <c r="D2746" i="8"/>
  <c r="D2706" i="8"/>
  <c r="D2618" i="8"/>
  <c r="D2578" i="8"/>
  <c r="D4822" i="8"/>
  <c r="D4829" i="8"/>
  <c r="D4573" i="8"/>
  <c r="D3554" i="8"/>
  <c r="D3426" i="8"/>
  <c r="D3298" i="8"/>
  <c r="D3170" i="8"/>
  <c r="D3042" i="8"/>
  <c r="D2914" i="8"/>
  <c r="D2786" i="8"/>
  <c r="D2658" i="8"/>
  <c r="D2530" i="8"/>
  <c r="D2498" i="8"/>
  <c r="D2466" i="8"/>
  <c r="D2434" i="8"/>
  <c r="D2402" i="8"/>
  <c r="D2370" i="8"/>
  <c r="D2338" i="8"/>
  <c r="D2306" i="8"/>
  <c r="D2274" i="8"/>
  <c r="D2242" i="8"/>
  <c r="D2210" i="8"/>
  <c r="D2178" i="8"/>
  <c r="D2146" i="8"/>
  <c r="D2114" i="8"/>
  <c r="D2082" i="8"/>
  <c r="D2050" i="8"/>
  <c r="D2018" i="8"/>
  <c r="D1986" i="8"/>
  <c r="D1954" i="8"/>
  <c r="D1922" i="8"/>
  <c r="D1890" i="8"/>
  <c r="D1858" i="8"/>
  <c r="D1826" i="8"/>
  <c r="D1794" i="8"/>
  <c r="D1762" i="8"/>
  <c r="D1730" i="8"/>
  <c r="D1698" i="8"/>
  <c r="D1666" i="8"/>
  <c r="D1634" i="8"/>
  <c r="D1602" i="8"/>
  <c r="D1570" i="8"/>
  <c r="D1538" i="8"/>
  <c r="D1506" i="8"/>
  <c r="D1474" i="8"/>
  <c r="D1442" i="8"/>
  <c r="D1410" i="8"/>
  <c r="D1378" i="8"/>
  <c r="D1346" i="8"/>
  <c r="D1314" i="8"/>
  <c r="D1282" i="8"/>
  <c r="D1250" i="8"/>
  <c r="D1218" i="8"/>
  <c r="D1186" i="8"/>
  <c r="D1154" i="8"/>
  <c r="D1122" i="8"/>
  <c r="D1090" i="8"/>
  <c r="D1058" i="8"/>
  <c r="D1026" i="8"/>
  <c r="D4790" i="8"/>
  <c r="D4630" i="8"/>
  <c r="D4733" i="8"/>
  <c r="D3778" i="8"/>
  <c r="D3634" i="8"/>
  <c r="D3546" i="8"/>
  <c r="D3506" i="8"/>
  <c r="D3418" i="8"/>
  <c r="D3378" i="8"/>
  <c r="D3290" i="8"/>
  <c r="D3250" i="8"/>
  <c r="D3162" i="8"/>
  <c r="D3122" i="8"/>
  <c r="D3034" i="8"/>
  <c r="D2994" i="8"/>
  <c r="D2906" i="8"/>
  <c r="D2866" i="8"/>
  <c r="D2778" i="8"/>
  <c r="D2738" i="8"/>
  <c r="D2650" i="8"/>
  <c r="D2610" i="8"/>
  <c r="D4758" i="8"/>
  <c r="D4893" i="8"/>
  <c r="D4637" i="8"/>
  <c r="D3682" i="8"/>
  <c r="D3586" i="8"/>
  <c r="D3458" i="8"/>
  <c r="D3330" i="8"/>
  <c r="D3202" i="8"/>
  <c r="D3074" i="8"/>
  <c r="D2946" i="8"/>
  <c r="D2818" i="8"/>
  <c r="D2690" i="8"/>
  <c r="D2562" i="8"/>
  <c r="D2522" i="8"/>
  <c r="D2490" i="8"/>
  <c r="D2458" i="8"/>
  <c r="D2426" i="8"/>
  <c r="D2394" i="8"/>
  <c r="D2362" i="8"/>
  <c r="D2330" i="8"/>
  <c r="D2298" i="8"/>
  <c r="D2266" i="8"/>
  <c r="D2234" i="8"/>
  <c r="D2202" i="8"/>
  <c r="D2170" i="8"/>
  <c r="D2138" i="8"/>
  <c r="D2106" i="8"/>
  <c r="D2074" i="8"/>
  <c r="D2042" i="8"/>
  <c r="D2010" i="8"/>
  <c r="D1978" i="8"/>
  <c r="D1946" i="8"/>
  <c r="D1914" i="8"/>
  <c r="D1882" i="8"/>
  <c r="D1850" i="8"/>
  <c r="D1818" i="8"/>
  <c r="D1786" i="8"/>
  <c r="D1754" i="8"/>
  <c r="D1722" i="8"/>
  <c r="D1690" i="8"/>
  <c r="D1658" i="8"/>
  <c r="D1626" i="8"/>
  <c r="D1594" i="8"/>
  <c r="D1562" i="8"/>
  <c r="D1530" i="8"/>
  <c r="D1498" i="8"/>
  <c r="D1466" i="8"/>
  <c r="D1434" i="8"/>
  <c r="D1402" i="8"/>
  <c r="D1370" i="8"/>
  <c r="D1338" i="8"/>
  <c r="D1306" i="8"/>
  <c r="D1274" i="8"/>
  <c r="D1242" i="8"/>
  <c r="D1210" i="8"/>
  <c r="D1178" i="8"/>
  <c r="D1146" i="8"/>
  <c r="D1114" i="8"/>
  <c r="D1082" i="8"/>
  <c r="D1050" i="8"/>
  <c r="D1018" i="8"/>
  <c r="D986" i="8"/>
  <c r="D4726" i="8"/>
  <c r="D4797" i="8"/>
  <c r="D4541" i="8"/>
  <c r="D3578" i="8"/>
  <c r="D3538" i="8"/>
  <c r="D3450" i="8"/>
  <c r="D3410" i="8"/>
  <c r="D3322" i="8"/>
  <c r="D3282" i="8"/>
  <c r="D3194" i="8"/>
  <c r="D3154" i="8"/>
  <c r="D3066" i="8"/>
  <c r="D3026" i="8"/>
  <c r="D2938" i="8"/>
  <c r="D2898" i="8"/>
  <c r="D2810" i="8"/>
  <c r="D2770" i="8"/>
  <c r="D2682" i="8"/>
  <c r="D2642" i="8"/>
  <c r="D2554" i="8"/>
  <c r="D4694" i="8"/>
  <c r="D4778" i="8"/>
  <c r="D4701" i="8"/>
  <c r="D3746" i="8"/>
  <c r="D3666" i="8"/>
  <c r="D3618" i="8"/>
  <c r="D3490" i="8"/>
  <c r="D3362" i="8"/>
  <c r="D3234" i="8"/>
  <c r="D3106" i="8"/>
  <c r="D2978" i="8"/>
  <c r="D2850" i="8"/>
  <c r="D2722" i="8"/>
  <c r="D2594" i="8"/>
  <c r="D2514" i="8"/>
  <c r="D2482" i="8"/>
  <c r="D2450" i="8"/>
  <c r="D2418" i="8"/>
  <c r="D2386" i="8"/>
  <c r="D2354" i="8"/>
  <c r="D2322" i="8"/>
  <c r="D2290" i="8"/>
  <c r="D2258" i="8"/>
  <c r="D2226" i="8"/>
  <c r="D2194" i="8"/>
  <c r="D2162" i="8"/>
  <c r="D2130" i="8"/>
  <c r="D2098" i="8"/>
  <c r="D2066" i="8"/>
  <c r="D2034" i="8"/>
  <c r="D2002" i="8"/>
  <c r="D1970" i="8"/>
  <c r="D1938" i="8"/>
  <c r="D1906" i="8"/>
  <c r="D1874" i="8"/>
  <c r="D1842" i="8"/>
  <c r="D1810" i="8"/>
  <c r="D1778" i="8"/>
  <c r="D1746" i="8"/>
  <c r="D1714" i="8"/>
  <c r="D1682" i="8"/>
  <c r="D1650" i="8"/>
  <c r="D1618" i="8"/>
  <c r="D1586" i="8"/>
  <c r="D1554" i="8"/>
  <c r="D1522" i="8"/>
  <c r="D1490" i="8"/>
  <c r="D1458" i="8"/>
  <c r="D1426" i="8"/>
  <c r="D1394" i="8"/>
  <c r="D1362" i="8"/>
  <c r="D1330" i="8"/>
  <c r="D1298" i="8"/>
  <c r="D1266" i="8"/>
  <c r="D1234" i="8"/>
  <c r="D1202" i="8"/>
  <c r="D1170" i="8"/>
  <c r="D1138" i="8"/>
  <c r="D1106" i="8"/>
  <c r="D1074" i="8"/>
  <c r="D1042" i="8"/>
  <c r="D4918" i="8"/>
  <c r="D4861" i="8"/>
  <c r="D4605" i="8"/>
  <c r="D3610" i="8"/>
  <c r="D3570" i="8"/>
  <c r="D3482" i="8"/>
  <c r="D3442" i="8"/>
  <c r="D3354" i="8"/>
  <c r="D3314" i="8"/>
  <c r="D3226" i="8"/>
  <c r="D3186" i="8"/>
  <c r="D3098" i="8"/>
  <c r="D3058" i="8"/>
  <c r="D2970" i="8"/>
  <c r="D2930" i="8"/>
  <c r="D2842" i="8"/>
  <c r="D2802" i="8"/>
  <c r="D2714" i="8"/>
  <c r="D2674" i="8"/>
  <c r="D2586" i="8"/>
  <c r="D2546" i="8"/>
  <c r="D4886" i="8"/>
  <c r="D4662" i="8"/>
  <c r="D4765" i="8"/>
  <c r="D4509" i="8"/>
  <c r="D3650" i="8"/>
  <c r="D3522" i="8"/>
  <c r="D3394" i="8"/>
  <c r="D3266" i="8"/>
  <c r="D3138" i="8"/>
  <c r="D3010" i="8"/>
  <c r="D2882" i="8"/>
  <c r="D2754" i="8"/>
  <c r="D2626" i="8"/>
  <c r="D2506" i="8"/>
  <c r="D2474" i="8"/>
  <c r="D2442" i="8"/>
  <c r="D2410" i="8"/>
  <c r="D2378" i="8"/>
  <c r="D2346" i="8"/>
  <c r="D2314" i="8"/>
  <c r="D2282" i="8"/>
  <c r="D2250" i="8"/>
  <c r="D2218" i="8"/>
  <c r="D2186" i="8"/>
  <c r="D2154" i="8"/>
  <c r="D2122" i="8"/>
  <c r="D2090" i="8"/>
  <c r="D2058" i="8"/>
  <c r="D2026" i="8"/>
  <c r="D1994" i="8"/>
  <c r="D1962" i="8"/>
  <c r="D1930" i="8"/>
  <c r="D1898" i="8"/>
  <c r="D1866" i="8"/>
  <c r="D1834" i="8"/>
  <c r="D1802" i="8"/>
  <c r="D1770" i="8"/>
  <c r="D1738" i="8"/>
  <c r="D1706" i="8"/>
  <c r="D1674" i="8"/>
  <c r="D1642" i="8"/>
  <c r="D1610" i="8"/>
  <c r="D1578" i="8"/>
  <c r="D1546" i="8"/>
  <c r="D1514" i="8"/>
  <c r="D1482" i="8"/>
  <c r="D1450" i="8"/>
  <c r="D1418" i="8"/>
  <c r="D1386" i="8"/>
  <c r="D1354" i="8"/>
  <c r="D1322" i="8"/>
  <c r="D1290" i="8"/>
  <c r="D1258" i="8"/>
  <c r="D1226" i="8"/>
  <c r="D1194" i="8"/>
  <c r="D1162" i="8"/>
  <c r="D1130" i="8"/>
  <c r="D1098" i="8"/>
  <c r="D1066" i="8"/>
  <c r="D1034" i="8"/>
  <c r="D1002" i="8"/>
  <c r="D970" i="8"/>
  <c r="D946" i="8"/>
  <c r="D914" i="8"/>
  <c r="D882" i="8"/>
  <c r="D850" i="8"/>
  <c r="D818" i="8"/>
  <c r="D786" i="8"/>
  <c r="D754" i="8"/>
  <c r="D722" i="8"/>
  <c r="D690" i="8"/>
  <c r="D658" i="8"/>
  <c r="D626" i="8"/>
  <c r="D594" i="8"/>
  <c r="D562" i="8"/>
  <c r="D530" i="8"/>
  <c r="D498" i="8"/>
  <c r="D466" i="8"/>
  <c r="D434" i="8"/>
  <c r="D402" i="8"/>
  <c r="D370" i="8"/>
  <c r="D338" i="8"/>
  <c r="D306" i="8"/>
  <c r="D274" i="8"/>
  <c r="D242" i="8"/>
  <c r="D210" i="8"/>
  <c r="D178" i="8"/>
  <c r="D146" i="8"/>
  <c r="D114" i="8"/>
  <c r="D82" i="8"/>
  <c r="D50" i="8"/>
  <c r="D994" i="8"/>
  <c r="D4425" i="8"/>
  <c r="D4393" i="8"/>
  <c r="D4361" i="8"/>
  <c r="D4329" i="8"/>
  <c r="D4297" i="8"/>
  <c r="D4265" i="8"/>
  <c r="D4233" i="8"/>
  <c r="D4201" i="8"/>
  <c r="D4169" i="8"/>
  <c r="D4137" i="8"/>
  <c r="D4105" i="8"/>
  <c r="D4073" i="8"/>
  <c r="D4041" i="8"/>
  <c r="D4009" i="8"/>
  <c r="D3977" i="8"/>
  <c r="D3945" i="8"/>
  <c r="D3913" i="8"/>
  <c r="D3881" i="8"/>
  <c r="D3849" i="8"/>
  <c r="D3817" i="8"/>
  <c r="D3785" i="8"/>
  <c r="D3753" i="8"/>
  <c r="D3721" i="8"/>
  <c r="D3689" i="8"/>
  <c r="D3657" i="8"/>
  <c r="D3625" i="8"/>
  <c r="D3585" i="8"/>
  <c r="D3553" i="8"/>
  <c r="D3521" i="8"/>
  <c r="D3489" i="8"/>
  <c r="D3457" i="8"/>
  <c r="D3425" i="8"/>
  <c r="D3393" i="8"/>
  <c r="D3361" i="8"/>
  <c r="D3329" i="8"/>
  <c r="D3297" i="8"/>
  <c r="D3265" i="8"/>
  <c r="D3233" i="8"/>
  <c r="D3201" i="8"/>
  <c r="D3169" i="8"/>
  <c r="D3137" i="8"/>
  <c r="D3105" i="8"/>
  <c r="D3073" i="8"/>
  <c r="D3041" i="8"/>
  <c r="D3009" i="8"/>
  <c r="D2977" i="8"/>
  <c r="D2945" i="8"/>
  <c r="D2913" i="8"/>
  <c r="D2881" i="8"/>
  <c r="D2849" i="8"/>
  <c r="D2817" i="8"/>
  <c r="D2785" i="8"/>
  <c r="D2753" i="8"/>
  <c r="D938" i="8"/>
  <c r="D906" i="8"/>
  <c r="D874" i="8"/>
  <c r="D842" i="8"/>
  <c r="D810" i="8"/>
  <c r="D778" i="8"/>
  <c r="D746" i="8"/>
  <c r="D714" i="8"/>
  <c r="D682" i="8"/>
  <c r="D650" i="8"/>
  <c r="D618" i="8"/>
  <c r="D586" i="8"/>
  <c r="D554" i="8"/>
  <c r="D522" i="8"/>
  <c r="D490" i="8"/>
  <c r="D458" i="8"/>
  <c r="D426" i="8"/>
  <c r="D394" i="8"/>
  <c r="D362" i="8"/>
  <c r="D330" i="8"/>
  <c r="D298" i="8"/>
  <c r="D266" i="8"/>
  <c r="D234" i="8"/>
  <c r="D202" i="8"/>
  <c r="D170" i="8"/>
  <c r="D138" i="8"/>
  <c r="D106" i="8"/>
  <c r="D74" i="8"/>
  <c r="D42" i="8"/>
  <c r="D978" i="8"/>
  <c r="D4417" i="8"/>
  <c r="D4385" i="8"/>
  <c r="D4353" i="8"/>
  <c r="D4321" i="8"/>
  <c r="D4289" i="8"/>
  <c r="D4257" i="8"/>
  <c r="D4225" i="8"/>
  <c r="D4193" i="8"/>
  <c r="D4161" i="8"/>
  <c r="D4129" i="8"/>
  <c r="D4097" i="8"/>
  <c r="D4065" i="8"/>
  <c r="D4033" i="8"/>
  <c r="D4001" i="8"/>
  <c r="D3969" i="8"/>
  <c r="D3937" i="8"/>
  <c r="D3905" i="8"/>
  <c r="D3873" i="8"/>
  <c r="D3841" i="8"/>
  <c r="D3809" i="8"/>
  <c r="D3777" i="8"/>
  <c r="D3745" i="8"/>
  <c r="D3713" i="8"/>
  <c r="D3681" i="8"/>
  <c r="D3649" i="8"/>
  <c r="D3617" i="8"/>
  <c r="D3577" i="8"/>
  <c r="D3545" i="8"/>
  <c r="D3513" i="8"/>
  <c r="D3481" i="8"/>
  <c r="D3449" i="8"/>
  <c r="D3417" i="8"/>
  <c r="D3385" i="8"/>
  <c r="D3353" i="8"/>
  <c r="D3321" i="8"/>
  <c r="D3289" i="8"/>
  <c r="D3257" i="8"/>
  <c r="D3225" i="8"/>
  <c r="D3193" i="8"/>
  <c r="D3161" i="8"/>
  <c r="D3129" i="8"/>
  <c r="D3097" i="8"/>
  <c r="D3065" i="8"/>
  <c r="D3033" i="8"/>
  <c r="D3001" i="8"/>
  <c r="D2969" i="8"/>
  <c r="D2937" i="8"/>
  <c r="D2905" i="8"/>
  <c r="D2873" i="8"/>
  <c r="D2841" i="8"/>
  <c r="D2809" i="8"/>
  <c r="D2777" i="8"/>
  <c r="D2745" i="8"/>
  <c r="D930" i="8"/>
  <c r="D898" i="8"/>
  <c r="D866" i="8"/>
  <c r="D834" i="8"/>
  <c r="D802" i="8"/>
  <c r="D770" i="8"/>
  <c r="D738" i="8"/>
  <c r="D706" i="8"/>
  <c r="D674" i="8"/>
  <c r="D642" i="8"/>
  <c r="D610" i="8"/>
  <c r="D578" i="8"/>
  <c r="D546" i="8"/>
  <c r="D514" i="8"/>
  <c r="D482" i="8"/>
  <c r="D450" i="8"/>
  <c r="D418" i="8"/>
  <c r="D386" i="8"/>
  <c r="D354" i="8"/>
  <c r="D322" i="8"/>
  <c r="D290" i="8"/>
  <c r="D258" i="8"/>
  <c r="D226" i="8"/>
  <c r="D194" i="8"/>
  <c r="D162" i="8"/>
  <c r="D130" i="8"/>
  <c r="D98" i="8"/>
  <c r="D66" i="8"/>
  <c r="D34" i="8"/>
  <c r="D962" i="8"/>
  <c r="D4409" i="8"/>
  <c r="D4377" i="8"/>
  <c r="D4345" i="8"/>
  <c r="D4313" i="8"/>
  <c r="D4281" i="8"/>
  <c r="D4249" i="8"/>
  <c r="D4217" i="8"/>
  <c r="D4185" i="8"/>
  <c r="D4153" i="8"/>
  <c r="D4121" i="8"/>
  <c r="D4089" i="8"/>
  <c r="D4057" i="8"/>
  <c r="D4025" i="8"/>
  <c r="D3993" i="8"/>
  <c r="D3961" i="8"/>
  <c r="D3929" i="8"/>
  <c r="D3897" i="8"/>
  <c r="D3865" i="8"/>
  <c r="D3833" i="8"/>
  <c r="D3801" i="8"/>
  <c r="D3769" i="8"/>
  <c r="D3737" i="8"/>
  <c r="D3705" i="8"/>
  <c r="D3673" i="8"/>
  <c r="D3641" i="8"/>
  <c r="D3601" i="8"/>
  <c r="D3569" i="8"/>
  <c r="D3537" i="8"/>
  <c r="D3505" i="8"/>
  <c r="D3473" i="8"/>
  <c r="D3441" i="8"/>
  <c r="D3409" i="8"/>
  <c r="D3377" i="8"/>
  <c r="D3345" i="8"/>
  <c r="D3313" i="8"/>
  <c r="D3281" i="8"/>
  <c r="D3249" i="8"/>
  <c r="D3217" i="8"/>
  <c r="D3185" i="8"/>
  <c r="D3153" i="8"/>
  <c r="D3121" i="8"/>
  <c r="D3089" i="8"/>
  <c r="D3057" i="8"/>
  <c r="D3025" i="8"/>
  <c r="D2993" i="8"/>
  <c r="D2961" i="8"/>
  <c r="D2929" i="8"/>
  <c r="D2897" i="8"/>
  <c r="D2865" i="8"/>
  <c r="D2833" i="8"/>
  <c r="D2801" i="8"/>
  <c r="D2769" i="8"/>
  <c r="D954" i="8"/>
  <c r="D922" i="8"/>
  <c r="D890" i="8"/>
  <c r="D858" i="8"/>
  <c r="D826" i="8"/>
  <c r="D794" i="8"/>
  <c r="D762" i="8"/>
  <c r="D730" i="8"/>
  <c r="D698" i="8"/>
  <c r="D666" i="8"/>
  <c r="D634" i="8"/>
  <c r="D602" i="8"/>
  <c r="D570" i="8"/>
  <c r="D538" i="8"/>
  <c r="D506" i="8"/>
  <c r="D474" i="8"/>
  <c r="D442" i="8"/>
  <c r="D410" i="8"/>
  <c r="D378" i="8"/>
  <c r="D346" i="8"/>
  <c r="D314" i="8"/>
  <c r="D282" i="8"/>
  <c r="D250" i="8"/>
  <c r="D218" i="8"/>
  <c r="D186" i="8"/>
  <c r="D154" i="8"/>
  <c r="D122" i="8"/>
  <c r="D90" i="8"/>
  <c r="D58" i="8"/>
  <c r="D1010" i="8"/>
  <c r="D4433" i="8"/>
  <c r="D4401" i="8"/>
  <c r="D4369" i="8"/>
  <c r="D4337" i="8"/>
  <c r="D4305" i="8"/>
  <c r="D4273" i="8"/>
  <c r="D4241" i="8"/>
  <c r="D4209" i="8"/>
  <c r="D4177" i="8"/>
  <c r="D4145" i="8"/>
  <c r="D4113" i="8"/>
  <c r="D4081" i="8"/>
  <c r="D4049" i="8"/>
  <c r="D4017" i="8"/>
  <c r="D3985" i="8"/>
  <c r="D3953" i="8"/>
  <c r="D3921" i="8"/>
  <c r="D3889" i="8"/>
  <c r="D3857" i="8"/>
  <c r="D3825" i="8"/>
  <c r="D3793" i="8"/>
  <c r="D3761" i="8"/>
  <c r="D3729" i="8"/>
  <c r="D3697" i="8"/>
  <c r="D3665" i="8"/>
  <c r="D3633" i="8"/>
  <c r="D3593" i="8"/>
  <c r="D3561" i="8"/>
  <c r="D3529" i="8"/>
  <c r="D3497" i="8"/>
  <c r="D3465" i="8"/>
  <c r="D3433" i="8"/>
  <c r="D3401" i="8"/>
  <c r="D3369" i="8"/>
  <c r="D3337" i="8"/>
  <c r="D3305" i="8"/>
  <c r="D3273" i="8"/>
  <c r="D3241" i="8"/>
  <c r="D3209" i="8"/>
  <c r="D3177" i="8"/>
  <c r="D3145" i="8"/>
  <c r="D3113" i="8"/>
  <c r="D3081" i="8"/>
  <c r="D3049" i="8"/>
  <c r="D3017" i="8"/>
  <c r="D2985" i="8"/>
  <c r="D2953" i="8"/>
  <c r="D2921" i="8"/>
  <c r="D2889" i="8"/>
  <c r="D2857" i="8"/>
  <c r="D2825" i="8"/>
  <c r="D2793" i="8"/>
  <c r="D2761" i="8"/>
  <c r="D2721" i="8"/>
  <c r="D2681" i="8"/>
  <c r="D2649" i="8"/>
  <c r="D2617" i="8"/>
  <c r="D2585" i="8"/>
  <c r="D2553" i="8"/>
  <c r="D2521" i="8"/>
  <c r="D2489" i="8"/>
  <c r="D2457" i="8"/>
  <c r="D2425" i="8"/>
  <c r="D2393" i="8"/>
  <c r="D2361" i="8"/>
  <c r="D2329" i="8"/>
  <c r="D2297" i="8"/>
  <c r="D2265" i="8"/>
  <c r="D2233" i="8"/>
  <c r="D2201" i="8"/>
  <c r="D2169" i="8"/>
  <c r="D2137" i="8"/>
  <c r="D2105" i="8"/>
  <c r="D2073" i="8"/>
  <c r="D2041" i="8"/>
  <c r="D2009" i="8"/>
  <c r="D1977" i="8"/>
  <c r="D1945" i="8"/>
  <c r="D1913" i="8"/>
  <c r="D1881" i="8"/>
  <c r="D1849" i="8"/>
  <c r="D1817" i="8"/>
  <c r="D1785" i="8"/>
  <c r="D1753" i="8"/>
  <c r="D1721" i="8"/>
  <c r="D1689" i="8"/>
  <c r="D1657" i="8"/>
  <c r="D1625" i="8"/>
  <c r="D1593" i="8"/>
  <c r="D1561" i="8"/>
  <c r="D1529" i="8"/>
  <c r="D1497" i="8"/>
  <c r="D1465" i="8"/>
  <c r="D1433" i="8"/>
  <c r="D1401" i="8"/>
  <c r="D1369" i="8"/>
  <c r="D1337" i="8"/>
  <c r="D4616" i="8"/>
  <c r="D4584" i="8"/>
  <c r="D4552" i="8"/>
  <c r="D4520" i="8"/>
  <c r="D4488" i="8"/>
  <c r="D4456" i="8"/>
  <c r="D4424" i="8"/>
  <c r="D4392" i="8"/>
  <c r="D4360" i="8"/>
  <c r="D4328" i="8"/>
  <c r="D4296" i="8"/>
  <c r="D4264" i="8"/>
  <c r="D4232" i="8"/>
  <c r="D4200" i="8"/>
  <c r="D4168" i="8"/>
  <c r="D4136" i="8"/>
  <c r="D4104" i="8"/>
  <c r="D4072" i="8"/>
  <c r="D4040" i="8"/>
  <c r="D4008" i="8"/>
  <c r="D3976" i="8"/>
  <c r="D3944" i="8"/>
  <c r="D3912" i="8"/>
  <c r="D3880" i="8"/>
  <c r="D3848" i="8"/>
  <c r="D3816" i="8"/>
  <c r="D3784" i="8"/>
  <c r="D3752" i="8"/>
  <c r="D3720" i="8"/>
  <c r="D3688" i="8"/>
  <c r="D3656" i="8"/>
  <c r="D3624" i="8"/>
  <c r="D3592" i="8"/>
  <c r="D3560" i="8"/>
  <c r="D3528" i="8"/>
  <c r="D3496" i="8"/>
  <c r="D2713" i="8"/>
  <c r="D2673" i="8"/>
  <c r="D2641" i="8"/>
  <c r="D2609" i="8"/>
  <c r="D2577" i="8"/>
  <c r="D2545" i="8"/>
  <c r="D2513" i="8"/>
  <c r="D2481" i="8"/>
  <c r="D2449" i="8"/>
  <c r="D2417" i="8"/>
  <c r="D2385" i="8"/>
  <c r="D2353" i="8"/>
  <c r="D2321" i="8"/>
  <c r="D2289" i="8"/>
  <c r="D2257" i="8"/>
  <c r="D2225" i="8"/>
  <c r="D2193" i="8"/>
  <c r="D2161" i="8"/>
  <c r="D2129" i="8"/>
  <c r="D2097" i="8"/>
  <c r="D2065" i="8"/>
  <c r="D2033" i="8"/>
  <c r="D2001" i="8"/>
  <c r="D1969" i="8"/>
  <c r="D1937" i="8"/>
  <c r="D1905" i="8"/>
  <c r="D1873" i="8"/>
  <c r="D1841" i="8"/>
  <c r="D1809" i="8"/>
  <c r="D1777" i="8"/>
  <c r="D1745" i="8"/>
  <c r="D1713" i="8"/>
  <c r="D1681" i="8"/>
  <c r="D1649" i="8"/>
  <c r="D1617" i="8"/>
  <c r="D1585" i="8"/>
  <c r="D1553" i="8"/>
  <c r="D1521" i="8"/>
  <c r="D1489" i="8"/>
  <c r="D1457" i="8"/>
  <c r="D1425" i="8"/>
  <c r="D1393" i="8"/>
  <c r="D1361" i="8"/>
  <c r="D1329" i="8"/>
  <c r="D4608" i="8"/>
  <c r="D4576" i="8"/>
  <c r="D4544" i="8"/>
  <c r="D4512" i="8"/>
  <c r="D4480" i="8"/>
  <c r="D4448" i="8"/>
  <c r="D4416" i="8"/>
  <c r="D4384" i="8"/>
  <c r="D4352" i="8"/>
  <c r="D4320" i="8"/>
  <c r="D4288" i="8"/>
  <c r="D4256" i="8"/>
  <c r="D4224" i="8"/>
  <c r="D4192" i="8"/>
  <c r="D4160" i="8"/>
  <c r="D4128" i="8"/>
  <c r="D4096" i="8"/>
  <c r="D4064" i="8"/>
  <c r="D4032" i="8"/>
  <c r="D4000" i="8"/>
  <c r="D3968" i="8"/>
  <c r="D3936" i="8"/>
  <c r="D3904" i="8"/>
  <c r="D3872" i="8"/>
  <c r="D3840" i="8"/>
  <c r="D3808" i="8"/>
  <c r="D3776" i="8"/>
  <c r="D3744" i="8"/>
  <c r="D3712" i="8"/>
  <c r="D3680" i="8"/>
  <c r="D3648" i="8"/>
  <c r="D2705" i="8"/>
  <c r="D2665" i="8"/>
  <c r="D2633" i="8"/>
  <c r="D2601" i="8"/>
  <c r="D2569" i="8"/>
  <c r="D2537" i="8"/>
  <c r="D2505" i="8"/>
  <c r="D2473" i="8"/>
  <c r="D2441" i="8"/>
  <c r="D2409" i="8"/>
  <c r="D2377" i="8"/>
  <c r="D2345" i="8"/>
  <c r="D2313" i="8"/>
  <c r="D2281" i="8"/>
  <c r="D2249" i="8"/>
  <c r="D2217" i="8"/>
  <c r="D2185" i="8"/>
  <c r="D2153" i="8"/>
  <c r="D2121" i="8"/>
  <c r="D2089" i="8"/>
  <c r="D2057" i="8"/>
  <c r="D2025" i="8"/>
  <c r="D1993" i="8"/>
  <c r="D1961" i="8"/>
  <c r="D1929" i="8"/>
  <c r="D1897" i="8"/>
  <c r="D1865" i="8"/>
  <c r="D1833" i="8"/>
  <c r="D1801" i="8"/>
  <c r="D1769" i="8"/>
  <c r="D1737" i="8"/>
  <c r="D1705" i="8"/>
  <c r="D1673" i="8"/>
  <c r="D1641" i="8"/>
  <c r="D1609" i="8"/>
  <c r="D1577" i="8"/>
  <c r="D1545" i="8"/>
  <c r="D1513" i="8"/>
  <c r="D1481" i="8"/>
  <c r="D1449" i="8"/>
  <c r="D1417" i="8"/>
  <c r="D1385" i="8"/>
  <c r="D1353" i="8"/>
  <c r="D2697" i="8"/>
  <c r="D4632" i="8"/>
  <c r="D4600" i="8"/>
  <c r="D4568" i="8"/>
  <c r="D4536" i="8"/>
  <c r="D4504" i="8"/>
  <c r="D4472" i="8"/>
  <c r="D4440" i="8"/>
  <c r="D4408" i="8"/>
  <c r="D4376" i="8"/>
  <c r="D4344" i="8"/>
  <c r="D4312" i="8"/>
  <c r="D4280" i="8"/>
  <c r="D4248" i="8"/>
  <c r="D4216" i="8"/>
  <c r="D4184" i="8"/>
  <c r="D4152" i="8"/>
  <c r="D4120" i="8"/>
  <c r="D4088" i="8"/>
  <c r="D4056" i="8"/>
  <c r="D4024" i="8"/>
  <c r="D3992" i="8"/>
  <c r="D3960" i="8"/>
  <c r="D3928" i="8"/>
  <c r="D3896" i="8"/>
  <c r="D3864" i="8"/>
  <c r="D3832" i="8"/>
  <c r="D3800" i="8"/>
  <c r="D3768" i="8"/>
  <c r="D3736" i="8"/>
  <c r="D3704" i="8"/>
  <c r="D3672" i="8"/>
  <c r="D3640" i="8"/>
  <c r="D3608" i="8"/>
  <c r="D3576" i="8"/>
  <c r="D2737" i="8"/>
  <c r="D2689" i="8"/>
  <c r="D2657" i="8"/>
  <c r="D2625" i="8"/>
  <c r="D2593" i="8"/>
  <c r="D2561" i="8"/>
  <c r="D2529" i="8"/>
  <c r="D2497" i="8"/>
  <c r="D2465" i="8"/>
  <c r="D2433" i="8"/>
  <c r="D2401" i="8"/>
  <c r="D2369" i="8"/>
  <c r="D2337" i="8"/>
  <c r="D2305" i="8"/>
  <c r="D2273" i="8"/>
  <c r="D2241" i="8"/>
  <c r="D2209" i="8"/>
  <c r="D2177" i="8"/>
  <c r="D2145" i="8"/>
  <c r="D2113" i="8"/>
  <c r="D2081" i="8"/>
  <c r="D2049" i="8"/>
  <c r="D2017" i="8"/>
  <c r="D1985" i="8"/>
  <c r="D1953" i="8"/>
  <c r="D1921" i="8"/>
  <c r="D1889" i="8"/>
  <c r="D1857" i="8"/>
  <c r="D1825" i="8"/>
  <c r="D1793" i="8"/>
  <c r="D1761" i="8"/>
  <c r="D1729" i="8"/>
  <c r="D1697" i="8"/>
  <c r="D1665" i="8"/>
  <c r="D1633" i="8"/>
  <c r="D1601" i="8"/>
  <c r="D1569" i="8"/>
  <c r="D1537" i="8"/>
  <c r="D1505" i="8"/>
  <c r="D1473" i="8"/>
  <c r="D1441" i="8"/>
  <c r="D1409" i="8"/>
  <c r="D1377" i="8"/>
  <c r="D1345" i="8"/>
  <c r="D2729" i="8"/>
  <c r="D4624" i="8"/>
  <c r="D4592" i="8"/>
  <c r="D4560" i="8"/>
  <c r="D4528" i="8"/>
  <c r="D4496" i="8"/>
  <c r="D4464" i="8"/>
  <c r="D4432" i="8"/>
  <c r="D4400" i="8"/>
  <c r="D4368" i="8"/>
  <c r="D4336" i="8"/>
  <c r="D4304" i="8"/>
  <c r="D4272" i="8"/>
  <c r="D4240" i="8"/>
  <c r="D4208" i="8"/>
  <c r="D4176" i="8"/>
  <c r="D4144" i="8"/>
  <c r="D4112" i="8"/>
  <c r="D4080" i="8"/>
  <c r="D4048" i="8"/>
  <c r="D4016" i="8"/>
  <c r="D3984" i="8"/>
  <c r="D3952" i="8"/>
  <c r="D3920" i="8"/>
  <c r="D3888" i="8"/>
  <c r="D3856" i="8"/>
  <c r="D3824" i="8"/>
  <c r="D3792" i="8"/>
  <c r="D3760" i="8"/>
  <c r="D3728" i="8"/>
  <c r="D3696" i="8"/>
  <c r="D3664" i="8"/>
  <c r="D3632" i="8"/>
  <c r="D3584" i="8"/>
  <c r="D3512" i="8"/>
  <c r="D3456" i="8"/>
  <c r="D3368" i="8"/>
  <c r="D3328" i="8"/>
  <c r="D3288" i="8"/>
  <c r="D3256" i="8"/>
  <c r="D3224" i="8"/>
  <c r="D3192" i="8"/>
  <c r="D3160" i="8"/>
  <c r="D3128" i="8"/>
  <c r="D3096" i="8"/>
  <c r="D3064" i="8"/>
  <c r="D3032" i="8"/>
  <c r="D3000" i="8"/>
  <c r="D2968" i="8"/>
  <c r="D2936" i="8"/>
  <c r="D2904" i="8"/>
  <c r="D2872" i="8"/>
  <c r="D2840" i="8"/>
  <c r="D2808" i="8"/>
  <c r="D2776" i="8"/>
  <c r="D2744" i="8"/>
  <c r="D2712" i="8"/>
  <c r="D2680" i="8"/>
  <c r="D2648" i="8"/>
  <c r="D2616" i="8"/>
  <c r="D2584" i="8"/>
  <c r="D2552" i="8"/>
  <c r="D2520" i="8"/>
  <c r="D2488" i="8"/>
  <c r="D2456" i="8"/>
  <c r="D2424" i="8"/>
  <c r="D2392" i="8"/>
  <c r="D2360" i="8"/>
  <c r="D2328" i="8"/>
  <c r="D2296" i="8"/>
  <c r="D2264" i="8"/>
  <c r="D2232" i="8"/>
  <c r="D2200" i="8"/>
  <c r="D2168" i="8"/>
  <c r="D2136" i="8"/>
  <c r="D2104" i="8"/>
  <c r="D2072" i="8"/>
  <c r="D2040" i="8"/>
  <c r="D2008" i="8"/>
  <c r="D1976" i="8"/>
  <c r="D1944" i="8"/>
  <c r="D1912" i="8"/>
  <c r="D1880" i="8"/>
  <c r="D1848" i="8"/>
  <c r="D1816" i="8"/>
  <c r="D1784" i="8"/>
  <c r="D1752" i="8"/>
  <c r="D1720" i="8"/>
  <c r="D1688" i="8"/>
  <c r="D1656" i="8"/>
  <c r="D1624" i="8"/>
  <c r="D1592" i="8"/>
  <c r="D1560" i="8"/>
  <c r="D3568" i="8"/>
  <c r="D3504" i="8"/>
  <c r="D3448" i="8"/>
  <c r="D3408" i="8"/>
  <c r="D3320" i="8"/>
  <c r="D3400" i="8"/>
  <c r="D3360" i="8"/>
  <c r="D3280" i="8"/>
  <c r="D3248" i="8"/>
  <c r="D3216" i="8"/>
  <c r="D3184" i="8"/>
  <c r="D3152" i="8"/>
  <c r="D3120" i="8"/>
  <c r="D3088" i="8"/>
  <c r="D3056" i="8"/>
  <c r="D3024" i="8"/>
  <c r="D2992" i="8"/>
  <c r="D2960" i="8"/>
  <c r="D2928" i="8"/>
  <c r="D2896" i="8"/>
  <c r="D2864" i="8"/>
  <c r="D2832" i="8"/>
  <c r="D2800" i="8"/>
  <c r="D2768" i="8"/>
  <c r="D2736" i="8"/>
  <c r="D2704" i="8"/>
  <c r="D2672" i="8"/>
  <c r="D2640" i="8"/>
  <c r="D2608" i="8"/>
  <c r="D2576" i="8"/>
  <c r="D2544" i="8"/>
  <c r="D2512" i="8"/>
  <c r="D2480" i="8"/>
  <c r="D2448" i="8"/>
  <c r="D2416" i="8"/>
  <c r="D2384" i="8"/>
  <c r="D2352" i="8"/>
  <c r="D2320" i="8"/>
  <c r="D2288" i="8"/>
  <c r="D2256" i="8"/>
  <c r="D2224" i="8"/>
  <c r="D2192" i="8"/>
  <c r="D2160" i="8"/>
  <c r="D2128" i="8"/>
  <c r="D2096" i="8"/>
  <c r="D2064" i="8"/>
  <c r="D2032" i="8"/>
  <c r="D2000" i="8"/>
  <c r="D1968" i="8"/>
  <c r="D1936" i="8"/>
  <c r="D1904" i="8"/>
  <c r="D1872" i="8"/>
  <c r="D1840" i="8"/>
  <c r="D1808" i="8"/>
  <c r="D1776" i="8"/>
  <c r="D1744" i="8"/>
  <c r="D1712" i="8"/>
  <c r="D1680" i="8"/>
  <c r="D1648" i="8"/>
  <c r="D1616" i="8"/>
  <c r="D1584" i="8"/>
  <c r="D1552" i="8"/>
  <c r="D3552" i="8"/>
  <c r="D3488" i="8"/>
  <c r="D3440" i="8"/>
  <c r="D3352" i="8"/>
  <c r="D3312" i="8"/>
  <c r="D3544" i="8"/>
  <c r="D3480" i="8"/>
  <c r="D3432" i="8"/>
  <c r="D3392" i="8"/>
  <c r="D3304" i="8"/>
  <c r="D3272" i="8"/>
  <c r="D3240" i="8"/>
  <c r="D3208" i="8"/>
  <c r="D3176" i="8"/>
  <c r="D3144" i="8"/>
  <c r="D3112" i="8"/>
  <c r="D3080" i="8"/>
  <c r="D3048" i="8"/>
  <c r="D3016" i="8"/>
  <c r="D2984" i="8"/>
  <c r="D2952" i="8"/>
  <c r="D2920" i="8"/>
  <c r="D2888" i="8"/>
  <c r="D2856" i="8"/>
  <c r="D2824" i="8"/>
  <c r="D2792" i="8"/>
  <c r="D2760" i="8"/>
  <c r="D2728" i="8"/>
  <c r="D2696" i="8"/>
  <c r="D2664" i="8"/>
  <c r="D2632" i="8"/>
  <c r="D2600" i="8"/>
  <c r="D2568" i="8"/>
  <c r="D2536" i="8"/>
  <c r="D2504" i="8"/>
  <c r="D2472" i="8"/>
  <c r="D2440" i="8"/>
  <c r="D2408" i="8"/>
  <c r="D2376" i="8"/>
  <c r="D2344" i="8"/>
  <c r="D2312" i="8"/>
  <c r="D2280" i="8"/>
  <c r="D2248" i="8"/>
  <c r="D2216" i="8"/>
  <c r="D2184" i="8"/>
  <c r="D2152" i="8"/>
  <c r="D2120" i="8"/>
  <c r="D2088" i="8"/>
  <c r="D2056" i="8"/>
  <c r="D2024" i="8"/>
  <c r="D1992" i="8"/>
  <c r="D1960" i="8"/>
  <c r="D1928" i="8"/>
  <c r="D1896" i="8"/>
  <c r="D1864" i="8"/>
  <c r="D1832" i="8"/>
  <c r="D1800" i="8"/>
  <c r="D1768" i="8"/>
  <c r="D1736" i="8"/>
  <c r="D1704" i="8"/>
  <c r="D1672" i="8"/>
  <c r="D1640" i="8"/>
  <c r="D1608" i="8"/>
  <c r="D1576" i="8"/>
  <c r="D3536" i="8"/>
  <c r="D3472" i="8"/>
  <c r="D3384" i="8"/>
  <c r="D3344" i="8"/>
  <c r="D4647" i="8"/>
  <c r="D4607" i="8"/>
  <c r="D4575" i="8"/>
  <c r="D4543" i="8"/>
  <c r="D4503" i="8"/>
  <c r="D4471" i="8"/>
  <c r="D4439" i="8"/>
  <c r="D4407" i="8"/>
  <c r="D4367" i="8"/>
  <c r="D4335" i="8"/>
  <c r="D4303" i="8"/>
  <c r="D4271" i="8"/>
  <c r="D4231" i="8"/>
  <c r="D4199" i="8"/>
  <c r="D4167" i="8"/>
  <c r="D4135" i="8"/>
  <c r="D4095" i="8"/>
  <c r="D4063" i="8"/>
  <c r="D4031" i="8"/>
  <c r="D3991" i="8"/>
  <c r="D3959" i="8"/>
  <c r="D3927" i="8"/>
  <c r="D3895" i="8"/>
  <c r="D3855" i="8"/>
  <c r="D3823" i="8"/>
  <c r="D3616" i="8"/>
  <c r="D3464" i="8"/>
  <c r="D3424" i="8"/>
  <c r="D3336" i="8"/>
  <c r="D3296" i="8"/>
  <c r="D3264" i="8"/>
  <c r="D3232" i="8"/>
  <c r="D3200" i="8"/>
  <c r="D3168" i="8"/>
  <c r="D3136" i="8"/>
  <c r="D3104" i="8"/>
  <c r="D3072" i="8"/>
  <c r="D3040" i="8"/>
  <c r="D3008" i="8"/>
  <c r="D2976" i="8"/>
  <c r="D2944" i="8"/>
  <c r="D2912" i="8"/>
  <c r="D2880" i="8"/>
  <c r="D2848" i="8"/>
  <c r="D2816" i="8"/>
  <c r="D2784" i="8"/>
  <c r="D2752" i="8"/>
  <c r="D2720" i="8"/>
  <c r="D2688" i="8"/>
  <c r="D2656" i="8"/>
  <c r="D2624" i="8"/>
  <c r="D2592" i="8"/>
  <c r="D2560" i="8"/>
  <c r="D2528" i="8"/>
  <c r="D2496" i="8"/>
  <c r="D2464" i="8"/>
  <c r="D2432" i="8"/>
  <c r="D2400" i="8"/>
  <c r="D2368" i="8"/>
  <c r="D2336" i="8"/>
  <c r="D2304" i="8"/>
  <c r="D2272" i="8"/>
  <c r="D2240" i="8"/>
  <c r="D2208" i="8"/>
  <c r="D2176" i="8"/>
  <c r="D2144" i="8"/>
  <c r="D2112" i="8"/>
  <c r="D2080" i="8"/>
  <c r="D2048" i="8"/>
  <c r="D2016" i="8"/>
  <c r="D1984" i="8"/>
  <c r="D1952" i="8"/>
  <c r="D1920" i="8"/>
  <c r="D1888" i="8"/>
  <c r="D1856" i="8"/>
  <c r="D1824" i="8"/>
  <c r="D1792" i="8"/>
  <c r="D1760" i="8"/>
  <c r="D1728" i="8"/>
  <c r="D1696" i="8"/>
  <c r="D1664" i="8"/>
  <c r="D1632" i="8"/>
  <c r="D1600" i="8"/>
  <c r="D1568" i="8"/>
  <c r="D3600" i="8"/>
  <c r="D3520" i="8"/>
  <c r="D3416" i="8"/>
  <c r="D3376" i="8"/>
  <c r="D4631" i="8"/>
  <c r="D4599" i="8"/>
  <c r="D4567" i="8"/>
  <c r="D4535" i="8"/>
  <c r="D4495" i="8"/>
  <c r="D4463" i="8"/>
  <c r="D4431" i="8"/>
  <c r="D4399" i="8"/>
  <c r="D4359" i="8"/>
  <c r="D4327" i="8"/>
  <c r="D4295" i="8"/>
  <c r="D4263" i="8"/>
  <c r="D4223" i="8"/>
  <c r="D4191" i="8"/>
  <c r="D4159" i="8"/>
  <c r="D4559" i="8"/>
  <c r="D4423" i="8"/>
  <c r="D4287" i="8"/>
  <c r="D4183" i="8"/>
  <c r="D4119" i="8"/>
  <c r="D3983" i="8"/>
  <c r="D3847" i="8"/>
  <c r="D4614" i="8"/>
  <c r="D4582" i="8"/>
  <c r="D4550" i="8"/>
  <c r="D4518" i="8"/>
  <c r="D4486" i="8"/>
  <c r="D4551" i="8"/>
  <c r="D4415" i="8"/>
  <c r="D4279" i="8"/>
  <c r="D4111" i="8"/>
  <c r="D4071" i="8"/>
  <c r="D3975" i="8"/>
  <c r="D3935" i="8"/>
  <c r="D3839" i="8"/>
  <c r="D3799" i="8"/>
  <c r="D3767" i="8"/>
  <c r="D3727" i="8"/>
  <c r="D3695" i="8"/>
  <c r="D3663" i="8"/>
  <c r="D3631" i="8"/>
  <c r="D3599" i="8"/>
  <c r="D3567" i="8"/>
  <c r="D3535" i="8"/>
  <c r="D3503" i="8"/>
  <c r="D3471" i="8"/>
  <c r="D3439" i="8"/>
  <c r="D3407" i="8"/>
  <c r="D3375" i="8"/>
  <c r="D3343" i="8"/>
  <c r="D3311" i="8"/>
  <c r="D3279" i="8"/>
  <c r="D3247" i="8"/>
  <c r="D3215" i="8"/>
  <c r="D3183" i="8"/>
  <c r="D3151" i="8"/>
  <c r="D3119" i="8"/>
  <c r="D3087" i="8"/>
  <c r="D3055" i="8"/>
  <c r="D3023" i="8"/>
  <c r="D2991" i="8"/>
  <c r="D2959" i="8"/>
  <c r="D2927" i="8"/>
  <c r="D2895" i="8"/>
  <c r="D2863" i="8"/>
  <c r="D2831" i="8"/>
  <c r="D2799" i="8"/>
  <c r="D2767" i="8"/>
  <c r="D2735" i="8"/>
  <c r="D2703" i="8"/>
  <c r="D2671" i="8"/>
  <c r="D4527" i="8"/>
  <c r="D4391" i="8"/>
  <c r="D4247" i="8"/>
  <c r="D4175" i="8"/>
  <c r="D4023" i="8"/>
  <c r="D3887" i="8"/>
  <c r="D4519" i="8"/>
  <c r="D4375" i="8"/>
  <c r="D4239" i="8"/>
  <c r="D4103" i="8"/>
  <c r="D4015" i="8"/>
  <c r="D3967" i="8"/>
  <c r="D3879" i="8"/>
  <c r="D3831" i="8"/>
  <c r="D3791" i="8"/>
  <c r="D3759" i="8"/>
  <c r="D3719" i="8"/>
  <c r="D3687" i="8"/>
  <c r="D3655" i="8"/>
  <c r="D3623" i="8"/>
  <c r="D3591" i="8"/>
  <c r="D3559" i="8"/>
  <c r="D3527" i="8"/>
  <c r="D3495" i="8"/>
  <c r="D3463" i="8"/>
  <c r="D3431" i="8"/>
  <c r="D3399" i="8"/>
  <c r="D3367" i="8"/>
  <c r="D3335" i="8"/>
  <c r="D3303" i="8"/>
  <c r="D3271" i="8"/>
  <c r="D3239" i="8"/>
  <c r="D3207" i="8"/>
  <c r="D3175" i="8"/>
  <c r="D3143" i="8"/>
  <c r="D3111" i="8"/>
  <c r="D3079" i="8"/>
  <c r="D3047" i="8"/>
  <c r="D3015" i="8"/>
  <c r="D2983" i="8"/>
  <c r="D2951" i="8"/>
  <c r="D2919" i="8"/>
  <c r="D2887" i="8"/>
  <c r="D2855" i="8"/>
  <c r="D2823" i="8"/>
  <c r="D2791" i="8"/>
  <c r="D2759" i="8"/>
  <c r="D2727" i="8"/>
  <c r="D2695" i="8"/>
  <c r="D2663" i="8"/>
  <c r="D4623" i="8"/>
  <c r="D4487" i="8"/>
  <c r="D4351" i="8"/>
  <c r="D4215" i="8"/>
  <c r="D4151" i="8"/>
  <c r="D4055" i="8"/>
  <c r="D3919" i="8"/>
  <c r="D4615" i="8"/>
  <c r="D4479" i="8"/>
  <c r="D4343" i="8"/>
  <c r="D4047" i="8"/>
  <c r="D4007" i="8"/>
  <c r="D3911" i="8"/>
  <c r="D3863" i="8"/>
  <c r="D3783" i="8"/>
  <c r="D3751" i="8"/>
  <c r="D3711" i="8"/>
  <c r="D3679" i="8"/>
  <c r="D3647" i="8"/>
  <c r="D3615" i="8"/>
  <c r="D3583" i="8"/>
  <c r="D3551" i="8"/>
  <c r="D3519" i="8"/>
  <c r="D3487" i="8"/>
  <c r="D3455" i="8"/>
  <c r="D3423" i="8"/>
  <c r="D3391" i="8"/>
  <c r="D3359" i="8"/>
  <c r="D3327" i="8"/>
  <c r="D3295" i="8"/>
  <c r="D3263" i="8"/>
  <c r="D3231" i="8"/>
  <c r="D3199" i="8"/>
  <c r="D3167" i="8"/>
  <c r="D3135" i="8"/>
  <c r="D3103" i="8"/>
  <c r="D3071" i="8"/>
  <c r="D3039" i="8"/>
  <c r="D3007" i="8"/>
  <c r="D2975" i="8"/>
  <c r="D2943" i="8"/>
  <c r="D2911" i="8"/>
  <c r="D2879" i="8"/>
  <c r="D2847" i="8"/>
  <c r="D2815" i="8"/>
  <c r="D2783" i="8"/>
  <c r="D2751" i="8"/>
  <c r="D2719" i="8"/>
  <c r="D2687" i="8"/>
  <c r="D2655" i="8"/>
  <c r="D2623" i="8"/>
  <c r="D2591" i="8"/>
  <c r="D2559" i="8"/>
  <c r="D2527" i="8"/>
  <c r="D2495" i="8"/>
  <c r="D2463" i="8"/>
  <c r="D2431" i="8"/>
  <c r="D2399" i="8"/>
  <c r="D2367" i="8"/>
  <c r="D2335" i="8"/>
  <c r="D2303" i="8"/>
  <c r="D2271" i="8"/>
  <c r="D2239" i="8"/>
  <c r="D2207" i="8"/>
  <c r="D2175" i="8"/>
  <c r="D2143" i="8"/>
  <c r="D2111" i="8"/>
  <c r="D2079" i="8"/>
  <c r="D2047" i="8"/>
  <c r="D2015" i="8"/>
  <c r="D1983" i="8"/>
  <c r="D1951" i="8"/>
  <c r="D1919" i="8"/>
  <c r="D1887" i="8"/>
  <c r="D1855" i="8"/>
  <c r="D1823" i="8"/>
  <c r="D1791" i="8"/>
  <c r="D1759" i="8"/>
  <c r="D1727" i="8"/>
  <c r="D1695" i="8"/>
  <c r="D1663" i="8"/>
  <c r="D1631" i="8"/>
  <c r="D1599" i="8"/>
  <c r="D1567" i="8"/>
  <c r="D1535" i="8"/>
  <c r="D1503" i="8"/>
  <c r="D1471" i="8"/>
  <c r="D4591" i="8"/>
  <c r="D4455" i="8"/>
  <c r="D4319" i="8"/>
  <c r="D4207" i="8"/>
  <c r="D4143" i="8"/>
  <c r="D4087" i="8"/>
  <c r="D3951" i="8"/>
  <c r="D3815" i="8"/>
  <c r="D4583" i="8"/>
  <c r="D4447" i="8"/>
  <c r="D4311" i="8"/>
  <c r="D4079" i="8"/>
  <c r="D4039" i="8"/>
  <c r="D3943" i="8"/>
  <c r="D3903" i="8"/>
  <c r="D3807" i="8"/>
  <c r="D3775" i="8"/>
  <c r="D3735" i="8"/>
  <c r="D3703" i="8"/>
  <c r="D3671" i="8"/>
  <c r="D3639" i="8"/>
  <c r="D3607" i="8"/>
  <c r="D3575" i="8"/>
  <c r="D3543" i="8"/>
  <c r="D3511" i="8"/>
  <c r="D3479" i="8"/>
  <c r="D3447" i="8"/>
  <c r="D3415" i="8"/>
  <c r="D3383" i="8"/>
  <c r="D3351" i="8"/>
  <c r="D3319" i="8"/>
  <c r="D3287" i="8"/>
  <c r="D3255" i="8"/>
  <c r="D3223" i="8"/>
  <c r="D3191" i="8"/>
  <c r="D3159" i="8"/>
  <c r="D3127" i="8"/>
  <c r="D3095" i="8"/>
  <c r="D3063" i="8"/>
  <c r="D3031" i="8"/>
  <c r="D2999" i="8"/>
  <c r="D2967" i="8"/>
  <c r="D2935" i="8"/>
  <c r="D2903" i="8"/>
  <c r="D2871" i="8"/>
  <c r="D2839" i="8"/>
  <c r="D2807" i="8"/>
  <c r="D2775" i="8"/>
  <c r="D2743" i="8"/>
  <c r="D2711" i="8"/>
  <c r="D2679" i="8"/>
  <c r="D2647" i="8"/>
  <c r="D2615" i="8"/>
  <c r="D2583" i="8"/>
  <c r="D2551" i="8"/>
  <c r="D2519" i="8"/>
  <c r="D2487" i="8"/>
  <c r="D2455" i="8"/>
  <c r="D2423" i="8"/>
  <c r="D2391" i="8"/>
  <c r="D2359" i="8"/>
  <c r="D2327" i="8"/>
  <c r="D2295" i="8"/>
  <c r="D2263" i="8"/>
  <c r="D2231" i="8"/>
  <c r="D2199" i="8"/>
  <c r="D2167" i="8"/>
  <c r="D2135" i="8"/>
  <c r="D2103" i="8"/>
  <c r="D2071" i="8"/>
  <c r="D2039" i="8"/>
  <c r="D2007" i="8"/>
  <c r="D1975" i="8"/>
  <c r="D1943" i="8"/>
  <c r="D1911" i="8"/>
  <c r="D1879" i="8"/>
  <c r="D1847" i="8"/>
  <c r="D1815" i="8"/>
  <c r="D1783" i="8"/>
  <c r="D1751" i="8"/>
  <c r="D1719" i="8"/>
  <c r="D1687" i="8"/>
  <c r="D1655" i="8"/>
  <c r="D2607" i="8"/>
  <c r="D2479" i="8"/>
  <c r="D2351" i="8"/>
  <c r="D2223" i="8"/>
  <c r="D2095" i="8"/>
  <c r="D1967" i="8"/>
  <c r="D1839" i="8"/>
  <c r="D1711" i="8"/>
  <c r="D1615" i="8"/>
  <c r="D1551" i="8"/>
  <c r="D4574" i="8"/>
  <c r="D4534" i="8"/>
  <c r="D4454" i="8"/>
  <c r="D4422" i="8"/>
  <c r="D4390" i="8"/>
  <c r="D4358" i="8"/>
  <c r="D4326" i="8"/>
  <c r="D4294" i="8"/>
  <c r="D4262" i="8"/>
  <c r="D4230" i="8"/>
  <c r="D4198" i="8"/>
  <c r="D4166" i="8"/>
  <c r="D4134" i="8"/>
  <c r="D4102" i="8"/>
  <c r="D4070" i="8"/>
  <c r="D4038" i="8"/>
  <c r="D4006" i="8"/>
  <c r="D3974" i="8"/>
  <c r="D3942" i="8"/>
  <c r="D3910" i="8"/>
  <c r="D3878" i="8"/>
  <c r="D3846" i="8"/>
  <c r="D3814" i="8"/>
  <c r="D3782" i="8"/>
  <c r="D3750" i="8"/>
  <c r="D3718" i="8"/>
  <c r="D3686" i="8"/>
  <c r="D3654" i="8"/>
  <c r="D3622" i="8"/>
  <c r="D3590" i="8"/>
  <c r="D3558" i="8"/>
  <c r="D3526" i="8"/>
  <c r="D3494" i="8"/>
  <c r="D3462" i="8"/>
  <c r="D3430" i="8"/>
  <c r="D3398" i="8"/>
  <c r="D3366" i="8"/>
  <c r="D3334" i="8"/>
  <c r="D3302" i="8"/>
  <c r="D3270" i="8"/>
  <c r="D3238" i="8"/>
  <c r="D3206" i="8"/>
  <c r="D3174" i="8"/>
  <c r="D3142" i="8"/>
  <c r="D3110" i="8"/>
  <c r="D3078" i="8"/>
  <c r="D3046" i="8"/>
  <c r="D3014" i="8"/>
  <c r="D2982" i="8"/>
  <c r="D2950" i="8"/>
  <c r="D2918" i="8"/>
  <c r="D2886" i="8"/>
  <c r="D2854" i="8"/>
  <c r="D2822" i="8"/>
  <c r="D2790" i="8"/>
  <c r="D2758" i="8"/>
  <c r="D2726" i="8"/>
  <c r="D2694" i="8"/>
  <c r="D2662" i="8"/>
  <c r="D2630" i="8"/>
  <c r="D2598" i="8"/>
  <c r="D2566" i="8"/>
  <c r="D2534" i="8"/>
  <c r="D2502" i="8"/>
  <c r="D2470" i="8"/>
  <c r="D2438" i="8"/>
  <c r="D2406" i="8"/>
  <c r="D2374" i="8"/>
  <c r="D2342" i="8"/>
  <c r="D2310" i="8"/>
  <c r="D2278" i="8"/>
  <c r="D2246" i="8"/>
  <c r="D2214" i="8"/>
  <c r="D2182" i="8"/>
  <c r="D2150" i="8"/>
  <c r="D2118" i="8"/>
  <c r="D2086" i="8"/>
  <c r="D2054" i="8"/>
  <c r="D2022" i="8"/>
  <c r="D1990" i="8"/>
  <c r="D1958" i="8"/>
  <c r="D1926" i="8"/>
  <c r="D1894" i="8"/>
  <c r="D1862" i="8"/>
  <c r="D1830" i="8"/>
  <c r="D1798" i="8"/>
  <c r="D1766" i="8"/>
  <c r="D1734" i="8"/>
  <c r="D1702" i="8"/>
  <c r="D1670" i="8"/>
  <c r="D1638" i="8"/>
  <c r="D1606" i="8"/>
  <c r="D1574" i="8"/>
  <c r="D1542" i="8"/>
  <c r="D1510" i="8"/>
  <c r="D2599" i="8"/>
  <c r="D2471" i="8"/>
  <c r="D2343" i="8"/>
  <c r="D2215" i="8"/>
  <c r="D2087" i="8"/>
  <c r="D1959" i="8"/>
  <c r="D1831" i="8"/>
  <c r="D1703" i="8"/>
  <c r="D1607" i="8"/>
  <c r="D4526" i="8"/>
  <c r="D4493" i="8"/>
  <c r="D4461" i="8"/>
  <c r="D4429" i="8"/>
  <c r="D4397" i="8"/>
  <c r="D4365" i="8"/>
  <c r="D4333" i="8"/>
  <c r="D4301" i="8"/>
  <c r="D4269" i="8"/>
  <c r="D4237" i="8"/>
  <c r="D4205" i="8"/>
  <c r="D4173" i="8"/>
  <c r="D4141" i="8"/>
  <c r="D4109" i="8"/>
  <c r="D4077" i="8"/>
  <c r="D4045" i="8"/>
  <c r="D4013" i="8"/>
  <c r="D3981" i="8"/>
  <c r="D3949" i="8"/>
  <c r="D3917" i="8"/>
  <c r="D2575" i="8"/>
  <c r="D2447" i="8"/>
  <c r="D2319" i="8"/>
  <c r="D2191" i="8"/>
  <c r="D2063" i="8"/>
  <c r="D1935" i="8"/>
  <c r="D1807" i="8"/>
  <c r="D1679" i="8"/>
  <c r="D1543" i="8"/>
  <c r="D1495" i="8"/>
  <c r="D4606" i="8"/>
  <c r="D4566" i="8"/>
  <c r="D4478" i="8"/>
  <c r="D4446" i="8"/>
  <c r="D4414" i="8"/>
  <c r="D4382" i="8"/>
  <c r="D4350" i="8"/>
  <c r="D4318" i="8"/>
  <c r="D4286" i="8"/>
  <c r="D4254" i="8"/>
  <c r="D4222" i="8"/>
  <c r="D4190" i="8"/>
  <c r="D4158" i="8"/>
  <c r="D4126" i="8"/>
  <c r="D4094" i="8"/>
  <c r="D4062" i="8"/>
  <c r="D4030" i="8"/>
  <c r="D3998" i="8"/>
  <c r="D3966" i="8"/>
  <c r="D3934" i="8"/>
  <c r="D3902" i="8"/>
  <c r="D3870" i="8"/>
  <c r="D3838" i="8"/>
  <c r="D3806" i="8"/>
  <c r="D3774" i="8"/>
  <c r="D3742" i="8"/>
  <c r="D3710" i="8"/>
  <c r="D3678" i="8"/>
  <c r="D3646" i="8"/>
  <c r="D3614" i="8"/>
  <c r="D3582" i="8"/>
  <c r="D3550" i="8"/>
  <c r="D3518" i="8"/>
  <c r="D3486" i="8"/>
  <c r="D3454" i="8"/>
  <c r="D3422" i="8"/>
  <c r="D3390" i="8"/>
  <c r="D3358" i="8"/>
  <c r="D3326" i="8"/>
  <c r="D3294" i="8"/>
  <c r="D3262" i="8"/>
  <c r="D3230" i="8"/>
  <c r="D3198" i="8"/>
  <c r="D3166" i="8"/>
  <c r="D3134" i="8"/>
  <c r="D3102" i="8"/>
  <c r="D3070" i="8"/>
  <c r="D3038" i="8"/>
  <c r="D3006" i="8"/>
  <c r="D2974" i="8"/>
  <c r="D2942" i="8"/>
  <c r="D2910" i="8"/>
  <c r="D2878" i="8"/>
  <c r="D2846" i="8"/>
  <c r="D2814" i="8"/>
  <c r="D2782" i="8"/>
  <c r="D2750" i="8"/>
  <c r="D2718" i="8"/>
  <c r="D2686" i="8"/>
  <c r="D2654" i="8"/>
  <c r="D2622" i="8"/>
  <c r="D2590" i="8"/>
  <c r="D2558" i="8"/>
  <c r="D2526" i="8"/>
  <c r="D2494" i="8"/>
  <c r="D2462" i="8"/>
  <c r="D2430" i="8"/>
  <c r="D2398" i="8"/>
  <c r="D2366" i="8"/>
  <c r="D2334" i="8"/>
  <c r="D2302" i="8"/>
  <c r="D2270" i="8"/>
  <c r="D2238" i="8"/>
  <c r="D2206" i="8"/>
  <c r="D2174" i="8"/>
  <c r="D2142" i="8"/>
  <c r="D2110" i="8"/>
  <c r="D2078" i="8"/>
  <c r="D2046" i="8"/>
  <c r="D2014" i="8"/>
  <c r="D1982" i="8"/>
  <c r="D1950" i="8"/>
  <c r="D1918" i="8"/>
  <c r="D1886" i="8"/>
  <c r="D1854" i="8"/>
  <c r="D1822" i="8"/>
  <c r="D1790" i="8"/>
  <c r="D1758" i="8"/>
  <c r="D1726" i="8"/>
  <c r="D1694" i="8"/>
  <c r="D1662" i="8"/>
  <c r="D1630" i="8"/>
  <c r="D1598" i="8"/>
  <c r="D1566" i="8"/>
  <c r="D1534" i="8"/>
  <c r="D1502" i="8"/>
  <c r="D2567" i="8"/>
  <c r="D2439" i="8"/>
  <c r="D2311" i="8"/>
  <c r="D2183" i="8"/>
  <c r="D2055" i="8"/>
  <c r="D1927" i="8"/>
  <c r="D1799" i="8"/>
  <c r="D1671" i="8"/>
  <c r="D1591" i="8"/>
  <c r="D1487" i="8"/>
  <c r="D4558" i="8"/>
  <c r="D4485" i="8"/>
  <c r="D4453" i="8"/>
  <c r="D4421" i="8"/>
  <c r="D4389" i="8"/>
  <c r="D4357" i="8"/>
  <c r="D4325" i="8"/>
  <c r="D4293" i="8"/>
  <c r="D4261" i="8"/>
  <c r="D4229" i="8"/>
  <c r="D4197" i="8"/>
  <c r="D4165" i="8"/>
  <c r="D4133" i="8"/>
  <c r="D4101" i="8"/>
  <c r="D4069" i="8"/>
  <c r="D4037" i="8"/>
  <c r="D4005" i="8"/>
  <c r="D3973" i="8"/>
  <c r="D3941" i="8"/>
  <c r="D3909" i="8"/>
  <c r="D2543" i="8"/>
  <c r="D2415" i="8"/>
  <c r="D2287" i="8"/>
  <c r="D2159" i="8"/>
  <c r="D2031" i="8"/>
  <c r="D1903" i="8"/>
  <c r="D1775" i="8"/>
  <c r="D1647" i="8"/>
  <c r="D1583" i="8"/>
  <c r="D1527" i="8"/>
  <c r="D4598" i="8"/>
  <c r="D4510" i="8"/>
  <c r="D4470" i="8"/>
  <c r="D4438" i="8"/>
  <c r="D4406" i="8"/>
  <c r="D4374" i="8"/>
  <c r="D4342" i="8"/>
  <c r="D4310" i="8"/>
  <c r="D4278" i="8"/>
  <c r="D4246" i="8"/>
  <c r="D4214" i="8"/>
  <c r="D4182" i="8"/>
  <c r="D4150" i="8"/>
  <c r="D4118" i="8"/>
  <c r="D4086" i="8"/>
  <c r="D4054" i="8"/>
  <c r="D4022" i="8"/>
  <c r="D3990" i="8"/>
  <c r="D3958" i="8"/>
  <c r="D3926" i="8"/>
  <c r="D3894" i="8"/>
  <c r="D3862" i="8"/>
  <c r="D3830" i="8"/>
  <c r="D3798" i="8"/>
  <c r="D3766" i="8"/>
  <c r="D3734" i="8"/>
  <c r="D3702" i="8"/>
  <c r="D3670" i="8"/>
  <c r="D3638" i="8"/>
  <c r="D3606" i="8"/>
  <c r="D3574" i="8"/>
  <c r="D3542" i="8"/>
  <c r="D3510" i="8"/>
  <c r="D3478" i="8"/>
  <c r="D3446" i="8"/>
  <c r="D3414" i="8"/>
  <c r="D3382" i="8"/>
  <c r="D3350" i="8"/>
  <c r="D3318" i="8"/>
  <c r="D3286" i="8"/>
  <c r="D3254" i="8"/>
  <c r="D3222" i="8"/>
  <c r="D3190" i="8"/>
  <c r="D3158" i="8"/>
  <c r="D3126" i="8"/>
  <c r="D3094" i="8"/>
  <c r="D3062" i="8"/>
  <c r="D3030" i="8"/>
  <c r="D2998" i="8"/>
  <c r="D2966" i="8"/>
  <c r="D2934" i="8"/>
  <c r="D2902" i="8"/>
  <c r="D2870" i="8"/>
  <c r="D2838" i="8"/>
  <c r="D2806" i="8"/>
  <c r="D2774" i="8"/>
  <c r="D2742" i="8"/>
  <c r="D2710" i="8"/>
  <c r="D2678" i="8"/>
  <c r="D2646" i="8"/>
  <c r="D2614" i="8"/>
  <c r="D2582" i="8"/>
  <c r="D2550" i="8"/>
  <c r="D2518" i="8"/>
  <c r="D2486" i="8"/>
  <c r="D2454" i="8"/>
  <c r="D2422" i="8"/>
  <c r="D2390" i="8"/>
  <c r="D2358" i="8"/>
  <c r="D2326" i="8"/>
  <c r="D2294" i="8"/>
  <c r="D2262" i="8"/>
  <c r="D2230" i="8"/>
  <c r="D2198" i="8"/>
  <c r="D2166" i="8"/>
  <c r="D2134" i="8"/>
  <c r="D2102" i="8"/>
  <c r="D2070" i="8"/>
  <c r="D2038" i="8"/>
  <c r="D2006" i="8"/>
  <c r="D1974" i="8"/>
  <c r="D1942" i="8"/>
  <c r="D1910" i="8"/>
  <c r="D1878" i="8"/>
  <c r="D1846" i="8"/>
  <c r="D1814" i="8"/>
  <c r="D1782" i="8"/>
  <c r="D1750" i="8"/>
  <c r="D1718" i="8"/>
  <c r="D1686" i="8"/>
  <c r="D1654" i="8"/>
  <c r="D1622" i="8"/>
  <c r="D1590" i="8"/>
  <c r="D1558" i="8"/>
  <c r="D1526" i="8"/>
  <c r="D1494" i="8"/>
  <c r="D2535" i="8"/>
  <c r="D2407" i="8"/>
  <c r="D2279" i="8"/>
  <c r="D2151" i="8"/>
  <c r="D2023" i="8"/>
  <c r="D1895" i="8"/>
  <c r="D1767" i="8"/>
  <c r="D1639" i="8"/>
  <c r="D1575" i="8"/>
  <c r="D1519" i="8"/>
  <c r="D1479" i="8"/>
  <c r="D4590" i="8"/>
  <c r="D4477" i="8"/>
  <c r="D4445" i="8"/>
  <c r="D4413" i="8"/>
  <c r="D4381" i="8"/>
  <c r="D4349" i="8"/>
  <c r="D4317" i="8"/>
  <c r="D4285" i="8"/>
  <c r="D4253" i="8"/>
  <c r="D4221" i="8"/>
  <c r="D4189" i="8"/>
  <c r="D4157" i="8"/>
  <c r="D4125" i="8"/>
  <c r="D4093" i="8"/>
  <c r="D4061" i="8"/>
  <c r="D4029" i="8"/>
  <c r="D3997" i="8"/>
  <c r="D3965" i="8"/>
  <c r="D3933" i="8"/>
  <c r="D3901" i="8"/>
  <c r="D3869" i="8"/>
  <c r="D3837" i="8"/>
  <c r="D3805" i="8"/>
  <c r="D3773" i="8"/>
  <c r="D3741" i="8"/>
  <c r="D3709" i="8"/>
  <c r="D3677" i="8"/>
  <c r="D3645" i="8"/>
  <c r="D3613" i="8"/>
  <c r="D3581" i="8"/>
  <c r="D3549" i="8"/>
  <c r="D3517" i="8"/>
  <c r="D3485" i="8"/>
  <c r="D3453" i="8"/>
  <c r="D3421" i="8"/>
  <c r="D3389" i="8"/>
  <c r="D3357" i="8"/>
  <c r="D3325" i="8"/>
  <c r="D3293" i="8"/>
  <c r="D3261" i="8"/>
  <c r="D3229" i="8"/>
  <c r="D3197" i="8"/>
  <c r="D3165" i="8"/>
  <c r="D3133" i="8"/>
  <c r="D3101" i="8"/>
  <c r="D3069" i="8"/>
  <c r="D3037" i="8"/>
  <c r="D3005" i="8"/>
  <c r="D2973" i="8"/>
  <c r="D2941" i="8"/>
  <c r="D2909" i="8"/>
  <c r="D2877" i="8"/>
  <c r="D2639" i="8"/>
  <c r="D2511" i="8"/>
  <c r="D2383" i="8"/>
  <c r="D2255" i="8"/>
  <c r="D2127" i="8"/>
  <c r="D1999" i="8"/>
  <c r="D1871" i="8"/>
  <c r="D1743" i="8"/>
  <c r="D4542" i="8"/>
  <c r="D4502" i="8"/>
  <c r="D4462" i="8"/>
  <c r="D4430" i="8"/>
  <c r="D4398" i="8"/>
  <c r="D4366" i="8"/>
  <c r="D4334" i="8"/>
  <c r="D4302" i="8"/>
  <c r="D4270" i="8"/>
  <c r="D4238" i="8"/>
  <c r="D4206" i="8"/>
  <c r="D4174" i="8"/>
  <c r="D4142" i="8"/>
  <c r="D4110" i="8"/>
  <c r="D4078" i="8"/>
  <c r="D4046" i="8"/>
  <c r="D4014" i="8"/>
  <c r="D3982" i="8"/>
  <c r="D3950" i="8"/>
  <c r="D3918" i="8"/>
  <c r="D3886" i="8"/>
  <c r="D3854" i="8"/>
  <c r="D3822" i="8"/>
  <c r="D3790" i="8"/>
  <c r="D3758" i="8"/>
  <c r="D3726" i="8"/>
  <c r="D3694" i="8"/>
  <c r="D3662" i="8"/>
  <c r="D3630" i="8"/>
  <c r="D3598" i="8"/>
  <c r="D3566" i="8"/>
  <c r="D3534" i="8"/>
  <c r="D3502" i="8"/>
  <c r="D3470" i="8"/>
  <c r="D3438" i="8"/>
  <c r="D3406" i="8"/>
  <c r="D3374" i="8"/>
  <c r="D3342" i="8"/>
  <c r="D3310" i="8"/>
  <c r="D3278" i="8"/>
  <c r="D3246" i="8"/>
  <c r="D3214" i="8"/>
  <c r="D3182" i="8"/>
  <c r="D3150" i="8"/>
  <c r="D3118" i="8"/>
  <c r="D3086" i="8"/>
  <c r="D3054" i="8"/>
  <c r="D3022" i="8"/>
  <c r="D2990" i="8"/>
  <c r="D2958" i="8"/>
  <c r="D2926" i="8"/>
  <c r="D2894" i="8"/>
  <c r="D2862" i="8"/>
  <c r="D2830" i="8"/>
  <c r="D2798" i="8"/>
  <c r="D2766" i="8"/>
  <c r="D2734" i="8"/>
  <c r="D2702" i="8"/>
  <c r="D2670" i="8"/>
  <c r="D2638" i="8"/>
  <c r="D2606" i="8"/>
  <c r="D2574" i="8"/>
  <c r="D2542" i="8"/>
  <c r="D2510" i="8"/>
  <c r="D2478" i="8"/>
  <c r="D2446" i="8"/>
  <c r="D2414" i="8"/>
  <c r="D2382" i="8"/>
  <c r="D2350" i="8"/>
  <c r="D2318" i="8"/>
  <c r="D2286" i="8"/>
  <c r="D2254" i="8"/>
  <c r="D2222" i="8"/>
  <c r="D2190" i="8"/>
  <c r="D2158" i="8"/>
  <c r="D2126" i="8"/>
  <c r="D2094" i="8"/>
  <c r="D2062" i="8"/>
  <c r="D2030" i="8"/>
  <c r="D1998" i="8"/>
  <c r="D1966" i="8"/>
  <c r="D1934" i="8"/>
  <c r="D1902" i="8"/>
  <c r="D1870" i="8"/>
  <c r="D1838" i="8"/>
  <c r="D1806" i="8"/>
  <c r="D1774" i="8"/>
  <c r="D1742" i="8"/>
  <c r="D1710" i="8"/>
  <c r="D1678" i="8"/>
  <c r="D1646" i="8"/>
  <c r="D1614" i="8"/>
  <c r="D1582" i="8"/>
  <c r="D1550" i="8"/>
  <c r="D1518" i="8"/>
  <c r="D1486" i="8"/>
  <c r="D2375" i="8"/>
  <c r="D1511" i="8"/>
  <c r="D4309" i="8"/>
  <c r="D4053" i="8"/>
  <c r="D3861" i="8"/>
  <c r="D3781" i="8"/>
  <c r="D3693" i="8"/>
  <c r="D3605" i="8"/>
  <c r="D3525" i="8"/>
  <c r="D3445" i="8"/>
  <c r="D3381" i="8"/>
  <c r="D3317" i="8"/>
  <c r="D3253" i="8"/>
  <c r="D3189" i="8"/>
  <c r="D3125" i="8"/>
  <c r="D3061" i="8"/>
  <c r="D2997" i="8"/>
  <c r="D2933" i="8"/>
  <c r="D2869" i="8"/>
  <c r="D2821" i="8"/>
  <c r="D2733" i="8"/>
  <c r="D2693" i="8"/>
  <c r="D2605" i="8"/>
  <c r="D2565" i="8"/>
  <c r="D4500" i="8"/>
  <c r="D4468" i="8"/>
  <c r="D4436" i="8"/>
  <c r="D4404" i="8"/>
  <c r="D4372" i="8"/>
  <c r="D4340" i="8"/>
  <c r="D4308" i="8"/>
  <c r="D4276" i="8"/>
  <c r="D4244" i="8"/>
  <c r="D4212" i="8"/>
  <c r="D4180" i="8"/>
  <c r="D4148" i="8"/>
  <c r="D4116" i="8"/>
  <c r="D4084" i="8"/>
  <c r="D4052" i="8"/>
  <c r="D4020" i="8"/>
  <c r="D3988" i="8"/>
  <c r="D3956" i="8"/>
  <c r="D3924" i="8"/>
  <c r="D3892" i="8"/>
  <c r="D3860" i="8"/>
  <c r="D3828" i="8"/>
  <c r="D3796" i="8"/>
  <c r="D3764" i="8"/>
  <c r="D3732" i="8"/>
  <c r="D3700" i="8"/>
  <c r="D3668" i="8"/>
  <c r="D3636" i="8"/>
  <c r="D3604" i="8"/>
  <c r="D3572" i="8"/>
  <c r="D3540" i="8"/>
  <c r="D3508" i="8"/>
  <c r="D3476" i="8"/>
  <c r="D3444" i="8"/>
  <c r="D3412" i="8"/>
  <c r="D3380" i="8"/>
  <c r="D3348" i="8"/>
  <c r="D3316" i="8"/>
  <c r="D3284" i="8"/>
  <c r="D3252" i="8"/>
  <c r="D3220" i="8"/>
  <c r="D3188" i="8"/>
  <c r="D3156" i="8"/>
  <c r="D3124" i="8"/>
  <c r="D3092" i="8"/>
  <c r="D3060" i="8"/>
  <c r="D3028" i="8"/>
  <c r="D2996" i="8"/>
  <c r="D2964" i="8"/>
  <c r="D2932" i="8"/>
  <c r="D2900" i="8"/>
  <c r="D2868" i="8"/>
  <c r="D2836" i="8"/>
  <c r="D2804" i="8"/>
  <c r="D2772" i="8"/>
  <c r="D2740" i="8"/>
  <c r="D2708" i="8"/>
  <c r="D2676" i="8"/>
  <c r="D2644" i="8"/>
  <c r="D2612" i="8"/>
  <c r="D2580" i="8"/>
  <c r="D2548" i="8"/>
  <c r="D2516" i="8"/>
  <c r="D2484" i="8"/>
  <c r="D2452" i="8"/>
  <c r="D2420" i="8"/>
  <c r="D2388" i="8"/>
  <c r="D2356" i="8"/>
  <c r="D2324" i="8"/>
  <c r="D2292" i="8"/>
  <c r="D2260" i="8"/>
  <c r="D2228" i="8"/>
  <c r="D2196" i="8"/>
  <c r="D2164" i="8"/>
  <c r="D2132" i="8"/>
  <c r="D2100" i="8"/>
  <c r="D2068" i="8"/>
  <c r="D2036" i="8"/>
  <c r="D2004" i="8"/>
  <c r="D1972" i="8"/>
  <c r="D1940" i="8"/>
  <c r="D1908" i="8"/>
  <c r="D1876" i="8"/>
  <c r="D1844" i="8"/>
  <c r="D1812" i="8"/>
  <c r="D1780" i="8"/>
  <c r="D1748" i="8"/>
  <c r="D1716" i="8"/>
  <c r="D1684" i="8"/>
  <c r="D1652" i="8"/>
  <c r="D1620" i="8"/>
  <c r="D1588" i="8"/>
  <c r="D1556" i="8"/>
  <c r="D4539" i="8"/>
  <c r="D4507" i="8"/>
  <c r="D2247" i="8"/>
  <c r="D4277" i="8"/>
  <c r="D4021" i="8"/>
  <c r="D3853" i="8"/>
  <c r="D3765" i="8"/>
  <c r="D3685" i="8"/>
  <c r="D3597" i="8"/>
  <c r="D3509" i="8"/>
  <c r="D3437" i="8"/>
  <c r="D3373" i="8"/>
  <c r="D3309" i="8"/>
  <c r="D3245" i="8"/>
  <c r="D3181" i="8"/>
  <c r="D3117" i="8"/>
  <c r="D3053" i="8"/>
  <c r="D2989" i="8"/>
  <c r="D2925" i="8"/>
  <c r="D2861" i="8"/>
  <c r="D2813" i="8"/>
  <c r="D2773" i="8"/>
  <c r="D2685" i="8"/>
  <c r="D2645" i="8"/>
  <c r="D2557" i="8"/>
  <c r="D2517" i="8"/>
  <c r="D2485" i="8"/>
  <c r="D2453" i="8"/>
  <c r="D2421" i="8"/>
  <c r="D2389" i="8"/>
  <c r="D2357" i="8"/>
  <c r="D2325" i="8"/>
  <c r="D2293" i="8"/>
  <c r="D2261" i="8"/>
  <c r="D2229" i="8"/>
  <c r="D2197" i="8"/>
  <c r="D2165" i="8"/>
  <c r="D2133" i="8"/>
  <c r="D2101" i="8"/>
  <c r="D2069" i="8"/>
  <c r="D2037" i="8"/>
  <c r="D2005" i="8"/>
  <c r="D1973" i="8"/>
  <c r="D1941" i="8"/>
  <c r="D1909" i="8"/>
  <c r="D1877" i="8"/>
  <c r="D1845" i="8"/>
  <c r="D1813" i="8"/>
  <c r="D1781" i="8"/>
  <c r="D1749" i="8"/>
  <c r="D1717" i="8"/>
  <c r="D1685" i="8"/>
  <c r="D1653" i="8"/>
  <c r="D1621" i="8"/>
  <c r="D1589" i="8"/>
  <c r="D1557" i="8"/>
  <c r="D1525" i="8"/>
  <c r="D1493" i="8"/>
  <c r="D1461" i="8"/>
  <c r="D1429" i="8"/>
  <c r="D1397" i="8"/>
  <c r="D1365" i="8"/>
  <c r="D1333" i="8"/>
  <c r="D2119" i="8"/>
  <c r="D4245" i="8"/>
  <c r="D3989" i="8"/>
  <c r="D3845" i="8"/>
  <c r="D3757" i="8"/>
  <c r="D3669" i="8"/>
  <c r="D3589" i="8"/>
  <c r="D3501" i="8"/>
  <c r="D3429" i="8"/>
  <c r="D3365" i="8"/>
  <c r="D3301" i="8"/>
  <c r="D3237" i="8"/>
  <c r="D3173" i="8"/>
  <c r="D3109" i="8"/>
  <c r="D3045" i="8"/>
  <c r="D2981" i="8"/>
  <c r="D2917" i="8"/>
  <c r="D2853" i="8"/>
  <c r="D2765" i="8"/>
  <c r="D2725" i="8"/>
  <c r="D2637" i="8"/>
  <c r="D2597" i="8"/>
  <c r="D4492" i="8"/>
  <c r="D4460" i="8"/>
  <c r="D4428" i="8"/>
  <c r="D4396" i="8"/>
  <c r="D4364" i="8"/>
  <c r="D4332" i="8"/>
  <c r="D4300" i="8"/>
  <c r="D4268" i="8"/>
  <c r="D4236" i="8"/>
  <c r="D4204" i="8"/>
  <c r="D4172" i="8"/>
  <c r="D4140" i="8"/>
  <c r="D4108" i="8"/>
  <c r="D4076" i="8"/>
  <c r="D4044" i="8"/>
  <c r="D4012" i="8"/>
  <c r="D3980" i="8"/>
  <c r="D3948" i="8"/>
  <c r="D3916" i="8"/>
  <c r="D3884" i="8"/>
  <c r="D3852" i="8"/>
  <c r="D3820" i="8"/>
  <c r="D3788" i="8"/>
  <c r="D3756" i="8"/>
  <c r="D3724" i="8"/>
  <c r="D3692" i="8"/>
  <c r="D3660" i="8"/>
  <c r="D3628" i="8"/>
  <c r="D3596" i="8"/>
  <c r="D3564" i="8"/>
  <c r="D3532" i="8"/>
  <c r="D3500" i="8"/>
  <c r="D3468" i="8"/>
  <c r="D3436" i="8"/>
  <c r="D3404" i="8"/>
  <c r="D3372" i="8"/>
  <c r="D3340" i="8"/>
  <c r="D3308" i="8"/>
  <c r="D3276" i="8"/>
  <c r="D3244" i="8"/>
  <c r="D3212" i="8"/>
  <c r="D3180" i="8"/>
  <c r="D3148" i="8"/>
  <c r="D3116" i="8"/>
  <c r="D3084" i="8"/>
  <c r="D3052" i="8"/>
  <c r="D3020" i="8"/>
  <c r="D2988" i="8"/>
  <c r="D2956" i="8"/>
  <c r="D2924" i="8"/>
  <c r="D2892" i="8"/>
  <c r="D2860" i="8"/>
  <c r="D2828" i="8"/>
  <c r="D2796" i="8"/>
  <c r="D2764" i="8"/>
  <c r="D2732" i="8"/>
  <c r="D2700" i="8"/>
  <c r="D2668" i="8"/>
  <c r="D2636" i="8"/>
  <c r="D2604" i="8"/>
  <c r="D2572" i="8"/>
  <c r="D2540" i="8"/>
  <c r="D2508" i="8"/>
  <c r="D2476" i="8"/>
  <c r="D2444" i="8"/>
  <c r="D2412" i="8"/>
  <c r="D1991" i="8"/>
  <c r="D4469" i="8"/>
  <c r="D4213" i="8"/>
  <c r="D3957" i="8"/>
  <c r="D3829" i="8"/>
  <c r="D3749" i="8"/>
  <c r="D3661" i="8"/>
  <c r="D3573" i="8"/>
  <c r="D3493" i="8"/>
  <c r="D2845" i="8"/>
  <c r="D2805" i="8"/>
  <c r="D2717" i="8"/>
  <c r="D2677" i="8"/>
  <c r="D2589" i="8"/>
  <c r="D2549" i="8"/>
  <c r="D2509" i="8"/>
  <c r="D2477" i="8"/>
  <c r="D2445" i="8"/>
  <c r="D2413" i="8"/>
  <c r="D2381" i="8"/>
  <c r="D2349" i="8"/>
  <c r="D2317" i="8"/>
  <c r="D2285" i="8"/>
  <c r="D2253" i="8"/>
  <c r="D2221" i="8"/>
  <c r="D2189" i="8"/>
  <c r="D2157" i="8"/>
  <c r="D2125" i="8"/>
  <c r="D2093" i="8"/>
  <c r="D2061" i="8"/>
  <c r="D2029" i="8"/>
  <c r="D1997" i="8"/>
  <c r="D1965" i="8"/>
  <c r="D1933" i="8"/>
  <c r="D1901" i="8"/>
  <c r="D1869" i="8"/>
  <c r="D1837" i="8"/>
  <c r="D1805" i="8"/>
  <c r="D1773" i="8"/>
  <c r="D1741" i="8"/>
  <c r="D1709" i="8"/>
  <c r="D1677" i="8"/>
  <c r="D1645" i="8"/>
  <c r="D1613" i="8"/>
  <c r="D1581" i="8"/>
  <c r="D1549" i="8"/>
  <c r="D1517" i="8"/>
  <c r="D1485" i="8"/>
  <c r="D1453" i="8"/>
  <c r="D1421" i="8"/>
  <c r="D1389" i="8"/>
  <c r="D1357" i="8"/>
  <c r="D1325" i="8"/>
  <c r="D1863" i="8"/>
  <c r="D4494" i="8"/>
  <c r="D4437" i="8"/>
  <c r="D4181" i="8"/>
  <c r="D3925" i="8"/>
  <c r="D3821" i="8"/>
  <c r="D3733" i="8"/>
  <c r="D3653" i="8"/>
  <c r="D3565" i="8"/>
  <c r="D3477" i="8"/>
  <c r="D3413" i="8"/>
  <c r="D3349" i="8"/>
  <c r="D3285" i="8"/>
  <c r="D3221" i="8"/>
  <c r="D3157" i="8"/>
  <c r="D3093" i="8"/>
  <c r="D3029" i="8"/>
  <c r="D2965" i="8"/>
  <c r="D2901" i="8"/>
  <c r="D2797" i="8"/>
  <c r="D2757" i="8"/>
  <c r="D2669" i="8"/>
  <c r="D2629" i="8"/>
  <c r="D2541" i="8"/>
  <c r="D4484" i="8"/>
  <c r="D4452" i="8"/>
  <c r="D4420" i="8"/>
  <c r="D4388" i="8"/>
  <c r="D4356" i="8"/>
  <c r="D4324" i="8"/>
  <c r="D4292" i="8"/>
  <c r="D4260" i="8"/>
  <c r="D4228" i="8"/>
  <c r="D4196" i="8"/>
  <c r="D4164" i="8"/>
  <c r="D4132" i="8"/>
  <c r="D4100" i="8"/>
  <c r="D4068" i="8"/>
  <c r="D4036" i="8"/>
  <c r="D4004" i="8"/>
  <c r="D3972" i="8"/>
  <c r="D3940" i="8"/>
  <c r="D3908" i="8"/>
  <c r="D3876" i="8"/>
  <c r="D3844" i="8"/>
  <c r="D3812" i="8"/>
  <c r="D3780" i="8"/>
  <c r="D3748" i="8"/>
  <c r="D3716" i="8"/>
  <c r="D3684" i="8"/>
  <c r="D3652" i="8"/>
  <c r="D3620" i="8"/>
  <c r="D3588" i="8"/>
  <c r="D3556" i="8"/>
  <c r="D3524" i="8"/>
  <c r="D3492" i="8"/>
  <c r="D3460" i="8"/>
  <c r="D3428" i="8"/>
  <c r="D3396" i="8"/>
  <c r="D3364" i="8"/>
  <c r="D3332" i="8"/>
  <c r="D3300" i="8"/>
  <c r="D3268" i="8"/>
  <c r="D3236" i="8"/>
  <c r="D3204" i="8"/>
  <c r="D3172" i="8"/>
  <c r="D3140" i="8"/>
  <c r="D3108" i="8"/>
  <c r="D3076" i="8"/>
  <c r="D3044" i="8"/>
  <c r="D3012" i="8"/>
  <c r="D2980" i="8"/>
  <c r="D2948" i="8"/>
  <c r="D2916" i="8"/>
  <c r="D2884" i="8"/>
  <c r="D2852" i="8"/>
  <c r="D2820" i="8"/>
  <c r="D2788" i="8"/>
  <c r="D2756" i="8"/>
  <c r="D2724" i="8"/>
  <c r="D2692" i="8"/>
  <c r="D2660" i="8"/>
  <c r="D2628" i="8"/>
  <c r="D2596" i="8"/>
  <c r="D2564" i="8"/>
  <c r="D2532" i="8"/>
  <c r="D2500" i="8"/>
  <c r="D2468" i="8"/>
  <c r="D2436" i="8"/>
  <c r="D2404" i="8"/>
  <c r="D2372" i="8"/>
  <c r="D2340" i="8"/>
  <c r="D2308" i="8"/>
  <c r="D2276" i="8"/>
  <c r="D2244" i="8"/>
  <c r="D2212" i="8"/>
  <c r="D2180" i="8"/>
  <c r="D2148" i="8"/>
  <c r="D2116" i="8"/>
  <c r="D2084" i="8"/>
  <c r="D2052" i="8"/>
  <c r="D2020" i="8"/>
  <c r="D1988" i="8"/>
  <c r="D1956" i="8"/>
  <c r="D1924" i="8"/>
  <c r="D1892" i="8"/>
  <c r="D1860" i="8"/>
  <c r="D1828" i="8"/>
  <c r="D1796" i="8"/>
  <c r="D1764" i="8"/>
  <c r="D1732" i="8"/>
  <c r="D1700" i="8"/>
  <c r="D1668" i="8"/>
  <c r="D1636" i="8"/>
  <c r="D1604" i="8"/>
  <c r="D1572" i="8"/>
  <c r="D4523" i="8"/>
  <c r="D1735" i="8"/>
  <c r="D4405" i="8"/>
  <c r="D4149" i="8"/>
  <c r="D3893" i="8"/>
  <c r="D3813" i="8"/>
  <c r="D3725" i="8"/>
  <c r="D3637" i="8"/>
  <c r="D3557" i="8"/>
  <c r="D3469" i="8"/>
  <c r="D3405" i="8"/>
  <c r="D3341" i="8"/>
  <c r="D3277" i="8"/>
  <c r="D3213" i="8"/>
  <c r="D3149" i="8"/>
  <c r="D3085" i="8"/>
  <c r="D3021" i="8"/>
  <c r="D2957" i="8"/>
  <c r="D2893" i="8"/>
  <c r="D2837" i="8"/>
  <c r="D2749" i="8"/>
  <c r="D2709" i="8"/>
  <c r="D2621" i="8"/>
  <c r="D2581" i="8"/>
  <c r="D2501" i="8"/>
  <c r="D2469" i="8"/>
  <c r="D2437" i="8"/>
  <c r="D2405" i="8"/>
  <c r="D2373" i="8"/>
  <c r="D2341" i="8"/>
  <c r="D2309" i="8"/>
  <c r="D2277" i="8"/>
  <c r="D2245" i="8"/>
  <c r="D2213" i="8"/>
  <c r="D2181" i="8"/>
  <c r="D2149" i="8"/>
  <c r="D2117" i="8"/>
  <c r="D2085" i="8"/>
  <c r="D2053" i="8"/>
  <c r="D2021" i="8"/>
  <c r="D1989" i="8"/>
  <c r="D1957" i="8"/>
  <c r="D1925" i="8"/>
  <c r="D1893" i="8"/>
  <c r="D1861" i="8"/>
  <c r="D1829" i="8"/>
  <c r="D1797" i="8"/>
  <c r="D1765" i="8"/>
  <c r="D1733" i="8"/>
  <c r="D1701" i="8"/>
  <c r="D1669" i="8"/>
  <c r="D1637" i="8"/>
  <c r="D1605" i="8"/>
  <c r="D1573" i="8"/>
  <c r="D1541" i="8"/>
  <c r="D1509" i="8"/>
  <c r="D1477" i="8"/>
  <c r="D1445" i="8"/>
  <c r="D1413" i="8"/>
  <c r="D1381" i="8"/>
  <c r="D1349" i="8"/>
  <c r="D2631" i="8"/>
  <c r="D1623" i="8"/>
  <c r="D4373" i="8"/>
  <c r="D4117" i="8"/>
  <c r="D3885" i="8"/>
  <c r="D3797" i="8"/>
  <c r="D3717" i="8"/>
  <c r="D3629" i="8"/>
  <c r="D3541" i="8"/>
  <c r="D3461" i="8"/>
  <c r="D3397" i="8"/>
  <c r="D3333" i="8"/>
  <c r="D3269" i="8"/>
  <c r="D3205" i="8"/>
  <c r="D3141" i="8"/>
  <c r="D3077" i="8"/>
  <c r="D3013" i="8"/>
  <c r="D2949" i="8"/>
  <c r="D2885" i="8"/>
  <c r="D2829" i="8"/>
  <c r="D2789" i="8"/>
  <c r="D2701" i="8"/>
  <c r="D2661" i="8"/>
  <c r="D2573" i="8"/>
  <c r="D2533" i="8"/>
  <c r="D4508" i="8"/>
  <c r="D4476" i="8"/>
  <c r="D4444" i="8"/>
  <c r="D4412" i="8"/>
  <c r="D4380" i="8"/>
  <c r="D4348" i="8"/>
  <c r="D4316" i="8"/>
  <c r="D4284" i="8"/>
  <c r="D4252" i="8"/>
  <c r="D4220" i="8"/>
  <c r="D4188" i="8"/>
  <c r="D4156" i="8"/>
  <c r="D4124" i="8"/>
  <c r="D4092" i="8"/>
  <c r="D4060" i="8"/>
  <c r="D4028" i="8"/>
  <c r="D3996" i="8"/>
  <c r="D3964" i="8"/>
  <c r="D3932" i="8"/>
  <c r="D3900" i="8"/>
  <c r="D3868" i="8"/>
  <c r="D3836" i="8"/>
  <c r="D3804" i="8"/>
  <c r="D3772" i="8"/>
  <c r="D3740" i="8"/>
  <c r="D3708" i="8"/>
  <c r="D3676" i="8"/>
  <c r="D3644" i="8"/>
  <c r="D3612" i="8"/>
  <c r="D3580" i="8"/>
  <c r="D3548" i="8"/>
  <c r="D3516" i="8"/>
  <c r="D3484" i="8"/>
  <c r="D3452" i="8"/>
  <c r="D3420" i="8"/>
  <c r="D3388" i="8"/>
  <c r="D3356" i="8"/>
  <c r="D3324" i="8"/>
  <c r="D3292" i="8"/>
  <c r="D3260" i="8"/>
  <c r="D3228" i="8"/>
  <c r="D3196" i="8"/>
  <c r="D3164" i="8"/>
  <c r="D3132" i="8"/>
  <c r="D3100" i="8"/>
  <c r="D3068" i="8"/>
  <c r="D3036" i="8"/>
  <c r="D3004" i="8"/>
  <c r="D2972" i="8"/>
  <c r="D2940" i="8"/>
  <c r="D2908" i="8"/>
  <c r="D2876" i="8"/>
  <c r="D2844" i="8"/>
  <c r="D2812" i="8"/>
  <c r="D2780" i="8"/>
  <c r="D2748" i="8"/>
  <c r="D2716" i="8"/>
  <c r="D2684" i="8"/>
  <c r="D2652" i="8"/>
  <c r="D2620" i="8"/>
  <c r="D2588" i="8"/>
  <c r="D2556" i="8"/>
  <c r="D2524" i="8"/>
  <c r="D2492" i="8"/>
  <c r="D2460" i="8"/>
  <c r="D2428" i="8"/>
  <c r="D2396" i="8"/>
  <c r="D2364" i="8"/>
  <c r="D2332" i="8"/>
  <c r="D2503" i="8"/>
  <c r="D1559" i="8"/>
  <c r="D4341" i="8"/>
  <c r="D4085" i="8"/>
  <c r="D3877" i="8"/>
  <c r="D3789" i="8"/>
  <c r="D3701" i="8"/>
  <c r="D3621" i="8"/>
  <c r="D3533" i="8"/>
  <c r="D2781" i="8"/>
  <c r="D2461" i="8"/>
  <c r="D2205" i="8"/>
  <c r="D1949" i="8"/>
  <c r="D1693" i="8"/>
  <c r="D1437" i="8"/>
  <c r="D2204" i="8"/>
  <c r="D2076" i="8"/>
  <c r="D1948" i="8"/>
  <c r="D1820" i="8"/>
  <c r="D1692" i="8"/>
  <c r="D1564" i="8"/>
  <c r="D2741" i="8"/>
  <c r="D2429" i="8"/>
  <c r="D2173" i="8"/>
  <c r="D1917" i="8"/>
  <c r="D1661" i="8"/>
  <c r="D1405" i="8"/>
  <c r="D2284" i="8"/>
  <c r="D2156" i="8"/>
  <c r="D2028" i="8"/>
  <c r="D1900" i="8"/>
  <c r="D1772" i="8"/>
  <c r="D1644" i="8"/>
  <c r="D4531" i="8"/>
  <c r="D4491" i="8"/>
  <c r="D4459" i="8"/>
  <c r="D4427" i="8"/>
  <c r="D4395" i="8"/>
  <c r="D4363" i="8"/>
  <c r="D4331" i="8"/>
  <c r="D4299" i="8"/>
  <c r="D4267" i="8"/>
  <c r="D4235" i="8"/>
  <c r="D4203" i="8"/>
  <c r="D4171" i="8"/>
  <c r="D4139" i="8"/>
  <c r="D4107" i="8"/>
  <c r="D4075" i="8"/>
  <c r="D4043" i="8"/>
  <c r="D4011" i="8"/>
  <c r="D3979" i="8"/>
  <c r="D3947" i="8"/>
  <c r="D3915" i="8"/>
  <c r="D3883" i="8"/>
  <c r="D3851" i="8"/>
  <c r="D3819" i="8"/>
  <c r="D3787" i="8"/>
  <c r="D3755" i="8"/>
  <c r="D3723" i="8"/>
  <c r="D3691" i="8"/>
  <c r="D3659" i="8"/>
  <c r="D3627" i="8"/>
  <c r="D3595" i="8"/>
  <c r="D3563" i="8"/>
  <c r="D3531" i="8"/>
  <c r="D3499" i="8"/>
  <c r="D3467" i="8"/>
  <c r="D3435" i="8"/>
  <c r="D3403" i="8"/>
  <c r="D3371" i="8"/>
  <c r="D3331" i="8"/>
  <c r="D3299" i="8"/>
  <c r="D3267" i="8"/>
  <c r="D3235" i="8"/>
  <c r="D3203" i="8"/>
  <c r="D3171" i="8"/>
  <c r="D3139" i="8"/>
  <c r="D3107" i="8"/>
  <c r="D3075" i="8"/>
  <c r="D3043" i="8"/>
  <c r="D3011" i="8"/>
  <c r="D2979" i="8"/>
  <c r="D2947" i="8"/>
  <c r="D2915" i="8"/>
  <c r="D2883" i="8"/>
  <c r="D2851" i="8"/>
  <c r="D2819" i="8"/>
  <c r="D2787" i="8"/>
  <c r="D2755" i="8"/>
  <c r="D2397" i="8"/>
  <c r="D2141" i="8"/>
  <c r="D1885" i="8"/>
  <c r="D1629" i="8"/>
  <c r="D1373" i="8"/>
  <c r="D2236" i="8"/>
  <c r="D2108" i="8"/>
  <c r="D1980" i="8"/>
  <c r="D1852" i="8"/>
  <c r="D1724" i="8"/>
  <c r="D1596" i="8"/>
  <c r="D2653" i="8"/>
  <c r="D2365" i="8"/>
  <c r="D2109" i="8"/>
  <c r="D1853" i="8"/>
  <c r="D1597" i="8"/>
  <c r="D1341" i="8"/>
  <c r="D2380" i="8"/>
  <c r="D2316" i="8"/>
  <c r="D2188" i="8"/>
  <c r="D2060" i="8"/>
  <c r="D1932" i="8"/>
  <c r="D1804" i="8"/>
  <c r="D1676" i="8"/>
  <c r="D1548" i="8"/>
  <c r="D4483" i="8"/>
  <c r="D4451" i="8"/>
  <c r="D4419" i="8"/>
  <c r="D4387" i="8"/>
  <c r="D4355" i="8"/>
  <c r="D4323" i="8"/>
  <c r="D4291" i="8"/>
  <c r="D4259" i="8"/>
  <c r="D4227" i="8"/>
  <c r="D4195" i="8"/>
  <c r="D4163" i="8"/>
  <c r="D4131" i="8"/>
  <c r="D4099" i="8"/>
  <c r="D4067" i="8"/>
  <c r="D4035" i="8"/>
  <c r="D4003" i="8"/>
  <c r="D3971" i="8"/>
  <c r="D3939" i="8"/>
  <c r="D3907" i="8"/>
  <c r="D3875" i="8"/>
  <c r="D3843" i="8"/>
  <c r="D3811" i="8"/>
  <c r="D3779" i="8"/>
  <c r="D3747" i="8"/>
  <c r="D3715" i="8"/>
  <c r="D3683" i="8"/>
  <c r="D3651" i="8"/>
  <c r="D3619" i="8"/>
  <c r="D3587" i="8"/>
  <c r="D3555" i="8"/>
  <c r="D3523" i="8"/>
  <c r="D3491" i="8"/>
  <c r="D3459" i="8"/>
  <c r="D3427" i="8"/>
  <c r="D3395" i="8"/>
  <c r="D3363" i="8"/>
  <c r="D3323" i="8"/>
  <c r="D3291" i="8"/>
  <c r="D3259" i="8"/>
  <c r="D3227" i="8"/>
  <c r="D3195" i="8"/>
  <c r="D3163" i="8"/>
  <c r="D3131" i="8"/>
  <c r="D3099" i="8"/>
  <c r="D3067" i="8"/>
  <c r="D3035" i="8"/>
  <c r="D3003" i="8"/>
  <c r="D2971" i="8"/>
  <c r="D2939" i="8"/>
  <c r="D2907" i="8"/>
  <c r="D2613" i="8"/>
  <c r="D2333" i="8"/>
  <c r="D2077" i="8"/>
  <c r="D1821" i="8"/>
  <c r="D1565" i="8"/>
  <c r="D2268" i="8"/>
  <c r="D2140" i="8"/>
  <c r="D2012" i="8"/>
  <c r="D1884" i="8"/>
  <c r="D1756" i="8"/>
  <c r="D1628" i="8"/>
  <c r="D4515" i="8"/>
  <c r="D2301" i="8"/>
  <c r="D2045" i="8"/>
  <c r="D1789" i="8"/>
  <c r="D1533" i="8"/>
  <c r="D2220" i="8"/>
  <c r="D2092" i="8"/>
  <c r="D1964" i="8"/>
  <c r="D1836" i="8"/>
  <c r="D1708" i="8"/>
  <c r="D1580" i="8"/>
  <c r="D4475" i="8"/>
  <c r="D4443" i="8"/>
  <c r="D4411" i="8"/>
  <c r="D4379" i="8"/>
  <c r="D4347" i="8"/>
  <c r="D4315" i="8"/>
  <c r="D4283" i="8"/>
  <c r="D4251" i="8"/>
  <c r="D4219" i="8"/>
  <c r="D4187" i="8"/>
  <c r="D4155" i="8"/>
  <c r="D4123" i="8"/>
  <c r="D4091" i="8"/>
  <c r="D4059" i="8"/>
  <c r="D4027" i="8"/>
  <c r="D3995" i="8"/>
  <c r="D3963" i="8"/>
  <c r="D3931" i="8"/>
  <c r="D3899" i="8"/>
  <c r="D3867" i="8"/>
  <c r="D3835" i="8"/>
  <c r="D3803" i="8"/>
  <c r="D3771" i="8"/>
  <c r="D3739" i="8"/>
  <c r="D3707" i="8"/>
  <c r="D3675" i="8"/>
  <c r="D3643" i="8"/>
  <c r="D3611" i="8"/>
  <c r="D3579" i="8"/>
  <c r="D3547" i="8"/>
  <c r="D3515" i="8"/>
  <c r="D3483" i="8"/>
  <c r="D3451" i="8"/>
  <c r="D3419" i="8"/>
  <c r="D3387" i="8"/>
  <c r="D3347" i="8"/>
  <c r="D3315" i="8"/>
  <c r="D3283" i="8"/>
  <c r="D3251" i="8"/>
  <c r="D3219" i="8"/>
  <c r="D3187" i="8"/>
  <c r="D3155" i="8"/>
  <c r="D3123" i="8"/>
  <c r="D3091" i="8"/>
  <c r="D3059" i="8"/>
  <c r="D3027" i="8"/>
  <c r="D2995" i="8"/>
  <c r="D2963" i="8"/>
  <c r="D2931" i="8"/>
  <c r="D2899" i="8"/>
  <c r="D2867" i="8"/>
  <c r="D2835" i="8"/>
  <c r="D2803" i="8"/>
  <c r="D2771" i="8"/>
  <c r="D2525" i="8"/>
  <c r="D2269" i="8"/>
  <c r="D2013" i="8"/>
  <c r="D1757" i="8"/>
  <c r="D1501" i="8"/>
  <c r="D2300" i="8"/>
  <c r="D2172" i="8"/>
  <c r="D2044" i="8"/>
  <c r="D1916" i="8"/>
  <c r="D1788" i="8"/>
  <c r="D1660" i="8"/>
  <c r="D4547" i="8"/>
  <c r="D2493" i="8"/>
  <c r="D2237" i="8"/>
  <c r="D1981" i="8"/>
  <c r="D1725" i="8"/>
  <c r="D1469" i="8"/>
  <c r="D2348" i="8"/>
  <c r="D2252" i="8"/>
  <c r="D2124" i="8"/>
  <c r="D1996" i="8"/>
  <c r="D1868" i="8"/>
  <c r="D1740" i="8"/>
  <c r="D1612" i="8"/>
  <c r="D4499" i="8"/>
  <c r="D4467" i="8"/>
  <c r="D4435" i="8"/>
  <c r="D4403" i="8"/>
  <c r="D4371" i="8"/>
  <c r="D4339" i="8"/>
  <c r="D4307" i="8"/>
  <c r="D4275" i="8"/>
  <c r="D4243" i="8"/>
  <c r="D4211" i="8"/>
  <c r="D4179" i="8"/>
  <c r="D4147" i="8"/>
  <c r="D4115" i="8"/>
  <c r="D4083" i="8"/>
  <c r="D4051" i="8"/>
  <c r="D4019" i="8"/>
  <c r="D3987" i="8"/>
  <c r="D3955" i="8"/>
  <c r="D3923" i="8"/>
  <c r="D3891" i="8"/>
  <c r="D3859" i="8"/>
  <c r="D3827" i="8"/>
  <c r="D3795" i="8"/>
  <c r="D3763" i="8"/>
  <c r="D3731" i="8"/>
  <c r="D3699" i="8"/>
  <c r="D3667" i="8"/>
  <c r="D3635" i="8"/>
  <c r="D3603" i="8"/>
  <c r="D3571" i="8"/>
  <c r="D3539" i="8"/>
  <c r="D3507" i="8"/>
  <c r="D3475" i="8"/>
  <c r="D3443" i="8"/>
  <c r="D3411" i="8"/>
  <c r="D3379" i="8"/>
  <c r="D3339" i="8"/>
  <c r="D3307" i="8"/>
  <c r="D3275" i="8"/>
  <c r="D3243" i="8"/>
  <c r="D3211" i="8"/>
  <c r="D3179" i="8"/>
  <c r="D3147" i="8"/>
  <c r="D3115" i="8"/>
  <c r="D3083" i="8"/>
  <c r="D3051" i="8"/>
  <c r="D3019" i="8"/>
  <c r="D2987" i="8"/>
  <c r="D2955" i="8"/>
  <c r="D2923" i="8"/>
  <c r="D2859" i="8"/>
  <c r="D2739" i="8"/>
  <c r="D2675" i="8"/>
  <c r="D2611" i="8"/>
  <c r="D2547" i="8"/>
  <c r="D2443" i="8"/>
  <c r="D2403" i="8"/>
  <c r="D2371" i="8"/>
  <c r="D2339" i="8"/>
  <c r="D2307" i="8"/>
  <c r="D2275" i="8"/>
  <c r="D2243" i="8"/>
  <c r="D2211" i="8"/>
  <c r="D2179" i="8"/>
  <c r="D2147" i="8"/>
  <c r="D2115" i="8"/>
  <c r="D2083" i="8"/>
  <c r="D2051" i="8"/>
  <c r="D2019" i="8"/>
  <c r="D1987" i="8"/>
  <c r="D1955" i="8"/>
  <c r="D1923" i="8"/>
  <c r="D1891" i="8"/>
  <c r="D1859" i="8"/>
  <c r="D1827" i="8"/>
  <c r="D1795" i="8"/>
  <c r="D1763" i="8"/>
  <c r="D1731" i="8"/>
  <c r="D1699" i="8"/>
  <c r="D1667" i="8"/>
  <c r="D1635" i="8"/>
  <c r="D1603" i="8"/>
  <c r="D1571" i="8"/>
  <c r="D1313" i="8"/>
  <c r="D1281" i="8"/>
  <c r="D1249" i="8"/>
  <c r="D1217" i="8"/>
  <c r="D1185" i="8"/>
  <c r="D1153" i="8"/>
  <c r="D1121" i="8"/>
  <c r="D1089" i="8"/>
  <c r="D1057" i="8"/>
  <c r="D1025" i="8"/>
  <c r="D993" i="8"/>
  <c r="D961" i="8"/>
  <c r="D929" i="8"/>
  <c r="D897" i="8"/>
  <c r="D865" i="8"/>
  <c r="D833" i="8"/>
  <c r="D801" i="8"/>
  <c r="D769" i="8"/>
  <c r="D737" i="8"/>
  <c r="D705" i="8"/>
  <c r="D673" i="8"/>
  <c r="D641" i="8"/>
  <c r="D609" i="8"/>
  <c r="D577" i="8"/>
  <c r="D545" i="8"/>
  <c r="D513" i="8"/>
  <c r="D481" i="8"/>
  <c r="D449" i="8"/>
  <c r="D417" i="8"/>
  <c r="D385" i="8"/>
  <c r="D353" i="8"/>
  <c r="D321" i="8"/>
  <c r="D289" i="8"/>
  <c r="D257" i="8"/>
  <c r="D225" i="8"/>
  <c r="D193" i="8"/>
  <c r="D161" i="8"/>
  <c r="D129" i="8"/>
  <c r="D97" i="8"/>
  <c r="D65" i="8"/>
  <c r="D33" i="8"/>
  <c r="D1520" i="8"/>
  <c r="D1488" i="8"/>
  <c r="D1456" i="8"/>
  <c r="D1424" i="8"/>
  <c r="D1392" i="8"/>
  <c r="D1360" i="8"/>
  <c r="D1328" i="8"/>
  <c r="D1296" i="8"/>
  <c r="D1264" i="8"/>
  <c r="D1232" i="8"/>
  <c r="D1200" i="8"/>
  <c r="D1168" i="8"/>
  <c r="D1136" i="8"/>
  <c r="D1104" i="8"/>
  <c r="D1072" i="8"/>
  <c r="D1040" i="8"/>
  <c r="D1008" i="8"/>
  <c r="D976" i="8"/>
  <c r="D944" i="8"/>
  <c r="D912" i="8"/>
  <c r="D880" i="8"/>
  <c r="D848" i="8"/>
  <c r="D816" i="8"/>
  <c r="D784" i="8"/>
  <c r="D752" i="8"/>
  <c r="D720" i="8"/>
  <c r="D688" i="8"/>
  <c r="D656" i="8"/>
  <c r="D624" i="8"/>
  <c r="D592" i="8"/>
  <c r="D560" i="8"/>
  <c r="D528" i="8"/>
  <c r="D496" i="8"/>
  <c r="D464" i="8"/>
  <c r="D432" i="8"/>
  <c r="D400" i="8"/>
  <c r="D368" i="8"/>
  <c r="D336" i="8"/>
  <c r="D304" i="8"/>
  <c r="D272" i="8"/>
  <c r="D240" i="8"/>
  <c r="D208" i="8"/>
  <c r="D176" i="8"/>
  <c r="D144" i="8"/>
  <c r="D112" i="8"/>
  <c r="D80" i="8"/>
  <c r="D48" i="8"/>
  <c r="D1455" i="8"/>
  <c r="D1423" i="8"/>
  <c r="D1391" i="8"/>
  <c r="D1359" i="8"/>
  <c r="D1327" i="8"/>
  <c r="D1295" i="8"/>
  <c r="D1263" i="8"/>
  <c r="D1231" i="8"/>
  <c r="D1199" i="8"/>
  <c r="D1167" i="8"/>
  <c r="D1135" i="8"/>
  <c r="D1103" i="8"/>
  <c r="D1071" i="8"/>
  <c r="D1039" i="8"/>
  <c r="D1007" i="8"/>
  <c r="D975" i="8"/>
  <c r="D943" i="8"/>
  <c r="D911" i="8"/>
  <c r="D879" i="8"/>
  <c r="D847" i="8"/>
  <c r="D815" i="8"/>
  <c r="D783" i="8"/>
  <c r="D751" i="8"/>
  <c r="D719" i="8"/>
  <c r="D687" i="8"/>
  <c r="D655" i="8"/>
  <c r="D623" i="8"/>
  <c r="D591" i="8"/>
  <c r="D559" i="8"/>
  <c r="D527" i="8"/>
  <c r="D495" i="8"/>
  <c r="D463" i="8"/>
  <c r="D431" i="8"/>
  <c r="D399" i="8"/>
  <c r="D367" i="8"/>
  <c r="D335" i="8"/>
  <c r="D303" i="8"/>
  <c r="D271" i="8"/>
  <c r="D239" i="8"/>
  <c r="D207" i="8"/>
  <c r="D175" i="8"/>
  <c r="D143" i="8"/>
  <c r="D111" i="8"/>
  <c r="D79" i="8"/>
  <c r="D47" i="8"/>
  <c r="D1470" i="8"/>
  <c r="D1438" i="8"/>
  <c r="D1406" i="8"/>
  <c r="D1374" i="8"/>
  <c r="D1342" i="8"/>
  <c r="D1310" i="8"/>
  <c r="D1278" i="8"/>
  <c r="D1246" i="8"/>
  <c r="D1214" i="8"/>
  <c r="D1182" i="8"/>
  <c r="D1150" i="8"/>
  <c r="D2843" i="8"/>
  <c r="D2731" i="8"/>
  <c r="D2667" i="8"/>
  <c r="D2603" i="8"/>
  <c r="D2539" i="8"/>
  <c r="D2483" i="8"/>
  <c r="D2827" i="8"/>
  <c r="D2723" i="8"/>
  <c r="D2659" i="8"/>
  <c r="D2595" i="8"/>
  <c r="D2531" i="8"/>
  <c r="D2475" i="8"/>
  <c r="D2435" i="8"/>
  <c r="D2395" i="8"/>
  <c r="D2363" i="8"/>
  <c r="D2331" i="8"/>
  <c r="D2299" i="8"/>
  <c r="D2267" i="8"/>
  <c r="D2235" i="8"/>
  <c r="D2203" i="8"/>
  <c r="D2171" i="8"/>
  <c r="D2139" i="8"/>
  <c r="D2107" i="8"/>
  <c r="D2075" i="8"/>
  <c r="D2043" i="8"/>
  <c r="D2011" i="8"/>
  <c r="D1979" i="8"/>
  <c r="D1947" i="8"/>
  <c r="D1915" i="8"/>
  <c r="D1883" i="8"/>
  <c r="D1851" i="8"/>
  <c r="D1819" i="8"/>
  <c r="D1787" i="8"/>
  <c r="D1755" i="8"/>
  <c r="D1723" i="8"/>
  <c r="D1691" i="8"/>
  <c r="D1659" i="8"/>
  <c r="D1627" i="8"/>
  <c r="D1595" i="8"/>
  <c r="D1563" i="8"/>
  <c r="D1305" i="8"/>
  <c r="D1273" i="8"/>
  <c r="D1241" i="8"/>
  <c r="D1209" i="8"/>
  <c r="D1177" i="8"/>
  <c r="D1145" i="8"/>
  <c r="D1113" i="8"/>
  <c r="D1081" i="8"/>
  <c r="D1049" i="8"/>
  <c r="D1017" i="8"/>
  <c r="D985" i="8"/>
  <c r="D953" i="8"/>
  <c r="D921" i="8"/>
  <c r="D889" i="8"/>
  <c r="D857" i="8"/>
  <c r="D825" i="8"/>
  <c r="D793" i="8"/>
  <c r="D761" i="8"/>
  <c r="D729" i="8"/>
  <c r="D697" i="8"/>
  <c r="D665" i="8"/>
  <c r="D633" i="8"/>
  <c r="D601" i="8"/>
  <c r="D569" i="8"/>
  <c r="D537" i="8"/>
  <c r="D505" i="8"/>
  <c r="D473" i="8"/>
  <c r="D441" i="8"/>
  <c r="D409" i="8"/>
  <c r="D377" i="8"/>
  <c r="D345" i="8"/>
  <c r="D313" i="8"/>
  <c r="D281" i="8"/>
  <c r="D249" i="8"/>
  <c r="D217" i="8"/>
  <c r="D185" i="8"/>
  <c r="D153" i="8"/>
  <c r="D121" i="8"/>
  <c r="D89" i="8"/>
  <c r="D57" i="8"/>
  <c r="D1544" i="8"/>
  <c r="D1512" i="8"/>
  <c r="D1480" i="8"/>
  <c r="D1448" i="8"/>
  <c r="D1416" i="8"/>
  <c r="D1384" i="8"/>
  <c r="D1352" i="8"/>
  <c r="D1320" i="8"/>
  <c r="D1288" i="8"/>
  <c r="D1256" i="8"/>
  <c r="D1224" i="8"/>
  <c r="D1192" i="8"/>
  <c r="D1160" i="8"/>
  <c r="D1128" i="8"/>
  <c r="D1096" i="8"/>
  <c r="D1064" i="8"/>
  <c r="D1032" i="8"/>
  <c r="D1000" i="8"/>
  <c r="D968" i="8"/>
  <c r="D936" i="8"/>
  <c r="D904" i="8"/>
  <c r="D872" i="8"/>
  <c r="D840" i="8"/>
  <c r="D808" i="8"/>
  <c r="D776" i="8"/>
  <c r="D744" i="8"/>
  <c r="D712" i="8"/>
  <c r="D680" i="8"/>
  <c r="D648" i="8"/>
  <c r="D616" i="8"/>
  <c r="D584" i="8"/>
  <c r="D552" i="8"/>
  <c r="D520" i="8"/>
  <c r="D488" i="8"/>
  <c r="D456" i="8"/>
  <c r="D424" i="8"/>
  <c r="D392" i="8"/>
  <c r="D360" i="8"/>
  <c r="D328" i="8"/>
  <c r="D296" i="8"/>
  <c r="D264" i="8"/>
  <c r="D232" i="8"/>
  <c r="D200" i="8"/>
  <c r="D168" i="8"/>
  <c r="D136" i="8"/>
  <c r="D104" i="8"/>
  <c r="D72" i="8"/>
  <c r="D40" i="8"/>
  <c r="D1447" i="8"/>
  <c r="D1415" i="8"/>
  <c r="D1383" i="8"/>
  <c r="D1351" i="8"/>
  <c r="D1319" i="8"/>
  <c r="D1287" i="8"/>
  <c r="D1255" i="8"/>
  <c r="D1223" i="8"/>
  <c r="D1191" i="8"/>
  <c r="D1159" i="8"/>
  <c r="D1127" i="8"/>
  <c r="D1095" i="8"/>
  <c r="D1063" i="8"/>
  <c r="D1031" i="8"/>
  <c r="D999" i="8"/>
  <c r="D967" i="8"/>
  <c r="D935" i="8"/>
  <c r="D903" i="8"/>
  <c r="D871" i="8"/>
  <c r="D839" i="8"/>
  <c r="D807" i="8"/>
  <c r="D775" i="8"/>
  <c r="D743" i="8"/>
  <c r="D711" i="8"/>
  <c r="D679" i="8"/>
  <c r="D647" i="8"/>
  <c r="D615" i="8"/>
  <c r="D583" i="8"/>
  <c r="D551" i="8"/>
  <c r="D519" i="8"/>
  <c r="D487" i="8"/>
  <c r="D455" i="8"/>
  <c r="D423" i="8"/>
  <c r="D391" i="8"/>
  <c r="D359" i="8"/>
  <c r="D327" i="8"/>
  <c r="D295" i="8"/>
  <c r="D263" i="8"/>
  <c r="D231" i="8"/>
  <c r="D199" i="8"/>
  <c r="D167" i="8"/>
  <c r="D135" i="8"/>
  <c r="D103" i="8"/>
  <c r="D71" i="8"/>
  <c r="D39" i="8"/>
  <c r="D2811" i="8"/>
  <c r="D2715" i="8"/>
  <c r="D2651" i="8"/>
  <c r="D2587" i="8"/>
  <c r="D2523" i="8"/>
  <c r="D2427" i="8"/>
  <c r="D2795" i="8"/>
  <c r="D2707" i="8"/>
  <c r="D2643" i="8"/>
  <c r="D2579" i="8"/>
  <c r="D2515" i="8"/>
  <c r="D2467" i="8"/>
  <c r="D2387" i="8"/>
  <c r="D2355" i="8"/>
  <c r="D2323" i="8"/>
  <c r="D2291" i="8"/>
  <c r="D2259" i="8"/>
  <c r="D2227" i="8"/>
  <c r="D2195" i="8"/>
  <c r="D2163" i="8"/>
  <c r="D2131" i="8"/>
  <c r="D2099" i="8"/>
  <c r="D2067" i="8"/>
  <c r="D2035" i="8"/>
  <c r="D2003" i="8"/>
  <c r="D1971" i="8"/>
  <c r="D1939" i="8"/>
  <c r="D1907" i="8"/>
  <c r="D1875" i="8"/>
  <c r="D1843" i="8"/>
  <c r="D1811" i="8"/>
  <c r="D1779" i="8"/>
  <c r="D1747" i="8"/>
  <c r="D1715" i="8"/>
  <c r="D1683" i="8"/>
  <c r="D1651" i="8"/>
  <c r="D1619" i="8"/>
  <c r="D1587" i="8"/>
  <c r="D1297" i="8"/>
  <c r="D1265" i="8"/>
  <c r="D1233" i="8"/>
  <c r="D1201" i="8"/>
  <c r="D1169" i="8"/>
  <c r="D1137" i="8"/>
  <c r="D1105" i="8"/>
  <c r="D1073" i="8"/>
  <c r="D1041" i="8"/>
  <c r="D1009" i="8"/>
  <c r="D977" i="8"/>
  <c r="D945" i="8"/>
  <c r="D913" i="8"/>
  <c r="D881" i="8"/>
  <c r="D849" i="8"/>
  <c r="D817" i="8"/>
  <c r="D785" i="8"/>
  <c r="D753" i="8"/>
  <c r="D721" i="8"/>
  <c r="D689" i="8"/>
  <c r="D657" i="8"/>
  <c r="D625" i="8"/>
  <c r="D593" i="8"/>
  <c r="D561" i="8"/>
  <c r="D529" i="8"/>
  <c r="D497" i="8"/>
  <c r="D465" i="8"/>
  <c r="D433" i="8"/>
  <c r="D401" i="8"/>
  <c r="D369" i="8"/>
  <c r="D337" i="8"/>
  <c r="D305" i="8"/>
  <c r="D273" i="8"/>
  <c r="D241" i="8"/>
  <c r="D209" i="8"/>
  <c r="D177" i="8"/>
  <c r="D145" i="8"/>
  <c r="D113" i="8"/>
  <c r="D81" i="8"/>
  <c r="D49" i="8"/>
  <c r="D1536" i="8"/>
  <c r="D1504" i="8"/>
  <c r="D1472" i="8"/>
  <c r="D1440" i="8"/>
  <c r="D1408" i="8"/>
  <c r="D1376" i="8"/>
  <c r="D1344" i="8"/>
  <c r="D1312" i="8"/>
  <c r="D1280" i="8"/>
  <c r="D1248" i="8"/>
  <c r="D1216" i="8"/>
  <c r="D1184" i="8"/>
  <c r="D1152" i="8"/>
  <c r="D1120" i="8"/>
  <c r="D1088" i="8"/>
  <c r="D1056" i="8"/>
  <c r="D1024" i="8"/>
  <c r="D992" i="8"/>
  <c r="D960" i="8"/>
  <c r="D928" i="8"/>
  <c r="D896" i="8"/>
  <c r="D864" i="8"/>
  <c r="D832" i="8"/>
  <c r="D800" i="8"/>
  <c r="D768" i="8"/>
  <c r="D736" i="8"/>
  <c r="D704" i="8"/>
  <c r="D672" i="8"/>
  <c r="D640" i="8"/>
  <c r="D608" i="8"/>
  <c r="D576" i="8"/>
  <c r="D544" i="8"/>
  <c r="D512" i="8"/>
  <c r="D480" i="8"/>
  <c r="D448" i="8"/>
  <c r="D416" i="8"/>
  <c r="D384" i="8"/>
  <c r="D352" i="8"/>
  <c r="D320" i="8"/>
  <c r="D288" i="8"/>
  <c r="D256" i="8"/>
  <c r="D224" i="8"/>
  <c r="D192" i="8"/>
  <c r="D160" i="8"/>
  <c r="D128" i="8"/>
  <c r="D96" i="8"/>
  <c r="D64" i="8"/>
  <c r="D32" i="8"/>
  <c r="D1439" i="8"/>
  <c r="D1407" i="8"/>
  <c r="D1375" i="8"/>
  <c r="D1343" i="8"/>
  <c r="D1311" i="8"/>
  <c r="D1279" i="8"/>
  <c r="D1247" i="8"/>
  <c r="D1215" i="8"/>
  <c r="D1183" i="8"/>
  <c r="D1151" i="8"/>
  <c r="D1119" i="8"/>
  <c r="D1087" i="8"/>
  <c r="D1055" i="8"/>
  <c r="D1023" i="8"/>
  <c r="D991" i="8"/>
  <c r="D959" i="8"/>
  <c r="D927" i="8"/>
  <c r="D895" i="8"/>
  <c r="D863" i="8"/>
  <c r="D831" i="8"/>
  <c r="D799" i="8"/>
  <c r="D767" i="8"/>
  <c r="D735" i="8"/>
  <c r="D703" i="8"/>
  <c r="D671" i="8"/>
  <c r="D639" i="8"/>
  <c r="D607" i="8"/>
  <c r="D575" i="8"/>
  <c r="D543" i="8"/>
  <c r="D511" i="8"/>
  <c r="D479" i="8"/>
  <c r="D447" i="8"/>
  <c r="D415" i="8"/>
  <c r="D383" i="8"/>
  <c r="D351" i="8"/>
  <c r="D319" i="8"/>
  <c r="D287" i="8"/>
  <c r="D255" i="8"/>
  <c r="D223" i="8"/>
  <c r="D191" i="8"/>
  <c r="D159" i="8"/>
  <c r="D127" i="8"/>
  <c r="D95" i="8"/>
  <c r="D63" i="8"/>
  <c r="D31" i="8"/>
  <c r="D1454" i="8"/>
  <c r="D1422" i="8"/>
  <c r="D1390" i="8"/>
  <c r="D1358" i="8"/>
  <c r="D1326" i="8"/>
  <c r="D1294" i="8"/>
  <c r="D1262" i="8"/>
  <c r="D1230" i="8"/>
  <c r="D1198" i="8"/>
  <c r="D1166" i="8"/>
  <c r="D1134" i="8"/>
  <c r="D2779" i="8"/>
  <c r="D2699" i="8"/>
  <c r="D2635" i="8"/>
  <c r="D2571" i="8"/>
  <c r="D2507" i="8"/>
  <c r="D2459" i="8"/>
  <c r="D2419" i="8"/>
  <c r="D2891" i="8"/>
  <c r="D2763" i="8"/>
  <c r="D2691" i="8"/>
  <c r="D2627" i="8"/>
  <c r="D2563" i="8"/>
  <c r="D2499" i="8"/>
  <c r="D2411" i="8"/>
  <c r="D2379" i="8"/>
  <c r="D2347" i="8"/>
  <c r="D2315" i="8"/>
  <c r="D2283" i="8"/>
  <c r="D2251" i="8"/>
  <c r="D2219" i="8"/>
  <c r="D2187" i="8"/>
  <c r="D2155" i="8"/>
  <c r="D2123" i="8"/>
  <c r="D2091" i="8"/>
  <c r="D2059" i="8"/>
  <c r="D2027" i="8"/>
  <c r="D1995" i="8"/>
  <c r="D1963" i="8"/>
  <c r="D1931" i="8"/>
  <c r="D1899" i="8"/>
  <c r="D1867" i="8"/>
  <c r="D1835" i="8"/>
  <c r="D1803" i="8"/>
  <c r="D1771" i="8"/>
  <c r="D1739" i="8"/>
  <c r="D1707" i="8"/>
  <c r="D1675" i="8"/>
  <c r="D1643" i="8"/>
  <c r="D1611" i="8"/>
  <c r="D1579" i="8"/>
  <c r="D1321" i="8"/>
  <c r="D1289" i="8"/>
  <c r="D1257" i="8"/>
  <c r="D1225" i="8"/>
  <c r="D1193" i="8"/>
  <c r="D1161" i="8"/>
  <c r="D1129" i="8"/>
  <c r="D1097" i="8"/>
  <c r="D1065" i="8"/>
  <c r="D1033" i="8"/>
  <c r="D1001" i="8"/>
  <c r="D969" i="8"/>
  <c r="D937" i="8"/>
  <c r="D905" i="8"/>
  <c r="D873" i="8"/>
  <c r="D841" i="8"/>
  <c r="D809" i="8"/>
  <c r="D777" i="8"/>
  <c r="D745" i="8"/>
  <c r="D713" i="8"/>
  <c r="D681" i="8"/>
  <c r="D649" i="8"/>
  <c r="D617" i="8"/>
  <c r="D585" i="8"/>
  <c r="D553" i="8"/>
  <c r="D521" i="8"/>
  <c r="D489" i="8"/>
  <c r="D457" i="8"/>
  <c r="D425" i="8"/>
  <c r="D393" i="8"/>
  <c r="D361" i="8"/>
  <c r="D329" i="8"/>
  <c r="D297" i="8"/>
  <c r="D265" i="8"/>
  <c r="D233" i="8"/>
  <c r="D201" i="8"/>
  <c r="D169" i="8"/>
  <c r="D137" i="8"/>
  <c r="D105" i="8"/>
  <c r="D73" i="8"/>
  <c r="D41" i="8"/>
  <c r="D1528" i="8"/>
  <c r="D1496" i="8"/>
  <c r="D1464" i="8"/>
  <c r="D1432" i="8"/>
  <c r="D1400" i="8"/>
  <c r="D1368" i="8"/>
  <c r="D1336" i="8"/>
  <c r="D1304" i="8"/>
  <c r="D1272" i="8"/>
  <c r="D1240" i="8"/>
  <c r="D1208" i="8"/>
  <c r="D1176" i="8"/>
  <c r="D1144" i="8"/>
  <c r="D1112" i="8"/>
  <c r="D1080" i="8"/>
  <c r="D1048" i="8"/>
  <c r="D1016" i="8"/>
  <c r="D984" i="8"/>
  <c r="D952" i="8"/>
  <c r="D920" i="8"/>
  <c r="D888" i="8"/>
  <c r="D856" i="8"/>
  <c r="D824" i="8"/>
  <c r="D792" i="8"/>
  <c r="D760" i="8"/>
  <c r="D728" i="8"/>
  <c r="D696" i="8"/>
  <c r="D664" i="8"/>
  <c r="D632" i="8"/>
  <c r="D600" i="8"/>
  <c r="D568" i="8"/>
  <c r="D536" i="8"/>
  <c r="D504" i="8"/>
  <c r="D472" i="8"/>
  <c r="D440" i="8"/>
  <c r="D408" i="8"/>
  <c r="D376" i="8"/>
  <c r="D344" i="8"/>
  <c r="D312" i="8"/>
  <c r="D280" i="8"/>
  <c r="D248" i="8"/>
  <c r="D216" i="8"/>
  <c r="D184" i="8"/>
  <c r="D152" i="8"/>
  <c r="D120" i="8"/>
  <c r="D88" i="8"/>
  <c r="D56" i="8"/>
  <c r="D1463" i="8"/>
  <c r="D1431" i="8"/>
  <c r="D1399" i="8"/>
  <c r="D1367" i="8"/>
  <c r="D1335" i="8"/>
  <c r="D1303" i="8"/>
  <c r="D1271" i="8"/>
  <c r="D1239" i="8"/>
  <c r="D1207" i="8"/>
  <c r="D1175" i="8"/>
  <c r="D1143" i="8"/>
  <c r="D1111" i="8"/>
  <c r="D1079" i="8"/>
  <c r="D1047" i="8"/>
  <c r="D1015" i="8"/>
  <c r="D983" i="8"/>
  <c r="D951" i="8"/>
  <c r="D919" i="8"/>
  <c r="D887" i="8"/>
  <c r="D855" i="8"/>
  <c r="D823" i="8"/>
  <c r="D791" i="8"/>
  <c r="D759" i="8"/>
  <c r="D727" i="8"/>
  <c r="D695" i="8"/>
  <c r="D663" i="8"/>
  <c r="D631" i="8"/>
  <c r="D599" i="8"/>
  <c r="D567" i="8"/>
  <c r="D535" i="8"/>
  <c r="D503" i="8"/>
  <c r="D471" i="8"/>
  <c r="D439" i="8"/>
  <c r="D407" i="8"/>
  <c r="D375" i="8"/>
  <c r="D343" i="8"/>
  <c r="D311" i="8"/>
  <c r="D279" i="8"/>
  <c r="D247" i="8"/>
  <c r="D215" i="8"/>
  <c r="D183" i="8"/>
  <c r="D151" i="8"/>
  <c r="D119" i="8"/>
  <c r="D87" i="8"/>
  <c r="D55" i="8"/>
  <c r="D2875" i="8"/>
  <c r="D2747" i="8"/>
  <c r="D2683" i="8"/>
  <c r="D2619" i="8"/>
  <c r="D2555" i="8"/>
  <c r="D2491" i="8"/>
  <c r="D2451" i="8"/>
  <c r="D1462" i="8"/>
  <c r="D1398" i="8"/>
  <c r="D1350" i="8"/>
  <c r="D1222" i="8"/>
  <c r="D1102" i="8"/>
  <c r="D1070" i="8"/>
  <c r="D1038" i="8"/>
  <c r="D1006" i="8"/>
  <c r="D974" i="8"/>
  <c r="D942" i="8"/>
  <c r="D910" i="8"/>
  <c r="D878" i="8"/>
  <c r="D846" i="8"/>
  <c r="D814" i="8"/>
  <c r="D782" i="8"/>
  <c r="D750" i="8"/>
  <c r="D718" i="8"/>
  <c r="D686" i="8"/>
  <c r="D654" i="8"/>
  <c r="D622" i="8"/>
  <c r="D590" i="8"/>
  <c r="D558" i="8"/>
  <c r="D526" i="8"/>
  <c r="D494" i="8"/>
  <c r="D462" i="8"/>
  <c r="D430" i="8"/>
  <c r="D398" i="8"/>
  <c r="D366" i="8"/>
  <c r="D334" i="8"/>
  <c r="D302" i="8"/>
  <c r="D270" i="8"/>
  <c r="D238" i="8"/>
  <c r="D206" i="8"/>
  <c r="D174" i="8"/>
  <c r="D142" i="8"/>
  <c r="D110" i="8"/>
  <c r="D78" i="8"/>
  <c r="D46" i="8"/>
  <c r="D1309" i="8"/>
  <c r="D1277" i="8"/>
  <c r="D1245" i="8"/>
  <c r="D1213" i="8"/>
  <c r="D1181" i="8"/>
  <c r="D1149" i="8"/>
  <c r="D1117" i="8"/>
  <c r="D1085" i="8"/>
  <c r="D1053" i="8"/>
  <c r="D1021" i="8"/>
  <c r="D989" i="8"/>
  <c r="D957" i="8"/>
  <c r="D925" i="8"/>
  <c r="D893" i="8"/>
  <c r="D861" i="8"/>
  <c r="D829" i="8"/>
  <c r="D797" i="8"/>
  <c r="D765" i="8"/>
  <c r="D733" i="8"/>
  <c r="D701" i="8"/>
  <c r="D669" i="8"/>
  <c r="D637" i="8"/>
  <c r="D605" i="8"/>
  <c r="D573" i="8"/>
  <c r="D541" i="8"/>
  <c r="D509" i="8"/>
  <c r="D477" i="8"/>
  <c r="D445" i="8"/>
  <c r="D413" i="8"/>
  <c r="D381" i="8"/>
  <c r="D349" i="8"/>
  <c r="D317" i="8"/>
  <c r="D285" i="8"/>
  <c r="D253" i="8"/>
  <c r="D221" i="8"/>
  <c r="D189" i="8"/>
  <c r="D157" i="8"/>
  <c r="D125" i="8"/>
  <c r="D93" i="8"/>
  <c r="D61" i="8"/>
  <c r="D29" i="8"/>
  <c r="D1516" i="8"/>
  <c r="D1484" i="8"/>
  <c r="D1452" i="8"/>
  <c r="D1420" i="8"/>
  <c r="D1388" i="8"/>
  <c r="D1356" i="8"/>
  <c r="D1324" i="8"/>
  <c r="D1292" i="8"/>
  <c r="D1260" i="8"/>
  <c r="D1228" i="8"/>
  <c r="D1196" i="8"/>
  <c r="D1164" i="8"/>
  <c r="D1132" i="8"/>
  <c r="D1100" i="8"/>
  <c r="D1068" i="8"/>
  <c r="D1036" i="8"/>
  <c r="D1004" i="8"/>
  <c r="D972" i="8"/>
  <c r="D940" i="8"/>
  <c r="D908" i="8"/>
  <c r="D876" i="8"/>
  <c r="D844" i="8"/>
  <c r="D812" i="8"/>
  <c r="D780" i="8"/>
  <c r="D748" i="8"/>
  <c r="D716" i="8"/>
  <c r="D684" i="8"/>
  <c r="D652" i="8"/>
  <c r="D620" i="8"/>
  <c r="D588" i="8"/>
  <c r="D556" i="8"/>
  <c r="D524" i="8"/>
  <c r="D492" i="8"/>
  <c r="D460" i="8"/>
  <c r="D428" i="8"/>
  <c r="D396" i="8"/>
  <c r="D364" i="8"/>
  <c r="D332" i="8"/>
  <c r="D300" i="8"/>
  <c r="D268" i="8"/>
  <c r="D236" i="8"/>
  <c r="D204" i="8"/>
  <c r="D172" i="8"/>
  <c r="D140" i="8"/>
  <c r="D108" i="8"/>
  <c r="D76" i="8"/>
  <c r="D44" i="8"/>
  <c r="D1539" i="8"/>
  <c r="D1507" i="8"/>
  <c r="D1475" i="8"/>
  <c r="D1443" i="8"/>
  <c r="D1411" i="8"/>
  <c r="D1379" i="8"/>
  <c r="D1347" i="8"/>
  <c r="D1315" i="8"/>
  <c r="D1283" i="8"/>
  <c r="D1251" i="8"/>
  <c r="D1219" i="8"/>
  <c r="D1187" i="8"/>
  <c r="D1155" i="8"/>
  <c r="D1123" i="8"/>
  <c r="D1091" i="8"/>
  <c r="D1059" i="8"/>
  <c r="D1027" i="8"/>
  <c r="D995" i="8"/>
  <c r="D963" i="8"/>
  <c r="D931" i="8"/>
  <c r="D899" i="8"/>
  <c r="D867" i="8"/>
  <c r="D835" i="8"/>
  <c r="D803" i="8"/>
  <c r="D771" i="8"/>
  <c r="D739" i="8"/>
  <c r="D707" i="8"/>
  <c r="D675" i="8"/>
  <c r="D643" i="8"/>
  <c r="D611" i="8"/>
  <c r="D579" i="8"/>
  <c r="D547" i="8"/>
  <c r="D515" i="8"/>
  <c r="D483" i="8"/>
  <c r="D451" i="8"/>
  <c r="D419" i="8"/>
  <c r="D387" i="8"/>
  <c r="D355" i="8"/>
  <c r="D323" i="8"/>
  <c r="D291" i="8"/>
  <c r="D259" i="8"/>
  <c r="D227" i="8"/>
  <c r="D195" i="8"/>
  <c r="D163" i="8"/>
  <c r="D131" i="8"/>
  <c r="D99" i="8"/>
  <c r="D67" i="8"/>
  <c r="D35" i="8"/>
  <c r="D1302" i="8"/>
  <c r="D1174" i="8"/>
  <c r="D1446" i="8"/>
  <c r="D1382" i="8"/>
  <c r="D1254" i="8"/>
  <c r="D1126" i="8"/>
  <c r="D1094" i="8"/>
  <c r="D1062" i="8"/>
  <c r="D1030" i="8"/>
  <c r="D998" i="8"/>
  <c r="D966" i="8"/>
  <c r="D934" i="8"/>
  <c r="D902" i="8"/>
  <c r="D870" i="8"/>
  <c r="D838" i="8"/>
  <c r="D806" i="8"/>
  <c r="D774" i="8"/>
  <c r="D742" i="8"/>
  <c r="D710" i="8"/>
  <c r="D678" i="8"/>
  <c r="D646" i="8"/>
  <c r="D614" i="8"/>
  <c r="D582" i="8"/>
  <c r="D550" i="8"/>
  <c r="D518" i="8"/>
  <c r="D486" i="8"/>
  <c r="D454" i="8"/>
  <c r="D422" i="8"/>
  <c r="D390" i="8"/>
  <c r="D358" i="8"/>
  <c r="D326" i="8"/>
  <c r="D294" i="8"/>
  <c r="D262" i="8"/>
  <c r="D230" i="8"/>
  <c r="D198" i="8"/>
  <c r="D166" i="8"/>
  <c r="D134" i="8"/>
  <c r="D102" i="8"/>
  <c r="D70" i="8"/>
  <c r="D38" i="8"/>
  <c r="D1301" i="8"/>
  <c r="D1269" i="8"/>
  <c r="D1237" i="8"/>
  <c r="D1205" i="8"/>
  <c r="D1173" i="8"/>
  <c r="D1141" i="8"/>
  <c r="D1109" i="8"/>
  <c r="D1077" i="8"/>
  <c r="D1045" i="8"/>
  <c r="D1013" i="8"/>
  <c r="D981" i="8"/>
  <c r="D949" i="8"/>
  <c r="D917" i="8"/>
  <c r="D885" i="8"/>
  <c r="D853" i="8"/>
  <c r="D821" i="8"/>
  <c r="D789" i="8"/>
  <c r="D757" i="8"/>
  <c r="D725" i="8"/>
  <c r="D693" i="8"/>
  <c r="D661" i="8"/>
  <c r="D629" i="8"/>
  <c r="D597" i="8"/>
  <c r="D565" i="8"/>
  <c r="D533" i="8"/>
  <c r="D501" i="8"/>
  <c r="D469" i="8"/>
  <c r="D437" i="8"/>
  <c r="D405" i="8"/>
  <c r="D373" i="8"/>
  <c r="D341" i="8"/>
  <c r="D309" i="8"/>
  <c r="D277" i="8"/>
  <c r="D245" i="8"/>
  <c r="D213" i="8"/>
  <c r="D181" i="8"/>
  <c r="D149" i="8"/>
  <c r="D117" i="8"/>
  <c r="D85" i="8"/>
  <c r="D53" i="8"/>
  <c r="D1540" i="8"/>
  <c r="D1508" i="8"/>
  <c r="D1476" i="8"/>
  <c r="D1444" i="8"/>
  <c r="D1412" i="8"/>
  <c r="D1380" i="8"/>
  <c r="D1348" i="8"/>
  <c r="D1316" i="8"/>
  <c r="D1284" i="8"/>
  <c r="D1252" i="8"/>
  <c r="D1220" i="8"/>
  <c r="D1188" i="8"/>
  <c r="D1156" i="8"/>
  <c r="D1124" i="8"/>
  <c r="D1092" i="8"/>
  <c r="D1060" i="8"/>
  <c r="D1028" i="8"/>
  <c r="D996" i="8"/>
  <c r="D964" i="8"/>
  <c r="D932" i="8"/>
  <c r="D900" i="8"/>
  <c r="D868" i="8"/>
  <c r="D836" i="8"/>
  <c r="D804" i="8"/>
  <c r="D772" i="8"/>
  <c r="D740" i="8"/>
  <c r="D708" i="8"/>
  <c r="D676" i="8"/>
  <c r="D644" i="8"/>
  <c r="D612" i="8"/>
  <c r="D580" i="8"/>
  <c r="D548" i="8"/>
  <c r="D516" i="8"/>
  <c r="D484" i="8"/>
  <c r="D452" i="8"/>
  <c r="D420" i="8"/>
  <c r="D388" i="8"/>
  <c r="D356" i="8"/>
  <c r="D324" i="8"/>
  <c r="D292" i="8"/>
  <c r="D260" i="8"/>
  <c r="D228" i="8"/>
  <c r="D196" i="8"/>
  <c r="D164" i="8"/>
  <c r="D132" i="8"/>
  <c r="D100" i="8"/>
  <c r="D68" i="8"/>
  <c r="D36" i="8"/>
  <c r="D1531" i="8"/>
  <c r="D1499" i="8"/>
  <c r="D1467" i="8"/>
  <c r="D1435" i="8"/>
  <c r="D1403" i="8"/>
  <c r="D1371" i="8"/>
  <c r="D1339" i="8"/>
  <c r="D1307" i="8"/>
  <c r="D1275" i="8"/>
  <c r="D1243" i="8"/>
  <c r="D1211" i="8"/>
  <c r="D1179" i="8"/>
  <c r="D1147" i="8"/>
  <c r="D1115" i="8"/>
  <c r="D1083" i="8"/>
  <c r="D1051" i="8"/>
  <c r="D1019" i="8"/>
  <c r="D987" i="8"/>
  <c r="D955" i="8"/>
  <c r="D923" i="8"/>
  <c r="D891" i="8"/>
  <c r="D859" i="8"/>
  <c r="D827" i="8"/>
  <c r="D795" i="8"/>
  <c r="D763" i="8"/>
  <c r="D731" i="8"/>
  <c r="D699" i="8"/>
  <c r="D667" i="8"/>
  <c r="D635" i="8"/>
  <c r="D603" i="8"/>
  <c r="D571" i="8"/>
  <c r="D539" i="8"/>
  <c r="D507" i="8"/>
  <c r="D475" i="8"/>
  <c r="D443" i="8"/>
  <c r="D411" i="8"/>
  <c r="D379" i="8"/>
  <c r="D347" i="8"/>
  <c r="D315" i="8"/>
  <c r="D1334" i="8"/>
  <c r="D1206" i="8"/>
  <c r="D1430" i="8"/>
  <c r="D1286" i="8"/>
  <c r="D1158" i="8"/>
  <c r="D1118" i="8"/>
  <c r="D1086" i="8"/>
  <c r="D1054" i="8"/>
  <c r="D1022" i="8"/>
  <c r="D990" i="8"/>
  <c r="D958" i="8"/>
  <c r="D926" i="8"/>
  <c r="D894" i="8"/>
  <c r="D862" i="8"/>
  <c r="D830" i="8"/>
  <c r="D798" i="8"/>
  <c r="D766" i="8"/>
  <c r="D734" i="8"/>
  <c r="D702" i="8"/>
  <c r="D670" i="8"/>
  <c r="D638" i="8"/>
  <c r="D606" i="8"/>
  <c r="D574" i="8"/>
  <c r="D542" i="8"/>
  <c r="D510" i="8"/>
  <c r="D478" i="8"/>
  <c r="D446" i="8"/>
  <c r="D414" i="8"/>
  <c r="D382" i="8"/>
  <c r="D350" i="8"/>
  <c r="D318" i="8"/>
  <c r="D286" i="8"/>
  <c r="D254" i="8"/>
  <c r="D222" i="8"/>
  <c r="D190" i="8"/>
  <c r="D158" i="8"/>
  <c r="D126" i="8"/>
  <c r="D94" i="8"/>
  <c r="D62" i="8"/>
  <c r="D30" i="8"/>
  <c r="D1293" i="8"/>
  <c r="D1261" i="8"/>
  <c r="D1229" i="8"/>
  <c r="D1197" i="8"/>
  <c r="D1165" i="8"/>
  <c r="D1133" i="8"/>
  <c r="D1101" i="8"/>
  <c r="D1069" i="8"/>
  <c r="D1037" i="8"/>
  <c r="D1005" i="8"/>
  <c r="D973" i="8"/>
  <c r="D941" i="8"/>
  <c r="D909" i="8"/>
  <c r="D877" i="8"/>
  <c r="D845" i="8"/>
  <c r="D813" i="8"/>
  <c r="D781" i="8"/>
  <c r="D749" i="8"/>
  <c r="D717" i="8"/>
  <c r="D685" i="8"/>
  <c r="D653" i="8"/>
  <c r="D621" i="8"/>
  <c r="D589" i="8"/>
  <c r="D557" i="8"/>
  <c r="D525" i="8"/>
  <c r="D493" i="8"/>
  <c r="D461" i="8"/>
  <c r="D429" i="8"/>
  <c r="D397" i="8"/>
  <c r="D365" i="8"/>
  <c r="D333" i="8"/>
  <c r="D301" i="8"/>
  <c r="D269" i="8"/>
  <c r="D237" i="8"/>
  <c r="D205" i="8"/>
  <c r="D173" i="8"/>
  <c r="D141" i="8"/>
  <c r="D109" i="8"/>
  <c r="D77" i="8"/>
  <c r="D45" i="8"/>
  <c r="D1532" i="8"/>
  <c r="D1500" i="8"/>
  <c r="D1468" i="8"/>
  <c r="D1436" i="8"/>
  <c r="D1404" i="8"/>
  <c r="D1372" i="8"/>
  <c r="D1340" i="8"/>
  <c r="D1308" i="8"/>
  <c r="D1276" i="8"/>
  <c r="D1244" i="8"/>
  <c r="D1212" i="8"/>
  <c r="D1180" i="8"/>
  <c r="D1148" i="8"/>
  <c r="D1116" i="8"/>
  <c r="D1084" i="8"/>
  <c r="D1052" i="8"/>
  <c r="D1020" i="8"/>
  <c r="D988" i="8"/>
  <c r="D956" i="8"/>
  <c r="D924" i="8"/>
  <c r="D892" i="8"/>
  <c r="D860" i="8"/>
  <c r="D828" i="8"/>
  <c r="D796" i="8"/>
  <c r="D764" i="8"/>
  <c r="D732" i="8"/>
  <c r="D700" i="8"/>
  <c r="D668" i="8"/>
  <c r="D636" i="8"/>
  <c r="D604" i="8"/>
  <c r="D572" i="8"/>
  <c r="D540" i="8"/>
  <c r="D508" i="8"/>
  <c r="D476" i="8"/>
  <c r="D444" i="8"/>
  <c r="D412" i="8"/>
  <c r="D380" i="8"/>
  <c r="D348" i="8"/>
  <c r="D316" i="8"/>
  <c r="D284" i="8"/>
  <c r="D252" i="8"/>
  <c r="D220" i="8"/>
  <c r="D188" i="8"/>
  <c r="D156" i="8"/>
  <c r="D124" i="8"/>
  <c r="D92" i="8"/>
  <c r="D60" i="8"/>
  <c r="D1555" i="8"/>
  <c r="D1523" i="8"/>
  <c r="D1491" i="8"/>
  <c r="D1459" i="8"/>
  <c r="D1427" i="8"/>
  <c r="D1395" i="8"/>
  <c r="D1363" i="8"/>
  <c r="D1331" i="8"/>
  <c r="D1299" i="8"/>
  <c r="D1267" i="8"/>
  <c r="D1235" i="8"/>
  <c r="D1203" i="8"/>
  <c r="D1171" i="8"/>
  <c r="D1139" i="8"/>
  <c r="D1107" i="8"/>
  <c r="D1075" i="8"/>
  <c r="D1043" i="8"/>
  <c r="D1011" i="8"/>
  <c r="D979" i="8"/>
  <c r="D947" i="8"/>
  <c r="D915" i="8"/>
  <c r="D883" i="8"/>
  <c r="D851" i="8"/>
  <c r="D819" i="8"/>
  <c r="D787" i="8"/>
  <c r="D755" i="8"/>
  <c r="D723" i="8"/>
  <c r="D691" i="8"/>
  <c r="D659" i="8"/>
  <c r="D627" i="8"/>
  <c r="D595" i="8"/>
  <c r="D563" i="8"/>
  <c r="D531" i="8"/>
  <c r="D499" i="8"/>
  <c r="D467" i="8"/>
  <c r="D435" i="8"/>
  <c r="D403" i="8"/>
  <c r="D371" i="8"/>
  <c r="D339" i="8"/>
  <c r="D307" i="8"/>
  <c r="D275" i="8"/>
  <c r="D243" i="8"/>
  <c r="D211" i="8"/>
  <c r="D179" i="8"/>
  <c r="D147" i="8"/>
  <c r="D115" i="8"/>
  <c r="D83" i="8"/>
  <c r="D51" i="8"/>
  <c r="D1366" i="8"/>
  <c r="D1238" i="8"/>
  <c r="D1478" i="8"/>
  <c r="D1414" i="8"/>
  <c r="D1318" i="8"/>
  <c r="D1190" i="8"/>
  <c r="D1110" i="8"/>
  <c r="D1078" i="8"/>
  <c r="D1046" i="8"/>
  <c r="D1014" i="8"/>
  <c r="D982" i="8"/>
  <c r="D950" i="8"/>
  <c r="D918" i="8"/>
  <c r="D886" i="8"/>
  <c r="D854" i="8"/>
  <c r="D822" i="8"/>
  <c r="D790" i="8"/>
  <c r="D758" i="8"/>
  <c r="D726" i="8"/>
  <c r="D694" i="8"/>
  <c r="D662" i="8"/>
  <c r="D630" i="8"/>
  <c r="D598" i="8"/>
  <c r="D566" i="8"/>
  <c r="D534" i="8"/>
  <c r="D502" i="8"/>
  <c r="D470" i="8"/>
  <c r="D438" i="8"/>
  <c r="D406" i="8"/>
  <c r="D374" i="8"/>
  <c r="D342" i="8"/>
  <c r="D310" i="8"/>
  <c r="D278" i="8"/>
  <c r="D246" i="8"/>
  <c r="D214" i="8"/>
  <c r="D182" i="8"/>
  <c r="D150" i="8"/>
  <c r="D118" i="8"/>
  <c r="D86" i="8"/>
  <c r="D54" i="8"/>
  <c r="D1317" i="8"/>
  <c r="D1285" i="8"/>
  <c r="D1253" i="8"/>
  <c r="D1221" i="8"/>
  <c r="D1189" i="8"/>
  <c r="D1157" i="8"/>
  <c r="D1125" i="8"/>
  <c r="D1093" i="8"/>
  <c r="D1061" i="8"/>
  <c r="D1029" i="8"/>
  <c r="D997" i="8"/>
  <c r="D965" i="8"/>
  <c r="D933" i="8"/>
  <c r="D901" i="8"/>
  <c r="D869" i="8"/>
  <c r="D837" i="8"/>
  <c r="D805" i="8"/>
  <c r="D773" i="8"/>
  <c r="D741" i="8"/>
  <c r="D709" i="8"/>
  <c r="D677" i="8"/>
  <c r="D645" i="8"/>
  <c r="D613" i="8"/>
  <c r="D581" i="8"/>
  <c r="D549" i="8"/>
  <c r="D517" i="8"/>
  <c r="D485" i="8"/>
  <c r="D453" i="8"/>
  <c r="D421" i="8"/>
  <c r="D389" i="8"/>
  <c r="D357" i="8"/>
  <c r="D325" i="8"/>
  <c r="D293" i="8"/>
  <c r="D261" i="8"/>
  <c r="D229" i="8"/>
  <c r="D197" i="8"/>
  <c r="D165" i="8"/>
  <c r="D133" i="8"/>
  <c r="D101" i="8"/>
  <c r="D69" i="8"/>
  <c r="D37" i="8"/>
  <c r="D1524" i="8"/>
  <c r="D1492" i="8"/>
  <c r="D1460" i="8"/>
  <c r="D1428" i="8"/>
  <c r="D1396" i="8"/>
  <c r="D1364" i="8"/>
  <c r="D1332" i="8"/>
  <c r="D1300" i="8"/>
  <c r="D1268" i="8"/>
  <c r="D1236" i="8"/>
  <c r="D1204" i="8"/>
  <c r="D1172" i="8"/>
  <c r="D1140" i="8"/>
  <c r="D1108" i="8"/>
  <c r="D1076" i="8"/>
  <c r="D1044" i="8"/>
  <c r="D1012" i="8"/>
  <c r="D980" i="8"/>
  <c r="D948" i="8"/>
  <c r="D916" i="8"/>
  <c r="D884" i="8"/>
  <c r="D852" i="8"/>
  <c r="D820" i="8"/>
  <c r="D788" i="8"/>
  <c r="D756" i="8"/>
  <c r="D724" i="8"/>
  <c r="D692" i="8"/>
  <c r="D660" i="8"/>
  <c r="D628" i="8"/>
  <c r="D596" i="8"/>
  <c r="D564" i="8"/>
  <c r="D532" i="8"/>
  <c r="D500" i="8"/>
  <c r="D468" i="8"/>
  <c r="D436" i="8"/>
  <c r="D404" i="8"/>
  <c r="D372" i="8"/>
  <c r="D340" i="8"/>
  <c r="D308" i="8"/>
  <c r="D276" i="8"/>
  <c r="D244" i="8"/>
  <c r="D212" i="8"/>
  <c r="D180" i="8"/>
  <c r="D148" i="8"/>
  <c r="D116" i="8"/>
  <c r="D84" i="8"/>
  <c r="D52" i="8"/>
  <c r="D1547" i="8"/>
  <c r="D1515" i="8"/>
  <c r="D1483" i="8"/>
  <c r="D1451" i="8"/>
  <c r="D1419" i="8"/>
  <c r="D1387" i="8"/>
  <c r="D1355" i="8"/>
  <c r="D1323" i="8"/>
  <c r="D1291" i="8"/>
  <c r="D1259" i="8"/>
  <c r="D1227" i="8"/>
  <c r="D1195" i="8"/>
  <c r="D1163" i="8"/>
  <c r="D1131" i="8"/>
  <c r="D1099" i="8"/>
  <c r="D1067" i="8"/>
  <c r="D1035" i="8"/>
  <c r="D1003" i="8"/>
  <c r="D971" i="8"/>
  <c r="D939" i="8"/>
  <c r="D907" i="8"/>
  <c r="D875" i="8"/>
  <c r="D843" i="8"/>
  <c r="D811" i="8"/>
  <c r="D779" i="8"/>
  <c r="D747" i="8"/>
  <c r="D715" i="8"/>
  <c r="D683" i="8"/>
  <c r="D651" i="8"/>
  <c r="D619" i="8"/>
  <c r="D587" i="8"/>
  <c r="D555" i="8"/>
  <c r="D523" i="8"/>
  <c r="D491" i="8"/>
  <c r="D459" i="8"/>
  <c r="D427" i="8"/>
  <c r="D395" i="8"/>
  <c r="D363" i="8"/>
  <c r="D331" i="8"/>
  <c r="D299" i="8"/>
  <c r="D1270" i="8"/>
  <c r="D1142" i="8"/>
  <c r="D171" i="8"/>
  <c r="D43" i="8"/>
  <c r="D251" i="8"/>
  <c r="D123" i="8"/>
  <c r="D203" i="8"/>
  <c r="D75" i="8"/>
  <c r="D283" i="8"/>
  <c r="D155" i="8"/>
  <c r="D235" i="8"/>
  <c r="D107" i="8"/>
  <c r="D187" i="8"/>
  <c r="D59" i="8"/>
  <c r="D267" i="8"/>
  <c r="D139" i="8"/>
  <c r="D219" i="8"/>
  <c r="D91" i="8"/>
  <c r="E4786" i="8"/>
  <c r="E4546" i="8"/>
  <c r="E4908" i="8"/>
  <c r="E4868" i="8"/>
  <c r="E4836" i="8"/>
  <c r="E4804" i="8"/>
  <c r="E4772" i="8"/>
  <c r="E4740" i="8"/>
  <c r="E4708" i="8"/>
  <c r="E4676" i="8"/>
  <c r="E4644" i="8"/>
  <c r="E4612" i="8"/>
  <c r="E4580" i="8"/>
  <c r="E4548" i="8"/>
  <c r="E4516" i="8"/>
  <c r="E4658" i="8"/>
  <c r="E4916" i="8"/>
  <c r="E4891" i="8"/>
  <c r="E4859" i="8"/>
  <c r="E4827" i="8"/>
  <c r="E4795" i="8"/>
  <c r="E4763" i="8"/>
  <c r="E4731" i="8"/>
  <c r="E4699" i="8"/>
  <c r="E4667" i="8"/>
  <c r="E4635" i="8"/>
  <c r="E4603" i="8"/>
  <c r="E4571" i="8"/>
  <c r="E4706" i="8"/>
  <c r="E4194" i="8"/>
  <c r="E4162" i="8"/>
  <c r="E4130" i="8"/>
  <c r="E4098" i="8"/>
  <c r="E4066" i="8"/>
  <c r="E4034" i="8"/>
  <c r="E4002" i="8"/>
  <c r="E3970" i="8"/>
  <c r="E3938" i="8"/>
  <c r="E3906" i="8"/>
  <c r="E3874" i="8"/>
  <c r="E3842" i="8"/>
  <c r="E3810" i="8"/>
  <c r="E4754" i="8"/>
  <c r="E4522" i="8"/>
  <c r="E4370" i="8"/>
  <c r="E4226" i="8"/>
  <c r="E4809" i="8"/>
  <c r="E4737" i="8"/>
  <c r="E4705" i="8"/>
  <c r="E4673" i="8"/>
  <c r="E4641" i="8"/>
  <c r="E4609" i="8"/>
  <c r="E4577" i="8"/>
  <c r="E4545" i="8"/>
  <c r="E4513" i="8"/>
  <c r="E4481" i="8"/>
  <c r="E4449" i="8"/>
  <c r="E4890" i="8"/>
  <c r="E4642" i="8"/>
  <c r="E4442" i="8"/>
  <c r="E4314" i="8"/>
  <c r="E4849" i="8"/>
  <c r="E4753" i="8"/>
  <c r="E4920" i="8"/>
  <c r="E4888" i="8"/>
  <c r="E4856" i="8"/>
  <c r="E4824" i="8"/>
  <c r="E4792" i="8"/>
  <c r="E4760" i="8"/>
  <c r="E4728" i="8"/>
  <c r="E4696" i="8"/>
  <c r="E4664" i="8"/>
  <c r="E4874" i="8"/>
  <c r="E4626" i="8"/>
  <c r="E4426" i="8"/>
  <c r="E4298" i="8"/>
  <c r="E4825" i="8"/>
  <c r="E4895" i="8"/>
  <c r="E4863" i="8"/>
  <c r="E4831" i="8"/>
  <c r="E4799" i="8"/>
  <c r="E4767" i="8"/>
  <c r="E4735" i="8"/>
  <c r="E4722" i="8"/>
  <c r="E4490" i="8"/>
  <c r="E4892" i="8"/>
  <c r="E4860" i="8"/>
  <c r="E4828" i="8"/>
  <c r="E4796" i="8"/>
  <c r="E4764" i="8"/>
  <c r="E4732" i="8"/>
  <c r="E4700" i="8"/>
  <c r="E4668" i="8"/>
  <c r="E4636" i="8"/>
  <c r="E4604" i="8"/>
  <c r="E4572" i="8"/>
  <c r="E4540" i="8"/>
  <c r="E4882" i="8"/>
  <c r="E4610" i="8"/>
  <c r="E4917" i="8"/>
  <c r="E4900" i="8"/>
  <c r="E4915" i="8"/>
  <c r="E4883" i="8"/>
  <c r="E4851" i="8"/>
  <c r="E4819" i="8"/>
  <c r="E4787" i="8"/>
  <c r="E4755" i="8"/>
  <c r="E4723" i="8"/>
  <c r="E4691" i="8"/>
  <c r="E4659" i="8"/>
  <c r="E4627" i="8"/>
  <c r="E4595" i="8"/>
  <c r="E4563" i="8"/>
  <c r="E4898" i="8"/>
  <c r="E4250" i="8"/>
  <c r="E4186" i="8"/>
  <c r="E4154" i="8"/>
  <c r="E4122" i="8"/>
  <c r="E4090" i="8"/>
  <c r="E4058" i="8"/>
  <c r="E4026" i="8"/>
  <c r="E3994" i="8"/>
  <c r="E3962" i="8"/>
  <c r="E3930" i="8"/>
  <c r="E3898" i="8"/>
  <c r="E3866" i="8"/>
  <c r="E3834" i="8"/>
  <c r="E3802" i="8"/>
  <c r="E4690" i="8"/>
  <c r="E4466" i="8"/>
  <c r="E4338" i="8"/>
  <c r="E4905" i="8"/>
  <c r="E4785" i="8"/>
  <c r="E4729" i="8"/>
  <c r="E4697" i="8"/>
  <c r="E4665" i="8"/>
  <c r="E4633" i="8"/>
  <c r="E4601" i="8"/>
  <c r="E4569" i="8"/>
  <c r="E4537" i="8"/>
  <c r="E4505" i="8"/>
  <c r="E4473" i="8"/>
  <c r="E4441" i="8"/>
  <c r="E4826" i="8"/>
  <c r="E4586" i="8"/>
  <c r="E4410" i="8"/>
  <c r="E4282" i="8"/>
  <c r="E4817" i="8"/>
  <c r="E4912" i="8"/>
  <c r="E4880" i="8"/>
  <c r="E4848" i="8"/>
  <c r="E4816" i="8"/>
  <c r="E4784" i="8"/>
  <c r="E4752" i="8"/>
  <c r="E4720" i="8"/>
  <c r="E4688" i="8"/>
  <c r="E4656" i="8"/>
  <c r="E4810" i="8"/>
  <c r="E4570" i="8"/>
  <c r="E4394" i="8"/>
  <c r="E4274" i="8"/>
  <c r="E4921" i="8"/>
  <c r="E4801" i="8"/>
  <c r="E4914" i="8"/>
  <c r="E4650" i="8"/>
  <c r="E4884" i="8"/>
  <c r="E4852" i="8"/>
  <c r="E4820" i="8"/>
  <c r="E4788" i="8"/>
  <c r="E4756" i="8"/>
  <c r="E4724" i="8"/>
  <c r="E4692" i="8"/>
  <c r="E4660" i="8"/>
  <c r="E4628" i="8"/>
  <c r="E4596" i="8"/>
  <c r="E4564" i="8"/>
  <c r="E4532" i="8"/>
  <c r="E4802" i="8"/>
  <c r="E4554" i="8"/>
  <c r="E4907" i="8"/>
  <c r="E4875" i="8"/>
  <c r="E4843" i="8"/>
  <c r="E4811" i="8"/>
  <c r="E4779" i="8"/>
  <c r="E4747" i="8"/>
  <c r="E4715" i="8"/>
  <c r="E4683" i="8"/>
  <c r="E4651" i="8"/>
  <c r="E4619" i="8"/>
  <c r="E4587" i="8"/>
  <c r="E4555" i="8"/>
  <c r="E4834" i="8"/>
  <c r="E4210" i="8"/>
  <c r="E4178" i="8"/>
  <c r="E4146" i="8"/>
  <c r="E4114" i="8"/>
  <c r="E4082" i="8"/>
  <c r="E4050" i="8"/>
  <c r="E4018" i="8"/>
  <c r="E3986" i="8"/>
  <c r="E3954" i="8"/>
  <c r="E3922" i="8"/>
  <c r="E3890" i="8"/>
  <c r="E3858" i="8"/>
  <c r="E3826" i="8"/>
  <c r="E4866" i="8"/>
  <c r="E4634" i="8"/>
  <c r="E4434" i="8"/>
  <c r="E4306" i="8"/>
  <c r="E4873" i="8"/>
  <c r="E4769" i="8"/>
  <c r="E4721" i="8"/>
  <c r="E4689" i="8"/>
  <c r="E4657" i="8"/>
  <c r="E4625" i="8"/>
  <c r="E4593" i="8"/>
  <c r="E4561" i="8"/>
  <c r="E4529" i="8"/>
  <c r="E4497" i="8"/>
  <c r="E4465" i="8"/>
  <c r="E4762" i="8"/>
  <c r="E4530" i="8"/>
  <c r="E4378" i="8"/>
  <c r="E4242" i="8"/>
  <c r="E4913" i="8"/>
  <c r="E4793" i="8"/>
  <c r="E4904" i="8"/>
  <c r="E4872" i="8"/>
  <c r="E4840" i="8"/>
  <c r="E4808" i="8"/>
  <c r="E4776" i="8"/>
  <c r="E4744" i="8"/>
  <c r="E4712" i="8"/>
  <c r="E4680" i="8"/>
  <c r="E4648" i="8"/>
  <c r="E4738" i="8"/>
  <c r="E4514" i="8"/>
  <c r="E4362" i="8"/>
  <c r="E4234" i="8"/>
  <c r="E4889" i="8"/>
  <c r="E4761" i="8"/>
  <c r="E4850" i="8"/>
  <c r="E4602" i="8"/>
  <c r="E4876" i="8"/>
  <c r="E4844" i="8"/>
  <c r="E4812" i="8"/>
  <c r="E4780" i="8"/>
  <c r="E4748" i="8"/>
  <c r="E4716" i="8"/>
  <c r="E4684" i="8"/>
  <c r="E4652" i="8"/>
  <c r="E4620" i="8"/>
  <c r="E4588" i="8"/>
  <c r="E4556" i="8"/>
  <c r="E4524" i="8"/>
  <c r="E4746" i="8"/>
  <c r="E4498" i="8"/>
  <c r="E4899" i="8"/>
  <c r="E4867" i="8"/>
  <c r="E4835" i="8"/>
  <c r="E4803" i="8"/>
  <c r="E4771" i="8"/>
  <c r="E4739" i="8"/>
  <c r="E4707" i="8"/>
  <c r="E4675" i="8"/>
  <c r="E4643" i="8"/>
  <c r="E4611" i="8"/>
  <c r="E4579" i="8"/>
  <c r="E4770" i="8"/>
  <c r="E4202" i="8"/>
  <c r="E4170" i="8"/>
  <c r="E4138" i="8"/>
  <c r="E4106" i="8"/>
  <c r="E4074" i="8"/>
  <c r="E4042" i="8"/>
  <c r="E4010" i="8"/>
  <c r="E3978" i="8"/>
  <c r="E3946" i="8"/>
  <c r="E3914" i="8"/>
  <c r="E3882" i="8"/>
  <c r="E3850" i="8"/>
  <c r="E3818" i="8"/>
  <c r="E4818" i="8"/>
  <c r="E4578" i="8"/>
  <c r="E4402" i="8"/>
  <c r="E4266" i="8"/>
  <c r="E4841" i="8"/>
  <c r="E4745" i="8"/>
  <c r="E4713" i="8"/>
  <c r="E4681" i="8"/>
  <c r="E4649" i="8"/>
  <c r="E4617" i="8"/>
  <c r="E4585" i="8"/>
  <c r="E4553" i="8"/>
  <c r="E4521" i="8"/>
  <c r="E4489" i="8"/>
  <c r="E4457" i="8"/>
  <c r="E4698" i="8"/>
  <c r="E4474" i="8"/>
  <c r="E4346" i="8"/>
  <c r="E4881" i="8"/>
  <c r="E4777" i="8"/>
  <c r="E4896" i="8"/>
  <c r="E4864" i="8"/>
  <c r="E4832" i="8"/>
  <c r="E4800" i="8"/>
  <c r="E4768" i="8"/>
  <c r="E4736" i="8"/>
  <c r="E4704" i="8"/>
  <c r="E4672" i="8"/>
  <c r="E4640" i="8"/>
  <c r="E4682" i="8"/>
  <c r="E4458" i="8"/>
  <c r="E4330" i="8"/>
  <c r="E4857" i="8"/>
  <c r="E4847" i="8"/>
  <c r="E4807" i="8"/>
  <c r="E4887" i="8"/>
  <c r="E4759" i="8"/>
  <c r="E4719" i="8"/>
  <c r="E4687" i="8"/>
  <c r="E4655" i="8"/>
  <c r="E4858" i="8"/>
  <c r="E4594" i="8"/>
  <c r="E4418" i="8"/>
  <c r="E4290" i="8"/>
  <c r="E4897" i="8"/>
  <c r="E4918" i="8"/>
  <c r="E4886" i="8"/>
  <c r="E4854" i="8"/>
  <c r="E4822" i="8"/>
  <c r="E4790" i="8"/>
  <c r="E4758" i="8"/>
  <c r="E4726" i="8"/>
  <c r="E4694" i="8"/>
  <c r="E4662" i="8"/>
  <c r="E4630" i="8"/>
  <c r="E4778" i="8"/>
  <c r="E4562" i="8"/>
  <c r="E4893" i="8"/>
  <c r="E4861" i="8"/>
  <c r="E4829" i="8"/>
  <c r="E4797" i="8"/>
  <c r="E4765" i="8"/>
  <c r="E4733" i="8"/>
  <c r="E4701" i="8"/>
  <c r="E4669" i="8"/>
  <c r="E4637" i="8"/>
  <c r="E4605" i="8"/>
  <c r="E4573" i="8"/>
  <c r="E4541" i="8"/>
  <c r="E4509" i="8"/>
  <c r="E3778" i="8"/>
  <c r="E3746" i="8"/>
  <c r="E3714" i="8"/>
  <c r="E3682" i="8"/>
  <c r="E3650" i="8"/>
  <c r="E3618" i="8"/>
  <c r="E3586" i="8"/>
  <c r="E3554" i="8"/>
  <c r="E3522" i="8"/>
  <c r="E3490" i="8"/>
  <c r="E3458" i="8"/>
  <c r="E3426" i="8"/>
  <c r="E3394" i="8"/>
  <c r="E3362" i="8"/>
  <c r="E3330" i="8"/>
  <c r="E3298" i="8"/>
  <c r="E3266" i="8"/>
  <c r="E3234" i="8"/>
  <c r="E3202" i="8"/>
  <c r="E3170" i="8"/>
  <c r="E3138" i="8"/>
  <c r="E3106" i="8"/>
  <c r="E3074" i="8"/>
  <c r="E3042" i="8"/>
  <c r="E3010" i="8"/>
  <c r="E2978" i="8"/>
  <c r="E2946" i="8"/>
  <c r="E2914" i="8"/>
  <c r="E2882" i="8"/>
  <c r="E2850" i="8"/>
  <c r="E2818" i="8"/>
  <c r="E2786" i="8"/>
  <c r="E2754" i="8"/>
  <c r="E2722" i="8"/>
  <c r="E2690" i="8"/>
  <c r="E2658" i="8"/>
  <c r="E2626" i="8"/>
  <c r="E2594" i="8"/>
  <c r="E2562" i="8"/>
  <c r="E4879" i="8"/>
  <c r="E4839" i="8"/>
  <c r="E4751" i="8"/>
  <c r="E4919" i="8"/>
  <c r="E4791" i="8"/>
  <c r="E4711" i="8"/>
  <c r="E4679" i="8"/>
  <c r="E4794" i="8"/>
  <c r="E4538" i="8"/>
  <c r="E4386" i="8"/>
  <c r="E4258" i="8"/>
  <c r="E4865" i="8"/>
  <c r="E4910" i="8"/>
  <c r="E4878" i="8"/>
  <c r="E4846" i="8"/>
  <c r="E4814" i="8"/>
  <c r="E4782" i="8"/>
  <c r="E4750" i="8"/>
  <c r="E4718" i="8"/>
  <c r="E4686" i="8"/>
  <c r="E4911" i="8"/>
  <c r="E4871" i="8"/>
  <c r="E4783" i="8"/>
  <c r="E4743" i="8"/>
  <c r="E4823" i="8"/>
  <c r="E4703" i="8"/>
  <c r="E4671" i="8"/>
  <c r="E4730" i="8"/>
  <c r="E4482" i="8"/>
  <c r="E4354" i="8"/>
  <c r="E4218" i="8"/>
  <c r="E4833" i="8"/>
  <c r="E4902" i="8"/>
  <c r="E4870" i="8"/>
  <c r="E4838" i="8"/>
  <c r="E4806" i="8"/>
  <c r="E4774" i="8"/>
  <c r="E4742" i="8"/>
  <c r="E4710" i="8"/>
  <c r="E4678" i="8"/>
  <c r="E4646" i="8"/>
  <c r="E4906" i="8"/>
  <c r="E4666" i="8"/>
  <c r="E4909" i="8"/>
  <c r="E4877" i="8"/>
  <c r="E4845" i="8"/>
  <c r="E4813" i="8"/>
  <c r="E4781" i="8"/>
  <c r="E4749" i="8"/>
  <c r="E4717" i="8"/>
  <c r="E4685" i="8"/>
  <c r="E4653" i="8"/>
  <c r="E4621" i="8"/>
  <c r="E4589" i="8"/>
  <c r="E4557" i="8"/>
  <c r="E4525" i="8"/>
  <c r="E3794" i="8"/>
  <c r="E3762" i="8"/>
  <c r="E3730" i="8"/>
  <c r="E3698" i="8"/>
  <c r="E3666" i="8"/>
  <c r="E4903" i="8"/>
  <c r="E4815" i="8"/>
  <c r="E4775" i="8"/>
  <c r="E4855" i="8"/>
  <c r="E4727" i="8"/>
  <c r="E4695" i="8"/>
  <c r="E4663" i="8"/>
  <c r="E4674" i="8"/>
  <c r="E4450" i="8"/>
  <c r="E4322" i="8"/>
  <c r="E4894" i="8"/>
  <c r="E4862" i="8"/>
  <c r="E4830" i="8"/>
  <c r="E4798" i="8"/>
  <c r="E4766" i="8"/>
  <c r="E4734" i="8"/>
  <c r="E4702" i="8"/>
  <c r="E4654" i="8"/>
  <c r="E4837" i="8"/>
  <c r="E4757" i="8"/>
  <c r="E4581" i="8"/>
  <c r="E4501" i="8"/>
  <c r="E3562" i="8"/>
  <c r="E3434" i="8"/>
  <c r="E3306" i="8"/>
  <c r="E3178" i="8"/>
  <c r="E3050" i="8"/>
  <c r="E2922" i="8"/>
  <c r="E2794" i="8"/>
  <c r="E2666" i="8"/>
  <c r="E2538" i="8"/>
  <c r="E2506" i="8"/>
  <c r="E2474" i="8"/>
  <c r="E2442" i="8"/>
  <c r="E2410" i="8"/>
  <c r="E2378" i="8"/>
  <c r="E2346" i="8"/>
  <c r="E2314" i="8"/>
  <c r="E2282" i="8"/>
  <c r="E2250" i="8"/>
  <c r="E2218" i="8"/>
  <c r="E2186" i="8"/>
  <c r="E2154" i="8"/>
  <c r="E2122" i="8"/>
  <c r="E2090" i="8"/>
  <c r="E2058" i="8"/>
  <c r="E2026" i="8"/>
  <c r="E1994" i="8"/>
  <c r="E1962" i="8"/>
  <c r="E1930" i="8"/>
  <c r="E1898" i="8"/>
  <c r="E1866" i="8"/>
  <c r="E1834" i="8"/>
  <c r="E1802" i="8"/>
  <c r="E1770" i="8"/>
  <c r="E1738" i="8"/>
  <c r="E1706" i="8"/>
  <c r="E1674" i="8"/>
  <c r="E1642" i="8"/>
  <c r="E1610" i="8"/>
  <c r="E1578" i="8"/>
  <c r="E1546" i="8"/>
  <c r="E1514" i="8"/>
  <c r="E1482" i="8"/>
  <c r="E1450" i="8"/>
  <c r="E1418" i="8"/>
  <c r="E1386" i="8"/>
  <c r="E1354" i="8"/>
  <c r="E1322" i="8"/>
  <c r="E1290" i="8"/>
  <c r="E1258" i="8"/>
  <c r="E1226" i="8"/>
  <c r="E1194" i="8"/>
  <c r="E1162" i="8"/>
  <c r="E1130" i="8"/>
  <c r="E1098" i="8"/>
  <c r="E1066" i="8"/>
  <c r="E1034" i="8"/>
  <c r="E1002" i="8"/>
  <c r="E970" i="8"/>
  <c r="E4638" i="8"/>
  <c r="E4506" i="8"/>
  <c r="E4741" i="8"/>
  <c r="E4661" i="8"/>
  <c r="E3786" i="8"/>
  <c r="E3706" i="8"/>
  <c r="E3642" i="8"/>
  <c r="E3602" i="8"/>
  <c r="E3514" i="8"/>
  <c r="E3474" i="8"/>
  <c r="E3386" i="8"/>
  <c r="E3346" i="8"/>
  <c r="E3258" i="8"/>
  <c r="E3218" i="8"/>
  <c r="E3130" i="8"/>
  <c r="E3090" i="8"/>
  <c r="E3002" i="8"/>
  <c r="E2962" i="8"/>
  <c r="E2874" i="8"/>
  <c r="E2834" i="8"/>
  <c r="E2746" i="8"/>
  <c r="E2706" i="8"/>
  <c r="E2618" i="8"/>
  <c r="E2578" i="8"/>
  <c r="E4901" i="8"/>
  <c r="E4821" i="8"/>
  <c r="E4645" i="8"/>
  <c r="E4565" i="8"/>
  <c r="E3690" i="8"/>
  <c r="E3594" i="8"/>
  <c r="E3466" i="8"/>
  <c r="E3338" i="8"/>
  <c r="E3210" i="8"/>
  <c r="E3082" i="8"/>
  <c r="E2954" i="8"/>
  <c r="E2826" i="8"/>
  <c r="E2698" i="8"/>
  <c r="E2570" i="8"/>
  <c r="E2530" i="8"/>
  <c r="E2498" i="8"/>
  <c r="E2466" i="8"/>
  <c r="E2434" i="8"/>
  <c r="E2402" i="8"/>
  <c r="E2370" i="8"/>
  <c r="E2338" i="8"/>
  <c r="E2306" i="8"/>
  <c r="E2274" i="8"/>
  <c r="E2242" i="8"/>
  <c r="E2210" i="8"/>
  <c r="E2178" i="8"/>
  <c r="E2146" i="8"/>
  <c r="E2114" i="8"/>
  <c r="E2082" i="8"/>
  <c r="E2050" i="8"/>
  <c r="E2018" i="8"/>
  <c r="E1986" i="8"/>
  <c r="E1954" i="8"/>
  <c r="E1922" i="8"/>
  <c r="E1890" i="8"/>
  <c r="E1858" i="8"/>
  <c r="E1826" i="8"/>
  <c r="E1794" i="8"/>
  <c r="E1762" i="8"/>
  <c r="E1730" i="8"/>
  <c r="E1698" i="8"/>
  <c r="E1666" i="8"/>
  <c r="E1634" i="8"/>
  <c r="E1602" i="8"/>
  <c r="E1570" i="8"/>
  <c r="E1538" i="8"/>
  <c r="E1506" i="8"/>
  <c r="E1474" i="8"/>
  <c r="E1442" i="8"/>
  <c r="E1410" i="8"/>
  <c r="E1378" i="8"/>
  <c r="E1346" i="8"/>
  <c r="E1314" i="8"/>
  <c r="E1282" i="8"/>
  <c r="E1250" i="8"/>
  <c r="E1218" i="8"/>
  <c r="E1186" i="8"/>
  <c r="E1154" i="8"/>
  <c r="E1122" i="8"/>
  <c r="E1090" i="8"/>
  <c r="E1058" i="8"/>
  <c r="E1026" i="8"/>
  <c r="E994" i="8"/>
  <c r="E962" i="8"/>
  <c r="E4622" i="8"/>
  <c r="E4805" i="8"/>
  <c r="E4725" i="8"/>
  <c r="E4549" i="8"/>
  <c r="E3770" i="8"/>
  <c r="E3634" i="8"/>
  <c r="E3546" i="8"/>
  <c r="E3506" i="8"/>
  <c r="E3418" i="8"/>
  <c r="E3378" i="8"/>
  <c r="E3290" i="8"/>
  <c r="E3250" i="8"/>
  <c r="E3162" i="8"/>
  <c r="E3122" i="8"/>
  <c r="E3034" i="8"/>
  <c r="E2994" i="8"/>
  <c r="E2906" i="8"/>
  <c r="E2866" i="8"/>
  <c r="E2778" i="8"/>
  <c r="E2738" i="8"/>
  <c r="E2650" i="8"/>
  <c r="E2610" i="8"/>
  <c r="E4842" i="8"/>
  <c r="E4885" i="8"/>
  <c r="E4709" i="8"/>
  <c r="E4629" i="8"/>
  <c r="E3754" i="8"/>
  <c r="E3674" i="8"/>
  <c r="E3626" i="8"/>
  <c r="E3498" i="8"/>
  <c r="E3370" i="8"/>
  <c r="E3242" i="8"/>
  <c r="E3114" i="8"/>
  <c r="E2986" i="8"/>
  <c r="E2858" i="8"/>
  <c r="E2730" i="8"/>
  <c r="E2602" i="8"/>
  <c r="E2522" i="8"/>
  <c r="E2490" i="8"/>
  <c r="E2458" i="8"/>
  <c r="E2426" i="8"/>
  <c r="E2394" i="8"/>
  <c r="E2362" i="8"/>
  <c r="E2330" i="8"/>
  <c r="E2298" i="8"/>
  <c r="E2266" i="8"/>
  <c r="E2234" i="8"/>
  <c r="E2202" i="8"/>
  <c r="E2170" i="8"/>
  <c r="E2138" i="8"/>
  <c r="E2106" i="8"/>
  <c r="E2074" i="8"/>
  <c r="E2042" i="8"/>
  <c r="E2010" i="8"/>
  <c r="E1978" i="8"/>
  <c r="E1946" i="8"/>
  <c r="E1914" i="8"/>
  <c r="E1882" i="8"/>
  <c r="E1850" i="8"/>
  <c r="E1818" i="8"/>
  <c r="E1786" i="8"/>
  <c r="E1754" i="8"/>
  <c r="E1722" i="8"/>
  <c r="E1690" i="8"/>
  <c r="E1658" i="8"/>
  <c r="E1626" i="8"/>
  <c r="E1594" i="8"/>
  <c r="E1562" i="8"/>
  <c r="E1530" i="8"/>
  <c r="E1498" i="8"/>
  <c r="E1466" i="8"/>
  <c r="E1434" i="8"/>
  <c r="E1402" i="8"/>
  <c r="E1370" i="8"/>
  <c r="E1338" i="8"/>
  <c r="E1306" i="8"/>
  <c r="E1274" i="8"/>
  <c r="E1242" i="8"/>
  <c r="E1210" i="8"/>
  <c r="E1178" i="8"/>
  <c r="E1146" i="8"/>
  <c r="E1114" i="8"/>
  <c r="E1082" i="8"/>
  <c r="E1050" i="8"/>
  <c r="E1018" i="8"/>
  <c r="E4869" i="8"/>
  <c r="E4789" i="8"/>
  <c r="E4613" i="8"/>
  <c r="E4533" i="8"/>
  <c r="E3578" i="8"/>
  <c r="E3538" i="8"/>
  <c r="E3450" i="8"/>
  <c r="E3410" i="8"/>
  <c r="E3322" i="8"/>
  <c r="E3282" i="8"/>
  <c r="E3194" i="8"/>
  <c r="E3154" i="8"/>
  <c r="E3066" i="8"/>
  <c r="E3026" i="8"/>
  <c r="E2938" i="8"/>
  <c r="E2898" i="8"/>
  <c r="E2810" i="8"/>
  <c r="E2770" i="8"/>
  <c r="E2682" i="8"/>
  <c r="E2642" i="8"/>
  <c r="E2554" i="8"/>
  <c r="E4670" i="8"/>
  <c r="E4714" i="8"/>
  <c r="E4773" i="8"/>
  <c r="E4693" i="8"/>
  <c r="E4517" i="8"/>
  <c r="E3738" i="8"/>
  <c r="E3658" i="8"/>
  <c r="E3530" i="8"/>
  <c r="E3402" i="8"/>
  <c r="E3274" i="8"/>
  <c r="E3146" i="8"/>
  <c r="E3018" i="8"/>
  <c r="E2890" i="8"/>
  <c r="E2762" i="8"/>
  <c r="E2634" i="8"/>
  <c r="E2514" i="8"/>
  <c r="E2482" i="8"/>
  <c r="E2450" i="8"/>
  <c r="E2418" i="8"/>
  <c r="E2386" i="8"/>
  <c r="E2354" i="8"/>
  <c r="E2322" i="8"/>
  <c r="E2290" i="8"/>
  <c r="E2258" i="8"/>
  <c r="E2226" i="8"/>
  <c r="E2194" i="8"/>
  <c r="E2162" i="8"/>
  <c r="E2130" i="8"/>
  <c r="E2098" i="8"/>
  <c r="E2066" i="8"/>
  <c r="E2034" i="8"/>
  <c r="E2002" i="8"/>
  <c r="E1970" i="8"/>
  <c r="E1938" i="8"/>
  <c r="E1906" i="8"/>
  <c r="E1874" i="8"/>
  <c r="E1842" i="8"/>
  <c r="E1810" i="8"/>
  <c r="E1778" i="8"/>
  <c r="E1746" i="8"/>
  <c r="E1714" i="8"/>
  <c r="E1682" i="8"/>
  <c r="E1650" i="8"/>
  <c r="E1618" i="8"/>
  <c r="E1586" i="8"/>
  <c r="E1554" i="8"/>
  <c r="E1522" i="8"/>
  <c r="E1490" i="8"/>
  <c r="E1458" i="8"/>
  <c r="E1426" i="8"/>
  <c r="E1394" i="8"/>
  <c r="E1362" i="8"/>
  <c r="E1330" i="8"/>
  <c r="E1298" i="8"/>
  <c r="E1266" i="8"/>
  <c r="E1234" i="8"/>
  <c r="E1202" i="8"/>
  <c r="E1170" i="8"/>
  <c r="E1138" i="8"/>
  <c r="E1106" i="8"/>
  <c r="E1074" i="8"/>
  <c r="E4618" i="8"/>
  <c r="E4853" i="8"/>
  <c r="E4677" i="8"/>
  <c r="E4597" i="8"/>
  <c r="E3722" i="8"/>
  <c r="E3610" i="8"/>
  <c r="E3570" i="8"/>
  <c r="E3482" i="8"/>
  <c r="E3442" i="8"/>
  <c r="E3354" i="8"/>
  <c r="E3314" i="8"/>
  <c r="E3226" i="8"/>
  <c r="E3186" i="8"/>
  <c r="E3098" i="8"/>
  <c r="E3058" i="8"/>
  <c r="E2970" i="8"/>
  <c r="E2930" i="8"/>
  <c r="E2842" i="8"/>
  <c r="E2802" i="8"/>
  <c r="E2714" i="8"/>
  <c r="E2674" i="8"/>
  <c r="E2586" i="8"/>
  <c r="E2546" i="8"/>
  <c r="E1010" i="8"/>
  <c r="E4433" i="8"/>
  <c r="E4401" i="8"/>
  <c r="E4369" i="8"/>
  <c r="E4337" i="8"/>
  <c r="E4305" i="8"/>
  <c r="E4273" i="8"/>
  <c r="E4241" i="8"/>
  <c r="E4209" i="8"/>
  <c r="E4177" i="8"/>
  <c r="E4145" i="8"/>
  <c r="E4113" i="8"/>
  <c r="E4081" i="8"/>
  <c r="E4049" i="8"/>
  <c r="E4017" i="8"/>
  <c r="E3985" i="8"/>
  <c r="E3953" i="8"/>
  <c r="E3921" i="8"/>
  <c r="E3889" i="8"/>
  <c r="E3857" i="8"/>
  <c r="E3825" i="8"/>
  <c r="E3793" i="8"/>
  <c r="E3761" i="8"/>
  <c r="E3729" i="8"/>
  <c r="E3697" i="8"/>
  <c r="E3665" i="8"/>
  <c r="E3633" i="8"/>
  <c r="E3593" i="8"/>
  <c r="E3561" i="8"/>
  <c r="E3529" i="8"/>
  <c r="E3497" i="8"/>
  <c r="E3465" i="8"/>
  <c r="E3433" i="8"/>
  <c r="E3401" i="8"/>
  <c r="E3369" i="8"/>
  <c r="E3337" i="8"/>
  <c r="E3305" i="8"/>
  <c r="E3273" i="8"/>
  <c r="E3241" i="8"/>
  <c r="E3209" i="8"/>
  <c r="E3177" i="8"/>
  <c r="E3145" i="8"/>
  <c r="E3113" i="8"/>
  <c r="E3081" i="8"/>
  <c r="E3049" i="8"/>
  <c r="E3017" i="8"/>
  <c r="E2985" i="8"/>
  <c r="E2953" i="8"/>
  <c r="E2921" i="8"/>
  <c r="E2889" i="8"/>
  <c r="E2857" i="8"/>
  <c r="E2825" i="8"/>
  <c r="E2793" i="8"/>
  <c r="E2761" i="8"/>
  <c r="E2729" i="8"/>
  <c r="E2697" i="8"/>
  <c r="E946" i="8"/>
  <c r="E914" i="8"/>
  <c r="E882" i="8"/>
  <c r="E850" i="8"/>
  <c r="E818" i="8"/>
  <c r="E786" i="8"/>
  <c r="E754" i="8"/>
  <c r="E722" i="8"/>
  <c r="E690" i="8"/>
  <c r="E658" i="8"/>
  <c r="E626" i="8"/>
  <c r="E594" i="8"/>
  <c r="E562" i="8"/>
  <c r="E530" i="8"/>
  <c r="E498" i="8"/>
  <c r="E466" i="8"/>
  <c r="E434" i="8"/>
  <c r="E402" i="8"/>
  <c r="E370" i="8"/>
  <c r="E338" i="8"/>
  <c r="E306" i="8"/>
  <c r="E274" i="8"/>
  <c r="E242" i="8"/>
  <c r="E210" i="8"/>
  <c r="E178" i="8"/>
  <c r="E146" i="8"/>
  <c r="E114" i="8"/>
  <c r="E82" i="8"/>
  <c r="E50" i="8"/>
  <c r="E986" i="8"/>
  <c r="E4425" i="8"/>
  <c r="E4393" i="8"/>
  <c r="E4361" i="8"/>
  <c r="E4329" i="8"/>
  <c r="E4297" i="8"/>
  <c r="E4265" i="8"/>
  <c r="E4233" i="8"/>
  <c r="E4201" i="8"/>
  <c r="E4169" i="8"/>
  <c r="E4137" i="8"/>
  <c r="E4105" i="8"/>
  <c r="E4073" i="8"/>
  <c r="E4041" i="8"/>
  <c r="E4009" i="8"/>
  <c r="E3977" i="8"/>
  <c r="E3945" i="8"/>
  <c r="E3913" i="8"/>
  <c r="E3881" i="8"/>
  <c r="E3849" i="8"/>
  <c r="E3817" i="8"/>
  <c r="E3785" i="8"/>
  <c r="E3753" i="8"/>
  <c r="E3721" i="8"/>
  <c r="E3689" i="8"/>
  <c r="E3657" i="8"/>
  <c r="E3625" i="8"/>
  <c r="E3585" i="8"/>
  <c r="E3553" i="8"/>
  <c r="E3521" i="8"/>
  <c r="E3489" i="8"/>
  <c r="E3457" i="8"/>
  <c r="E3425" i="8"/>
  <c r="E3393" i="8"/>
  <c r="E3361" i="8"/>
  <c r="E3329" i="8"/>
  <c r="E3297" i="8"/>
  <c r="E3265" i="8"/>
  <c r="E3233" i="8"/>
  <c r="E3201" i="8"/>
  <c r="E3169" i="8"/>
  <c r="E3137" i="8"/>
  <c r="E3105" i="8"/>
  <c r="E3073" i="8"/>
  <c r="E3041" i="8"/>
  <c r="E3009" i="8"/>
  <c r="E2977" i="8"/>
  <c r="E2945" i="8"/>
  <c r="E2913" i="8"/>
  <c r="E2881" i="8"/>
  <c r="E2849" i="8"/>
  <c r="E2817" i="8"/>
  <c r="E2785" i="8"/>
  <c r="E2753" i="8"/>
  <c r="E938" i="8"/>
  <c r="E906" i="8"/>
  <c r="E874" i="8"/>
  <c r="E842" i="8"/>
  <c r="E810" i="8"/>
  <c r="E778" i="8"/>
  <c r="E746" i="8"/>
  <c r="E714" i="8"/>
  <c r="E682" i="8"/>
  <c r="E650" i="8"/>
  <c r="E618" i="8"/>
  <c r="E586" i="8"/>
  <c r="E554" i="8"/>
  <c r="E522" i="8"/>
  <c r="E490" i="8"/>
  <c r="E458" i="8"/>
  <c r="E426" i="8"/>
  <c r="E394" i="8"/>
  <c r="E362" i="8"/>
  <c r="E330" i="8"/>
  <c r="E298" i="8"/>
  <c r="E266" i="8"/>
  <c r="E234" i="8"/>
  <c r="E202" i="8"/>
  <c r="E170" i="8"/>
  <c r="E138" i="8"/>
  <c r="E106" i="8"/>
  <c r="E74" i="8"/>
  <c r="E42" i="8"/>
  <c r="E978" i="8"/>
  <c r="E4417" i="8"/>
  <c r="E4385" i="8"/>
  <c r="E4353" i="8"/>
  <c r="E4321" i="8"/>
  <c r="E4289" i="8"/>
  <c r="E4257" i="8"/>
  <c r="E4225" i="8"/>
  <c r="E4193" i="8"/>
  <c r="E4161" i="8"/>
  <c r="E4129" i="8"/>
  <c r="E4097" i="8"/>
  <c r="E4065" i="8"/>
  <c r="E4033" i="8"/>
  <c r="E4001" i="8"/>
  <c r="E3969" i="8"/>
  <c r="E3937" i="8"/>
  <c r="E3905" i="8"/>
  <c r="E3873" i="8"/>
  <c r="E3841" i="8"/>
  <c r="E3809" i="8"/>
  <c r="E3777" i="8"/>
  <c r="E3745" i="8"/>
  <c r="E3713" i="8"/>
  <c r="E3681" i="8"/>
  <c r="E3649" i="8"/>
  <c r="E3617" i="8"/>
  <c r="E3577" i="8"/>
  <c r="E3545" i="8"/>
  <c r="E3513" i="8"/>
  <c r="E3481" i="8"/>
  <c r="E3449" i="8"/>
  <c r="E3417" i="8"/>
  <c r="E3385" i="8"/>
  <c r="E3353" i="8"/>
  <c r="E3321" i="8"/>
  <c r="E3289" i="8"/>
  <c r="E3257" i="8"/>
  <c r="E3225" i="8"/>
  <c r="E3193" i="8"/>
  <c r="E3161" i="8"/>
  <c r="E3129" i="8"/>
  <c r="E3097" i="8"/>
  <c r="E3065" i="8"/>
  <c r="E3033" i="8"/>
  <c r="E3001" i="8"/>
  <c r="E2969" i="8"/>
  <c r="E2937" i="8"/>
  <c r="E2905" i="8"/>
  <c r="E2873" i="8"/>
  <c r="E2841" i="8"/>
  <c r="E2809" i="8"/>
  <c r="E2777" i="8"/>
  <c r="E2745" i="8"/>
  <c r="E930" i="8"/>
  <c r="E898" i="8"/>
  <c r="E866" i="8"/>
  <c r="E834" i="8"/>
  <c r="E802" i="8"/>
  <c r="E770" i="8"/>
  <c r="E738" i="8"/>
  <c r="E706" i="8"/>
  <c r="E674" i="8"/>
  <c r="E642" i="8"/>
  <c r="E610" i="8"/>
  <c r="E578" i="8"/>
  <c r="E546" i="8"/>
  <c r="E514" i="8"/>
  <c r="E482" i="8"/>
  <c r="E450" i="8"/>
  <c r="E418" i="8"/>
  <c r="E386" i="8"/>
  <c r="E354" i="8"/>
  <c r="E322" i="8"/>
  <c r="E290" i="8"/>
  <c r="E258" i="8"/>
  <c r="E226" i="8"/>
  <c r="E194" i="8"/>
  <c r="E162" i="8"/>
  <c r="E130" i="8"/>
  <c r="E98" i="8"/>
  <c r="E66" i="8"/>
  <c r="E34" i="8"/>
  <c r="E1042" i="8"/>
  <c r="E4383" i="8"/>
  <c r="E4409" i="8"/>
  <c r="E4377" i="8"/>
  <c r="E4345" i="8"/>
  <c r="E4313" i="8"/>
  <c r="E4281" i="8"/>
  <c r="E4249" i="8"/>
  <c r="E4217" i="8"/>
  <c r="E4185" i="8"/>
  <c r="E4153" i="8"/>
  <c r="E4121" i="8"/>
  <c r="E4089" i="8"/>
  <c r="E4057" i="8"/>
  <c r="E4025" i="8"/>
  <c r="E3993" i="8"/>
  <c r="E3961" i="8"/>
  <c r="E3929" i="8"/>
  <c r="E3897" i="8"/>
  <c r="E3865" i="8"/>
  <c r="E3833" i="8"/>
  <c r="E3801" i="8"/>
  <c r="E3769" i="8"/>
  <c r="E3737" i="8"/>
  <c r="E3705" i="8"/>
  <c r="E3673" i="8"/>
  <c r="E3641" i="8"/>
  <c r="E3601" i="8"/>
  <c r="E3569" i="8"/>
  <c r="E3537" i="8"/>
  <c r="E3505" i="8"/>
  <c r="E3473" i="8"/>
  <c r="E3441" i="8"/>
  <c r="E3409" i="8"/>
  <c r="E3377" i="8"/>
  <c r="E3345" i="8"/>
  <c r="E3313" i="8"/>
  <c r="E3281" i="8"/>
  <c r="E3249" i="8"/>
  <c r="E3217" i="8"/>
  <c r="E3185" i="8"/>
  <c r="E3153" i="8"/>
  <c r="E3121" i="8"/>
  <c r="E3089" i="8"/>
  <c r="E3057" i="8"/>
  <c r="E3025" i="8"/>
  <c r="E2993" i="8"/>
  <c r="E2961" i="8"/>
  <c r="E2929" i="8"/>
  <c r="E2897" i="8"/>
  <c r="E2865" i="8"/>
  <c r="E2833" i="8"/>
  <c r="E2801" i="8"/>
  <c r="E2769" i="8"/>
  <c r="E2737" i="8"/>
  <c r="E2705" i="8"/>
  <c r="E954" i="8"/>
  <c r="E922" i="8"/>
  <c r="E890" i="8"/>
  <c r="E858" i="8"/>
  <c r="E826" i="8"/>
  <c r="E794" i="8"/>
  <c r="E762" i="8"/>
  <c r="E730" i="8"/>
  <c r="E698" i="8"/>
  <c r="E666" i="8"/>
  <c r="E634" i="8"/>
  <c r="E602" i="8"/>
  <c r="E570" i="8"/>
  <c r="E538" i="8"/>
  <c r="E506" i="8"/>
  <c r="E474" i="8"/>
  <c r="E442" i="8"/>
  <c r="E410" i="8"/>
  <c r="E378" i="8"/>
  <c r="E346" i="8"/>
  <c r="E314" i="8"/>
  <c r="E282" i="8"/>
  <c r="E250" i="8"/>
  <c r="E218" i="8"/>
  <c r="E186" i="8"/>
  <c r="E154" i="8"/>
  <c r="E122" i="8"/>
  <c r="E90" i="8"/>
  <c r="E58" i="8"/>
  <c r="E4624" i="8"/>
  <c r="E4592" i="8"/>
  <c r="E4560" i="8"/>
  <c r="E4528" i="8"/>
  <c r="E4496" i="8"/>
  <c r="E4464" i="8"/>
  <c r="E4432" i="8"/>
  <c r="E4400" i="8"/>
  <c r="E4368" i="8"/>
  <c r="E4336" i="8"/>
  <c r="E4304" i="8"/>
  <c r="E4272" i="8"/>
  <c r="E4240" i="8"/>
  <c r="E4208" i="8"/>
  <c r="E4176" i="8"/>
  <c r="E4144" i="8"/>
  <c r="E4112" i="8"/>
  <c r="E4080" i="8"/>
  <c r="E4048" i="8"/>
  <c r="E4016" i="8"/>
  <c r="E3984" i="8"/>
  <c r="E3952" i="8"/>
  <c r="E3920" i="8"/>
  <c r="E3888" i="8"/>
  <c r="E3856" i="8"/>
  <c r="E3824" i="8"/>
  <c r="E3792" i="8"/>
  <c r="E3760" i="8"/>
  <c r="E3728" i="8"/>
  <c r="E3696" i="8"/>
  <c r="E3664" i="8"/>
  <c r="E3632" i="8"/>
  <c r="E3600" i="8"/>
  <c r="E3568" i="8"/>
  <c r="E3536" i="8"/>
  <c r="E3504" i="8"/>
  <c r="E3472" i="8"/>
  <c r="E3440" i="8"/>
  <c r="E3408" i="8"/>
  <c r="E3376" i="8"/>
  <c r="E3344" i="8"/>
  <c r="E3312" i="8"/>
  <c r="E2721" i="8"/>
  <c r="E2681" i="8"/>
  <c r="E2649" i="8"/>
  <c r="E2617" i="8"/>
  <c r="E2585" i="8"/>
  <c r="E2553" i="8"/>
  <c r="E2521" i="8"/>
  <c r="E2489" i="8"/>
  <c r="E2457" i="8"/>
  <c r="E2425" i="8"/>
  <c r="E2393" i="8"/>
  <c r="E2361" i="8"/>
  <c r="E2329" i="8"/>
  <c r="E2297" i="8"/>
  <c r="E2265" i="8"/>
  <c r="E2233" i="8"/>
  <c r="E2201" i="8"/>
  <c r="E2169" i="8"/>
  <c r="E2137" i="8"/>
  <c r="E2105" i="8"/>
  <c r="E2073" i="8"/>
  <c r="E2041" i="8"/>
  <c r="E2009" i="8"/>
  <c r="E1977" i="8"/>
  <c r="E1945" i="8"/>
  <c r="E1913" i="8"/>
  <c r="E1881" i="8"/>
  <c r="E1849" i="8"/>
  <c r="E1817" i="8"/>
  <c r="E1785" i="8"/>
  <c r="E1753" i="8"/>
  <c r="E1721" i="8"/>
  <c r="E1689" i="8"/>
  <c r="E1657" i="8"/>
  <c r="E1625" i="8"/>
  <c r="E1593" i="8"/>
  <c r="E1561" i="8"/>
  <c r="E1529" i="8"/>
  <c r="E1497" i="8"/>
  <c r="E1465" i="8"/>
  <c r="E1433" i="8"/>
  <c r="E1401" i="8"/>
  <c r="E1369" i="8"/>
  <c r="E1337" i="8"/>
  <c r="E4616" i="8"/>
  <c r="E4584" i="8"/>
  <c r="E4552" i="8"/>
  <c r="E4520" i="8"/>
  <c r="E4488" i="8"/>
  <c r="E4456" i="8"/>
  <c r="E4424" i="8"/>
  <c r="E4392" i="8"/>
  <c r="E4360" i="8"/>
  <c r="E4328" i="8"/>
  <c r="E4296" i="8"/>
  <c r="E4264" i="8"/>
  <c r="E4232" i="8"/>
  <c r="E4200" i="8"/>
  <c r="E4168" i="8"/>
  <c r="E4136" i="8"/>
  <c r="E4104" i="8"/>
  <c r="E4072" i="8"/>
  <c r="E4040" i="8"/>
  <c r="E4008" i="8"/>
  <c r="E3976" i="8"/>
  <c r="E3944" i="8"/>
  <c r="E3912" i="8"/>
  <c r="E3880" i="8"/>
  <c r="E3848" i="8"/>
  <c r="E3816" i="8"/>
  <c r="E3784" i="8"/>
  <c r="E3752" i="8"/>
  <c r="E3720" i="8"/>
  <c r="E3688" i="8"/>
  <c r="E3656" i="8"/>
  <c r="E3624" i="8"/>
  <c r="E3592" i="8"/>
  <c r="E2713" i="8"/>
  <c r="E2673" i="8"/>
  <c r="E2641" i="8"/>
  <c r="E2609" i="8"/>
  <c r="E2577" i="8"/>
  <c r="E2545" i="8"/>
  <c r="E2513" i="8"/>
  <c r="E2481" i="8"/>
  <c r="E2449" i="8"/>
  <c r="E2417" i="8"/>
  <c r="E2385" i="8"/>
  <c r="E2353" i="8"/>
  <c r="E2321" i="8"/>
  <c r="E2289" i="8"/>
  <c r="E2257" i="8"/>
  <c r="E2225" i="8"/>
  <c r="E2193" i="8"/>
  <c r="E2161" i="8"/>
  <c r="E2129" i="8"/>
  <c r="E2097" i="8"/>
  <c r="E2065" i="8"/>
  <c r="E2033" i="8"/>
  <c r="E2001" i="8"/>
  <c r="E1969" i="8"/>
  <c r="E1937" i="8"/>
  <c r="E1905" i="8"/>
  <c r="E1873" i="8"/>
  <c r="E1841" i="8"/>
  <c r="E1809" i="8"/>
  <c r="E1777" i="8"/>
  <c r="E1745" i="8"/>
  <c r="E1713" i="8"/>
  <c r="E1681" i="8"/>
  <c r="E1649" i="8"/>
  <c r="E1617" i="8"/>
  <c r="E1585" i="8"/>
  <c r="E1553" i="8"/>
  <c r="E1521" i="8"/>
  <c r="E1489" i="8"/>
  <c r="E1457" i="8"/>
  <c r="E1425" i="8"/>
  <c r="E1393" i="8"/>
  <c r="E1361" i="8"/>
  <c r="E1329" i="8"/>
  <c r="E4255" i="8"/>
  <c r="E4608" i="8"/>
  <c r="E4576" i="8"/>
  <c r="E4544" i="8"/>
  <c r="E4512" i="8"/>
  <c r="E4480" i="8"/>
  <c r="E4448" i="8"/>
  <c r="E4416" i="8"/>
  <c r="E4384" i="8"/>
  <c r="E4352" i="8"/>
  <c r="E4320" i="8"/>
  <c r="E4288" i="8"/>
  <c r="E4256" i="8"/>
  <c r="E4224" i="8"/>
  <c r="E4192" i="8"/>
  <c r="E4160" i="8"/>
  <c r="E4128" i="8"/>
  <c r="E4096" i="8"/>
  <c r="E4064" i="8"/>
  <c r="E4032" i="8"/>
  <c r="E4000" i="8"/>
  <c r="E3968" i="8"/>
  <c r="E3936" i="8"/>
  <c r="E3904" i="8"/>
  <c r="E3872" i="8"/>
  <c r="E3840" i="8"/>
  <c r="E3808" i="8"/>
  <c r="E3776" i="8"/>
  <c r="E3744" i="8"/>
  <c r="E3712" i="8"/>
  <c r="E3680" i="8"/>
  <c r="E3648" i="8"/>
  <c r="E3616" i="8"/>
  <c r="E3584" i="8"/>
  <c r="E3552" i="8"/>
  <c r="E3520" i="8"/>
  <c r="E3488" i="8"/>
  <c r="E3456" i="8"/>
  <c r="E3424" i="8"/>
  <c r="E3392" i="8"/>
  <c r="E3360" i="8"/>
  <c r="E3328" i="8"/>
  <c r="E2665" i="8"/>
  <c r="E2633" i="8"/>
  <c r="E2601" i="8"/>
  <c r="E2569" i="8"/>
  <c r="E2537" i="8"/>
  <c r="E2505" i="8"/>
  <c r="E2473" i="8"/>
  <c r="E2441" i="8"/>
  <c r="E2409" i="8"/>
  <c r="E2377" i="8"/>
  <c r="E2345" i="8"/>
  <c r="E2313" i="8"/>
  <c r="E2281" i="8"/>
  <c r="E2249" i="8"/>
  <c r="E2217" i="8"/>
  <c r="E2185" i="8"/>
  <c r="E2153" i="8"/>
  <c r="E2121" i="8"/>
  <c r="E2089" i="8"/>
  <c r="E2057" i="8"/>
  <c r="E2025" i="8"/>
  <c r="E1993" i="8"/>
  <c r="E1961" i="8"/>
  <c r="E1929" i="8"/>
  <c r="E1897" i="8"/>
  <c r="E1865" i="8"/>
  <c r="E1833" i="8"/>
  <c r="E1801" i="8"/>
  <c r="E1769" i="8"/>
  <c r="E1737" i="8"/>
  <c r="E1705" i="8"/>
  <c r="E1673" i="8"/>
  <c r="E1641" i="8"/>
  <c r="E1609" i="8"/>
  <c r="E1577" i="8"/>
  <c r="E1545" i="8"/>
  <c r="E1513" i="8"/>
  <c r="E1481" i="8"/>
  <c r="E1449" i="8"/>
  <c r="E1417" i="8"/>
  <c r="E1385" i="8"/>
  <c r="E1353" i="8"/>
  <c r="E4632" i="8"/>
  <c r="E4600" i="8"/>
  <c r="E4568" i="8"/>
  <c r="E4536" i="8"/>
  <c r="E4504" i="8"/>
  <c r="E4472" i="8"/>
  <c r="E4440" i="8"/>
  <c r="E4408" i="8"/>
  <c r="E4376" i="8"/>
  <c r="E4344" i="8"/>
  <c r="E4312" i="8"/>
  <c r="E4280" i="8"/>
  <c r="E4248" i="8"/>
  <c r="E4216" i="8"/>
  <c r="E4184" i="8"/>
  <c r="E4152" i="8"/>
  <c r="E4120" i="8"/>
  <c r="E4088" i="8"/>
  <c r="E4056" i="8"/>
  <c r="E4024" i="8"/>
  <c r="E3992" i="8"/>
  <c r="E3960" i="8"/>
  <c r="E3928" i="8"/>
  <c r="E3896" i="8"/>
  <c r="E3864" i="8"/>
  <c r="E3832" i="8"/>
  <c r="E3800" i="8"/>
  <c r="E3768" i="8"/>
  <c r="E3736" i="8"/>
  <c r="E3704" i="8"/>
  <c r="E3672" i="8"/>
  <c r="E3640" i="8"/>
  <c r="E3608" i="8"/>
  <c r="E3576" i="8"/>
  <c r="E3544" i="8"/>
  <c r="E3512" i="8"/>
  <c r="E3480" i="8"/>
  <c r="E2689" i="8"/>
  <c r="E2657" i="8"/>
  <c r="E2625" i="8"/>
  <c r="E2593" i="8"/>
  <c r="E2561" i="8"/>
  <c r="E2529" i="8"/>
  <c r="E2497" i="8"/>
  <c r="E2465" i="8"/>
  <c r="E2433" i="8"/>
  <c r="E2401" i="8"/>
  <c r="E2369" i="8"/>
  <c r="E2337" i="8"/>
  <c r="E2305" i="8"/>
  <c r="E2273" i="8"/>
  <c r="E2241" i="8"/>
  <c r="E2209" i="8"/>
  <c r="E2177" i="8"/>
  <c r="E2145" i="8"/>
  <c r="E2113" i="8"/>
  <c r="E2081" i="8"/>
  <c r="E2049" i="8"/>
  <c r="E2017" i="8"/>
  <c r="E1985" i="8"/>
  <c r="E1953" i="8"/>
  <c r="E1921" i="8"/>
  <c r="E1889" i="8"/>
  <c r="E1857" i="8"/>
  <c r="E1825" i="8"/>
  <c r="E1793" i="8"/>
  <c r="E1761" i="8"/>
  <c r="E1729" i="8"/>
  <c r="E1697" i="8"/>
  <c r="E1665" i="8"/>
  <c r="E1633" i="8"/>
  <c r="E1601" i="8"/>
  <c r="E1569" i="8"/>
  <c r="E1537" i="8"/>
  <c r="E1505" i="8"/>
  <c r="E1473" i="8"/>
  <c r="E1441" i="8"/>
  <c r="E1409" i="8"/>
  <c r="E1377" i="8"/>
  <c r="E1345" i="8"/>
  <c r="E3416" i="8"/>
  <c r="E4631" i="8"/>
  <c r="E4599" i="8"/>
  <c r="E4567" i="8"/>
  <c r="E4535" i="8"/>
  <c r="E4495" i="8"/>
  <c r="E4463" i="8"/>
  <c r="E4431" i="8"/>
  <c r="E4399" i="8"/>
  <c r="E4359" i="8"/>
  <c r="E4327" i="8"/>
  <c r="E4295" i="8"/>
  <c r="E4263" i="8"/>
  <c r="E4223" i="8"/>
  <c r="E4191" i="8"/>
  <c r="E4159" i="8"/>
  <c r="E4119" i="8"/>
  <c r="E4087" i="8"/>
  <c r="E4055" i="8"/>
  <c r="E4023" i="8"/>
  <c r="E3983" i="8"/>
  <c r="E3951" i="8"/>
  <c r="E3919" i="8"/>
  <c r="E3887" i="8"/>
  <c r="E3847" i="8"/>
  <c r="E3815" i="8"/>
  <c r="E3368" i="8"/>
  <c r="E3288" i="8"/>
  <c r="E3256" i="8"/>
  <c r="E3224" i="8"/>
  <c r="E3192" i="8"/>
  <c r="E3160" i="8"/>
  <c r="E3128" i="8"/>
  <c r="E3096" i="8"/>
  <c r="E3064" i="8"/>
  <c r="E3032" i="8"/>
  <c r="E3000" i="8"/>
  <c r="E2968" i="8"/>
  <c r="E2936" i="8"/>
  <c r="E2904" i="8"/>
  <c r="E2872" i="8"/>
  <c r="E2840" i="8"/>
  <c r="E2808" i="8"/>
  <c r="E2776" i="8"/>
  <c r="E2744" i="8"/>
  <c r="E2712" i="8"/>
  <c r="E2680" i="8"/>
  <c r="E2648" i="8"/>
  <c r="E2616" i="8"/>
  <c r="E2584" i="8"/>
  <c r="E2552" i="8"/>
  <c r="E2520" i="8"/>
  <c r="E2488" i="8"/>
  <c r="E2456" i="8"/>
  <c r="E2424" i="8"/>
  <c r="E2392" i="8"/>
  <c r="E2360" i="8"/>
  <c r="E2328" i="8"/>
  <c r="E2296" i="8"/>
  <c r="E2264" i="8"/>
  <c r="E2232" i="8"/>
  <c r="E2200" i="8"/>
  <c r="E2168" i="8"/>
  <c r="E2136" i="8"/>
  <c r="E2104" i="8"/>
  <c r="E2072" i="8"/>
  <c r="E2040" i="8"/>
  <c r="E3560" i="8"/>
  <c r="E3496" i="8"/>
  <c r="E3448" i="8"/>
  <c r="E3320" i="8"/>
  <c r="E4623" i="8"/>
  <c r="E4591" i="8"/>
  <c r="E4559" i="8"/>
  <c r="E4527" i="8"/>
  <c r="E4487" i="8"/>
  <c r="E4455" i="8"/>
  <c r="E4423" i="8"/>
  <c r="E4391" i="8"/>
  <c r="E4351" i="8"/>
  <c r="E4319" i="8"/>
  <c r="E4287" i="8"/>
  <c r="E4247" i="8"/>
  <c r="E3400" i="8"/>
  <c r="E3280" i="8"/>
  <c r="E3248" i="8"/>
  <c r="E3216" i="8"/>
  <c r="E3184" i="8"/>
  <c r="E3152" i="8"/>
  <c r="E3120" i="8"/>
  <c r="E3088" i="8"/>
  <c r="E3056" i="8"/>
  <c r="E3024" i="8"/>
  <c r="E2992" i="8"/>
  <c r="E2960" i="8"/>
  <c r="E2928" i="8"/>
  <c r="E2896" i="8"/>
  <c r="E2864" i="8"/>
  <c r="E2832" i="8"/>
  <c r="E2800" i="8"/>
  <c r="E2768" i="8"/>
  <c r="E2736" i="8"/>
  <c r="E2704" i="8"/>
  <c r="E2672" i="8"/>
  <c r="E2640" i="8"/>
  <c r="E2608" i="8"/>
  <c r="E2576" i="8"/>
  <c r="E2544" i="8"/>
  <c r="E2512" i="8"/>
  <c r="E2480" i="8"/>
  <c r="E2448" i="8"/>
  <c r="E2416" i="8"/>
  <c r="E2384" i="8"/>
  <c r="E2352" i="8"/>
  <c r="E2320" i="8"/>
  <c r="E2288" i="8"/>
  <c r="E2256" i="8"/>
  <c r="E2224" i="8"/>
  <c r="E2192" i="8"/>
  <c r="E2160" i="8"/>
  <c r="E2128" i="8"/>
  <c r="E2096" i="8"/>
  <c r="E2064" i="8"/>
  <c r="E2032" i="8"/>
  <c r="E3352" i="8"/>
  <c r="E4127" i="8"/>
  <c r="E4615" i="8"/>
  <c r="E4583" i="8"/>
  <c r="E4551" i="8"/>
  <c r="E4519" i="8"/>
  <c r="E4479" i="8"/>
  <c r="E4447" i="8"/>
  <c r="E4415" i="8"/>
  <c r="E4375" i="8"/>
  <c r="E4343" i="8"/>
  <c r="E4311" i="8"/>
  <c r="E4279" i="8"/>
  <c r="E4239" i="8"/>
  <c r="E4207" i="8"/>
  <c r="E4175" i="8"/>
  <c r="E4143" i="8"/>
  <c r="E3432" i="8"/>
  <c r="E3304" i="8"/>
  <c r="E3272" i="8"/>
  <c r="E3240" i="8"/>
  <c r="E3208" i="8"/>
  <c r="E3176" i="8"/>
  <c r="E3144" i="8"/>
  <c r="E3112" i="8"/>
  <c r="E3080" i="8"/>
  <c r="E3048" i="8"/>
  <c r="E3016" i="8"/>
  <c r="E2984" i="8"/>
  <c r="E2952" i="8"/>
  <c r="E2920" i="8"/>
  <c r="E2888" i="8"/>
  <c r="E2856" i="8"/>
  <c r="E2824" i="8"/>
  <c r="E2792" i="8"/>
  <c r="E2760" i="8"/>
  <c r="E2728" i="8"/>
  <c r="E2696" i="8"/>
  <c r="E2664" i="8"/>
  <c r="E2632" i="8"/>
  <c r="E2600" i="8"/>
  <c r="E2568" i="8"/>
  <c r="E2536" i="8"/>
  <c r="E2504" i="8"/>
  <c r="E2472" i="8"/>
  <c r="E2440" i="8"/>
  <c r="E2408" i="8"/>
  <c r="E2376" i="8"/>
  <c r="E2344" i="8"/>
  <c r="E2312" i="8"/>
  <c r="E2280" i="8"/>
  <c r="E2248" i="8"/>
  <c r="E2216" i="8"/>
  <c r="E2184" i="8"/>
  <c r="E2152" i="8"/>
  <c r="E2120" i="8"/>
  <c r="E2088" i="8"/>
  <c r="E2056" i="8"/>
  <c r="E2024" i="8"/>
  <c r="E1992" i="8"/>
  <c r="E1960" i="8"/>
  <c r="E1928" i="8"/>
  <c r="E1896" i="8"/>
  <c r="E1864" i="8"/>
  <c r="E1832" i="8"/>
  <c r="E1800" i="8"/>
  <c r="E1768" i="8"/>
  <c r="E1736" i="8"/>
  <c r="E1704" i="8"/>
  <c r="E1672" i="8"/>
  <c r="E1640" i="8"/>
  <c r="E1608" i="8"/>
  <c r="E1576" i="8"/>
  <c r="E3528" i="8"/>
  <c r="E3384" i="8"/>
  <c r="E4647" i="8"/>
  <c r="E4607" i="8"/>
  <c r="E4575" i="8"/>
  <c r="E4543" i="8"/>
  <c r="E4503" i="8"/>
  <c r="E4471" i="8"/>
  <c r="E4439" i="8"/>
  <c r="E4407" i="8"/>
  <c r="E4367" i="8"/>
  <c r="E4335" i="8"/>
  <c r="E4303" i="8"/>
  <c r="E4271" i="8"/>
  <c r="E4231" i="8"/>
  <c r="E3464" i="8"/>
  <c r="E3336" i="8"/>
  <c r="E3296" i="8"/>
  <c r="E3264" i="8"/>
  <c r="E3232" i="8"/>
  <c r="E3200" i="8"/>
  <c r="E3168" i="8"/>
  <c r="E3136" i="8"/>
  <c r="E3104" i="8"/>
  <c r="E3072" i="8"/>
  <c r="E3040" i="8"/>
  <c r="E3008" i="8"/>
  <c r="E2976" i="8"/>
  <c r="E2944" i="8"/>
  <c r="E2912" i="8"/>
  <c r="E2880" i="8"/>
  <c r="E2848" i="8"/>
  <c r="E2816" i="8"/>
  <c r="E2784" i="8"/>
  <c r="E2752" i="8"/>
  <c r="E2720" i="8"/>
  <c r="E2688" i="8"/>
  <c r="E2656" i="8"/>
  <c r="E2624" i="8"/>
  <c r="E2592" i="8"/>
  <c r="E2560" i="8"/>
  <c r="E2528" i="8"/>
  <c r="E2496" i="8"/>
  <c r="E2464" i="8"/>
  <c r="E2432" i="8"/>
  <c r="E2400" i="8"/>
  <c r="E2368" i="8"/>
  <c r="E2336" i="8"/>
  <c r="E2304" i="8"/>
  <c r="E2272" i="8"/>
  <c r="E2240" i="8"/>
  <c r="E2208" i="8"/>
  <c r="E2176" i="8"/>
  <c r="E2144" i="8"/>
  <c r="E2112" i="8"/>
  <c r="E2080" i="8"/>
  <c r="E2048" i="8"/>
  <c r="E2016" i="8"/>
  <c r="E1984" i="8"/>
  <c r="E1952" i="8"/>
  <c r="E1920" i="8"/>
  <c r="E1888" i="8"/>
  <c r="E1856" i="8"/>
  <c r="E1824" i="8"/>
  <c r="E1792" i="8"/>
  <c r="E1760" i="8"/>
  <c r="E1728" i="8"/>
  <c r="E1696" i="8"/>
  <c r="E1664" i="8"/>
  <c r="E1632" i="8"/>
  <c r="E1600" i="8"/>
  <c r="E1568" i="8"/>
  <c r="E1976" i="8"/>
  <c r="E1848" i="8"/>
  <c r="E1720" i="8"/>
  <c r="E1592" i="8"/>
  <c r="E4079" i="8"/>
  <c r="E4039" i="8"/>
  <c r="E3943" i="8"/>
  <c r="E3903" i="8"/>
  <c r="E3807" i="8"/>
  <c r="E3775" i="8"/>
  <c r="E3735" i="8"/>
  <c r="E3703" i="8"/>
  <c r="E3671" i="8"/>
  <c r="E3639" i="8"/>
  <c r="E3607" i="8"/>
  <c r="E3575" i="8"/>
  <c r="E3543" i="8"/>
  <c r="E3511" i="8"/>
  <c r="E3479" i="8"/>
  <c r="E3447" i="8"/>
  <c r="E3415" i="8"/>
  <c r="E3383" i="8"/>
  <c r="E3351" i="8"/>
  <c r="E3319" i="8"/>
  <c r="E3287" i="8"/>
  <c r="E3255" i="8"/>
  <c r="E3223" i="8"/>
  <c r="E3191" i="8"/>
  <c r="E3159" i="8"/>
  <c r="E3127" i="8"/>
  <c r="E3095" i="8"/>
  <c r="E3063" i="8"/>
  <c r="E3031" i="8"/>
  <c r="E2999" i="8"/>
  <c r="E2967" i="8"/>
  <c r="E2935" i="8"/>
  <c r="E2903" i="8"/>
  <c r="E2871" i="8"/>
  <c r="E2839" i="8"/>
  <c r="E2807" i="8"/>
  <c r="E2775" i="8"/>
  <c r="E2743" i="8"/>
  <c r="E2711" i="8"/>
  <c r="E2679" i="8"/>
  <c r="E2647" i="8"/>
  <c r="E2615" i="8"/>
  <c r="E2583" i="8"/>
  <c r="E2551" i="8"/>
  <c r="E2519" i="8"/>
  <c r="E2487" i="8"/>
  <c r="E2455" i="8"/>
  <c r="E2423" i="8"/>
  <c r="E2391" i="8"/>
  <c r="E2359" i="8"/>
  <c r="E2327" i="8"/>
  <c r="E2295" i="8"/>
  <c r="E2263" i="8"/>
  <c r="E2231" i="8"/>
  <c r="E2199" i="8"/>
  <c r="E2167" i="8"/>
  <c r="E2135" i="8"/>
  <c r="E2103" i="8"/>
  <c r="E2071" i="8"/>
  <c r="E2039" i="8"/>
  <c r="E2007" i="8"/>
  <c r="E1975" i="8"/>
  <c r="E1943" i="8"/>
  <c r="E1911" i="8"/>
  <c r="E1879" i="8"/>
  <c r="E1847" i="8"/>
  <c r="E1815" i="8"/>
  <c r="E1783" i="8"/>
  <c r="E1751" i="8"/>
  <c r="E1719" i="8"/>
  <c r="E1687" i="8"/>
  <c r="E1655" i="8"/>
  <c r="E1623" i="8"/>
  <c r="E1591" i="8"/>
  <c r="E1559" i="8"/>
  <c r="E1527" i="8"/>
  <c r="E1495" i="8"/>
  <c r="E1968" i="8"/>
  <c r="E1840" i="8"/>
  <c r="E1712" i="8"/>
  <c r="E1584" i="8"/>
  <c r="E4183" i="8"/>
  <c r="E4031" i="8"/>
  <c r="E3895" i="8"/>
  <c r="E1944" i="8"/>
  <c r="E1816" i="8"/>
  <c r="E1688" i="8"/>
  <c r="E1560" i="8"/>
  <c r="E4111" i="8"/>
  <c r="E4071" i="8"/>
  <c r="E3975" i="8"/>
  <c r="E3935" i="8"/>
  <c r="E3839" i="8"/>
  <c r="E3799" i="8"/>
  <c r="E3767" i="8"/>
  <c r="E3727" i="8"/>
  <c r="E3695" i="8"/>
  <c r="E3663" i="8"/>
  <c r="E3631" i="8"/>
  <c r="E3599" i="8"/>
  <c r="E3567" i="8"/>
  <c r="E3535" i="8"/>
  <c r="E3503" i="8"/>
  <c r="E3471" i="8"/>
  <c r="E3439" i="8"/>
  <c r="E3407" i="8"/>
  <c r="E3375" i="8"/>
  <c r="E3343" i="8"/>
  <c r="E3311" i="8"/>
  <c r="E3279" i="8"/>
  <c r="E3247" i="8"/>
  <c r="E3215" i="8"/>
  <c r="E3183" i="8"/>
  <c r="E3151" i="8"/>
  <c r="E3119" i="8"/>
  <c r="E3087" i="8"/>
  <c r="E3055" i="8"/>
  <c r="E3023" i="8"/>
  <c r="E2991" i="8"/>
  <c r="E2959" i="8"/>
  <c r="E2927" i="8"/>
  <c r="E2895" i="8"/>
  <c r="E2863" i="8"/>
  <c r="E2831" i="8"/>
  <c r="E2799" i="8"/>
  <c r="E2767" i="8"/>
  <c r="E2735" i="8"/>
  <c r="E2703" i="8"/>
  <c r="E2671" i="8"/>
  <c r="E2639" i="8"/>
  <c r="E2607" i="8"/>
  <c r="E2575" i="8"/>
  <c r="E2543" i="8"/>
  <c r="E2511" i="8"/>
  <c r="E2479" i="8"/>
  <c r="E2447" i="8"/>
  <c r="E2415" i="8"/>
  <c r="E2383" i="8"/>
  <c r="E2351" i="8"/>
  <c r="E2319" i="8"/>
  <c r="E2287" i="8"/>
  <c r="E2255" i="8"/>
  <c r="E2223" i="8"/>
  <c r="E2191" i="8"/>
  <c r="E2159" i="8"/>
  <c r="E2127" i="8"/>
  <c r="E2095" i="8"/>
  <c r="E2063" i="8"/>
  <c r="E2031" i="8"/>
  <c r="E1999" i="8"/>
  <c r="E1967" i="8"/>
  <c r="E1935" i="8"/>
  <c r="E1903" i="8"/>
  <c r="E1871" i="8"/>
  <c r="E1839" i="8"/>
  <c r="E1807" i="8"/>
  <c r="E1775" i="8"/>
  <c r="E1743" i="8"/>
  <c r="E1711" i="8"/>
  <c r="E1679" i="8"/>
  <c r="E1647" i="8"/>
  <c r="E1615" i="8"/>
  <c r="E1583" i="8"/>
  <c r="E1936" i="8"/>
  <c r="E1808" i="8"/>
  <c r="E1680" i="8"/>
  <c r="E1552" i="8"/>
  <c r="E4167" i="8"/>
  <c r="E4063" i="8"/>
  <c r="E3927" i="8"/>
  <c r="E1912" i="8"/>
  <c r="E1784" i="8"/>
  <c r="E1656" i="8"/>
  <c r="E4103" i="8"/>
  <c r="E4015" i="8"/>
  <c r="E3967" i="8"/>
  <c r="E3879" i="8"/>
  <c r="E3831" i="8"/>
  <c r="E3791" i="8"/>
  <c r="E3759" i="8"/>
  <c r="E3719" i="8"/>
  <c r="E3687" i="8"/>
  <c r="E3655" i="8"/>
  <c r="E3623" i="8"/>
  <c r="E3591" i="8"/>
  <c r="E3559" i="8"/>
  <c r="E3527" i="8"/>
  <c r="E3495" i="8"/>
  <c r="E3463" i="8"/>
  <c r="E3431" i="8"/>
  <c r="E3399" i="8"/>
  <c r="E3367" i="8"/>
  <c r="E3335" i="8"/>
  <c r="E3303" i="8"/>
  <c r="E3271" i="8"/>
  <c r="E3239" i="8"/>
  <c r="E3207" i="8"/>
  <c r="E3175" i="8"/>
  <c r="E3143" i="8"/>
  <c r="E3111" i="8"/>
  <c r="E3079" i="8"/>
  <c r="E3047" i="8"/>
  <c r="E3015" i="8"/>
  <c r="E2983" i="8"/>
  <c r="E2951" i="8"/>
  <c r="E2919" i="8"/>
  <c r="E2887" i="8"/>
  <c r="E2855" i="8"/>
  <c r="E2823" i="8"/>
  <c r="E2791" i="8"/>
  <c r="E2759" i="8"/>
  <c r="E2727" i="8"/>
  <c r="E2695" i="8"/>
  <c r="E2663" i="8"/>
  <c r="E2631" i="8"/>
  <c r="E2599" i="8"/>
  <c r="E2567" i="8"/>
  <c r="E2535" i="8"/>
  <c r="E2503" i="8"/>
  <c r="E2471" i="8"/>
  <c r="E2439" i="8"/>
  <c r="E2407" i="8"/>
  <c r="E2375" i="8"/>
  <c r="E2343" i="8"/>
  <c r="E2311" i="8"/>
  <c r="E2279" i="8"/>
  <c r="E2247" i="8"/>
  <c r="E2215" i="8"/>
  <c r="E2183" i="8"/>
  <c r="E2151" i="8"/>
  <c r="E2119" i="8"/>
  <c r="E2087" i="8"/>
  <c r="E2055" i="8"/>
  <c r="E2023" i="8"/>
  <c r="E1991" i="8"/>
  <c r="E1959" i="8"/>
  <c r="E1927" i="8"/>
  <c r="E1895" i="8"/>
  <c r="E1863" i="8"/>
  <c r="E1831" i="8"/>
  <c r="E1799" i="8"/>
  <c r="E1767" i="8"/>
  <c r="E1735" i="8"/>
  <c r="E1703" i="8"/>
  <c r="E1671" i="8"/>
  <c r="E1904" i="8"/>
  <c r="E1776" i="8"/>
  <c r="E1648" i="8"/>
  <c r="E4215" i="8"/>
  <c r="E4151" i="8"/>
  <c r="E4095" i="8"/>
  <c r="E3959" i="8"/>
  <c r="E3823" i="8"/>
  <c r="E4598" i="8"/>
  <c r="E4566" i="8"/>
  <c r="E4534" i="8"/>
  <c r="E4502" i="8"/>
  <c r="E2008" i="8"/>
  <c r="E1880" i="8"/>
  <c r="E1752" i="8"/>
  <c r="E1624" i="8"/>
  <c r="E4047" i="8"/>
  <c r="E4007" i="8"/>
  <c r="E3911" i="8"/>
  <c r="E3863" i="8"/>
  <c r="E3783" i="8"/>
  <c r="E3751" i="8"/>
  <c r="E3711" i="8"/>
  <c r="E3679" i="8"/>
  <c r="E3647" i="8"/>
  <c r="E3615" i="8"/>
  <c r="E3583" i="8"/>
  <c r="E3551" i="8"/>
  <c r="E3519" i="8"/>
  <c r="E3487" i="8"/>
  <c r="E3455" i="8"/>
  <c r="E3423" i="8"/>
  <c r="E3391" i="8"/>
  <c r="E3359" i="8"/>
  <c r="E3327" i="8"/>
  <c r="E3295" i="8"/>
  <c r="E3263" i="8"/>
  <c r="E3231" i="8"/>
  <c r="E3199" i="8"/>
  <c r="E3167" i="8"/>
  <c r="E3135" i="8"/>
  <c r="E3103" i="8"/>
  <c r="E3071" i="8"/>
  <c r="E3039" i="8"/>
  <c r="E3007" i="8"/>
  <c r="E2975" i="8"/>
  <c r="E2943" i="8"/>
  <c r="E2911" i="8"/>
  <c r="E2879" i="8"/>
  <c r="E2847" i="8"/>
  <c r="E2815" i="8"/>
  <c r="E2783" i="8"/>
  <c r="E2751" i="8"/>
  <c r="E2719" i="8"/>
  <c r="E2687" i="8"/>
  <c r="E2655" i="8"/>
  <c r="E2623" i="8"/>
  <c r="E2591" i="8"/>
  <c r="E2559" i="8"/>
  <c r="E2527" i="8"/>
  <c r="E2495" i="8"/>
  <c r="E2463" i="8"/>
  <c r="E2431" i="8"/>
  <c r="E2399" i="8"/>
  <c r="E2367" i="8"/>
  <c r="E2335" i="8"/>
  <c r="E2303" i="8"/>
  <c r="E2271" i="8"/>
  <c r="E2239" i="8"/>
  <c r="E2207" i="8"/>
  <c r="E2175" i="8"/>
  <c r="E2143" i="8"/>
  <c r="E2111" i="8"/>
  <c r="E2079" i="8"/>
  <c r="E2047" i="8"/>
  <c r="E2015" i="8"/>
  <c r="E1983" i="8"/>
  <c r="E1951" i="8"/>
  <c r="E1919" i="8"/>
  <c r="E1887" i="8"/>
  <c r="E1855" i="8"/>
  <c r="E1823" i="8"/>
  <c r="E1791" i="8"/>
  <c r="E1759" i="8"/>
  <c r="E1727" i="8"/>
  <c r="E1695" i="8"/>
  <c r="E1663" i="8"/>
  <c r="E1631" i="8"/>
  <c r="E1599" i="8"/>
  <c r="E1567" i="8"/>
  <c r="E1535" i="8"/>
  <c r="E2000" i="8"/>
  <c r="E1872" i="8"/>
  <c r="E1744" i="8"/>
  <c r="E1616" i="8"/>
  <c r="E4199" i="8"/>
  <c r="E4135" i="8"/>
  <c r="E3991" i="8"/>
  <c r="E3855" i="8"/>
  <c r="E1511" i="8"/>
  <c r="E3999" i="8"/>
  <c r="E4494" i="8"/>
  <c r="E3871" i="8"/>
  <c r="E4469" i="8"/>
  <c r="E4437" i="8"/>
  <c r="E4405" i="8"/>
  <c r="E4373" i="8"/>
  <c r="E4341" i="8"/>
  <c r="E4309" i="8"/>
  <c r="E4277" i="8"/>
  <c r="E4245" i="8"/>
  <c r="E4213" i="8"/>
  <c r="E4181" i="8"/>
  <c r="E4149" i="8"/>
  <c r="E4117" i="8"/>
  <c r="E4085" i="8"/>
  <c r="E4053" i="8"/>
  <c r="E4021" i="8"/>
  <c r="E3989" i="8"/>
  <c r="E3957" i="8"/>
  <c r="E3925" i="8"/>
  <c r="E3893" i="8"/>
  <c r="E3861" i="8"/>
  <c r="E3829" i="8"/>
  <c r="E3797" i="8"/>
  <c r="E3765" i="8"/>
  <c r="E3733" i="8"/>
  <c r="E3701" i="8"/>
  <c r="E3669" i="8"/>
  <c r="E3637" i="8"/>
  <c r="E3605" i="8"/>
  <c r="E3573" i="8"/>
  <c r="E3541" i="8"/>
  <c r="E3509" i="8"/>
  <c r="E3477" i="8"/>
  <c r="E3445" i="8"/>
  <c r="E3413" i="8"/>
  <c r="E3381" i="8"/>
  <c r="E3349" i="8"/>
  <c r="E3317" i="8"/>
  <c r="E3285" i="8"/>
  <c r="E3253" i="8"/>
  <c r="E3221" i="8"/>
  <c r="E3189" i="8"/>
  <c r="E3157" i="8"/>
  <c r="E3125" i="8"/>
  <c r="E3093" i="8"/>
  <c r="E3061" i="8"/>
  <c r="E3029" i="8"/>
  <c r="E2997" i="8"/>
  <c r="E2965" i="8"/>
  <c r="E2933" i="8"/>
  <c r="E2901" i="8"/>
  <c r="E2869" i="8"/>
  <c r="E2837" i="8"/>
  <c r="E2805" i="8"/>
  <c r="E2773" i="8"/>
  <c r="E2741" i="8"/>
  <c r="E2709" i="8"/>
  <c r="E2677" i="8"/>
  <c r="E2645" i="8"/>
  <c r="E2613" i="8"/>
  <c r="E2581" i="8"/>
  <c r="E2549" i="8"/>
  <c r="E1551" i="8"/>
  <c r="E1503" i="8"/>
  <c r="E4614" i="8"/>
  <c r="E4574" i="8"/>
  <c r="E4486" i="8"/>
  <c r="E4454" i="8"/>
  <c r="E4422" i="8"/>
  <c r="E4390" i="8"/>
  <c r="E4358" i="8"/>
  <c r="E4326" i="8"/>
  <c r="E4294" i="8"/>
  <c r="E4262" i="8"/>
  <c r="E4230" i="8"/>
  <c r="E4198" i="8"/>
  <c r="E4166" i="8"/>
  <c r="E4134" i="8"/>
  <c r="E4102" i="8"/>
  <c r="E4070" i="8"/>
  <c r="E4038" i="8"/>
  <c r="E4006" i="8"/>
  <c r="E3974" i="8"/>
  <c r="E3942" i="8"/>
  <c r="E3910" i="8"/>
  <c r="E3878" i="8"/>
  <c r="E3846" i="8"/>
  <c r="E3814" i="8"/>
  <c r="E3782" i="8"/>
  <c r="E3750" i="8"/>
  <c r="E3718" i="8"/>
  <c r="E3686" i="8"/>
  <c r="E3654" i="8"/>
  <c r="E3622" i="8"/>
  <c r="E3590" i="8"/>
  <c r="E3558" i="8"/>
  <c r="E3526" i="8"/>
  <c r="E3494" i="8"/>
  <c r="E3462" i="8"/>
  <c r="E3430" i="8"/>
  <c r="E3398" i="8"/>
  <c r="E3366" i="8"/>
  <c r="E3334" i="8"/>
  <c r="E3302" i="8"/>
  <c r="E3270" i="8"/>
  <c r="E3238" i="8"/>
  <c r="E3206" i="8"/>
  <c r="E3174" i="8"/>
  <c r="E3142" i="8"/>
  <c r="E3110" i="8"/>
  <c r="E3078" i="8"/>
  <c r="E3046" i="8"/>
  <c r="E3014" i="8"/>
  <c r="E2982" i="8"/>
  <c r="E2950" i="8"/>
  <c r="E2918" i="8"/>
  <c r="E2886" i="8"/>
  <c r="E2854" i="8"/>
  <c r="E2822" i="8"/>
  <c r="E2790" i="8"/>
  <c r="E2758" i="8"/>
  <c r="E2726" i="8"/>
  <c r="E2694" i="8"/>
  <c r="E2662" i="8"/>
  <c r="E2630" i="8"/>
  <c r="E2598" i="8"/>
  <c r="E2566" i="8"/>
  <c r="E2534" i="8"/>
  <c r="E2502" i="8"/>
  <c r="E2470" i="8"/>
  <c r="E2438" i="8"/>
  <c r="E2406" i="8"/>
  <c r="E2374" i="8"/>
  <c r="E2342" i="8"/>
  <c r="E2310" i="8"/>
  <c r="E2278" i="8"/>
  <c r="E2246" i="8"/>
  <c r="E2214" i="8"/>
  <c r="E2182" i="8"/>
  <c r="E2150" i="8"/>
  <c r="E2118" i="8"/>
  <c r="E2086" i="8"/>
  <c r="E2054" i="8"/>
  <c r="E2022" i="8"/>
  <c r="E1990" i="8"/>
  <c r="E1958" i="8"/>
  <c r="E1926" i="8"/>
  <c r="E1894" i="8"/>
  <c r="E1862" i="8"/>
  <c r="E1830" i="8"/>
  <c r="E1798" i="8"/>
  <c r="E1766" i="8"/>
  <c r="E1734" i="8"/>
  <c r="E1702" i="8"/>
  <c r="E1670" i="8"/>
  <c r="E1638" i="8"/>
  <c r="E1606" i="8"/>
  <c r="E1574" i="8"/>
  <c r="E1542" i="8"/>
  <c r="E1510" i="8"/>
  <c r="E1607" i="8"/>
  <c r="E4526" i="8"/>
  <c r="E4493" i="8"/>
  <c r="E4461" i="8"/>
  <c r="E4429" i="8"/>
  <c r="E4397" i="8"/>
  <c r="E4365" i="8"/>
  <c r="E4333" i="8"/>
  <c r="E4301" i="8"/>
  <c r="E4269" i="8"/>
  <c r="E4237" i="8"/>
  <c r="E4205" i="8"/>
  <c r="E4173" i="8"/>
  <c r="E4141" i="8"/>
  <c r="E4109" i="8"/>
  <c r="E4077" i="8"/>
  <c r="E4045" i="8"/>
  <c r="E4013" i="8"/>
  <c r="E3981" i="8"/>
  <c r="E3949" i="8"/>
  <c r="E3917" i="8"/>
  <c r="E3885" i="8"/>
  <c r="E3853" i="8"/>
  <c r="E3821" i="8"/>
  <c r="E3789" i="8"/>
  <c r="E3757" i="8"/>
  <c r="E3725" i="8"/>
  <c r="E3693" i="8"/>
  <c r="E3661" i="8"/>
  <c r="E3629" i="8"/>
  <c r="E3597" i="8"/>
  <c r="E3565" i="8"/>
  <c r="E3533" i="8"/>
  <c r="E3501" i="8"/>
  <c r="E3469" i="8"/>
  <c r="E3437" i="8"/>
  <c r="E3405" i="8"/>
  <c r="E3373" i="8"/>
  <c r="E3341" i="8"/>
  <c r="E3309" i="8"/>
  <c r="E3277" i="8"/>
  <c r="E3245" i="8"/>
  <c r="E3213" i="8"/>
  <c r="E3181" i="8"/>
  <c r="E3149" i="8"/>
  <c r="E3117" i="8"/>
  <c r="E3085" i="8"/>
  <c r="E3053" i="8"/>
  <c r="E3021" i="8"/>
  <c r="E2989" i="8"/>
  <c r="E2957" i="8"/>
  <c r="E2925" i="8"/>
  <c r="E2893" i="8"/>
  <c r="E2861" i="8"/>
  <c r="E1543" i="8"/>
  <c r="E4606" i="8"/>
  <c r="E4518" i="8"/>
  <c r="E4478" i="8"/>
  <c r="E4446" i="8"/>
  <c r="E4414" i="8"/>
  <c r="E4382" i="8"/>
  <c r="E4350" i="8"/>
  <c r="E4318" i="8"/>
  <c r="E4286" i="8"/>
  <c r="E4254" i="8"/>
  <c r="E4222" i="8"/>
  <c r="E4190" i="8"/>
  <c r="E4158" i="8"/>
  <c r="E4126" i="8"/>
  <c r="E4094" i="8"/>
  <c r="E4062" i="8"/>
  <c r="E4030" i="8"/>
  <c r="E3998" i="8"/>
  <c r="E3966" i="8"/>
  <c r="E3934" i="8"/>
  <c r="E3902" i="8"/>
  <c r="E3870" i="8"/>
  <c r="E3838" i="8"/>
  <c r="E3806" i="8"/>
  <c r="E3774" i="8"/>
  <c r="E3742" i="8"/>
  <c r="E3710" i="8"/>
  <c r="E3678" i="8"/>
  <c r="E3646" i="8"/>
  <c r="E3614" i="8"/>
  <c r="E3582" i="8"/>
  <c r="E3550" i="8"/>
  <c r="E3518" i="8"/>
  <c r="E3486" i="8"/>
  <c r="E3454" i="8"/>
  <c r="E3422" i="8"/>
  <c r="E3390" i="8"/>
  <c r="E3358" i="8"/>
  <c r="E3326" i="8"/>
  <c r="E3294" i="8"/>
  <c r="E3262" i="8"/>
  <c r="E3230" i="8"/>
  <c r="E3198" i="8"/>
  <c r="E3166" i="8"/>
  <c r="E3134" i="8"/>
  <c r="E3102" i="8"/>
  <c r="E3070" i="8"/>
  <c r="E3038" i="8"/>
  <c r="E3006" i="8"/>
  <c r="E2974" i="8"/>
  <c r="E2942" i="8"/>
  <c r="E2910" i="8"/>
  <c r="E2878" i="8"/>
  <c r="E2846" i="8"/>
  <c r="E2814" i="8"/>
  <c r="E2782" i="8"/>
  <c r="E2750" i="8"/>
  <c r="E2718" i="8"/>
  <c r="E2686" i="8"/>
  <c r="E2654" i="8"/>
  <c r="E2622" i="8"/>
  <c r="E2590" i="8"/>
  <c r="E2558" i="8"/>
  <c r="E2526" i="8"/>
  <c r="E2494" i="8"/>
  <c r="E2462" i="8"/>
  <c r="E2430" i="8"/>
  <c r="E2398" i="8"/>
  <c r="E2366" i="8"/>
  <c r="E2334" i="8"/>
  <c r="E2302" i="8"/>
  <c r="E2270" i="8"/>
  <c r="E2238" i="8"/>
  <c r="E2206" i="8"/>
  <c r="E2174" i="8"/>
  <c r="E2142" i="8"/>
  <c r="E2110" i="8"/>
  <c r="E2078" i="8"/>
  <c r="E2046" i="8"/>
  <c r="E2014" i="8"/>
  <c r="E1982" i="8"/>
  <c r="E1950" i="8"/>
  <c r="E1918" i="8"/>
  <c r="E1886" i="8"/>
  <c r="E1854" i="8"/>
  <c r="E1822" i="8"/>
  <c r="E1790" i="8"/>
  <c r="E1758" i="8"/>
  <c r="E1726" i="8"/>
  <c r="E1694" i="8"/>
  <c r="E1662" i="8"/>
  <c r="E1630" i="8"/>
  <c r="E1598" i="8"/>
  <c r="E1566" i="8"/>
  <c r="E1534" i="8"/>
  <c r="E1502" i="8"/>
  <c r="E1487" i="8"/>
  <c r="E4558" i="8"/>
  <c r="E4485" i="8"/>
  <c r="E4453" i="8"/>
  <c r="E4421" i="8"/>
  <c r="E4389" i="8"/>
  <c r="E4357" i="8"/>
  <c r="E4325" i="8"/>
  <c r="E4293" i="8"/>
  <c r="E4261" i="8"/>
  <c r="E4229" i="8"/>
  <c r="E4197" i="8"/>
  <c r="E4165" i="8"/>
  <c r="E4133" i="8"/>
  <c r="E4101" i="8"/>
  <c r="E4069" i="8"/>
  <c r="E4037" i="8"/>
  <c r="E4005" i="8"/>
  <c r="E3973" i="8"/>
  <c r="E3941" i="8"/>
  <c r="E3909" i="8"/>
  <c r="E3877" i="8"/>
  <c r="E3845" i="8"/>
  <c r="E3813" i="8"/>
  <c r="E3781" i="8"/>
  <c r="E3749" i="8"/>
  <c r="E3717" i="8"/>
  <c r="E3685" i="8"/>
  <c r="E3653" i="8"/>
  <c r="E3621" i="8"/>
  <c r="E3589" i="8"/>
  <c r="E3557" i="8"/>
  <c r="E3525" i="8"/>
  <c r="E3493" i="8"/>
  <c r="E3461" i="8"/>
  <c r="E3429" i="8"/>
  <c r="E3397" i="8"/>
  <c r="E3365" i="8"/>
  <c r="E3333" i="8"/>
  <c r="E3301" i="8"/>
  <c r="E3269" i="8"/>
  <c r="E3237" i="8"/>
  <c r="E3205" i="8"/>
  <c r="E3173" i="8"/>
  <c r="E3141" i="8"/>
  <c r="E3109" i="8"/>
  <c r="E3077" i="8"/>
  <c r="E3045" i="8"/>
  <c r="E3013" i="8"/>
  <c r="E2981" i="8"/>
  <c r="E2949" i="8"/>
  <c r="E2917" i="8"/>
  <c r="E2885" i="8"/>
  <c r="E2853" i="8"/>
  <c r="E2821" i="8"/>
  <c r="E2789" i="8"/>
  <c r="E2757" i="8"/>
  <c r="E2725" i="8"/>
  <c r="E2693" i="8"/>
  <c r="E2661" i="8"/>
  <c r="E2629" i="8"/>
  <c r="E2597" i="8"/>
  <c r="E2565" i="8"/>
  <c r="E2533" i="8"/>
  <c r="E4550" i="8"/>
  <c r="E4510" i="8"/>
  <c r="E4470" i="8"/>
  <c r="E4438" i="8"/>
  <c r="E4406" i="8"/>
  <c r="E4374" i="8"/>
  <c r="E4342" i="8"/>
  <c r="E4310" i="8"/>
  <c r="E4278" i="8"/>
  <c r="E4246" i="8"/>
  <c r="E4214" i="8"/>
  <c r="E4182" i="8"/>
  <c r="E4150" i="8"/>
  <c r="E4118" i="8"/>
  <c r="E4086" i="8"/>
  <c r="E4054" i="8"/>
  <c r="E4022" i="8"/>
  <c r="E3990" i="8"/>
  <c r="E3958" i="8"/>
  <c r="E3926" i="8"/>
  <c r="E3894" i="8"/>
  <c r="E3862" i="8"/>
  <c r="E3830" i="8"/>
  <c r="E3798" i="8"/>
  <c r="E3766" i="8"/>
  <c r="E3734" i="8"/>
  <c r="E3702" i="8"/>
  <c r="E3670" i="8"/>
  <c r="E3638" i="8"/>
  <c r="E3606" i="8"/>
  <c r="E3574" i="8"/>
  <c r="E3542" i="8"/>
  <c r="E3510" i="8"/>
  <c r="E3478" i="8"/>
  <c r="E3446" i="8"/>
  <c r="E3414" i="8"/>
  <c r="E3382" i="8"/>
  <c r="E3350" i="8"/>
  <c r="E3318" i="8"/>
  <c r="E3286" i="8"/>
  <c r="E3254" i="8"/>
  <c r="E3222" i="8"/>
  <c r="E3190" i="8"/>
  <c r="E3158" i="8"/>
  <c r="E3126" i="8"/>
  <c r="E3094" i="8"/>
  <c r="E3062" i="8"/>
  <c r="E3030" i="8"/>
  <c r="E2998" i="8"/>
  <c r="E2966" i="8"/>
  <c r="E2934" i="8"/>
  <c r="E2902" i="8"/>
  <c r="E2870" i="8"/>
  <c r="E2838" i="8"/>
  <c r="E2806" i="8"/>
  <c r="E2774" i="8"/>
  <c r="E2742" i="8"/>
  <c r="E2710" i="8"/>
  <c r="E2678" i="8"/>
  <c r="E2646" i="8"/>
  <c r="E2614" i="8"/>
  <c r="E2582" i="8"/>
  <c r="E2550" i="8"/>
  <c r="E2518" i="8"/>
  <c r="E2486" i="8"/>
  <c r="E2454" i="8"/>
  <c r="E2422" i="8"/>
  <c r="E2390" i="8"/>
  <c r="E2358" i="8"/>
  <c r="E2326" i="8"/>
  <c r="E2294" i="8"/>
  <c r="E2262" i="8"/>
  <c r="E2230" i="8"/>
  <c r="E2198" i="8"/>
  <c r="E2166" i="8"/>
  <c r="E2134" i="8"/>
  <c r="E2102" i="8"/>
  <c r="E2070" i="8"/>
  <c r="E2038" i="8"/>
  <c r="E2006" i="8"/>
  <c r="E1974" i="8"/>
  <c r="E1942" i="8"/>
  <c r="E1910" i="8"/>
  <c r="E1878" i="8"/>
  <c r="E1846" i="8"/>
  <c r="E1814" i="8"/>
  <c r="E1782" i="8"/>
  <c r="E1750" i="8"/>
  <c r="E1718" i="8"/>
  <c r="E1686" i="8"/>
  <c r="E1654" i="8"/>
  <c r="E1622" i="8"/>
  <c r="E1590" i="8"/>
  <c r="E1558" i="8"/>
  <c r="E1526" i="8"/>
  <c r="E1494" i="8"/>
  <c r="E1639" i="8"/>
  <c r="E1575" i="8"/>
  <c r="E1519" i="8"/>
  <c r="E1479" i="8"/>
  <c r="E4590" i="8"/>
  <c r="E4477" i="8"/>
  <c r="E4445" i="8"/>
  <c r="E4413" i="8"/>
  <c r="E4381" i="8"/>
  <c r="E4349" i="8"/>
  <c r="E4317" i="8"/>
  <c r="E4285" i="8"/>
  <c r="E4253" i="8"/>
  <c r="E4221" i="8"/>
  <c r="E4189" i="8"/>
  <c r="E4157" i="8"/>
  <c r="E4125" i="8"/>
  <c r="E4093" i="8"/>
  <c r="E4061" i="8"/>
  <c r="E4029" i="8"/>
  <c r="E3997" i="8"/>
  <c r="E3965" i="8"/>
  <c r="E3933" i="8"/>
  <c r="E3901" i="8"/>
  <c r="E3869" i="8"/>
  <c r="E3837" i="8"/>
  <c r="E3805" i="8"/>
  <c r="E3773" i="8"/>
  <c r="E3741" i="8"/>
  <c r="E3709" i="8"/>
  <c r="E3677" i="8"/>
  <c r="E3645" i="8"/>
  <c r="E3613" i="8"/>
  <c r="E3581" i="8"/>
  <c r="E3549" i="8"/>
  <c r="E3517" i="8"/>
  <c r="E3485" i="8"/>
  <c r="E4366" i="8"/>
  <c r="E4110" i="8"/>
  <c r="E3854" i="8"/>
  <c r="E3598" i="8"/>
  <c r="E3342" i="8"/>
  <c r="E3086" i="8"/>
  <c r="E2830" i="8"/>
  <c r="E2574" i="8"/>
  <c r="E2318" i="8"/>
  <c r="E2062" i="8"/>
  <c r="E1806" i="8"/>
  <c r="E1550" i="8"/>
  <c r="E2781" i="8"/>
  <c r="E2653" i="8"/>
  <c r="E2525" i="8"/>
  <c r="E2493" i="8"/>
  <c r="E2461" i="8"/>
  <c r="E2429" i="8"/>
  <c r="E2397" i="8"/>
  <c r="E2365" i="8"/>
  <c r="E2333" i="8"/>
  <c r="E2301" i="8"/>
  <c r="E2269" i="8"/>
  <c r="E2237" i="8"/>
  <c r="E2205" i="8"/>
  <c r="E2173" i="8"/>
  <c r="E2141" i="8"/>
  <c r="E2109" i="8"/>
  <c r="E2077" i="8"/>
  <c r="E2045" i="8"/>
  <c r="E2013" i="8"/>
  <c r="E1981" i="8"/>
  <c r="E1949" i="8"/>
  <c r="E1917" i="8"/>
  <c r="E1885" i="8"/>
  <c r="E1853" i="8"/>
  <c r="E1821" i="8"/>
  <c r="E1789" i="8"/>
  <c r="E1757" i="8"/>
  <c r="E1725" i="8"/>
  <c r="E1693" i="8"/>
  <c r="E1661" i="8"/>
  <c r="E1629" i="8"/>
  <c r="E1597" i="8"/>
  <c r="E1565" i="8"/>
  <c r="E1533" i="8"/>
  <c r="E1501" i="8"/>
  <c r="E1469" i="8"/>
  <c r="E1437" i="8"/>
  <c r="E1405" i="8"/>
  <c r="E1373" i="8"/>
  <c r="E1341" i="8"/>
  <c r="E1471" i="8"/>
  <c r="E4334" i="8"/>
  <c r="E4078" i="8"/>
  <c r="E3822" i="8"/>
  <c r="E3566" i="8"/>
  <c r="E3310" i="8"/>
  <c r="E3054" i="8"/>
  <c r="E2798" i="8"/>
  <c r="E2542" i="8"/>
  <c r="E2286" i="8"/>
  <c r="E2030" i="8"/>
  <c r="E1774" i="8"/>
  <c r="E1518" i="8"/>
  <c r="E2733" i="8"/>
  <c r="E2605" i="8"/>
  <c r="E4500" i="8"/>
  <c r="E4468" i="8"/>
  <c r="E4436" i="8"/>
  <c r="E4404" i="8"/>
  <c r="E4372" i="8"/>
  <c r="E4340" i="8"/>
  <c r="E4308" i="8"/>
  <c r="E4276" i="8"/>
  <c r="E4244" i="8"/>
  <c r="E4212" i="8"/>
  <c r="E4180" i="8"/>
  <c r="E4148" i="8"/>
  <c r="E4116" i="8"/>
  <c r="E4084" i="8"/>
  <c r="E4052" i="8"/>
  <c r="E4020" i="8"/>
  <c r="E3988" i="8"/>
  <c r="E3956" i="8"/>
  <c r="E3924" i="8"/>
  <c r="E3892" i="8"/>
  <c r="E3860" i="8"/>
  <c r="E3828" i="8"/>
  <c r="E3796" i="8"/>
  <c r="E3764" i="8"/>
  <c r="E3732" i="8"/>
  <c r="E3700" i="8"/>
  <c r="E3668" i="8"/>
  <c r="E3636" i="8"/>
  <c r="E3604" i="8"/>
  <c r="E3572" i="8"/>
  <c r="E3540" i="8"/>
  <c r="E3508" i="8"/>
  <c r="E3476" i="8"/>
  <c r="E3444" i="8"/>
  <c r="E3412" i="8"/>
  <c r="E3380" i="8"/>
  <c r="E3348" i="8"/>
  <c r="E3316" i="8"/>
  <c r="E3284" i="8"/>
  <c r="E3252" i="8"/>
  <c r="E3220" i="8"/>
  <c r="E3188" i="8"/>
  <c r="E3156" i="8"/>
  <c r="E3124" i="8"/>
  <c r="E3092" i="8"/>
  <c r="E3060" i="8"/>
  <c r="E3028" i="8"/>
  <c r="E2996" i="8"/>
  <c r="E2964" i="8"/>
  <c r="E2932" i="8"/>
  <c r="E2900" i="8"/>
  <c r="E2868" i="8"/>
  <c r="E2836" i="8"/>
  <c r="E2804" i="8"/>
  <c r="E2772" i="8"/>
  <c r="E2740" i="8"/>
  <c r="E2708" i="8"/>
  <c r="E2676" i="8"/>
  <c r="E2644" i="8"/>
  <c r="E2612" i="8"/>
  <c r="E2580" i="8"/>
  <c r="E2548" i="8"/>
  <c r="E2516" i="8"/>
  <c r="E2484" i="8"/>
  <c r="E2452" i="8"/>
  <c r="E2420" i="8"/>
  <c r="E4582" i="8"/>
  <c r="E4302" i="8"/>
  <c r="E4046" i="8"/>
  <c r="E3790" i="8"/>
  <c r="E3534" i="8"/>
  <c r="E3278" i="8"/>
  <c r="E3022" i="8"/>
  <c r="E2766" i="8"/>
  <c r="E2510" i="8"/>
  <c r="E2254" i="8"/>
  <c r="E1998" i="8"/>
  <c r="E1742" i="8"/>
  <c r="E1486" i="8"/>
  <c r="E2813" i="8"/>
  <c r="E2685" i="8"/>
  <c r="E2557" i="8"/>
  <c r="E2517" i="8"/>
  <c r="E2485" i="8"/>
  <c r="E2453" i="8"/>
  <c r="E2421" i="8"/>
  <c r="E2389" i="8"/>
  <c r="E2357" i="8"/>
  <c r="E2325" i="8"/>
  <c r="E2293" i="8"/>
  <c r="E2261" i="8"/>
  <c r="E2229" i="8"/>
  <c r="E2197" i="8"/>
  <c r="E2165" i="8"/>
  <c r="E2133" i="8"/>
  <c r="E2101" i="8"/>
  <c r="E2069" i="8"/>
  <c r="E2037" i="8"/>
  <c r="E2005" i="8"/>
  <c r="E1973" i="8"/>
  <c r="E1941" i="8"/>
  <c r="E1909" i="8"/>
  <c r="E1877" i="8"/>
  <c r="E1845" i="8"/>
  <c r="E1813" i="8"/>
  <c r="E1781" i="8"/>
  <c r="E1749" i="8"/>
  <c r="E1717" i="8"/>
  <c r="E1685" i="8"/>
  <c r="E1653" i="8"/>
  <c r="E1621" i="8"/>
  <c r="E1589" i="8"/>
  <c r="E1557" i="8"/>
  <c r="E1525" i="8"/>
  <c r="E1493" i="8"/>
  <c r="E1461" i="8"/>
  <c r="E1429" i="8"/>
  <c r="E1397" i="8"/>
  <c r="E1365" i="8"/>
  <c r="E1333" i="8"/>
  <c r="E4542" i="8"/>
  <c r="E4270" i="8"/>
  <c r="E4014" i="8"/>
  <c r="E3758" i="8"/>
  <c r="E3502" i="8"/>
  <c r="E3246" i="8"/>
  <c r="E2990" i="8"/>
  <c r="E2734" i="8"/>
  <c r="E2478" i="8"/>
  <c r="E2222" i="8"/>
  <c r="E1966" i="8"/>
  <c r="E1710" i="8"/>
  <c r="E3421" i="8"/>
  <c r="E3357" i="8"/>
  <c r="E3293" i="8"/>
  <c r="E3229" i="8"/>
  <c r="E3165" i="8"/>
  <c r="E3101" i="8"/>
  <c r="E3037" i="8"/>
  <c r="E2973" i="8"/>
  <c r="E2909" i="8"/>
  <c r="E2765" i="8"/>
  <c r="E2637" i="8"/>
  <c r="E4492" i="8"/>
  <c r="E4460" i="8"/>
  <c r="E4428" i="8"/>
  <c r="E4396" i="8"/>
  <c r="E4364" i="8"/>
  <c r="E4332" i="8"/>
  <c r="E4300" i="8"/>
  <c r="E4268" i="8"/>
  <c r="E4236" i="8"/>
  <c r="E4204" i="8"/>
  <c r="E4172" i="8"/>
  <c r="E4140" i="8"/>
  <c r="E4108" i="8"/>
  <c r="E4076" i="8"/>
  <c r="E4044" i="8"/>
  <c r="E4012" i="8"/>
  <c r="E3980" i="8"/>
  <c r="E3948" i="8"/>
  <c r="E3916" i="8"/>
  <c r="E3884" i="8"/>
  <c r="E3852" i="8"/>
  <c r="E3820" i="8"/>
  <c r="E3788" i="8"/>
  <c r="E3756" i="8"/>
  <c r="E3724" i="8"/>
  <c r="E3692" i="8"/>
  <c r="E3660" i="8"/>
  <c r="E3628" i="8"/>
  <c r="E3596" i="8"/>
  <c r="E3564" i="8"/>
  <c r="E3532" i="8"/>
  <c r="E3500" i="8"/>
  <c r="E3468" i="8"/>
  <c r="E3436" i="8"/>
  <c r="E3404" i="8"/>
  <c r="E3372" i="8"/>
  <c r="E3340" i="8"/>
  <c r="E3308" i="8"/>
  <c r="E3276" i="8"/>
  <c r="E3244" i="8"/>
  <c r="E3212" i="8"/>
  <c r="E3180" i="8"/>
  <c r="E3148" i="8"/>
  <c r="E3116" i="8"/>
  <c r="E3084" i="8"/>
  <c r="E3052" i="8"/>
  <c r="E3020" i="8"/>
  <c r="E2988" i="8"/>
  <c r="E2956" i="8"/>
  <c r="E2924" i="8"/>
  <c r="E2892" i="8"/>
  <c r="E2860" i="8"/>
  <c r="E2828" i="8"/>
  <c r="E2796" i="8"/>
  <c r="E2764" i="8"/>
  <c r="E2732" i="8"/>
  <c r="E2700" i="8"/>
  <c r="E2668" i="8"/>
  <c r="E2636" i="8"/>
  <c r="E2604" i="8"/>
  <c r="E2572" i="8"/>
  <c r="E2540" i="8"/>
  <c r="E2508" i="8"/>
  <c r="E4238" i="8"/>
  <c r="E3982" i="8"/>
  <c r="E3726" i="8"/>
  <c r="E3470" i="8"/>
  <c r="E3214" i="8"/>
  <c r="E2958" i="8"/>
  <c r="E2702" i="8"/>
  <c r="E2446" i="8"/>
  <c r="E2190" i="8"/>
  <c r="E1934" i="8"/>
  <c r="E1678" i="8"/>
  <c r="E2845" i="8"/>
  <c r="E2717" i="8"/>
  <c r="E2589" i="8"/>
  <c r="E2509" i="8"/>
  <c r="E2477" i="8"/>
  <c r="E2445" i="8"/>
  <c r="E2413" i="8"/>
  <c r="E2381" i="8"/>
  <c r="E2349" i="8"/>
  <c r="E2317" i="8"/>
  <c r="E2285" i="8"/>
  <c r="E2253" i="8"/>
  <c r="E2221" i="8"/>
  <c r="E2189" i="8"/>
  <c r="E2157" i="8"/>
  <c r="E2125" i="8"/>
  <c r="E2093" i="8"/>
  <c r="E2061" i="8"/>
  <c r="E2029" i="8"/>
  <c r="E1997" i="8"/>
  <c r="E1965" i="8"/>
  <c r="E1933" i="8"/>
  <c r="E1901" i="8"/>
  <c r="E1869" i="8"/>
  <c r="E1837" i="8"/>
  <c r="E1805" i="8"/>
  <c r="E1773" i="8"/>
  <c r="E1741" i="8"/>
  <c r="E1709" i="8"/>
  <c r="E1677" i="8"/>
  <c r="E1645" i="8"/>
  <c r="E1613" i="8"/>
  <c r="E1581" i="8"/>
  <c r="E1549" i="8"/>
  <c r="E1517" i="8"/>
  <c r="E1485" i="8"/>
  <c r="E1453" i="8"/>
  <c r="E1421" i="8"/>
  <c r="E1389" i="8"/>
  <c r="E1357" i="8"/>
  <c r="E1325" i="8"/>
  <c r="E4639" i="8"/>
  <c r="E4462" i="8"/>
  <c r="E4206" i="8"/>
  <c r="E3950" i="8"/>
  <c r="E3694" i="8"/>
  <c r="E3438" i="8"/>
  <c r="E3182" i="8"/>
  <c r="E2926" i="8"/>
  <c r="E2670" i="8"/>
  <c r="E2414" i="8"/>
  <c r="E2158" i="8"/>
  <c r="E1902" i="8"/>
  <c r="E1646" i="8"/>
  <c r="E2797" i="8"/>
  <c r="E2669" i="8"/>
  <c r="E2541" i="8"/>
  <c r="E3743" i="8"/>
  <c r="E4484" i="8"/>
  <c r="E4452" i="8"/>
  <c r="E4420" i="8"/>
  <c r="E4388" i="8"/>
  <c r="E4356" i="8"/>
  <c r="E4324" i="8"/>
  <c r="E4292" i="8"/>
  <c r="E4260" i="8"/>
  <c r="E4228" i="8"/>
  <c r="E4196" i="8"/>
  <c r="E4164" i="8"/>
  <c r="E4132" i="8"/>
  <c r="E4100" i="8"/>
  <c r="E4068" i="8"/>
  <c r="E4036" i="8"/>
  <c r="E4004" i="8"/>
  <c r="E3972" i="8"/>
  <c r="E3940" i="8"/>
  <c r="E3908" i="8"/>
  <c r="E3876" i="8"/>
  <c r="E3844" i="8"/>
  <c r="E3812" i="8"/>
  <c r="E3780" i="8"/>
  <c r="E3748" i="8"/>
  <c r="E3716" i="8"/>
  <c r="E3684" i="8"/>
  <c r="E3652" i="8"/>
  <c r="E3620" i="8"/>
  <c r="E3588" i="8"/>
  <c r="E3556" i="8"/>
  <c r="E3524" i="8"/>
  <c r="E3492" i="8"/>
  <c r="E3460" i="8"/>
  <c r="E3428" i="8"/>
  <c r="E3396" i="8"/>
  <c r="E3364" i="8"/>
  <c r="E3332" i="8"/>
  <c r="E3300" i="8"/>
  <c r="E3268" i="8"/>
  <c r="E3236" i="8"/>
  <c r="E3204" i="8"/>
  <c r="E3172" i="8"/>
  <c r="E3140" i="8"/>
  <c r="E3108" i="8"/>
  <c r="E3076" i="8"/>
  <c r="E3044" i="8"/>
  <c r="E3012" i="8"/>
  <c r="E2980" i="8"/>
  <c r="E2948" i="8"/>
  <c r="E2916" i="8"/>
  <c r="E2884" i="8"/>
  <c r="E2852" i="8"/>
  <c r="E2820" i="8"/>
  <c r="E2788" i="8"/>
  <c r="E2756" i="8"/>
  <c r="E2724" i="8"/>
  <c r="E2692" i="8"/>
  <c r="E2660" i="8"/>
  <c r="E2628" i="8"/>
  <c r="E2596" i="8"/>
  <c r="E2564" i="8"/>
  <c r="E2532" i="8"/>
  <c r="E2500" i="8"/>
  <c r="E2468" i="8"/>
  <c r="E2436" i="8"/>
  <c r="E2404" i="8"/>
  <c r="E2372" i="8"/>
  <c r="E2340" i="8"/>
  <c r="E4430" i="8"/>
  <c r="E4174" i="8"/>
  <c r="E3918" i="8"/>
  <c r="E3662" i="8"/>
  <c r="E3406" i="8"/>
  <c r="E3150" i="8"/>
  <c r="E2894" i="8"/>
  <c r="E2638" i="8"/>
  <c r="E2382" i="8"/>
  <c r="E2126" i="8"/>
  <c r="E1870" i="8"/>
  <c r="E1614" i="8"/>
  <c r="E2749" i="8"/>
  <c r="E2621" i="8"/>
  <c r="E2501" i="8"/>
  <c r="E2469" i="8"/>
  <c r="E2437" i="8"/>
  <c r="E2405" i="8"/>
  <c r="E2373" i="8"/>
  <c r="E2341" i="8"/>
  <c r="E2309" i="8"/>
  <c r="E2277" i="8"/>
  <c r="E2245" i="8"/>
  <c r="E2213" i="8"/>
  <c r="E2181" i="8"/>
  <c r="E2149" i="8"/>
  <c r="E2117" i="8"/>
  <c r="E2085" i="8"/>
  <c r="E2053" i="8"/>
  <c r="E2021" i="8"/>
  <c r="E1989" i="8"/>
  <c r="E1957" i="8"/>
  <c r="E1925" i="8"/>
  <c r="E1893" i="8"/>
  <c r="E1861" i="8"/>
  <c r="E1829" i="8"/>
  <c r="E1797" i="8"/>
  <c r="E1765" i="8"/>
  <c r="E1733" i="8"/>
  <c r="E1701" i="8"/>
  <c r="E1669" i="8"/>
  <c r="E1637" i="8"/>
  <c r="E1605" i="8"/>
  <c r="E1573" i="8"/>
  <c r="E1541" i="8"/>
  <c r="E1509" i="8"/>
  <c r="E1477" i="8"/>
  <c r="E1445" i="8"/>
  <c r="E1413" i="8"/>
  <c r="E1381" i="8"/>
  <c r="E1349" i="8"/>
  <c r="E4398" i="8"/>
  <c r="E4142" i="8"/>
  <c r="E3886" i="8"/>
  <c r="E3630" i="8"/>
  <c r="E3374" i="8"/>
  <c r="E3118" i="8"/>
  <c r="E2862" i="8"/>
  <c r="E2606" i="8"/>
  <c r="E2350" i="8"/>
  <c r="E2094" i="8"/>
  <c r="E1838" i="8"/>
  <c r="E1582" i="8"/>
  <c r="E3453" i="8"/>
  <c r="E3389" i="8"/>
  <c r="E3325" i="8"/>
  <c r="E3261" i="8"/>
  <c r="E3197" i="8"/>
  <c r="E3133" i="8"/>
  <c r="E3069" i="8"/>
  <c r="E3005" i="8"/>
  <c r="E2941" i="8"/>
  <c r="E4380" i="8"/>
  <c r="E4124" i="8"/>
  <c r="E3868" i="8"/>
  <c r="E3612" i="8"/>
  <c r="E3356" i="8"/>
  <c r="E3100" i="8"/>
  <c r="E2844" i="8"/>
  <c r="E2588" i="8"/>
  <c r="E2412" i="8"/>
  <c r="E2348" i="8"/>
  <c r="E2292" i="8"/>
  <c r="E2252" i="8"/>
  <c r="E2164" i="8"/>
  <c r="E2124" i="8"/>
  <c r="E2036" i="8"/>
  <c r="E1996" i="8"/>
  <c r="E1908" i="8"/>
  <c r="E1868" i="8"/>
  <c r="E1780" i="8"/>
  <c r="E1740" i="8"/>
  <c r="E1652" i="8"/>
  <c r="E1612" i="8"/>
  <c r="E4539" i="8"/>
  <c r="E4499" i="8"/>
  <c r="E4467" i="8"/>
  <c r="E4435" i="8"/>
  <c r="E4403" i="8"/>
  <c r="E4371" i="8"/>
  <c r="E4339" i="8"/>
  <c r="E4307" i="8"/>
  <c r="E4275" i="8"/>
  <c r="E4243" i="8"/>
  <c r="E4211" i="8"/>
  <c r="E4179" i="8"/>
  <c r="E4147" i="8"/>
  <c r="E4115" i="8"/>
  <c r="E4083" i="8"/>
  <c r="E4051" i="8"/>
  <c r="E4019" i="8"/>
  <c r="E3987" i="8"/>
  <c r="E3955" i="8"/>
  <c r="E3923" i="8"/>
  <c r="E3891" i="8"/>
  <c r="E3859" i="8"/>
  <c r="E3827" i="8"/>
  <c r="E3795" i="8"/>
  <c r="E3763" i="8"/>
  <c r="E3731" i="8"/>
  <c r="E3699" i="8"/>
  <c r="E3667" i="8"/>
  <c r="E3635" i="8"/>
  <c r="E3603" i="8"/>
  <c r="E3571" i="8"/>
  <c r="E3539" i="8"/>
  <c r="E3507" i="8"/>
  <c r="E3475" i="8"/>
  <c r="E3443" i="8"/>
  <c r="E3411" i="8"/>
  <c r="E3379" i="8"/>
  <c r="E3339" i="8"/>
  <c r="E3307" i="8"/>
  <c r="E3275" i="8"/>
  <c r="E3243" i="8"/>
  <c r="E3211" i="8"/>
  <c r="E3179" i="8"/>
  <c r="E3147" i="8"/>
  <c r="E3115" i="8"/>
  <c r="E3083" i="8"/>
  <c r="E3051" i="8"/>
  <c r="E3019" i="8"/>
  <c r="E2987" i="8"/>
  <c r="E2955" i="8"/>
  <c r="E2923" i="8"/>
  <c r="E2891" i="8"/>
  <c r="E2859" i="8"/>
  <c r="E2827" i="8"/>
  <c r="E2795" i="8"/>
  <c r="E2763" i="8"/>
  <c r="E2731" i="8"/>
  <c r="E2699" i="8"/>
  <c r="E2667" i="8"/>
  <c r="E2635" i="8"/>
  <c r="E2603" i="8"/>
  <c r="E2571" i="8"/>
  <c r="E2539" i="8"/>
  <c r="E2507" i="8"/>
  <c r="E4348" i="8"/>
  <c r="E4092" i="8"/>
  <c r="E3836" i="8"/>
  <c r="E3580" i="8"/>
  <c r="E3324" i="8"/>
  <c r="E3068" i="8"/>
  <c r="E2812" i="8"/>
  <c r="E2556" i="8"/>
  <c r="E2396" i="8"/>
  <c r="E2332" i="8"/>
  <c r="E2244" i="8"/>
  <c r="E2204" i="8"/>
  <c r="E2116" i="8"/>
  <c r="E2076" i="8"/>
  <c r="E1988" i="8"/>
  <c r="E1948" i="8"/>
  <c r="E1860" i="8"/>
  <c r="E1820" i="8"/>
  <c r="E1732" i="8"/>
  <c r="E1692" i="8"/>
  <c r="E1604" i="8"/>
  <c r="E1564" i="8"/>
  <c r="E2701" i="8"/>
  <c r="E4316" i="8"/>
  <c r="E4060" i="8"/>
  <c r="E3804" i="8"/>
  <c r="E3548" i="8"/>
  <c r="E3292" i="8"/>
  <c r="E3036" i="8"/>
  <c r="E2780" i="8"/>
  <c r="E2524" i="8"/>
  <c r="E2388" i="8"/>
  <c r="E2324" i="8"/>
  <c r="E2284" i="8"/>
  <c r="E2196" i="8"/>
  <c r="E2156" i="8"/>
  <c r="E2068" i="8"/>
  <c r="E2028" i="8"/>
  <c r="E1940" i="8"/>
  <c r="E1900" i="8"/>
  <c r="E1812" i="8"/>
  <c r="E1772" i="8"/>
  <c r="E1684" i="8"/>
  <c r="E1644" i="8"/>
  <c r="E1556" i="8"/>
  <c r="E4531" i="8"/>
  <c r="E4491" i="8"/>
  <c r="E4459" i="8"/>
  <c r="E4427" i="8"/>
  <c r="E4395" i="8"/>
  <c r="E4363" i="8"/>
  <c r="E4331" i="8"/>
  <c r="E4299" i="8"/>
  <c r="E4267" i="8"/>
  <c r="E4235" i="8"/>
  <c r="E4203" i="8"/>
  <c r="E4171" i="8"/>
  <c r="E4139" i="8"/>
  <c r="E4107" i="8"/>
  <c r="E4075" i="8"/>
  <c r="E4043" i="8"/>
  <c r="E4011" i="8"/>
  <c r="E3979" i="8"/>
  <c r="E3947" i="8"/>
  <c r="E3915" i="8"/>
  <c r="E3883" i="8"/>
  <c r="E3851" i="8"/>
  <c r="E3819" i="8"/>
  <c r="E3787" i="8"/>
  <c r="E3755" i="8"/>
  <c r="E3723" i="8"/>
  <c r="E3691" i="8"/>
  <c r="E3659" i="8"/>
  <c r="E3627" i="8"/>
  <c r="E3595" i="8"/>
  <c r="E3563" i="8"/>
  <c r="E3531" i="8"/>
  <c r="E3499" i="8"/>
  <c r="E3467" i="8"/>
  <c r="E3435" i="8"/>
  <c r="E3403" i="8"/>
  <c r="E3371" i="8"/>
  <c r="E3331" i="8"/>
  <c r="E3299" i="8"/>
  <c r="E3267" i="8"/>
  <c r="E3235" i="8"/>
  <c r="E3203" i="8"/>
  <c r="E3171" i="8"/>
  <c r="E3139" i="8"/>
  <c r="E3107" i="8"/>
  <c r="E3075" i="8"/>
  <c r="E3043" i="8"/>
  <c r="E3011" i="8"/>
  <c r="E2979" i="8"/>
  <c r="E2947" i="8"/>
  <c r="E2915" i="8"/>
  <c r="E2883" i="8"/>
  <c r="E2851" i="8"/>
  <c r="E2819" i="8"/>
  <c r="E2787" i="8"/>
  <c r="E2755" i="8"/>
  <c r="E2723" i="8"/>
  <c r="E2691" i="8"/>
  <c r="E2659" i="8"/>
  <c r="E2627" i="8"/>
  <c r="E2595" i="8"/>
  <c r="E2563" i="8"/>
  <c r="E2531" i="8"/>
  <c r="E2499" i="8"/>
  <c r="E2467" i="8"/>
  <c r="E2435" i="8"/>
  <c r="E4284" i="8"/>
  <c r="E4028" i="8"/>
  <c r="E3772" i="8"/>
  <c r="E3516" i="8"/>
  <c r="E3260" i="8"/>
  <c r="E3004" i="8"/>
  <c r="E2748" i="8"/>
  <c r="E2492" i="8"/>
  <c r="E2276" i="8"/>
  <c r="E2236" i="8"/>
  <c r="E2148" i="8"/>
  <c r="E2108" i="8"/>
  <c r="E2020" i="8"/>
  <c r="E1980" i="8"/>
  <c r="E1892" i="8"/>
  <c r="E1852" i="8"/>
  <c r="E1764" i="8"/>
  <c r="E1724" i="8"/>
  <c r="E1636" i="8"/>
  <c r="E1596" i="8"/>
  <c r="E4523" i="8"/>
  <c r="E4508" i="8"/>
  <c r="E4252" i="8"/>
  <c r="E3996" i="8"/>
  <c r="E3740" i="8"/>
  <c r="E3484" i="8"/>
  <c r="E3228" i="8"/>
  <c r="E2972" i="8"/>
  <c r="E2716" i="8"/>
  <c r="E2476" i="8"/>
  <c r="E2380" i="8"/>
  <c r="E2316" i="8"/>
  <c r="E2228" i="8"/>
  <c r="E2188" i="8"/>
  <c r="E2100" i="8"/>
  <c r="E2060" i="8"/>
  <c r="E1972" i="8"/>
  <c r="E1932" i="8"/>
  <c r="E1844" i="8"/>
  <c r="E1804" i="8"/>
  <c r="E1716" i="8"/>
  <c r="E1676" i="8"/>
  <c r="E1588" i="8"/>
  <c r="E1548" i="8"/>
  <c r="E4483" i="8"/>
  <c r="E4451" i="8"/>
  <c r="E4419" i="8"/>
  <c r="E4387" i="8"/>
  <c r="E4355" i="8"/>
  <c r="E4323" i="8"/>
  <c r="E4291" i="8"/>
  <c r="E4259" i="8"/>
  <c r="E4227" i="8"/>
  <c r="E4195" i="8"/>
  <c r="E4163" i="8"/>
  <c r="E4131" i="8"/>
  <c r="E4099" i="8"/>
  <c r="E4067" i="8"/>
  <c r="E4035" i="8"/>
  <c r="E4003" i="8"/>
  <c r="E3971" i="8"/>
  <c r="E3939" i="8"/>
  <c r="E3907" i="8"/>
  <c r="E3875" i="8"/>
  <c r="E3843" i="8"/>
  <c r="E3811" i="8"/>
  <c r="E3779" i="8"/>
  <c r="E3747" i="8"/>
  <c r="E3715" i="8"/>
  <c r="E3683" i="8"/>
  <c r="E3651" i="8"/>
  <c r="E3619" i="8"/>
  <c r="E3587" i="8"/>
  <c r="E3555" i="8"/>
  <c r="E3523" i="8"/>
  <c r="E3491" i="8"/>
  <c r="E3459" i="8"/>
  <c r="E3427" i="8"/>
  <c r="E3395" i="8"/>
  <c r="E3363" i="8"/>
  <c r="E3323" i="8"/>
  <c r="E3291" i="8"/>
  <c r="E3259" i="8"/>
  <c r="E3227" i="8"/>
  <c r="E3195" i="8"/>
  <c r="E3163" i="8"/>
  <c r="E3131" i="8"/>
  <c r="E3099" i="8"/>
  <c r="E3067" i="8"/>
  <c r="E3035" i="8"/>
  <c r="E3003" i="8"/>
  <c r="E2971" i="8"/>
  <c r="E2939" i="8"/>
  <c r="E2907" i="8"/>
  <c r="E2875" i="8"/>
  <c r="E2843" i="8"/>
  <c r="E2811" i="8"/>
  <c r="E2779" i="8"/>
  <c r="E2747" i="8"/>
  <c r="E2715" i="8"/>
  <c r="E2683" i="8"/>
  <c r="E2651" i="8"/>
  <c r="E2619" i="8"/>
  <c r="E2587" i="8"/>
  <c r="E2555" i="8"/>
  <c r="E2523" i="8"/>
  <c r="E2573" i="8"/>
  <c r="E4476" i="8"/>
  <c r="E4220" i="8"/>
  <c r="E3964" i="8"/>
  <c r="E3708" i="8"/>
  <c r="E3452" i="8"/>
  <c r="E3196" i="8"/>
  <c r="E2940" i="8"/>
  <c r="E2684" i="8"/>
  <c r="E2460" i="8"/>
  <c r="E2364" i="8"/>
  <c r="E2308" i="8"/>
  <c r="E2268" i="8"/>
  <c r="E2180" i="8"/>
  <c r="E2140" i="8"/>
  <c r="E2052" i="8"/>
  <c r="E2012" i="8"/>
  <c r="E1924" i="8"/>
  <c r="E1884" i="8"/>
  <c r="E1796" i="8"/>
  <c r="E1756" i="8"/>
  <c r="E1668" i="8"/>
  <c r="E1628" i="8"/>
  <c r="E3609" i="8"/>
  <c r="E4515" i="8"/>
  <c r="E2877" i="8"/>
  <c r="E4444" i="8"/>
  <c r="E4188" i="8"/>
  <c r="E3932" i="8"/>
  <c r="E3676" i="8"/>
  <c r="E3420" i="8"/>
  <c r="E3164" i="8"/>
  <c r="E2908" i="8"/>
  <c r="E2652" i="8"/>
  <c r="E2444" i="8"/>
  <c r="E2356" i="8"/>
  <c r="E2260" i="8"/>
  <c r="E2220" i="8"/>
  <c r="E2132" i="8"/>
  <c r="E2092" i="8"/>
  <c r="E2004" i="8"/>
  <c r="E1964" i="8"/>
  <c r="E1876" i="8"/>
  <c r="E1836" i="8"/>
  <c r="E1748" i="8"/>
  <c r="E1708" i="8"/>
  <c r="E1620" i="8"/>
  <c r="E1580" i="8"/>
  <c r="E4507" i="8"/>
  <c r="E4475" i="8"/>
  <c r="E4443" i="8"/>
  <c r="E4411" i="8"/>
  <c r="E4379" i="8"/>
  <c r="E4347" i="8"/>
  <c r="E4315" i="8"/>
  <c r="E4283" i="8"/>
  <c r="E4251" i="8"/>
  <c r="E4219" i="8"/>
  <c r="E4187" i="8"/>
  <c r="E4155" i="8"/>
  <c r="E4123" i="8"/>
  <c r="E4091" i="8"/>
  <c r="E4059" i="8"/>
  <c r="E4027" i="8"/>
  <c r="E3995" i="8"/>
  <c r="E3963" i="8"/>
  <c r="E3931" i="8"/>
  <c r="E3899" i="8"/>
  <c r="E3867" i="8"/>
  <c r="E3835" i="8"/>
  <c r="E3803" i="8"/>
  <c r="E3771" i="8"/>
  <c r="E3739" i="8"/>
  <c r="E3707" i="8"/>
  <c r="E3675" i="8"/>
  <c r="E3643" i="8"/>
  <c r="E3611" i="8"/>
  <c r="E3579" i="8"/>
  <c r="E3547" i="8"/>
  <c r="E3515" i="8"/>
  <c r="E3483" i="8"/>
  <c r="E3451" i="8"/>
  <c r="E3419" i="8"/>
  <c r="E3387" i="8"/>
  <c r="E3347" i="8"/>
  <c r="E3315" i="8"/>
  <c r="E3283" i="8"/>
  <c r="E3251" i="8"/>
  <c r="E3219" i="8"/>
  <c r="E3187" i="8"/>
  <c r="E3155" i="8"/>
  <c r="E3123" i="8"/>
  <c r="E3091" i="8"/>
  <c r="E3059" i="8"/>
  <c r="E3027" i="8"/>
  <c r="E2995" i="8"/>
  <c r="E2963" i="8"/>
  <c r="E2931" i="8"/>
  <c r="E2899" i="8"/>
  <c r="E2867" i="8"/>
  <c r="E2835" i="8"/>
  <c r="E2803" i="8"/>
  <c r="E2771" i="8"/>
  <c r="E2739" i="8"/>
  <c r="E2707" i="8"/>
  <c r="E2675" i="8"/>
  <c r="E2643" i="8"/>
  <c r="E2611" i="8"/>
  <c r="E2579" i="8"/>
  <c r="E2547" i="8"/>
  <c r="E2515" i="8"/>
  <c r="E2483" i="8"/>
  <c r="E2451" i="8"/>
  <c r="E2419" i="8"/>
  <c r="E2829" i="8"/>
  <c r="E4412" i="8"/>
  <c r="E4156" i="8"/>
  <c r="E3900" i="8"/>
  <c r="E3644" i="8"/>
  <c r="E3388" i="8"/>
  <c r="E3132" i="8"/>
  <c r="E2876" i="8"/>
  <c r="E2620" i="8"/>
  <c r="E2428" i="8"/>
  <c r="E2300" i="8"/>
  <c r="E2212" i="8"/>
  <c r="E2172" i="8"/>
  <c r="E2084" i="8"/>
  <c r="E2044" i="8"/>
  <c r="E1956" i="8"/>
  <c r="E1916" i="8"/>
  <c r="E1828" i="8"/>
  <c r="E1788" i="8"/>
  <c r="E1700" i="8"/>
  <c r="E1660" i="8"/>
  <c r="E1572" i="8"/>
  <c r="E4547" i="8"/>
  <c r="E2491" i="8"/>
  <c r="E2443" i="8"/>
  <c r="E2403" i="8"/>
  <c r="E2371" i="8"/>
  <c r="E2339" i="8"/>
  <c r="E2307" i="8"/>
  <c r="E2275" i="8"/>
  <c r="E2243" i="8"/>
  <c r="E2211" i="8"/>
  <c r="E2179" i="8"/>
  <c r="E2147" i="8"/>
  <c r="E2115" i="8"/>
  <c r="E2083" i="8"/>
  <c r="E2051" i="8"/>
  <c r="E2019" i="8"/>
  <c r="E1987" i="8"/>
  <c r="E1955" i="8"/>
  <c r="E1923" i="8"/>
  <c r="E1891" i="8"/>
  <c r="E1859" i="8"/>
  <c r="E1827" i="8"/>
  <c r="E1795" i="8"/>
  <c r="E1763" i="8"/>
  <c r="E1731" i="8"/>
  <c r="E1699" i="8"/>
  <c r="E1667" i="8"/>
  <c r="E1635" i="8"/>
  <c r="E1603" i="8"/>
  <c r="E1571" i="8"/>
  <c r="E1313" i="8"/>
  <c r="E1281" i="8"/>
  <c r="E1249" i="8"/>
  <c r="E1217" i="8"/>
  <c r="E1185" i="8"/>
  <c r="E1153" i="8"/>
  <c r="E1121" i="8"/>
  <c r="E1089" i="8"/>
  <c r="E1057" i="8"/>
  <c r="E1025" i="8"/>
  <c r="E993" i="8"/>
  <c r="E961" i="8"/>
  <c r="E929" i="8"/>
  <c r="E897" i="8"/>
  <c r="E865" i="8"/>
  <c r="E833" i="8"/>
  <c r="E801" i="8"/>
  <c r="E769" i="8"/>
  <c r="E737" i="8"/>
  <c r="E705" i="8"/>
  <c r="E673" i="8"/>
  <c r="E641" i="8"/>
  <c r="E609" i="8"/>
  <c r="E577" i="8"/>
  <c r="E545" i="8"/>
  <c r="E513" i="8"/>
  <c r="E481" i="8"/>
  <c r="E449" i="8"/>
  <c r="E417" i="8"/>
  <c r="E385" i="8"/>
  <c r="E353" i="8"/>
  <c r="E321" i="8"/>
  <c r="E289" i="8"/>
  <c r="E257" i="8"/>
  <c r="E225" i="8"/>
  <c r="E193" i="8"/>
  <c r="E161" i="8"/>
  <c r="E129" i="8"/>
  <c r="E97" i="8"/>
  <c r="E65" i="8"/>
  <c r="E33" i="8"/>
  <c r="E1520" i="8"/>
  <c r="E1488" i="8"/>
  <c r="E1456" i="8"/>
  <c r="E1424" i="8"/>
  <c r="E1392" i="8"/>
  <c r="E1360" i="8"/>
  <c r="E1328" i="8"/>
  <c r="E1296" i="8"/>
  <c r="E1264" i="8"/>
  <c r="E1232" i="8"/>
  <c r="E1200" i="8"/>
  <c r="E1168" i="8"/>
  <c r="E1136" i="8"/>
  <c r="E1104" i="8"/>
  <c r="E1072" i="8"/>
  <c r="E1040" i="8"/>
  <c r="E1008" i="8"/>
  <c r="E976" i="8"/>
  <c r="E944" i="8"/>
  <c r="E912" i="8"/>
  <c r="E880" i="8"/>
  <c r="E848" i="8"/>
  <c r="E816" i="8"/>
  <c r="E784" i="8"/>
  <c r="E752" i="8"/>
  <c r="E720" i="8"/>
  <c r="E688" i="8"/>
  <c r="E656" i="8"/>
  <c r="E624" i="8"/>
  <c r="E592" i="8"/>
  <c r="E560" i="8"/>
  <c r="E528" i="8"/>
  <c r="E496" i="8"/>
  <c r="E464" i="8"/>
  <c r="E432" i="8"/>
  <c r="E400" i="8"/>
  <c r="E368" i="8"/>
  <c r="E336" i="8"/>
  <c r="E304" i="8"/>
  <c r="E272" i="8"/>
  <c r="E240" i="8"/>
  <c r="E208" i="8"/>
  <c r="E176" i="8"/>
  <c r="E144" i="8"/>
  <c r="E112" i="8"/>
  <c r="E80" i="8"/>
  <c r="E48" i="8"/>
  <c r="E1455" i="8"/>
  <c r="E1423" i="8"/>
  <c r="E1391" i="8"/>
  <c r="E1359" i="8"/>
  <c r="E1327" i="8"/>
  <c r="E1295" i="8"/>
  <c r="E1263" i="8"/>
  <c r="E1231" i="8"/>
  <c r="E1199" i="8"/>
  <c r="E1167" i="8"/>
  <c r="E1135" i="8"/>
  <c r="E1103" i="8"/>
  <c r="E1071" i="8"/>
  <c r="E1039" i="8"/>
  <c r="E1007" i="8"/>
  <c r="E975" i="8"/>
  <c r="E943" i="8"/>
  <c r="E911" i="8"/>
  <c r="E879" i="8"/>
  <c r="E847" i="8"/>
  <c r="E815" i="8"/>
  <c r="E783" i="8"/>
  <c r="E751" i="8"/>
  <c r="E719" i="8"/>
  <c r="E687" i="8"/>
  <c r="E655" i="8"/>
  <c r="E623" i="8"/>
  <c r="E591" i="8"/>
  <c r="E559" i="8"/>
  <c r="E527" i="8"/>
  <c r="E495" i="8"/>
  <c r="E463" i="8"/>
  <c r="E431" i="8"/>
  <c r="E399" i="8"/>
  <c r="E367" i="8"/>
  <c r="E335" i="8"/>
  <c r="E303" i="8"/>
  <c r="E271" i="8"/>
  <c r="E239" i="8"/>
  <c r="E207" i="8"/>
  <c r="E175" i="8"/>
  <c r="E143" i="8"/>
  <c r="E111" i="8"/>
  <c r="E79" i="8"/>
  <c r="E47" i="8"/>
  <c r="E1470" i="8"/>
  <c r="E1438" i="8"/>
  <c r="E1406" i="8"/>
  <c r="E2475" i="8"/>
  <c r="E2395" i="8"/>
  <c r="E2363" i="8"/>
  <c r="E2331" i="8"/>
  <c r="E2299" i="8"/>
  <c r="E2267" i="8"/>
  <c r="E2235" i="8"/>
  <c r="E2203" i="8"/>
  <c r="E2171" i="8"/>
  <c r="E2139" i="8"/>
  <c r="E2107" i="8"/>
  <c r="E2075" i="8"/>
  <c r="E2043" i="8"/>
  <c r="E2011" i="8"/>
  <c r="E1979" i="8"/>
  <c r="E1947" i="8"/>
  <c r="E1915" i="8"/>
  <c r="E1883" i="8"/>
  <c r="E1851" i="8"/>
  <c r="E1819" i="8"/>
  <c r="E1787" i="8"/>
  <c r="E1755" i="8"/>
  <c r="E1723" i="8"/>
  <c r="E1691" i="8"/>
  <c r="E1659" i="8"/>
  <c r="E1627" i="8"/>
  <c r="E1595" i="8"/>
  <c r="E1563" i="8"/>
  <c r="E1305" i="8"/>
  <c r="E1273" i="8"/>
  <c r="E1241" i="8"/>
  <c r="E1209" i="8"/>
  <c r="E1177" i="8"/>
  <c r="E1145" i="8"/>
  <c r="E1113" i="8"/>
  <c r="E1081" i="8"/>
  <c r="E1049" i="8"/>
  <c r="E1017" i="8"/>
  <c r="E985" i="8"/>
  <c r="E953" i="8"/>
  <c r="E921" i="8"/>
  <c r="E889" i="8"/>
  <c r="E857" i="8"/>
  <c r="E825" i="8"/>
  <c r="E793" i="8"/>
  <c r="E761" i="8"/>
  <c r="E729" i="8"/>
  <c r="E697" i="8"/>
  <c r="E665" i="8"/>
  <c r="E633" i="8"/>
  <c r="E601" i="8"/>
  <c r="E569" i="8"/>
  <c r="E537" i="8"/>
  <c r="E505" i="8"/>
  <c r="E473" i="8"/>
  <c r="E441" i="8"/>
  <c r="E409" i="8"/>
  <c r="E377" i="8"/>
  <c r="E345" i="8"/>
  <c r="E313" i="8"/>
  <c r="E281" i="8"/>
  <c r="E249" i="8"/>
  <c r="E217" i="8"/>
  <c r="E185" i="8"/>
  <c r="E153" i="8"/>
  <c r="E121" i="8"/>
  <c r="E89" i="8"/>
  <c r="E57" i="8"/>
  <c r="E1544" i="8"/>
  <c r="E1512" i="8"/>
  <c r="E1480" i="8"/>
  <c r="E1448" i="8"/>
  <c r="E1416" i="8"/>
  <c r="E1384" i="8"/>
  <c r="E1352" i="8"/>
  <c r="E1320" i="8"/>
  <c r="E1288" i="8"/>
  <c r="E1256" i="8"/>
  <c r="E1224" i="8"/>
  <c r="E1192" i="8"/>
  <c r="E1160" i="8"/>
  <c r="E1128" i="8"/>
  <c r="E1096" i="8"/>
  <c r="E1064" i="8"/>
  <c r="E1032" i="8"/>
  <c r="E1000" i="8"/>
  <c r="E968" i="8"/>
  <c r="E936" i="8"/>
  <c r="E904" i="8"/>
  <c r="E872" i="8"/>
  <c r="E840" i="8"/>
  <c r="E808" i="8"/>
  <c r="E776" i="8"/>
  <c r="E744" i="8"/>
  <c r="E712" i="8"/>
  <c r="E680" i="8"/>
  <c r="E648" i="8"/>
  <c r="E616" i="8"/>
  <c r="E584" i="8"/>
  <c r="E552" i="8"/>
  <c r="E520" i="8"/>
  <c r="E488" i="8"/>
  <c r="E456" i="8"/>
  <c r="E424" i="8"/>
  <c r="E392" i="8"/>
  <c r="E360" i="8"/>
  <c r="E328" i="8"/>
  <c r="E296" i="8"/>
  <c r="E264" i="8"/>
  <c r="E232" i="8"/>
  <c r="E200" i="8"/>
  <c r="E168" i="8"/>
  <c r="E136" i="8"/>
  <c r="E104" i="8"/>
  <c r="E72" i="8"/>
  <c r="E40" i="8"/>
  <c r="E1447" i="8"/>
  <c r="E1415" i="8"/>
  <c r="E1383" i="8"/>
  <c r="E1351" i="8"/>
  <c r="E1319" i="8"/>
  <c r="E1287" i="8"/>
  <c r="E1255" i="8"/>
  <c r="E1223" i="8"/>
  <c r="E1191" i="8"/>
  <c r="E1159" i="8"/>
  <c r="E1127" i="8"/>
  <c r="E1095" i="8"/>
  <c r="E1063" i="8"/>
  <c r="E1031" i="8"/>
  <c r="E999" i="8"/>
  <c r="E967" i="8"/>
  <c r="E935" i="8"/>
  <c r="E903" i="8"/>
  <c r="E871" i="8"/>
  <c r="E839" i="8"/>
  <c r="E807" i="8"/>
  <c r="E775" i="8"/>
  <c r="E743" i="8"/>
  <c r="E711" i="8"/>
  <c r="E679" i="8"/>
  <c r="E647" i="8"/>
  <c r="E615" i="8"/>
  <c r="E583" i="8"/>
  <c r="E551" i="8"/>
  <c r="E519" i="8"/>
  <c r="E487" i="8"/>
  <c r="E455" i="8"/>
  <c r="E423" i="8"/>
  <c r="E391" i="8"/>
  <c r="E359" i="8"/>
  <c r="E327" i="8"/>
  <c r="E295" i="8"/>
  <c r="E263" i="8"/>
  <c r="E231" i="8"/>
  <c r="E199" i="8"/>
  <c r="E167" i="8"/>
  <c r="E135" i="8"/>
  <c r="E103" i="8"/>
  <c r="E71" i="8"/>
  <c r="E39" i="8"/>
  <c r="E2427" i="8"/>
  <c r="E4511" i="8"/>
  <c r="E2387" i="8"/>
  <c r="E2355" i="8"/>
  <c r="E2323" i="8"/>
  <c r="E2291" i="8"/>
  <c r="E2259" i="8"/>
  <c r="E2227" i="8"/>
  <c r="E2195" i="8"/>
  <c r="E2163" i="8"/>
  <c r="E2131" i="8"/>
  <c r="E2099" i="8"/>
  <c r="E2067" i="8"/>
  <c r="E2035" i="8"/>
  <c r="E2003" i="8"/>
  <c r="E1971" i="8"/>
  <c r="E1939" i="8"/>
  <c r="E1907" i="8"/>
  <c r="E1875" i="8"/>
  <c r="E1843" i="8"/>
  <c r="E1811" i="8"/>
  <c r="E1779" i="8"/>
  <c r="E1747" i="8"/>
  <c r="E1715" i="8"/>
  <c r="E1683" i="8"/>
  <c r="E1651" i="8"/>
  <c r="E1619" i="8"/>
  <c r="E1587" i="8"/>
  <c r="E3355" i="8"/>
  <c r="E1297" i="8"/>
  <c r="E1265" i="8"/>
  <c r="E1233" i="8"/>
  <c r="E1201" i="8"/>
  <c r="E1169" i="8"/>
  <c r="E1137" i="8"/>
  <c r="E1105" i="8"/>
  <c r="E1073" i="8"/>
  <c r="E1041" i="8"/>
  <c r="E1009" i="8"/>
  <c r="E977" i="8"/>
  <c r="E945" i="8"/>
  <c r="E913" i="8"/>
  <c r="E881" i="8"/>
  <c r="E849" i="8"/>
  <c r="E817" i="8"/>
  <c r="E785" i="8"/>
  <c r="E753" i="8"/>
  <c r="E721" i="8"/>
  <c r="E689" i="8"/>
  <c r="E657" i="8"/>
  <c r="E625" i="8"/>
  <c r="E593" i="8"/>
  <c r="E561" i="8"/>
  <c r="E529" i="8"/>
  <c r="E497" i="8"/>
  <c r="E465" i="8"/>
  <c r="E433" i="8"/>
  <c r="E401" i="8"/>
  <c r="E369" i="8"/>
  <c r="E337" i="8"/>
  <c r="E305" i="8"/>
  <c r="E273" i="8"/>
  <c r="E241" i="8"/>
  <c r="E209" i="8"/>
  <c r="E177" i="8"/>
  <c r="E145" i="8"/>
  <c r="E113" i="8"/>
  <c r="E81" i="8"/>
  <c r="E49" i="8"/>
  <c r="E1536" i="8"/>
  <c r="E1504" i="8"/>
  <c r="E1472" i="8"/>
  <c r="E1440" i="8"/>
  <c r="E1408" i="8"/>
  <c r="E1376" i="8"/>
  <c r="E1344" i="8"/>
  <c r="E1312" i="8"/>
  <c r="E1280" i="8"/>
  <c r="E1248" i="8"/>
  <c r="E1216" i="8"/>
  <c r="E1184" i="8"/>
  <c r="E1152" i="8"/>
  <c r="E1120" i="8"/>
  <c r="E1088" i="8"/>
  <c r="E1056" i="8"/>
  <c r="E1024" i="8"/>
  <c r="E992" i="8"/>
  <c r="E960" i="8"/>
  <c r="E928" i="8"/>
  <c r="E896" i="8"/>
  <c r="E864" i="8"/>
  <c r="E832" i="8"/>
  <c r="E800" i="8"/>
  <c r="E768" i="8"/>
  <c r="E736" i="8"/>
  <c r="E704" i="8"/>
  <c r="E672" i="8"/>
  <c r="E640" i="8"/>
  <c r="E608" i="8"/>
  <c r="E576" i="8"/>
  <c r="E544" i="8"/>
  <c r="E512" i="8"/>
  <c r="E480" i="8"/>
  <c r="E448" i="8"/>
  <c r="E416" i="8"/>
  <c r="E384" i="8"/>
  <c r="E352" i="8"/>
  <c r="E320" i="8"/>
  <c r="E288" i="8"/>
  <c r="E256" i="8"/>
  <c r="E224" i="8"/>
  <c r="E192" i="8"/>
  <c r="E160" i="8"/>
  <c r="E128" i="8"/>
  <c r="E96" i="8"/>
  <c r="E64" i="8"/>
  <c r="E32" i="8"/>
  <c r="E1439" i="8"/>
  <c r="E1407" i="8"/>
  <c r="E1375" i="8"/>
  <c r="E1343" i="8"/>
  <c r="E1311" i="8"/>
  <c r="E1279" i="8"/>
  <c r="E1247" i="8"/>
  <c r="E1215" i="8"/>
  <c r="E1183" i="8"/>
  <c r="E1151" i="8"/>
  <c r="E1119" i="8"/>
  <c r="E1087" i="8"/>
  <c r="E1055" i="8"/>
  <c r="E1023" i="8"/>
  <c r="E991" i="8"/>
  <c r="E959" i="8"/>
  <c r="E927" i="8"/>
  <c r="E895" i="8"/>
  <c r="E863" i="8"/>
  <c r="E831" i="8"/>
  <c r="E799" i="8"/>
  <c r="E767" i="8"/>
  <c r="E735" i="8"/>
  <c r="E703" i="8"/>
  <c r="E671" i="8"/>
  <c r="E639" i="8"/>
  <c r="E607" i="8"/>
  <c r="E575" i="8"/>
  <c r="E543" i="8"/>
  <c r="E511" i="8"/>
  <c r="E479" i="8"/>
  <c r="E447" i="8"/>
  <c r="E415" i="8"/>
  <c r="E383" i="8"/>
  <c r="E351" i="8"/>
  <c r="E319" i="8"/>
  <c r="E287" i="8"/>
  <c r="E255" i="8"/>
  <c r="E223" i="8"/>
  <c r="E191" i="8"/>
  <c r="E159" i="8"/>
  <c r="E127" i="8"/>
  <c r="E95" i="8"/>
  <c r="E63" i="8"/>
  <c r="E31" i="8"/>
  <c r="E1454" i="8"/>
  <c r="E1422" i="8"/>
  <c r="E1390" i="8"/>
  <c r="E2459" i="8"/>
  <c r="E2411" i="8"/>
  <c r="E2379" i="8"/>
  <c r="E2347" i="8"/>
  <c r="E2315" i="8"/>
  <c r="E2283" i="8"/>
  <c r="E2251" i="8"/>
  <c r="E2219" i="8"/>
  <c r="E2187" i="8"/>
  <c r="E2155" i="8"/>
  <c r="E2123" i="8"/>
  <c r="E2091" i="8"/>
  <c r="E2059" i="8"/>
  <c r="E2027" i="8"/>
  <c r="E1995" i="8"/>
  <c r="E1963" i="8"/>
  <c r="E1931" i="8"/>
  <c r="E1899" i="8"/>
  <c r="E1867" i="8"/>
  <c r="E1835" i="8"/>
  <c r="E1803" i="8"/>
  <c r="E1771" i="8"/>
  <c r="E1739" i="8"/>
  <c r="E1707" i="8"/>
  <c r="E1675" i="8"/>
  <c r="E1643" i="8"/>
  <c r="E1611" i="8"/>
  <c r="E1579" i="8"/>
  <c r="E1321" i="8"/>
  <c r="E1289" i="8"/>
  <c r="E1257" i="8"/>
  <c r="E1225" i="8"/>
  <c r="E1193" i="8"/>
  <c r="E1161" i="8"/>
  <c r="E1129" i="8"/>
  <c r="E1097" i="8"/>
  <c r="E1065" i="8"/>
  <c r="E1033" i="8"/>
  <c r="E1001" i="8"/>
  <c r="E969" i="8"/>
  <c r="E937" i="8"/>
  <c r="E905" i="8"/>
  <c r="E873" i="8"/>
  <c r="E841" i="8"/>
  <c r="E809" i="8"/>
  <c r="E777" i="8"/>
  <c r="E745" i="8"/>
  <c r="E713" i="8"/>
  <c r="E681" i="8"/>
  <c r="E649" i="8"/>
  <c r="E617" i="8"/>
  <c r="E585" i="8"/>
  <c r="E553" i="8"/>
  <c r="E521" i="8"/>
  <c r="E489" i="8"/>
  <c r="E457" i="8"/>
  <c r="E425" i="8"/>
  <c r="E393" i="8"/>
  <c r="E361" i="8"/>
  <c r="E329" i="8"/>
  <c r="E297" i="8"/>
  <c r="E265" i="8"/>
  <c r="E233" i="8"/>
  <c r="E201" i="8"/>
  <c r="E169" i="8"/>
  <c r="E137" i="8"/>
  <c r="E105" i="8"/>
  <c r="E73" i="8"/>
  <c r="E41" i="8"/>
  <c r="E1528" i="8"/>
  <c r="E1496" i="8"/>
  <c r="E1464" i="8"/>
  <c r="E1432" i="8"/>
  <c r="E1400" i="8"/>
  <c r="E1368" i="8"/>
  <c r="E1336" i="8"/>
  <c r="E1304" i="8"/>
  <c r="E1272" i="8"/>
  <c r="E1240" i="8"/>
  <c r="E1208" i="8"/>
  <c r="E1176" i="8"/>
  <c r="E1144" i="8"/>
  <c r="E1112" i="8"/>
  <c r="E1080" i="8"/>
  <c r="E1048" i="8"/>
  <c r="E1016" i="8"/>
  <c r="E984" i="8"/>
  <c r="E952" i="8"/>
  <c r="E920" i="8"/>
  <c r="E888" i="8"/>
  <c r="E856" i="8"/>
  <c r="E824" i="8"/>
  <c r="E792" i="8"/>
  <c r="E760" i="8"/>
  <c r="E728" i="8"/>
  <c r="E696" i="8"/>
  <c r="E664" i="8"/>
  <c r="E632" i="8"/>
  <c r="E600" i="8"/>
  <c r="E568" i="8"/>
  <c r="E536" i="8"/>
  <c r="E504" i="8"/>
  <c r="E472" i="8"/>
  <c r="E440" i="8"/>
  <c r="E408" i="8"/>
  <c r="E376" i="8"/>
  <c r="E344" i="8"/>
  <c r="E312" i="8"/>
  <c r="E280" i="8"/>
  <c r="E248" i="8"/>
  <c r="E216" i="8"/>
  <c r="E184" i="8"/>
  <c r="E152" i="8"/>
  <c r="E120" i="8"/>
  <c r="E88" i="8"/>
  <c r="E56" i="8"/>
  <c r="E1463" i="8"/>
  <c r="E1431" i="8"/>
  <c r="E1399" i="8"/>
  <c r="E1367" i="8"/>
  <c r="E1335" i="8"/>
  <c r="E1303" i="8"/>
  <c r="E1271" i="8"/>
  <c r="E1239" i="8"/>
  <c r="E1207" i="8"/>
  <c r="E1175" i="8"/>
  <c r="E1143" i="8"/>
  <c r="E1111" i="8"/>
  <c r="E1079" i="8"/>
  <c r="E1047" i="8"/>
  <c r="E1015" i="8"/>
  <c r="E983" i="8"/>
  <c r="E951" i="8"/>
  <c r="E919" i="8"/>
  <c r="E887" i="8"/>
  <c r="E855" i="8"/>
  <c r="E823" i="8"/>
  <c r="E791" i="8"/>
  <c r="E759" i="8"/>
  <c r="E727" i="8"/>
  <c r="E695" i="8"/>
  <c r="E663" i="8"/>
  <c r="E631" i="8"/>
  <c r="E599" i="8"/>
  <c r="E567" i="8"/>
  <c r="E535" i="8"/>
  <c r="E503" i="8"/>
  <c r="E471" i="8"/>
  <c r="E439" i="8"/>
  <c r="E407" i="8"/>
  <c r="E375" i="8"/>
  <c r="E343" i="8"/>
  <c r="E311" i="8"/>
  <c r="E279" i="8"/>
  <c r="E247" i="8"/>
  <c r="E215" i="8"/>
  <c r="E183" i="8"/>
  <c r="E151" i="8"/>
  <c r="E119" i="8"/>
  <c r="E87" i="8"/>
  <c r="E55" i="8"/>
  <c r="E1310" i="8"/>
  <c r="E1270" i="8"/>
  <c r="E1182" i="8"/>
  <c r="E1142" i="8"/>
  <c r="E1462" i="8"/>
  <c r="E1398" i="8"/>
  <c r="E1350" i="8"/>
  <c r="E1262" i="8"/>
  <c r="E1222" i="8"/>
  <c r="E1134" i="8"/>
  <c r="E1102" i="8"/>
  <c r="E1070" i="8"/>
  <c r="E1038" i="8"/>
  <c r="E1006" i="8"/>
  <c r="E974" i="8"/>
  <c r="E942" i="8"/>
  <c r="E910" i="8"/>
  <c r="E878" i="8"/>
  <c r="E846" i="8"/>
  <c r="E814" i="8"/>
  <c r="E782" i="8"/>
  <c r="E750" i="8"/>
  <c r="E718" i="8"/>
  <c r="E686" i="8"/>
  <c r="E654" i="8"/>
  <c r="E622" i="8"/>
  <c r="E590" i="8"/>
  <c r="E558" i="8"/>
  <c r="E526" i="8"/>
  <c r="E494" i="8"/>
  <c r="E462" i="8"/>
  <c r="E430" i="8"/>
  <c r="E398" i="8"/>
  <c r="E366" i="8"/>
  <c r="E334" i="8"/>
  <c r="E302" i="8"/>
  <c r="E270" i="8"/>
  <c r="E238" i="8"/>
  <c r="E206" i="8"/>
  <c r="E174" i="8"/>
  <c r="E142" i="8"/>
  <c r="E110" i="8"/>
  <c r="E78" i="8"/>
  <c r="E46" i="8"/>
  <c r="E1309" i="8"/>
  <c r="E1277" i="8"/>
  <c r="E1245" i="8"/>
  <c r="E1213" i="8"/>
  <c r="E1181" i="8"/>
  <c r="E1149" i="8"/>
  <c r="E1117" i="8"/>
  <c r="E1085" i="8"/>
  <c r="E1053" i="8"/>
  <c r="E1021" i="8"/>
  <c r="E989" i="8"/>
  <c r="E957" i="8"/>
  <c r="E925" i="8"/>
  <c r="E893" i="8"/>
  <c r="E861" i="8"/>
  <c r="E829" i="8"/>
  <c r="E797" i="8"/>
  <c r="E765" i="8"/>
  <c r="E733" i="8"/>
  <c r="E701" i="8"/>
  <c r="E669" i="8"/>
  <c r="E637" i="8"/>
  <c r="E605" i="8"/>
  <c r="E573" i="8"/>
  <c r="E541" i="8"/>
  <c r="E509" i="8"/>
  <c r="E477" i="8"/>
  <c r="E445" i="8"/>
  <c r="E413" i="8"/>
  <c r="E381" i="8"/>
  <c r="E349" i="8"/>
  <c r="E317" i="8"/>
  <c r="E285" i="8"/>
  <c r="E253" i="8"/>
  <c r="E221" i="8"/>
  <c r="E189" i="8"/>
  <c r="E157" i="8"/>
  <c r="E125" i="8"/>
  <c r="E93" i="8"/>
  <c r="E61" i="8"/>
  <c r="E29" i="8"/>
  <c r="E1516" i="8"/>
  <c r="E1484" i="8"/>
  <c r="E1452" i="8"/>
  <c r="E1420" i="8"/>
  <c r="E1388" i="8"/>
  <c r="E1356" i="8"/>
  <c r="E1324" i="8"/>
  <c r="E1292" i="8"/>
  <c r="E1260" i="8"/>
  <c r="E1228" i="8"/>
  <c r="E1196" i="8"/>
  <c r="E1164" i="8"/>
  <c r="E1132" i="8"/>
  <c r="E1100" i="8"/>
  <c r="E1068" i="8"/>
  <c r="E1036" i="8"/>
  <c r="E1004" i="8"/>
  <c r="E972" i="8"/>
  <c r="E940" i="8"/>
  <c r="E908" i="8"/>
  <c r="E876" i="8"/>
  <c r="E844" i="8"/>
  <c r="E812" i="8"/>
  <c r="E780" i="8"/>
  <c r="E748" i="8"/>
  <c r="E716" i="8"/>
  <c r="E684" i="8"/>
  <c r="E652" i="8"/>
  <c r="E620" i="8"/>
  <c r="E588" i="8"/>
  <c r="E556" i="8"/>
  <c r="E524" i="8"/>
  <c r="E492" i="8"/>
  <c r="E460" i="8"/>
  <c r="E428" i="8"/>
  <c r="E396" i="8"/>
  <c r="E364" i="8"/>
  <c r="E332" i="8"/>
  <c r="E300" i="8"/>
  <c r="E268" i="8"/>
  <c r="E236" i="8"/>
  <c r="E204" i="8"/>
  <c r="E172" i="8"/>
  <c r="E140" i="8"/>
  <c r="E108" i="8"/>
  <c r="E76" i="8"/>
  <c r="E44" i="8"/>
  <c r="E1539" i="8"/>
  <c r="E1507" i="8"/>
  <c r="E1475" i="8"/>
  <c r="E1443" i="8"/>
  <c r="E1411" i="8"/>
  <c r="E1379" i="8"/>
  <c r="E1347" i="8"/>
  <c r="E1315" i="8"/>
  <c r="E1283" i="8"/>
  <c r="E1251" i="8"/>
  <c r="E1219" i="8"/>
  <c r="E1187" i="8"/>
  <c r="E1155" i="8"/>
  <c r="E1123" i="8"/>
  <c r="E1091" i="8"/>
  <c r="E1059" i="8"/>
  <c r="E1027" i="8"/>
  <c r="E995" i="8"/>
  <c r="E963" i="8"/>
  <c r="E931" i="8"/>
  <c r="E899" i="8"/>
  <c r="E867" i="8"/>
  <c r="E835" i="8"/>
  <c r="E803" i="8"/>
  <c r="E771" i="8"/>
  <c r="E739" i="8"/>
  <c r="E707" i="8"/>
  <c r="E675" i="8"/>
  <c r="E643" i="8"/>
  <c r="E611" i="8"/>
  <c r="E579" i="8"/>
  <c r="E547" i="8"/>
  <c r="E515" i="8"/>
  <c r="E483" i="8"/>
  <c r="E451" i="8"/>
  <c r="E419" i="8"/>
  <c r="E387" i="8"/>
  <c r="E355" i="8"/>
  <c r="E323" i="8"/>
  <c r="E291" i="8"/>
  <c r="E1342" i="8"/>
  <c r="E1302" i="8"/>
  <c r="E1214" i="8"/>
  <c r="E1174" i="8"/>
  <c r="E1446" i="8"/>
  <c r="E1382" i="8"/>
  <c r="E1294" i="8"/>
  <c r="E1254" i="8"/>
  <c r="E1166" i="8"/>
  <c r="E1126" i="8"/>
  <c r="E1094" i="8"/>
  <c r="E1062" i="8"/>
  <c r="E1030" i="8"/>
  <c r="E998" i="8"/>
  <c r="E966" i="8"/>
  <c r="E934" i="8"/>
  <c r="E902" i="8"/>
  <c r="E870" i="8"/>
  <c r="E838" i="8"/>
  <c r="E806" i="8"/>
  <c r="E774" i="8"/>
  <c r="E742" i="8"/>
  <c r="E710" i="8"/>
  <c r="E678" i="8"/>
  <c r="E646" i="8"/>
  <c r="E614" i="8"/>
  <c r="E582" i="8"/>
  <c r="E550" i="8"/>
  <c r="E518" i="8"/>
  <c r="E486" i="8"/>
  <c r="E454" i="8"/>
  <c r="E422" i="8"/>
  <c r="E390" i="8"/>
  <c r="E358" i="8"/>
  <c r="E326" i="8"/>
  <c r="E294" i="8"/>
  <c r="E262" i="8"/>
  <c r="E230" i="8"/>
  <c r="E198" i="8"/>
  <c r="E166" i="8"/>
  <c r="E134" i="8"/>
  <c r="E102" i="8"/>
  <c r="E70" i="8"/>
  <c r="E38" i="8"/>
  <c r="E1301" i="8"/>
  <c r="E1269" i="8"/>
  <c r="E1237" i="8"/>
  <c r="E1205" i="8"/>
  <c r="E1173" i="8"/>
  <c r="E1141" i="8"/>
  <c r="E1109" i="8"/>
  <c r="E1077" i="8"/>
  <c r="E1045" i="8"/>
  <c r="E1013" i="8"/>
  <c r="E981" i="8"/>
  <c r="E949" i="8"/>
  <c r="E917" i="8"/>
  <c r="E885" i="8"/>
  <c r="E853" i="8"/>
  <c r="E821" i="8"/>
  <c r="E789" i="8"/>
  <c r="E757" i="8"/>
  <c r="E725" i="8"/>
  <c r="E693" i="8"/>
  <c r="E661" i="8"/>
  <c r="E629" i="8"/>
  <c r="E597" i="8"/>
  <c r="E565" i="8"/>
  <c r="E533" i="8"/>
  <c r="E501" i="8"/>
  <c r="E469" i="8"/>
  <c r="E437" i="8"/>
  <c r="E405" i="8"/>
  <c r="E373" i="8"/>
  <c r="E341" i="8"/>
  <c r="E309" i="8"/>
  <c r="E277" i="8"/>
  <c r="E245" i="8"/>
  <c r="E213" i="8"/>
  <c r="E181" i="8"/>
  <c r="E149" i="8"/>
  <c r="E117" i="8"/>
  <c r="E85" i="8"/>
  <c r="E53" i="8"/>
  <c r="E1540" i="8"/>
  <c r="E1508" i="8"/>
  <c r="E1476" i="8"/>
  <c r="E1444" i="8"/>
  <c r="E1412" i="8"/>
  <c r="E1380" i="8"/>
  <c r="E1348" i="8"/>
  <c r="E1316" i="8"/>
  <c r="E1284" i="8"/>
  <c r="E1252" i="8"/>
  <c r="E1220" i="8"/>
  <c r="E1188" i="8"/>
  <c r="E1156" i="8"/>
  <c r="E1124" i="8"/>
  <c r="E1092" i="8"/>
  <c r="E1060" i="8"/>
  <c r="E1028" i="8"/>
  <c r="E996" i="8"/>
  <c r="E964" i="8"/>
  <c r="E932" i="8"/>
  <c r="E900" i="8"/>
  <c r="E868" i="8"/>
  <c r="E836" i="8"/>
  <c r="E804" i="8"/>
  <c r="E772" i="8"/>
  <c r="E740" i="8"/>
  <c r="E708" i="8"/>
  <c r="E676" i="8"/>
  <c r="E644" i="8"/>
  <c r="E612" i="8"/>
  <c r="E580" i="8"/>
  <c r="E548" i="8"/>
  <c r="E516" i="8"/>
  <c r="E484" i="8"/>
  <c r="E452" i="8"/>
  <c r="E420" i="8"/>
  <c r="E388" i="8"/>
  <c r="E356" i="8"/>
  <c r="E324" i="8"/>
  <c r="E292" i="8"/>
  <c r="E260" i="8"/>
  <c r="E228" i="8"/>
  <c r="E196" i="8"/>
  <c r="E164" i="8"/>
  <c r="E132" i="8"/>
  <c r="E100" i="8"/>
  <c r="E68" i="8"/>
  <c r="E36" i="8"/>
  <c r="E1531" i="8"/>
  <c r="E1499" i="8"/>
  <c r="E1467" i="8"/>
  <c r="E1435" i="8"/>
  <c r="E1403" i="8"/>
  <c r="E1371" i="8"/>
  <c r="E1339" i="8"/>
  <c r="E1307" i="8"/>
  <c r="E1275" i="8"/>
  <c r="E1243" i="8"/>
  <c r="E1211" i="8"/>
  <c r="E1179" i="8"/>
  <c r="E1147" i="8"/>
  <c r="E1115" i="8"/>
  <c r="E1083" i="8"/>
  <c r="E1051" i="8"/>
  <c r="E1019" i="8"/>
  <c r="E987" i="8"/>
  <c r="E955" i="8"/>
  <c r="E923" i="8"/>
  <c r="E891" i="8"/>
  <c r="E859" i="8"/>
  <c r="E827" i="8"/>
  <c r="E795" i="8"/>
  <c r="E763" i="8"/>
  <c r="E731" i="8"/>
  <c r="E699" i="8"/>
  <c r="E667" i="8"/>
  <c r="E635" i="8"/>
  <c r="E603" i="8"/>
  <c r="E571" i="8"/>
  <c r="E539" i="8"/>
  <c r="E507" i="8"/>
  <c r="E475" i="8"/>
  <c r="E443" i="8"/>
  <c r="E411" i="8"/>
  <c r="E379" i="8"/>
  <c r="E1374" i="8"/>
  <c r="E1334" i="8"/>
  <c r="E1246" i="8"/>
  <c r="E1206" i="8"/>
  <c r="E1430" i="8"/>
  <c r="E1326" i="8"/>
  <c r="E1286" i="8"/>
  <c r="E1198" i="8"/>
  <c r="E1158" i="8"/>
  <c r="E1118" i="8"/>
  <c r="E1086" i="8"/>
  <c r="E1054" i="8"/>
  <c r="E1022" i="8"/>
  <c r="E990" i="8"/>
  <c r="E958" i="8"/>
  <c r="E926" i="8"/>
  <c r="E894" i="8"/>
  <c r="E862" i="8"/>
  <c r="E830" i="8"/>
  <c r="E798" i="8"/>
  <c r="E766" i="8"/>
  <c r="E734" i="8"/>
  <c r="E702" i="8"/>
  <c r="E670" i="8"/>
  <c r="E638" i="8"/>
  <c r="E606" i="8"/>
  <c r="E574" i="8"/>
  <c r="E542" i="8"/>
  <c r="E510" i="8"/>
  <c r="E478" i="8"/>
  <c r="E446" i="8"/>
  <c r="E414" i="8"/>
  <c r="E382" i="8"/>
  <c r="E350" i="8"/>
  <c r="E318" i="8"/>
  <c r="E286" i="8"/>
  <c r="E254" i="8"/>
  <c r="E222" i="8"/>
  <c r="E190" i="8"/>
  <c r="E158" i="8"/>
  <c r="E126" i="8"/>
  <c r="E94" i="8"/>
  <c r="E62" i="8"/>
  <c r="E30" i="8"/>
  <c r="E1293" i="8"/>
  <c r="E1261" i="8"/>
  <c r="E1229" i="8"/>
  <c r="E1197" i="8"/>
  <c r="E1165" i="8"/>
  <c r="E1133" i="8"/>
  <c r="E1101" i="8"/>
  <c r="E1069" i="8"/>
  <c r="E1037" i="8"/>
  <c r="E1005" i="8"/>
  <c r="E973" i="8"/>
  <c r="E941" i="8"/>
  <c r="E909" i="8"/>
  <c r="E877" i="8"/>
  <c r="E845" i="8"/>
  <c r="E813" i="8"/>
  <c r="E781" i="8"/>
  <c r="E749" i="8"/>
  <c r="E717" i="8"/>
  <c r="E685" i="8"/>
  <c r="E653" i="8"/>
  <c r="E621" i="8"/>
  <c r="E589" i="8"/>
  <c r="E557" i="8"/>
  <c r="E525" i="8"/>
  <c r="E493" i="8"/>
  <c r="E461" i="8"/>
  <c r="E429" i="8"/>
  <c r="E397" i="8"/>
  <c r="E365" i="8"/>
  <c r="E333" i="8"/>
  <c r="E301" i="8"/>
  <c r="E269" i="8"/>
  <c r="E237" i="8"/>
  <c r="E205" i="8"/>
  <c r="E173" i="8"/>
  <c r="E141" i="8"/>
  <c r="E109" i="8"/>
  <c r="E77" i="8"/>
  <c r="E45" i="8"/>
  <c r="E1532" i="8"/>
  <c r="E1500" i="8"/>
  <c r="E1468" i="8"/>
  <c r="E1436" i="8"/>
  <c r="E1404" i="8"/>
  <c r="E1372" i="8"/>
  <c r="E1340" i="8"/>
  <c r="E1308" i="8"/>
  <c r="E1276" i="8"/>
  <c r="E1244" i="8"/>
  <c r="E1212" i="8"/>
  <c r="E1180" i="8"/>
  <c r="E1148" i="8"/>
  <c r="E1116" i="8"/>
  <c r="E1084" i="8"/>
  <c r="E1052" i="8"/>
  <c r="E1020" i="8"/>
  <c r="E988" i="8"/>
  <c r="E956" i="8"/>
  <c r="E924" i="8"/>
  <c r="E892" i="8"/>
  <c r="E860" i="8"/>
  <c r="E828" i="8"/>
  <c r="E796" i="8"/>
  <c r="E764" i="8"/>
  <c r="E732" i="8"/>
  <c r="E700" i="8"/>
  <c r="E668" i="8"/>
  <c r="E636" i="8"/>
  <c r="E604" i="8"/>
  <c r="E572" i="8"/>
  <c r="E540" i="8"/>
  <c r="E508" i="8"/>
  <c r="E476" i="8"/>
  <c r="E444" i="8"/>
  <c r="E412" i="8"/>
  <c r="E380" i="8"/>
  <c r="E348" i="8"/>
  <c r="E316" i="8"/>
  <c r="E284" i="8"/>
  <c r="E252" i="8"/>
  <c r="E220" i="8"/>
  <c r="E188" i="8"/>
  <c r="E156" i="8"/>
  <c r="E124" i="8"/>
  <c r="E92" i="8"/>
  <c r="E60" i="8"/>
  <c r="E1555" i="8"/>
  <c r="E1523" i="8"/>
  <c r="E1491" i="8"/>
  <c r="E1459" i="8"/>
  <c r="E1427" i="8"/>
  <c r="E1395" i="8"/>
  <c r="E1363" i="8"/>
  <c r="E1331" i="8"/>
  <c r="E1299" i="8"/>
  <c r="E1267" i="8"/>
  <c r="E1235" i="8"/>
  <c r="E1203" i="8"/>
  <c r="E1171" i="8"/>
  <c r="E1139" i="8"/>
  <c r="E1107" i="8"/>
  <c r="E1075" i="8"/>
  <c r="E1043" i="8"/>
  <c r="E1011" i="8"/>
  <c r="E979" i="8"/>
  <c r="E947" i="8"/>
  <c r="E915" i="8"/>
  <c r="E883" i="8"/>
  <c r="E851" i="8"/>
  <c r="E819" i="8"/>
  <c r="E787" i="8"/>
  <c r="E755" i="8"/>
  <c r="E723" i="8"/>
  <c r="E691" i="8"/>
  <c r="E659" i="8"/>
  <c r="E627" i="8"/>
  <c r="E595" i="8"/>
  <c r="E563" i="8"/>
  <c r="E531" i="8"/>
  <c r="E499" i="8"/>
  <c r="E467" i="8"/>
  <c r="E435" i="8"/>
  <c r="E403" i="8"/>
  <c r="E371" i="8"/>
  <c r="E339" i="8"/>
  <c r="E307" i="8"/>
  <c r="E1366" i="8"/>
  <c r="E1278" i="8"/>
  <c r="E1238" i="8"/>
  <c r="E1150" i="8"/>
  <c r="E1478" i="8"/>
  <c r="E1414" i="8"/>
  <c r="E1358" i="8"/>
  <c r="E1318" i="8"/>
  <c r="E1230" i="8"/>
  <c r="E1190" i="8"/>
  <c r="E1110" i="8"/>
  <c r="E1078" i="8"/>
  <c r="E1046" i="8"/>
  <c r="E1014" i="8"/>
  <c r="E982" i="8"/>
  <c r="E950" i="8"/>
  <c r="E918" i="8"/>
  <c r="E886" i="8"/>
  <c r="E854" i="8"/>
  <c r="E822" i="8"/>
  <c r="E790" i="8"/>
  <c r="E758" i="8"/>
  <c r="E726" i="8"/>
  <c r="E694" i="8"/>
  <c r="E662" i="8"/>
  <c r="E630" i="8"/>
  <c r="E598" i="8"/>
  <c r="E566" i="8"/>
  <c r="E534" i="8"/>
  <c r="E502" i="8"/>
  <c r="E470" i="8"/>
  <c r="E438" i="8"/>
  <c r="E406" i="8"/>
  <c r="E374" i="8"/>
  <c r="E342" i="8"/>
  <c r="E310" i="8"/>
  <c r="E278" i="8"/>
  <c r="E246" i="8"/>
  <c r="E214" i="8"/>
  <c r="E182" i="8"/>
  <c r="E150" i="8"/>
  <c r="E118" i="8"/>
  <c r="E86" i="8"/>
  <c r="E54" i="8"/>
  <c r="E1317" i="8"/>
  <c r="E1285" i="8"/>
  <c r="E1253" i="8"/>
  <c r="E1221" i="8"/>
  <c r="E1189" i="8"/>
  <c r="E1157" i="8"/>
  <c r="E1125" i="8"/>
  <c r="E1093" i="8"/>
  <c r="E1061" i="8"/>
  <c r="E1029" i="8"/>
  <c r="E997" i="8"/>
  <c r="E965" i="8"/>
  <c r="E933" i="8"/>
  <c r="E901" i="8"/>
  <c r="E869" i="8"/>
  <c r="E837" i="8"/>
  <c r="E805" i="8"/>
  <c r="E773" i="8"/>
  <c r="E741" i="8"/>
  <c r="E709" i="8"/>
  <c r="E677" i="8"/>
  <c r="E645" i="8"/>
  <c r="E613" i="8"/>
  <c r="E581" i="8"/>
  <c r="E549" i="8"/>
  <c r="E517" i="8"/>
  <c r="E485" i="8"/>
  <c r="E453" i="8"/>
  <c r="E421" i="8"/>
  <c r="E389" i="8"/>
  <c r="E357" i="8"/>
  <c r="E325" i="8"/>
  <c r="E293" i="8"/>
  <c r="E261" i="8"/>
  <c r="E229" i="8"/>
  <c r="E197" i="8"/>
  <c r="E165" i="8"/>
  <c r="E133" i="8"/>
  <c r="E101" i="8"/>
  <c r="E69" i="8"/>
  <c r="E37" i="8"/>
  <c r="E1524" i="8"/>
  <c r="E1492" i="8"/>
  <c r="E1460" i="8"/>
  <c r="E1428" i="8"/>
  <c r="E1396" i="8"/>
  <c r="E1364" i="8"/>
  <c r="E1332" i="8"/>
  <c r="E1300" i="8"/>
  <c r="E1268" i="8"/>
  <c r="E1236" i="8"/>
  <c r="E1204" i="8"/>
  <c r="E1172" i="8"/>
  <c r="E1140" i="8"/>
  <c r="E1108" i="8"/>
  <c r="E1076" i="8"/>
  <c r="E1044" i="8"/>
  <c r="E1012" i="8"/>
  <c r="E980" i="8"/>
  <c r="E948" i="8"/>
  <c r="E916" i="8"/>
  <c r="E884" i="8"/>
  <c r="E852" i="8"/>
  <c r="E820" i="8"/>
  <c r="E788" i="8"/>
  <c r="E756" i="8"/>
  <c r="E724" i="8"/>
  <c r="E692" i="8"/>
  <c r="E660" i="8"/>
  <c r="E628" i="8"/>
  <c r="E596" i="8"/>
  <c r="E564" i="8"/>
  <c r="E532" i="8"/>
  <c r="E500" i="8"/>
  <c r="E468" i="8"/>
  <c r="E436" i="8"/>
  <c r="E404" i="8"/>
  <c r="E372" i="8"/>
  <c r="E340" i="8"/>
  <c r="E308" i="8"/>
  <c r="E276" i="8"/>
  <c r="E244" i="8"/>
  <c r="E212" i="8"/>
  <c r="E180" i="8"/>
  <c r="E148" i="8"/>
  <c r="E116" i="8"/>
  <c r="E84" i="8"/>
  <c r="E52" i="8"/>
  <c r="E1547" i="8"/>
  <c r="E1515" i="8"/>
  <c r="E1483" i="8"/>
  <c r="E1451" i="8"/>
  <c r="E1419" i="8"/>
  <c r="E1387" i="8"/>
  <c r="E1355" i="8"/>
  <c r="E1323" i="8"/>
  <c r="E1291" i="8"/>
  <c r="E1259" i="8"/>
  <c r="E1227" i="8"/>
  <c r="E1195" i="8"/>
  <c r="E1163" i="8"/>
  <c r="E1131" i="8"/>
  <c r="E1099" i="8"/>
  <c r="E1067" i="8"/>
  <c r="E1035" i="8"/>
  <c r="E1003" i="8"/>
  <c r="E971" i="8"/>
  <c r="E939" i="8"/>
  <c r="E907" i="8"/>
  <c r="E875" i="8"/>
  <c r="E843" i="8"/>
  <c r="E811" i="8"/>
  <c r="E779" i="8"/>
  <c r="E747" i="8"/>
  <c r="E715" i="8"/>
  <c r="E683" i="8"/>
  <c r="E651" i="8"/>
  <c r="E619" i="8"/>
  <c r="E587" i="8"/>
  <c r="E555" i="8"/>
  <c r="E523" i="8"/>
  <c r="E491" i="8"/>
  <c r="E459" i="8"/>
  <c r="E427" i="8"/>
  <c r="E395" i="8"/>
  <c r="E331" i="8"/>
  <c r="E259" i="8"/>
  <c r="E219" i="8"/>
  <c r="E131" i="8"/>
  <c r="E91" i="8"/>
  <c r="E315" i="8"/>
  <c r="E211" i="8"/>
  <c r="E171" i="8"/>
  <c r="E83" i="8"/>
  <c r="E43" i="8"/>
  <c r="E299" i="8"/>
  <c r="E251" i="8"/>
  <c r="E163" i="8"/>
  <c r="E123" i="8"/>
  <c r="E35" i="8"/>
  <c r="E243" i="8"/>
  <c r="E203" i="8"/>
  <c r="E115" i="8"/>
  <c r="E75" i="8"/>
  <c r="E28" i="8"/>
  <c r="E283" i="8"/>
  <c r="E195" i="8"/>
  <c r="E155" i="8"/>
  <c r="E67" i="8"/>
  <c r="E275" i="8"/>
  <c r="E235" i="8"/>
  <c r="E147" i="8"/>
  <c r="E107" i="8"/>
  <c r="E363" i="8"/>
  <c r="E227" i="8"/>
  <c r="E187" i="8"/>
  <c r="E99" i="8"/>
  <c r="E59" i="8"/>
  <c r="E347" i="8"/>
  <c r="E267" i="8"/>
  <c r="E179" i="8"/>
  <c r="E139" i="8"/>
  <c r="E51" i="8"/>
  <c r="B16" i="12"/>
  <c r="B127" i="12" l="1"/>
  <c r="I16" i="12"/>
  <c r="F16" i="12"/>
  <c r="B17" i="12"/>
  <c r="M21" i="12"/>
  <c r="E8" i="12" s="1"/>
  <c r="S127" i="12" l="1"/>
  <c r="I127" i="12"/>
  <c r="C127" i="12"/>
  <c r="N127" i="12"/>
  <c r="F17" i="12"/>
  <c r="S128" i="12" s="1"/>
  <c r="I17" i="12"/>
  <c r="B18" i="12"/>
  <c r="B128" i="12"/>
  <c r="I128" i="12" l="1"/>
  <c r="C128" i="12"/>
  <c r="N128" i="12"/>
  <c r="I18" i="12"/>
  <c r="F18" i="12"/>
  <c r="S129" i="12" s="1"/>
  <c r="B129" i="12"/>
  <c r="B19" i="12"/>
  <c r="D27" i="8"/>
  <c r="K7" i="8" s="1"/>
  <c r="E4" i="11"/>
  <c r="F4" i="11" s="1"/>
  <c r="G4" i="11" s="1"/>
  <c r="H4" i="11" s="1"/>
  <c r="I4" i="11" s="1"/>
  <c r="J4" i="11" s="1"/>
  <c r="K4" i="11" s="1"/>
  <c r="L4" i="11" s="1"/>
  <c r="M4" i="11" s="1"/>
  <c r="N4" i="11" s="1"/>
  <c r="C6" i="11"/>
  <c r="C7" i="11"/>
  <c r="C8" i="11"/>
  <c r="C9" i="11" s="1"/>
  <c r="C10" i="11" s="1"/>
  <c r="C11" i="11" s="1"/>
  <c r="C12" i="11" s="1"/>
  <c r="C13" i="11" s="1"/>
  <c r="C14" i="11" s="1"/>
  <c r="C15" i="11" s="1"/>
  <c r="C9" i="2"/>
  <c r="C11" i="8" s="1"/>
  <c r="D9" i="2"/>
  <c r="D10" i="2" s="1"/>
  <c r="E9" i="2"/>
  <c r="E10" i="2" s="1"/>
  <c r="F9" i="2"/>
  <c r="F10" i="2" s="1"/>
  <c r="G9" i="2"/>
  <c r="G10" i="2" s="1"/>
  <c r="B9" i="2"/>
  <c r="B10" i="2" s="1"/>
  <c r="B12" i="2"/>
  <c r="C12" i="2"/>
  <c r="D12" i="2"/>
  <c r="E12" i="2"/>
  <c r="F12" i="2"/>
  <c r="G12" i="2"/>
  <c r="C12" i="8"/>
  <c r="H8" i="8"/>
  <c r="H9" i="8" s="1"/>
  <c r="O11" i="8"/>
  <c r="D12" i="8"/>
  <c r="C1" i="2"/>
  <c r="D1" i="2"/>
  <c r="E1" i="2"/>
  <c r="F1" i="2"/>
  <c r="G1" i="2"/>
  <c r="B1" i="2"/>
  <c r="N129" i="12" l="1"/>
  <c r="C129" i="12"/>
  <c r="I129" i="12"/>
  <c r="B20" i="12"/>
  <c r="F19" i="12"/>
  <c r="S130" i="12" s="1"/>
  <c r="I19" i="12"/>
  <c r="B130" i="12"/>
  <c r="E27" i="8"/>
  <c r="L7" i="8" s="1"/>
  <c r="H10" i="8"/>
  <c r="I9" i="8" s="1"/>
  <c r="J9" i="8" s="1"/>
  <c r="I8" i="8"/>
  <c r="J8" i="8" s="1"/>
  <c r="C10" i="2"/>
  <c r="D11" i="8" s="1"/>
  <c r="G18" i="12"/>
  <c r="G19" i="12"/>
  <c r="K16" i="8"/>
  <c r="K15" i="8"/>
  <c r="L15" i="8" l="1"/>
  <c r="L16" i="8"/>
  <c r="G17" i="12"/>
  <c r="G16" i="12"/>
  <c r="H20" i="12"/>
  <c r="L14" i="8"/>
  <c r="L19" i="8"/>
  <c r="G20" i="12"/>
  <c r="L17" i="8"/>
  <c r="L9" i="8"/>
  <c r="K17" i="8"/>
  <c r="L10" i="8"/>
  <c r="K14" i="8"/>
  <c r="K19" i="8"/>
  <c r="L8" i="8"/>
  <c r="L13" i="8"/>
  <c r="L12" i="8"/>
  <c r="K8" i="8"/>
  <c r="K9" i="8"/>
  <c r="K12" i="8"/>
  <c r="L18" i="8"/>
  <c r="K10" i="8"/>
  <c r="K13" i="8"/>
  <c r="L11" i="8"/>
  <c r="K11" i="8"/>
  <c r="K18" i="8"/>
  <c r="H19" i="12"/>
  <c r="H18" i="12"/>
  <c r="H17" i="12"/>
  <c r="H16" i="12"/>
  <c r="H21" i="12"/>
  <c r="N130" i="12"/>
  <c r="I130" i="12"/>
  <c r="C130" i="12"/>
  <c r="B21" i="12"/>
  <c r="G21" i="12" s="1"/>
  <c r="I20" i="12"/>
  <c r="F20" i="12"/>
  <c r="S131" i="12" s="1"/>
  <c r="B131" i="12"/>
  <c r="H11" i="8"/>
  <c r="I10" i="8" s="1"/>
  <c r="J10" i="8" s="1"/>
  <c r="I131" i="12" l="1"/>
  <c r="C131" i="12"/>
  <c r="N131" i="12"/>
  <c r="B22" i="12"/>
  <c r="I21" i="12"/>
  <c r="F21" i="12"/>
  <c r="S132" i="12" s="1"/>
  <c r="B132" i="12"/>
  <c r="H12" i="8"/>
  <c r="G22" i="12" l="1"/>
  <c r="H22" i="12"/>
  <c r="I132" i="12"/>
  <c r="C132" i="12"/>
  <c r="N132" i="12"/>
  <c r="B23" i="12"/>
  <c r="I22" i="12"/>
  <c r="F22" i="12"/>
  <c r="S133" i="12" s="1"/>
  <c r="B133" i="12"/>
  <c r="H13" i="8"/>
  <c r="I12" i="8" s="1"/>
  <c r="J12" i="8" s="1"/>
  <c r="I11" i="8"/>
  <c r="J11" i="8" s="1"/>
  <c r="H23" i="12" l="1"/>
  <c r="G23" i="12"/>
  <c r="N133" i="12"/>
  <c r="C133" i="12"/>
  <c r="I133" i="12"/>
  <c r="B24" i="12"/>
  <c r="I23" i="12"/>
  <c r="F23" i="12"/>
  <c r="S134" i="12" s="1"/>
  <c r="B134" i="12"/>
  <c r="H14" i="8"/>
  <c r="H24" i="12" l="1"/>
  <c r="G24" i="12"/>
  <c r="N134" i="12"/>
  <c r="C134" i="12"/>
  <c r="I134" i="12"/>
  <c r="B25" i="12"/>
  <c r="F24" i="12"/>
  <c r="S135" i="12" s="1"/>
  <c r="I24" i="12"/>
  <c r="B135" i="12"/>
  <c r="H15" i="8"/>
  <c r="I13" i="8"/>
  <c r="J13" i="8" s="1"/>
  <c r="H25" i="12" l="1"/>
  <c r="G25" i="12"/>
  <c r="I135" i="12"/>
  <c r="C135" i="12"/>
  <c r="N135" i="12"/>
  <c r="B26" i="12"/>
  <c r="F25" i="12"/>
  <c r="S136" i="12" s="1"/>
  <c r="I25" i="12"/>
  <c r="B136" i="12"/>
  <c r="H16" i="8"/>
  <c r="I15" i="8" s="1"/>
  <c r="J15" i="8" s="1"/>
  <c r="I14" i="8"/>
  <c r="J14" i="8" s="1"/>
  <c r="G26" i="12" l="1"/>
  <c r="H26" i="12"/>
  <c r="I136" i="12"/>
  <c r="N136" i="12"/>
  <c r="C136" i="12"/>
  <c r="B27" i="12"/>
  <c r="I26" i="12"/>
  <c r="F26" i="12"/>
  <c r="S137" i="12" s="1"/>
  <c r="B137" i="12"/>
  <c r="H17" i="8"/>
  <c r="I16" i="8" s="1"/>
  <c r="J16" i="8" s="1"/>
  <c r="G27" i="12" l="1"/>
  <c r="H27" i="12"/>
  <c r="N137" i="12"/>
  <c r="C137" i="12"/>
  <c r="I137" i="12"/>
  <c r="F27" i="12"/>
  <c r="I27" i="12"/>
  <c r="B138" i="12"/>
  <c r="B28" i="12"/>
  <c r="H18" i="8"/>
  <c r="H28" i="12" l="1"/>
  <c r="G28" i="12"/>
  <c r="S138" i="12"/>
  <c r="N138" i="12"/>
  <c r="C138" i="12"/>
  <c r="I138" i="12"/>
  <c r="I28" i="12"/>
  <c r="B29" i="12"/>
  <c r="F28" i="12"/>
  <c r="S139" i="12" s="1"/>
  <c r="B139" i="12"/>
  <c r="T139" i="12" s="1"/>
  <c r="H19" i="8"/>
  <c r="I17" i="8"/>
  <c r="J17" i="8" s="1"/>
  <c r="G29" i="12" l="1"/>
  <c r="H29" i="12"/>
  <c r="D139" i="12"/>
  <c r="J139" i="12"/>
  <c r="I139" i="12"/>
  <c r="N139" i="12"/>
  <c r="C139" i="12"/>
  <c r="O139" i="12"/>
  <c r="E139" i="12"/>
  <c r="B140" i="12"/>
  <c r="T140" i="12" s="1"/>
  <c r="B30" i="12"/>
  <c r="I29" i="12"/>
  <c r="F29" i="12"/>
  <c r="S140" i="12" s="1"/>
  <c r="H20" i="8"/>
  <c r="H21" i="8" s="1"/>
  <c r="H22" i="8" s="1"/>
  <c r="I18" i="8"/>
  <c r="J18" i="8" s="1"/>
  <c r="H30" i="12" l="1"/>
  <c r="G30" i="12"/>
  <c r="I21" i="8"/>
  <c r="J21" i="8" s="1"/>
  <c r="I19" i="8"/>
  <c r="J19" i="8" s="1"/>
  <c r="I20" i="8"/>
  <c r="J20" i="8" s="1"/>
  <c r="I140" i="12"/>
  <c r="C140" i="12"/>
  <c r="N140" i="12"/>
  <c r="O140" i="12"/>
  <c r="E140" i="12"/>
  <c r="J140" i="12"/>
  <c r="D140" i="12"/>
  <c r="B31" i="12"/>
  <c r="I30" i="12"/>
  <c r="B141" i="12"/>
  <c r="T141" i="12" s="1"/>
  <c r="F30" i="12"/>
  <c r="S141" i="12" s="1"/>
  <c r="H31" i="12" l="1"/>
  <c r="G31" i="12"/>
  <c r="O141" i="12"/>
  <c r="E141" i="12"/>
  <c r="N141" i="12"/>
  <c r="I141" i="12"/>
  <c r="C141" i="12"/>
  <c r="D141" i="12"/>
  <c r="J141" i="12"/>
  <c r="B32" i="12"/>
  <c r="F31" i="12"/>
  <c r="S142" i="12" s="1"/>
  <c r="B142" i="12"/>
  <c r="T142" i="12" s="1"/>
  <c r="I31" i="12"/>
  <c r="H32" i="12" l="1"/>
  <c r="G32" i="12"/>
  <c r="N142" i="12"/>
  <c r="C142" i="12"/>
  <c r="I142" i="12"/>
  <c r="E142" i="12"/>
  <c r="O142" i="12"/>
  <c r="D142" i="12"/>
  <c r="J142" i="12"/>
  <c r="B33" i="12"/>
  <c r="I32" i="12"/>
  <c r="B143" i="12"/>
  <c r="T143" i="12" s="1"/>
  <c r="F32" i="12"/>
  <c r="S143" i="12" s="1"/>
  <c r="H33" i="12" l="1"/>
  <c r="G33" i="12"/>
  <c r="E143" i="12"/>
  <c r="O143" i="12"/>
  <c r="I143" i="12"/>
  <c r="N143" i="12"/>
  <c r="C143" i="12"/>
  <c r="D143" i="12"/>
  <c r="J143" i="12"/>
  <c r="B34" i="12"/>
  <c r="B144" i="12"/>
  <c r="T144" i="12" s="1"/>
  <c r="I33" i="12"/>
  <c r="F33" i="12"/>
  <c r="S144" i="12" s="1"/>
  <c r="G34" i="12" l="1"/>
  <c r="H34" i="12"/>
  <c r="D144" i="12"/>
  <c r="J144" i="12"/>
  <c r="I144" i="12"/>
  <c r="N144" i="12"/>
  <c r="C144" i="12"/>
  <c r="E144" i="12"/>
  <c r="O144" i="12"/>
  <c r="B35" i="12"/>
  <c r="B145" i="12"/>
  <c r="T145" i="12" s="1"/>
  <c r="I34" i="12"/>
  <c r="F34" i="12"/>
  <c r="S145" i="12" s="1"/>
  <c r="H35" i="12" l="1"/>
  <c r="G35" i="12"/>
  <c r="N145" i="12"/>
  <c r="I145" i="12"/>
  <c r="C145" i="12"/>
  <c r="D145" i="12"/>
  <c r="J145" i="12"/>
  <c r="O145" i="12"/>
  <c r="E145" i="12"/>
  <c r="B36" i="12"/>
  <c r="B146" i="12"/>
  <c r="T146" i="12" s="1"/>
  <c r="I35" i="12"/>
  <c r="F35" i="12"/>
  <c r="S146" i="12" s="1"/>
  <c r="G36" i="12" l="1"/>
  <c r="H36" i="12"/>
  <c r="D146" i="12"/>
  <c r="J146" i="12"/>
  <c r="N146" i="12"/>
  <c r="I146" i="12"/>
  <c r="C146" i="12"/>
  <c r="E146" i="12"/>
  <c r="O146" i="12"/>
  <c r="B147" i="12"/>
  <c r="T147" i="12" s="1"/>
  <c r="B37" i="12"/>
  <c r="I36" i="12"/>
  <c r="F36" i="12"/>
  <c r="S147" i="12" s="1"/>
  <c r="G37" i="12" l="1"/>
  <c r="H37" i="12"/>
  <c r="E147" i="12"/>
  <c r="O147" i="12"/>
  <c r="I147" i="12"/>
  <c r="C147" i="12"/>
  <c r="N147" i="12"/>
  <c r="D147" i="12"/>
  <c r="J147" i="12"/>
  <c r="B148" i="12"/>
  <c r="T148" i="12" s="1"/>
  <c r="B38" i="12"/>
  <c r="I37" i="12"/>
  <c r="F37" i="12"/>
  <c r="S148" i="12" s="1"/>
  <c r="H38" i="12" l="1"/>
  <c r="G38" i="12"/>
  <c r="J148" i="12"/>
  <c r="D148" i="12"/>
  <c r="O148" i="12"/>
  <c r="E148" i="12"/>
  <c r="I148" i="12"/>
  <c r="C148" i="12"/>
  <c r="N148" i="12"/>
  <c r="B39" i="12"/>
  <c r="F38" i="12"/>
  <c r="S149" i="12" s="1"/>
  <c r="I38" i="12"/>
  <c r="B149" i="12"/>
  <c r="T149" i="12" s="1"/>
  <c r="H39" i="12" l="1"/>
  <c r="G39" i="12"/>
  <c r="D149" i="12"/>
  <c r="J149" i="12"/>
  <c r="N149" i="12"/>
  <c r="C149" i="12"/>
  <c r="I149" i="12"/>
  <c r="O149" i="12"/>
  <c r="E149" i="12"/>
  <c r="B40" i="12"/>
  <c r="I39" i="12"/>
  <c r="F39" i="12"/>
  <c r="S150" i="12" s="1"/>
  <c r="B150" i="12"/>
  <c r="T150" i="12" s="1"/>
  <c r="H40" i="12" l="1"/>
  <c r="G40" i="12"/>
  <c r="E150" i="12"/>
  <c r="O150" i="12"/>
  <c r="J150" i="12"/>
  <c r="D150" i="12"/>
  <c r="N150" i="12"/>
  <c r="C150" i="12"/>
  <c r="I150" i="12"/>
  <c r="B41" i="12"/>
  <c r="F40" i="12"/>
  <c r="S151" i="12" s="1"/>
  <c r="I40" i="12"/>
  <c r="B151" i="12"/>
  <c r="T151" i="12" s="1"/>
  <c r="H41" i="12" l="1"/>
  <c r="G41" i="12"/>
  <c r="B42" i="12"/>
  <c r="I151" i="12"/>
  <c r="C151" i="12"/>
  <c r="N151" i="12"/>
  <c r="J151" i="12"/>
  <c r="D151" i="12"/>
  <c r="O151" i="12"/>
  <c r="E151" i="12"/>
  <c r="B153" i="12"/>
  <c r="T153" i="12" s="1"/>
  <c r="B43" i="12"/>
  <c r="F42" i="12"/>
  <c r="S153" i="12" s="1"/>
  <c r="I42" i="12"/>
  <c r="B152" i="12"/>
  <c r="T152" i="12" s="1"/>
  <c r="I41" i="12"/>
  <c r="F41" i="12"/>
  <c r="S152" i="12" s="1"/>
  <c r="H42" i="12" l="1"/>
  <c r="G42" i="12"/>
  <c r="H43" i="12"/>
  <c r="G43" i="12"/>
  <c r="O153" i="12"/>
  <c r="J153" i="12"/>
  <c r="E152" i="12"/>
  <c r="O152" i="12"/>
  <c r="N153" i="12"/>
  <c r="C153" i="12"/>
  <c r="I153" i="12"/>
  <c r="I152" i="12"/>
  <c r="N152" i="12"/>
  <c r="C152" i="12"/>
  <c r="D152" i="12"/>
  <c r="J152" i="12"/>
  <c r="B44" i="12"/>
  <c r="B154" i="12"/>
  <c r="T154" i="12" s="1"/>
  <c r="I43" i="12"/>
  <c r="F43" i="12"/>
  <c r="S154" i="12" s="1"/>
  <c r="G44" i="12" l="1"/>
  <c r="H44" i="12"/>
  <c r="D153" i="12"/>
  <c r="E153" i="12"/>
  <c r="D154" i="12"/>
  <c r="J154" i="12"/>
  <c r="N154" i="12"/>
  <c r="C154" i="12"/>
  <c r="I154" i="12"/>
  <c r="E154" i="12"/>
  <c r="O154" i="12"/>
  <c r="B155" i="12"/>
  <c r="T155" i="12" s="1"/>
  <c r="B45" i="12"/>
  <c r="I44" i="12"/>
  <c r="F44" i="12"/>
  <c r="S155" i="12" s="1"/>
  <c r="G45" i="12" l="1"/>
  <c r="H45" i="12"/>
  <c r="I155" i="12"/>
  <c r="N155" i="12"/>
  <c r="C155" i="12"/>
  <c r="O155" i="12"/>
  <c r="E155" i="12"/>
  <c r="D155" i="12"/>
  <c r="J155" i="12"/>
  <c r="B156" i="12"/>
  <c r="T156" i="12" s="1"/>
  <c r="B46" i="12"/>
  <c r="F45" i="12"/>
  <c r="S156" i="12" s="1"/>
  <c r="I45" i="12"/>
  <c r="G46" i="12" l="1"/>
  <c r="H46" i="12"/>
  <c r="E156" i="12"/>
  <c r="O156" i="12"/>
  <c r="J156" i="12"/>
  <c r="D156" i="12"/>
  <c r="I156" i="12"/>
  <c r="C156" i="12"/>
  <c r="N156" i="12"/>
  <c r="B47" i="12"/>
  <c r="I46" i="12"/>
  <c r="F46" i="12"/>
  <c r="S157" i="12" s="1"/>
  <c r="B157" i="12"/>
  <c r="T157" i="12" s="1"/>
  <c r="H47" i="12" l="1"/>
  <c r="G47" i="12"/>
  <c r="O157" i="12"/>
  <c r="E157" i="12"/>
  <c r="J157" i="12"/>
  <c r="D157" i="12"/>
  <c r="N157" i="12"/>
  <c r="I157" i="12"/>
  <c r="C157" i="12"/>
  <c r="B48" i="12"/>
  <c r="F47" i="12"/>
  <c r="S158" i="12" s="1"/>
  <c r="I47" i="12"/>
  <c r="B158" i="12"/>
  <c r="T158" i="12" s="1"/>
  <c r="H48" i="12" l="1"/>
  <c r="G48" i="12"/>
  <c r="N158" i="12"/>
  <c r="C158" i="12"/>
  <c r="I158" i="12"/>
  <c r="J158" i="12"/>
  <c r="D158" i="12"/>
  <c r="E158" i="12"/>
  <c r="O158" i="12"/>
  <c r="B49" i="12"/>
  <c r="F48" i="12"/>
  <c r="S159" i="12" s="1"/>
  <c r="I48" i="12"/>
  <c r="B159" i="12"/>
  <c r="T159" i="12" s="1"/>
  <c r="G49" i="12" l="1"/>
  <c r="H49" i="12"/>
  <c r="D159" i="12"/>
  <c r="J159" i="12"/>
  <c r="I159" i="12"/>
  <c r="C159" i="12"/>
  <c r="N159" i="12"/>
  <c r="E159" i="12"/>
  <c r="O159" i="12"/>
  <c r="B160" i="12"/>
  <c r="T160" i="12" s="1"/>
  <c r="B50" i="12"/>
  <c r="I49" i="12"/>
  <c r="F49" i="12"/>
  <c r="S160" i="12" s="1"/>
  <c r="H50" i="12" l="1"/>
  <c r="G50" i="12"/>
  <c r="E160" i="12"/>
  <c r="O160" i="12"/>
  <c r="I160" i="12"/>
  <c r="C160" i="12"/>
  <c r="N160" i="12"/>
  <c r="D160" i="12"/>
  <c r="J160" i="12"/>
  <c r="B161" i="12"/>
  <c r="T161" i="12" s="1"/>
  <c r="B51" i="12"/>
  <c r="I50" i="12"/>
  <c r="F50" i="12"/>
  <c r="S161" i="12" s="1"/>
  <c r="H51" i="12" l="1"/>
  <c r="G51" i="12"/>
  <c r="D161" i="12"/>
  <c r="J161" i="12"/>
  <c r="N161" i="12"/>
  <c r="C161" i="12"/>
  <c r="I161" i="12"/>
  <c r="O161" i="12"/>
  <c r="E161" i="12"/>
  <c r="B52" i="12"/>
  <c r="F51" i="12"/>
  <c r="S162" i="12" s="1"/>
  <c r="I51" i="12"/>
  <c r="B162" i="12"/>
  <c r="T162" i="12" s="1"/>
  <c r="H52" i="12" l="1"/>
  <c r="G52" i="12"/>
  <c r="O162" i="12"/>
  <c r="E162" i="12"/>
  <c r="J162" i="12"/>
  <c r="D162" i="12"/>
  <c r="N162" i="12"/>
  <c r="I162" i="12"/>
  <c r="C162" i="12"/>
  <c r="B163" i="12"/>
  <c r="T163" i="12" s="1"/>
  <c r="B53" i="12"/>
  <c r="F52" i="12"/>
  <c r="S163" i="12" s="1"/>
  <c r="I52" i="12"/>
  <c r="H53" i="12" l="1"/>
  <c r="G53" i="12"/>
  <c r="E163" i="12"/>
  <c r="O163" i="12"/>
  <c r="I163" i="12"/>
  <c r="C163" i="12"/>
  <c r="N163" i="12"/>
  <c r="D163" i="12"/>
  <c r="J163" i="12"/>
  <c r="B164" i="12"/>
  <c r="T164" i="12" s="1"/>
  <c r="B54" i="12"/>
  <c r="F53" i="12"/>
  <c r="S164" i="12" s="1"/>
  <c r="I53" i="12"/>
  <c r="G54" i="12" l="1"/>
  <c r="H54" i="12"/>
  <c r="J164" i="12"/>
  <c r="D164" i="12"/>
  <c r="E164" i="12"/>
  <c r="O164" i="12"/>
  <c r="I164" i="12"/>
  <c r="C164" i="12"/>
  <c r="N164" i="12"/>
  <c r="B55" i="12"/>
  <c r="F54" i="12"/>
  <c r="S165" i="12" s="1"/>
  <c r="B165" i="12"/>
  <c r="T165" i="12" s="1"/>
  <c r="I54" i="12"/>
  <c r="H55" i="12" l="1"/>
  <c r="G55" i="12"/>
  <c r="O165" i="12"/>
  <c r="E165" i="12"/>
  <c r="N165" i="12"/>
  <c r="C165" i="12"/>
  <c r="I165" i="12"/>
  <c r="J165" i="12"/>
  <c r="D165" i="12"/>
  <c r="B56" i="12"/>
  <c r="I55" i="12"/>
  <c r="F55" i="12"/>
  <c r="S166" i="12" s="1"/>
  <c r="B166" i="12"/>
  <c r="T166" i="12" s="1"/>
  <c r="H56" i="12" l="1"/>
  <c r="G56" i="12"/>
  <c r="N166" i="12"/>
  <c r="C166" i="12"/>
  <c r="I166" i="12"/>
  <c r="E166" i="12"/>
  <c r="O166" i="12"/>
  <c r="J166" i="12"/>
  <c r="D166" i="12"/>
  <c r="B167" i="12"/>
  <c r="T167" i="12" s="1"/>
  <c r="B57" i="12"/>
  <c r="F56" i="12"/>
  <c r="S167" i="12" s="1"/>
  <c r="I56" i="12"/>
  <c r="G57" i="12" l="1"/>
  <c r="H57" i="12"/>
  <c r="J167" i="12"/>
  <c r="D167" i="12"/>
  <c r="I167" i="12"/>
  <c r="C167" i="12"/>
  <c r="N167" i="12"/>
  <c r="O167" i="12"/>
  <c r="E167" i="12"/>
  <c r="B168" i="12"/>
  <c r="T168" i="12" s="1"/>
  <c r="B58" i="12"/>
  <c r="F57" i="12"/>
  <c r="S168" i="12" s="1"/>
  <c r="I57" i="12"/>
  <c r="G58" i="12" l="1"/>
  <c r="H58" i="12"/>
  <c r="D168" i="12"/>
  <c r="J168" i="12"/>
  <c r="E168" i="12"/>
  <c r="O168" i="12"/>
  <c r="I168" i="12"/>
  <c r="N168" i="12"/>
  <c r="C168" i="12"/>
  <c r="B59" i="12"/>
  <c r="F58" i="12"/>
  <c r="S169" i="12" s="1"/>
  <c r="B169" i="12"/>
  <c r="T169" i="12" s="1"/>
  <c r="I58" i="12"/>
  <c r="H59" i="12" l="1"/>
  <c r="G59" i="12"/>
  <c r="N169" i="12"/>
  <c r="C169" i="12"/>
  <c r="I169" i="12"/>
  <c r="O169" i="12"/>
  <c r="E169" i="12"/>
  <c r="D169" i="12"/>
  <c r="J169" i="12"/>
  <c r="B60" i="12"/>
  <c r="I59" i="12"/>
  <c r="F59" i="12"/>
  <c r="S170" i="12" s="1"/>
  <c r="B170" i="12"/>
  <c r="T170" i="12" s="1"/>
  <c r="G60" i="12" l="1"/>
  <c r="H60" i="12"/>
  <c r="N170" i="12"/>
  <c r="C170" i="12"/>
  <c r="I170" i="12"/>
  <c r="D170" i="12"/>
  <c r="J170" i="12"/>
  <c r="E170" i="12"/>
  <c r="O170" i="12"/>
  <c r="B171" i="12"/>
  <c r="T171" i="12" s="1"/>
  <c r="B61" i="12"/>
  <c r="I60" i="12"/>
  <c r="F60" i="12"/>
  <c r="S171" i="12" s="1"/>
  <c r="H61" i="12" l="1"/>
  <c r="G61" i="12"/>
  <c r="O171" i="12"/>
  <c r="E171" i="12"/>
  <c r="D171" i="12"/>
  <c r="J171" i="12"/>
  <c r="I171" i="12"/>
  <c r="N171" i="12"/>
  <c r="C171" i="12"/>
  <c r="B172" i="12"/>
  <c r="T172" i="12" s="1"/>
  <c r="B62" i="12"/>
  <c r="F61" i="12"/>
  <c r="S172" i="12" s="1"/>
  <c r="I61" i="12"/>
  <c r="H62" i="12" l="1"/>
  <c r="G62" i="12"/>
  <c r="J172" i="12"/>
  <c r="D172" i="12"/>
  <c r="O172" i="12"/>
  <c r="E172" i="12"/>
  <c r="I172" i="12"/>
  <c r="C172" i="12"/>
  <c r="N172" i="12"/>
  <c r="B63" i="12"/>
  <c r="F62" i="12"/>
  <c r="S173" i="12" s="1"/>
  <c r="I62" i="12"/>
  <c r="B173" i="12"/>
  <c r="T173" i="12" s="1"/>
  <c r="H63" i="12" l="1"/>
  <c r="G63" i="12"/>
  <c r="J173" i="12"/>
  <c r="D173" i="12"/>
  <c r="N173" i="12"/>
  <c r="I173" i="12"/>
  <c r="C173" i="12"/>
  <c r="O173" i="12"/>
  <c r="E173" i="12"/>
  <c r="B64" i="12"/>
  <c r="I63" i="12"/>
  <c r="B174" i="12"/>
  <c r="T174" i="12" s="1"/>
  <c r="F63" i="12"/>
  <c r="S174" i="12" s="1"/>
  <c r="H64" i="12" l="1"/>
  <c r="G64" i="12"/>
  <c r="N174" i="12"/>
  <c r="C174" i="12"/>
  <c r="I174" i="12"/>
  <c r="E174" i="12"/>
  <c r="O174" i="12"/>
  <c r="D174" i="12"/>
  <c r="J174" i="12"/>
  <c r="B65" i="12"/>
  <c r="F64" i="12"/>
  <c r="S175" i="12" s="1"/>
  <c r="I64" i="12"/>
  <c r="B175" i="12"/>
  <c r="T175" i="12" s="1"/>
  <c r="G65" i="12" l="1"/>
  <c r="H65" i="12"/>
  <c r="E175" i="12"/>
  <c r="O175" i="12"/>
  <c r="J175" i="12"/>
  <c r="D175" i="12"/>
  <c r="I175" i="12"/>
  <c r="N175" i="12"/>
  <c r="C175" i="12"/>
  <c r="I65" i="12"/>
  <c r="I66" i="12" s="1"/>
  <c r="F65" i="12"/>
  <c r="S176" i="12" s="1"/>
  <c r="B176" i="12"/>
  <c r="T176" i="12" s="1"/>
  <c r="B66" i="12"/>
  <c r="T180" i="12" l="1"/>
  <c r="O180" i="12"/>
  <c r="J180" i="12"/>
  <c r="D180" i="12"/>
  <c r="F66" i="12"/>
  <c r="T121" i="12" s="1"/>
  <c r="I176" i="12"/>
  <c r="C176" i="12"/>
  <c r="N176" i="12"/>
  <c r="E176" i="12"/>
  <c r="O176" i="12"/>
  <c r="D176" i="12"/>
  <c r="J176" i="12"/>
  <c r="M20" i="12"/>
  <c r="T127" i="12" l="1"/>
  <c r="T128" i="12"/>
  <c r="T129" i="12"/>
  <c r="T130" i="12"/>
  <c r="T131" i="12"/>
  <c r="T132" i="12"/>
  <c r="T133" i="12"/>
  <c r="T134" i="12"/>
  <c r="T135" i="12"/>
  <c r="T136" i="12"/>
  <c r="T137" i="12"/>
  <c r="T138" i="12"/>
  <c r="M7" i="12"/>
  <c r="T187" i="12" l="1" a="1"/>
  <c r="T187" i="12" s="1"/>
  <c r="T186" i="12" a="1"/>
  <c r="T186" i="12" s="1"/>
  <c r="K7" i="12" s="1"/>
  <c r="T183" i="12" a="1"/>
  <c r="T183" i="12" s="1"/>
  <c r="I7" i="12" s="1"/>
  <c r="K153" i="12"/>
  <c r="K154" i="12"/>
  <c r="K155" i="12"/>
  <c r="K148" i="12"/>
  <c r="K151" i="12"/>
  <c r="K152" i="12"/>
  <c r="K142" i="12"/>
  <c r="K147" i="12"/>
  <c r="K145" i="12"/>
  <c r="K140" i="12"/>
  <c r="K150" i="12"/>
  <c r="K144" i="12"/>
  <c r="K146" i="12"/>
  <c r="K143" i="12"/>
  <c r="K156" i="12"/>
  <c r="K149" i="12"/>
  <c r="K141" i="12"/>
  <c r="K139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P153" i="12"/>
  <c r="P154" i="12"/>
  <c r="P155" i="12"/>
  <c r="P150" i="12"/>
  <c r="P142" i="12"/>
  <c r="P139" i="12"/>
  <c r="P149" i="12"/>
  <c r="P141" i="12"/>
  <c r="P152" i="12"/>
  <c r="P156" i="12"/>
  <c r="P151" i="12"/>
  <c r="P144" i="12"/>
  <c r="P140" i="12"/>
  <c r="P148" i="12"/>
  <c r="P143" i="12"/>
  <c r="P145" i="12"/>
  <c r="P147" i="12"/>
  <c r="P14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T184" i="12" l="1"/>
  <c r="J7" i="12" s="1"/>
  <c r="J42" i="12"/>
  <c r="J43" i="12"/>
  <c r="J44" i="12"/>
  <c r="J45" i="12"/>
  <c r="J34" i="12"/>
  <c r="J46" i="12"/>
  <c r="J29" i="12"/>
  <c r="J35" i="12"/>
  <c r="J30" i="12"/>
  <c r="J36" i="12"/>
  <c r="J31" i="12"/>
  <c r="J37" i="12"/>
  <c r="J32" i="12"/>
  <c r="J38" i="12"/>
  <c r="J39" i="12"/>
  <c r="J33" i="12"/>
  <c r="J41" i="12"/>
  <c r="J28" i="12"/>
  <c r="J40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T188" i="12" l="1"/>
  <c r="L7" i="12" s="1"/>
  <c r="O137" i="12" l="1"/>
  <c r="E137" i="12"/>
  <c r="O133" i="12"/>
  <c r="E133" i="12"/>
  <c r="E128" i="12"/>
  <c r="O128" i="12"/>
  <c r="D138" i="12"/>
  <c r="J138" i="12"/>
  <c r="D136" i="12"/>
  <c r="J136" i="12"/>
  <c r="E132" i="12"/>
  <c r="O132" i="12"/>
  <c r="O127" i="12"/>
  <c r="E127" i="12"/>
  <c r="H66" i="12"/>
  <c r="E136" i="12"/>
  <c r="O136" i="12"/>
  <c r="J132" i="12"/>
  <c r="D132" i="12"/>
  <c r="D128" i="12"/>
  <c r="J128" i="12"/>
  <c r="E135" i="12"/>
  <c r="O135" i="12"/>
  <c r="E131" i="12"/>
  <c r="O131" i="12"/>
  <c r="D127" i="12"/>
  <c r="J127" i="12"/>
  <c r="G66" i="12"/>
  <c r="D135" i="12"/>
  <c r="J135" i="12"/>
  <c r="J131" i="12"/>
  <c r="D131" i="12"/>
  <c r="J130" i="12"/>
  <c r="D130" i="12"/>
  <c r="O138" i="12"/>
  <c r="E138" i="12"/>
  <c r="D134" i="12"/>
  <c r="J134" i="12"/>
  <c r="D129" i="12"/>
  <c r="J129" i="12"/>
  <c r="E134" i="12"/>
  <c r="O134" i="12"/>
  <c r="O130" i="12"/>
  <c r="E130" i="12"/>
  <c r="D137" i="12"/>
  <c r="J137" i="12"/>
  <c r="J133" i="12"/>
  <c r="D133" i="12"/>
  <c r="E129" i="12"/>
  <c r="O129" i="12"/>
  <c r="K121" i="12" l="1" a="1"/>
  <c r="K121" i="12" s="1"/>
  <c r="K20" i="8"/>
  <c r="K21" i="8"/>
  <c r="L20" i="8"/>
  <c r="L21" i="8"/>
  <c r="P121" i="12" a="1"/>
  <c r="P122" i="12" s="1"/>
  <c r="O6" i="12" s="1"/>
  <c r="D121" i="12" a="1"/>
  <c r="D121" i="12" s="1"/>
  <c r="E124" i="12"/>
  <c r="K122" i="12" l="1"/>
  <c r="N5" i="12" s="1"/>
  <c r="D123" i="12"/>
  <c r="O4" i="12" s="1"/>
  <c r="M18" i="12" s="1"/>
  <c r="D122" i="12"/>
  <c r="N4" i="12" s="1"/>
  <c r="M17" i="12" s="1"/>
  <c r="P121" i="12"/>
  <c r="P128" i="12" s="1"/>
  <c r="M4" i="12"/>
  <c r="M16" i="12" s="1"/>
  <c r="M5" i="12"/>
  <c r="K137" i="12"/>
  <c r="K130" i="12"/>
  <c r="K134" i="12"/>
  <c r="K133" i="12"/>
  <c r="K132" i="12"/>
  <c r="K128" i="12" l="1"/>
  <c r="K131" i="12"/>
  <c r="K136" i="12"/>
  <c r="K127" i="12"/>
  <c r="K138" i="12"/>
  <c r="K135" i="12"/>
  <c r="K129" i="12"/>
  <c r="J187" i="12" s="1" a="1"/>
  <c r="J187" i="12" s="1"/>
  <c r="J188" i="12" s="1"/>
  <c r="L5" i="12" s="1"/>
  <c r="P136" i="12"/>
  <c r="P131" i="12"/>
  <c r="P130" i="12"/>
  <c r="F138" i="12"/>
  <c r="M6" i="12"/>
  <c r="F137" i="12"/>
  <c r="F131" i="12"/>
  <c r="F135" i="12"/>
  <c r="F129" i="12"/>
  <c r="F132" i="12"/>
  <c r="F134" i="12"/>
  <c r="F130" i="12"/>
  <c r="F128" i="12"/>
  <c r="J21" i="12"/>
  <c r="F136" i="12"/>
  <c r="F127" i="12"/>
  <c r="F133" i="12"/>
  <c r="P129" i="12"/>
  <c r="P132" i="12"/>
  <c r="P134" i="12"/>
  <c r="P138" i="12"/>
  <c r="P127" i="12"/>
  <c r="P135" i="12"/>
  <c r="P133" i="12"/>
  <c r="P137" i="12"/>
  <c r="J20" i="12"/>
  <c r="J24" i="12"/>
  <c r="J18" i="12"/>
  <c r="J27" i="12"/>
  <c r="J19" i="12"/>
  <c r="J17" i="12"/>
  <c r="J16" i="12"/>
  <c r="J23" i="12"/>
  <c r="J26" i="12"/>
  <c r="J25" i="12"/>
  <c r="J22" i="12"/>
  <c r="J183" i="12" l="1" a="1"/>
  <c r="J183" i="12" s="1"/>
  <c r="J184" i="12" s="1"/>
  <c r="J5" i="12" s="1"/>
  <c r="J186" i="12" a="1"/>
  <c r="J186" i="12" s="1"/>
  <c r="K5" i="12" s="1"/>
  <c r="D186" i="12" a="1"/>
  <c r="D186" i="12" s="1"/>
  <c r="K4" i="12" s="1"/>
  <c r="D183" i="12"/>
  <c r="D184" i="12" s="1"/>
  <c r="J4" i="12" s="1"/>
  <c r="O187" i="12" a="1"/>
  <c r="O187" i="12" s="1"/>
  <c r="O188" i="12" s="1"/>
  <c r="L6" i="12" s="1"/>
  <c r="D187" i="12" a="1"/>
  <c r="D187" i="12" s="1"/>
  <c r="D188" i="12" s="1"/>
  <c r="L4" i="12" s="1"/>
  <c r="O186" i="12" a="1"/>
  <c r="O186" i="12" s="1"/>
  <c r="K6" i="12" s="1"/>
  <c r="O183" i="12" a="1"/>
  <c r="O183" i="12" s="1"/>
  <c r="I6" i="12" s="1"/>
  <c r="M26" i="12" a="1"/>
  <c r="M26" i="12" s="1"/>
  <c r="N26" i="12" s="1"/>
  <c r="M23" i="12"/>
  <c r="M29" i="12" a="1"/>
  <c r="M29" i="12" s="1"/>
  <c r="J66" i="12"/>
  <c r="I5" i="12" l="1"/>
  <c r="I4" i="12"/>
  <c r="O184" i="12"/>
  <c r="J6" i="12" s="1"/>
  <c r="E9" i="12" s="1"/>
  <c r="M31" i="12"/>
  <c r="N31" i="12" s="1"/>
  <c r="M30" i="12"/>
  <c r="N30" i="12" s="1"/>
  <c r="M24" i="12"/>
  <c r="N24" i="12" s="1"/>
  <c r="N23" i="12"/>
</calcChain>
</file>

<file path=xl/sharedStrings.xml><?xml version="1.0" encoding="utf-8"?>
<sst xmlns="http://schemas.openxmlformats.org/spreadsheetml/2006/main" count="156" uniqueCount="92">
  <si>
    <t>WBAN</t>
  </si>
  <si>
    <t>USAF-WBAN</t>
  </si>
  <si>
    <t>USAF</t>
  </si>
  <si>
    <t>STATION NAME</t>
  </si>
  <si>
    <t>LAT</t>
  </si>
  <si>
    <t>LON</t>
  </si>
  <si>
    <t>ELEV(.1M)</t>
  </si>
  <si>
    <t>Massaged data points</t>
  </si>
  <si>
    <t>Missing Data</t>
  </si>
  <si>
    <t>Start</t>
  </si>
  <si>
    <t>Station</t>
  </si>
  <si>
    <t>Missing Data (%)</t>
  </si>
  <si>
    <t>Massaged data points (%)</t>
  </si>
  <si>
    <t>Data Points</t>
  </si>
  <si>
    <t>Column</t>
  </si>
  <si>
    <t>Date</t>
  </si>
  <si>
    <t>Points</t>
  </si>
  <si>
    <t>NEW YORK/JOHN F. KE</t>
  </si>
  <si>
    <t>NEW YORK/LA GUARDIA</t>
  </si>
  <si>
    <t>NYC CENTRAL PARK</t>
  </si>
  <si>
    <t>NEW YORK CENTRAL PARK</t>
  </si>
  <si>
    <t>ATLANTIC CITY INTL</t>
  </si>
  <si>
    <t>NEWARK INTL AIRPORT</t>
  </si>
  <si>
    <t>State</t>
  </si>
  <si>
    <t>NY</t>
  </si>
  <si>
    <t>NJ</t>
  </si>
  <si>
    <t>Interpolated Data</t>
  </si>
  <si>
    <t>Ratio</t>
  </si>
  <si>
    <t>Year</t>
  </si>
  <si>
    <t>Coverage</t>
  </si>
  <si>
    <t>Results</t>
  </si>
  <si>
    <t>Temperatures are the daily averages, usually based on 24 readings in a day (one per hour)</t>
  </si>
  <si>
    <t>T DB (°F)</t>
  </si>
  <si>
    <t>Select Weather Station</t>
  </si>
  <si>
    <t>Actual daily temperatures</t>
  </si>
  <si>
    <t>Yearly Coverage for the station</t>
  </si>
  <si>
    <t>Note: Start of billing period N shall be on the same day as end of billing period N-1 (overlap)</t>
  </si>
  <si>
    <t>X</t>
  </si>
  <si>
    <t>Y</t>
  </si>
  <si>
    <t>Start Date</t>
  </si>
  <si>
    <t>End Date</t>
  </si>
  <si>
    <t>Days</t>
  </si>
  <si>
    <t>HDD</t>
  </si>
  <si>
    <t>CDD</t>
  </si>
  <si>
    <t>Predicted kWh</t>
  </si>
  <si>
    <r>
      <rPr>
        <b/>
        <sz val="11"/>
        <color theme="0"/>
        <rFont val="Calibri"/>
        <family val="2"/>
      </rPr>
      <t>α</t>
    </r>
    <r>
      <rPr>
        <b/>
        <vertAlign val="subscript"/>
        <sz val="11"/>
        <color theme="0"/>
        <rFont val="Calibri"/>
        <family val="2"/>
        <scheme val="minor"/>
      </rPr>
      <t>0</t>
    </r>
  </si>
  <si>
    <r>
      <rPr>
        <b/>
        <sz val="11"/>
        <color theme="0"/>
        <rFont val="Calibri"/>
        <family val="2"/>
      </rPr>
      <t>α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</si>
  <si>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color theme="0"/>
        <rFont val="Calibri"/>
        <family val="2"/>
      </rPr>
      <t>α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</si>
  <si>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t>Pts</t>
  </si>
  <si>
    <t>Param</t>
  </si>
  <si>
    <t>R²</t>
  </si>
  <si>
    <t>Adj R²</t>
  </si>
  <si>
    <t>CV(RMSE)</t>
  </si>
  <si>
    <t>MBE</t>
  </si>
  <si>
    <t>Base Temp</t>
  </si>
  <si>
    <t>Yes</t>
  </si>
  <si>
    <t>Include</t>
  </si>
  <si>
    <t xml:space="preserve">Manual Fix Base Units/day at </t>
  </si>
  <si>
    <t>Advanced</t>
  </si>
  <si>
    <t>Notes</t>
  </si>
  <si>
    <t>if base temps are the same, it's a 4P model if both heating and cooling, 3P otherwise.</t>
  </si>
  <si>
    <t>if base temps are different with heating and cooling, it's a 5P</t>
  </si>
  <si>
    <t>Heating and Cooling</t>
  </si>
  <si>
    <t>Heating only</t>
  </si>
  <si>
    <t>Cooling Only</t>
  </si>
  <si>
    <t>Suggestion</t>
  </si>
  <si>
    <t>Model</t>
  </si>
  <si>
    <t>Base units/day</t>
  </si>
  <si>
    <t>units/HDD</t>
  </si>
  <si>
    <t>units/CDD</t>
  </si>
  <si>
    <t>units</t>
  </si>
  <si>
    <t>Predicted units</t>
  </si>
  <si>
    <t>Selected model</t>
  </si>
  <si>
    <t>Utility Bill Analysis - Multiple linear regression</t>
  </si>
  <si>
    <r>
      <rPr>
        <b/>
        <sz val="11"/>
        <rFont val="Calibri"/>
        <family val="2"/>
      </rPr>
      <t>α</t>
    </r>
    <r>
      <rPr>
        <b/>
        <vertAlign val="subscript"/>
        <sz val="11"/>
        <rFont val="Calibri"/>
        <family val="2"/>
        <scheme val="minor"/>
      </rPr>
      <t>0</t>
    </r>
  </si>
  <si>
    <r>
      <rPr>
        <b/>
        <sz val="11"/>
        <rFont val="Calibri"/>
        <family val="2"/>
      </rPr>
      <t>α</t>
    </r>
    <r>
      <rPr>
        <b/>
        <vertAlign val="subscript"/>
        <sz val="1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</si>
  <si>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rFont val="Calibri"/>
        <family val="2"/>
      </rPr>
      <t>α</t>
    </r>
    <r>
      <rPr>
        <b/>
        <vertAlign val="subscript"/>
        <sz val="1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</si>
  <si>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t>NBE</t>
  </si>
  <si>
    <t>NMBE</t>
  </si>
  <si>
    <t>Coefficients</t>
  </si>
  <si>
    <t>Value</t>
  </si>
  <si>
    <t>Unit</t>
  </si>
  <si>
    <t>CDD\HDD</t>
  </si>
  <si>
    <t># bills</t>
  </si>
  <si>
    <t>#</t>
  </si>
  <si>
    <t>Parameters</t>
  </si>
  <si>
    <t>Predicted Units</t>
  </si>
  <si>
    <t>Baseload Only</t>
  </si>
  <si>
    <t>Ȳ-Y</t>
  </si>
  <si>
    <t>Σ(ŷi-yi)</t>
  </si>
  <si>
    <t>Note: A positive NBE/NMBE means the model globally over-predicts
It is different than the definition of ASHRAE 14 (which is Σ(yi-ŷi), but it is more logical.</t>
  </si>
  <si>
    <t>Base temperatures: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</si>
</sst>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yyyy"/>
    <numFmt numFmtId="165" formatCode="#,##0.0"/>
    <numFmt numFmtId="166" formatCode="#,##0.000"/>
    <numFmt numFmtId="167" formatCode="#,##0.0000"/>
    <numFmt numFmtId="168" formatCode="#,##0.00;[Red]\-#,##0.00;&quot;-&quot;"/>
    <numFmt numFmtId="169" formatCode="#,##0;[Red]\-#,##0;&quot;-&quot;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0"/>
      <name val="Calibri"/>
      <family val="2"/>
    </font>
    <font>
      <b/>
      <vertAlign val="sub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vertAlign val="subscript"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B6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DEE7D1"/>
        <bgColor indexed="64"/>
      </patternFill>
    </fill>
    <fill>
      <patternFill patternType="solid">
        <fgColor rgb="FFE8D0D0"/>
        <bgColor indexed="64"/>
      </patternFill>
    </fill>
    <fill>
      <patternFill patternType="solid">
        <fgColor rgb="FFEFF3EA"/>
        <bgColor indexed="64"/>
      </patternFill>
    </fill>
    <fill>
      <patternFill patternType="solid">
        <fgColor rgb="FFF4E9E9"/>
        <bgColor indexed="64"/>
      </patternFill>
    </fill>
    <fill>
      <patternFill patternType="solid">
        <fgColor rgb="FFD8D3E0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EDEA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ck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/>
      <right style="thin">
        <color indexed="64"/>
      </right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/>
      <top/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10" fontId="0" fillId="0" borderId="0" xfId="0" applyNumberFormat="1"/>
    <xf numFmtId="0" fontId="0" fillId="0" borderId="0" xfId="0" applyAlignment="1">
      <alignment horizontal="left" vertical="center"/>
    </xf>
    <xf numFmtId="0" fontId="0" fillId="3" borderId="0" xfId="0" applyFill="1"/>
    <xf numFmtId="165" fontId="0" fillId="0" borderId="0" xfId="0" applyNumberFormat="1" applyAlignment="1">
      <alignment horizontal="center" vertical="center"/>
    </xf>
    <xf numFmtId="0" fontId="2" fillId="0" borderId="0" xfId="0" applyFont="1"/>
    <xf numFmtId="14" fontId="0" fillId="0" borderId="0" xfId="0" applyNumberFormat="1" applyAlignment="1">
      <alignment horizontal="center" vertical="center"/>
    </xf>
    <xf numFmtId="10" fontId="3" fillId="3" borderId="0" xfId="0" applyNumberFormat="1" applyFont="1" applyFill="1"/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64" fontId="0" fillId="7" borderId="7" xfId="0" applyNumberForma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5" borderId="0" xfId="0" applyFont="1" applyFill="1"/>
    <xf numFmtId="0" fontId="4" fillId="0" borderId="0" xfId="0" applyFont="1"/>
    <xf numFmtId="0" fontId="1" fillId="6" borderId="10" xfId="0" applyFont="1" applyFill="1" applyBorder="1"/>
    <xf numFmtId="0" fontId="0" fillId="7" borderId="7" xfId="0" applyFill="1" applyBorder="1" applyAlignment="1">
      <alignment horizontal="center" vertical="center"/>
    </xf>
    <xf numFmtId="10" fontId="0" fillId="7" borderId="9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0" fontId="0" fillId="8" borderId="6" xfId="0" applyNumberForma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5" fillId="5" borderId="0" xfId="0" applyNumberFormat="1" applyFont="1" applyFill="1"/>
    <xf numFmtId="0" fontId="6" fillId="0" borderId="0" xfId="0" applyFont="1"/>
    <xf numFmtId="14" fontId="0" fillId="0" borderId="0" xfId="0" applyNumberFormat="1" applyFill="1"/>
    <xf numFmtId="0" fontId="0" fillId="0" borderId="0" xfId="0" applyFill="1"/>
    <xf numFmtId="0" fontId="2" fillId="3" borderId="0" xfId="0" applyFont="1" applyFill="1"/>
    <xf numFmtId="0" fontId="0" fillId="3" borderId="0" xfId="0" applyFill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 wrapText="1"/>
    </xf>
    <xf numFmtId="14" fontId="0" fillId="7" borderId="8" xfId="0" applyNumberFormat="1" applyFill="1" applyBorder="1" applyAlignment="1">
      <alignment horizontal="center" vertical="center"/>
    </xf>
    <xf numFmtId="3" fontId="0" fillId="11" borderId="7" xfId="0" applyNumberFormat="1" applyFill="1" applyBorder="1" applyAlignment="1">
      <alignment horizontal="center" vertical="center"/>
    </xf>
    <xf numFmtId="3" fontId="0" fillId="11" borderId="18" xfId="0" applyNumberFormat="1" applyFill="1" applyBorder="1" applyAlignment="1">
      <alignment horizontal="center" vertical="center"/>
    </xf>
    <xf numFmtId="3" fontId="0" fillId="12" borderId="19" xfId="0" applyNumberForma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14" fontId="0" fillId="8" borderId="2" xfId="0" applyNumberFormat="1" applyFill="1" applyBorder="1" applyAlignment="1">
      <alignment horizontal="center" vertical="center"/>
    </xf>
    <xf numFmtId="3" fontId="0" fillId="13" borderId="1" xfId="0" applyNumberFormat="1" applyFill="1" applyBorder="1" applyAlignment="1">
      <alignment horizontal="center" vertical="center"/>
    </xf>
    <xf numFmtId="3" fontId="0" fillId="13" borderId="20" xfId="0" applyNumberFormat="1" applyFill="1" applyBorder="1" applyAlignment="1">
      <alignment horizontal="center" vertical="center"/>
    </xf>
    <xf numFmtId="3" fontId="0" fillId="14" borderId="21" xfId="0" applyNumberFormat="1" applyFill="1" applyBorder="1" applyAlignment="1">
      <alignment horizontal="center" vertical="center"/>
    </xf>
    <xf numFmtId="14" fontId="0" fillId="7" borderId="2" xfId="0" applyNumberFormat="1" applyFill="1" applyBorder="1" applyAlignment="1">
      <alignment horizontal="center" vertical="center"/>
    </xf>
    <xf numFmtId="3" fontId="0" fillId="11" borderId="1" xfId="0" applyNumberFormat="1" applyFill="1" applyBorder="1" applyAlignment="1">
      <alignment horizontal="center" vertical="center"/>
    </xf>
    <xf numFmtId="3" fontId="0" fillId="11" borderId="20" xfId="0" applyNumberFormat="1" applyFill="1" applyBorder="1" applyAlignment="1">
      <alignment horizontal="center" vertical="center"/>
    </xf>
    <xf numFmtId="3" fontId="0" fillId="12" borderId="21" xfId="0" applyNumberForma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4" fontId="0" fillId="8" borderId="5" xfId="0" applyNumberFormat="1" applyFill="1" applyBorder="1" applyAlignment="1">
      <alignment horizontal="center" vertical="center"/>
    </xf>
    <xf numFmtId="0" fontId="0" fillId="0" borderId="23" xfId="0" applyBorder="1"/>
    <xf numFmtId="0" fontId="0" fillId="0" borderId="0" xfId="0" applyBorder="1"/>
    <xf numFmtId="3" fontId="0" fillId="0" borderId="0" xfId="0" applyNumberFormat="1"/>
    <xf numFmtId="0" fontId="1" fillId="6" borderId="24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3" fontId="0" fillId="11" borderId="8" xfId="0" applyNumberFormat="1" applyFill="1" applyBorder="1" applyAlignment="1">
      <alignment horizontal="center" vertical="center"/>
    </xf>
    <xf numFmtId="3" fontId="0" fillId="13" borderId="2" xfId="0" applyNumberFormat="1" applyFill="1" applyBorder="1" applyAlignment="1">
      <alignment horizontal="center" vertical="center"/>
    </xf>
    <xf numFmtId="3" fontId="0" fillId="11" borderId="2" xfId="0" applyNumberFormat="1" applyFill="1" applyBorder="1" applyAlignment="1">
      <alignment horizontal="center" vertical="center"/>
    </xf>
    <xf numFmtId="0" fontId="1" fillId="9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 wrapText="1"/>
    </xf>
    <xf numFmtId="9" fontId="0" fillId="11" borderId="8" xfId="0" applyNumberFormat="1" applyFill="1" applyBorder="1" applyAlignment="1">
      <alignment horizontal="center" vertical="center"/>
    </xf>
    <xf numFmtId="9" fontId="0" fillId="13" borderId="2" xfId="0" applyNumberFormat="1" applyFill="1" applyBorder="1" applyAlignment="1">
      <alignment horizontal="center" vertical="center"/>
    </xf>
    <xf numFmtId="166" fontId="0" fillId="11" borderId="8" xfId="0" applyNumberFormat="1" applyFill="1" applyBorder="1" applyAlignment="1">
      <alignment horizontal="center" vertical="center"/>
    </xf>
    <xf numFmtId="166" fontId="0" fillId="13" borderId="2" xfId="0" applyNumberFormat="1" applyFill="1" applyBorder="1" applyAlignment="1">
      <alignment horizontal="center" vertical="center"/>
    </xf>
    <xf numFmtId="4" fontId="0" fillId="12" borderId="27" xfId="0" applyNumberFormat="1" applyFill="1" applyBorder="1" applyAlignment="1">
      <alignment horizontal="center" vertical="center"/>
    </xf>
    <xf numFmtId="0" fontId="0" fillId="12" borderId="28" xfId="0" applyFill="1" applyBorder="1"/>
    <xf numFmtId="4" fontId="0" fillId="7" borderId="15" xfId="0" applyNumberFormat="1" applyFill="1" applyBorder="1" applyAlignment="1">
      <alignment horizontal="center" vertical="center"/>
    </xf>
    <xf numFmtId="0" fontId="0" fillId="7" borderId="24" xfId="0" applyFill="1" applyBorder="1"/>
    <xf numFmtId="0" fontId="9" fillId="12" borderId="26" xfId="0" applyFont="1" applyFill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9" fontId="0" fillId="7" borderId="18" xfId="0" applyNumberFormat="1" applyFill="1" applyBorder="1" applyAlignment="1">
      <alignment horizontal="center" vertical="center"/>
    </xf>
    <xf numFmtId="9" fontId="0" fillId="8" borderId="20" xfId="0" applyNumberFormat="1" applyFill="1" applyBorder="1" applyAlignment="1">
      <alignment horizontal="center" vertical="center"/>
    </xf>
    <xf numFmtId="9" fontId="0" fillId="7" borderId="20" xfId="0" applyNumberForma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1" fillId="16" borderId="24" xfId="0" applyFont="1" applyFill="1" applyBorder="1" applyAlignment="1">
      <alignment horizontal="center" vertical="center"/>
    </xf>
    <xf numFmtId="3" fontId="0" fillId="15" borderId="7" xfId="0" applyNumberFormat="1" applyFill="1" applyBorder="1" applyAlignment="1">
      <alignment horizontal="center" vertical="center"/>
    </xf>
    <xf numFmtId="3" fontId="0" fillId="15" borderId="9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3" fontId="0" fillId="17" borderId="3" xfId="0" applyNumberFormat="1" applyFill="1" applyBorder="1" applyAlignment="1">
      <alignment horizontal="center" vertical="center"/>
    </xf>
    <xf numFmtId="3" fontId="0" fillId="15" borderId="1" xfId="0" applyNumberFormat="1" applyFill="1" applyBorder="1" applyAlignment="1">
      <alignment horizontal="center" vertical="center"/>
    </xf>
    <xf numFmtId="3" fontId="0" fillId="15" borderId="3" xfId="0" applyNumberFormat="1" applyFill="1" applyBorder="1" applyAlignment="1">
      <alignment horizontal="center" vertical="center"/>
    </xf>
    <xf numFmtId="0" fontId="9" fillId="15" borderId="29" xfId="0" applyFont="1" applyFill="1" applyBorder="1" applyAlignment="1">
      <alignment horizontal="center" vertical="center"/>
    </xf>
    <xf numFmtId="4" fontId="0" fillId="15" borderId="30" xfId="0" applyNumberFormat="1" applyFill="1" applyBorder="1" applyAlignment="1">
      <alignment horizontal="center" vertical="center"/>
    </xf>
    <xf numFmtId="0" fontId="0" fillId="15" borderId="31" xfId="0" applyFill="1" applyBorder="1"/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8" borderId="32" xfId="0" applyFont="1" applyFill="1" applyBorder="1" applyAlignment="1">
      <alignment horizontal="center" vertical="center"/>
    </xf>
    <xf numFmtId="4" fontId="0" fillId="0" borderId="3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3" fontId="0" fillId="11" borderId="3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3" fontId="0" fillId="13" borderId="3" xfId="0" applyNumberFormat="1" applyFill="1" applyBorder="1" applyAlignment="1">
      <alignment horizontal="center" vertical="center"/>
    </xf>
    <xf numFmtId="3" fontId="0" fillId="13" borderId="4" xfId="0" applyNumberFormat="1" applyFill="1" applyBorder="1" applyAlignment="1">
      <alignment horizontal="center" vertical="center"/>
    </xf>
    <xf numFmtId="3" fontId="0" fillId="13" borderId="5" xfId="0" applyNumberFormat="1" applyFill="1" applyBorder="1" applyAlignment="1">
      <alignment horizontal="center" vertical="center"/>
    </xf>
    <xf numFmtId="3" fontId="0" fillId="13" borderId="6" xfId="0" applyNumberFormat="1" applyFill="1" applyBorder="1" applyAlignment="1">
      <alignment horizontal="center" vertical="center"/>
    </xf>
    <xf numFmtId="3" fontId="0" fillId="13" borderId="22" xfId="0" applyNumberFormat="1" applyFill="1" applyBorder="1" applyAlignment="1">
      <alignment horizontal="center" vertical="center"/>
    </xf>
    <xf numFmtId="3" fontId="0" fillId="14" borderId="34" xfId="0" applyNumberFormat="1" applyFill="1" applyBorder="1" applyAlignment="1">
      <alignment horizontal="center" vertical="center"/>
    </xf>
    <xf numFmtId="3" fontId="1" fillId="9" borderId="35" xfId="0" applyNumberFormat="1" applyFont="1" applyFill="1" applyBorder="1" applyAlignment="1">
      <alignment horizontal="center" vertical="center"/>
    </xf>
    <xf numFmtId="3" fontId="1" fillId="9" borderId="36" xfId="0" applyNumberFormat="1" applyFont="1" applyFill="1" applyBorder="1" applyAlignment="1">
      <alignment horizontal="center" vertical="center"/>
    </xf>
    <xf numFmtId="3" fontId="1" fillId="9" borderId="37" xfId="0" applyNumberFormat="1" applyFont="1" applyFill="1" applyBorder="1" applyAlignment="1">
      <alignment horizontal="center" vertical="center"/>
    </xf>
    <xf numFmtId="3" fontId="1" fillId="10" borderId="33" xfId="0" applyNumberFormat="1" applyFont="1" applyFill="1" applyBorder="1" applyAlignment="1">
      <alignment horizontal="center" vertical="center"/>
    </xf>
    <xf numFmtId="0" fontId="12" fillId="0" borderId="0" xfId="0" applyFont="1"/>
    <xf numFmtId="3" fontId="0" fillId="7" borderId="9" xfId="0" applyNumberForma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3" fontId="0" fillId="7" borderId="3" xfId="0" applyNumberFormat="1" applyFill="1" applyBorder="1" applyAlignment="1">
      <alignment horizontal="center" vertical="center"/>
    </xf>
    <xf numFmtId="3" fontId="0" fillId="8" borderId="6" xfId="0" applyNumberFormat="1" applyFill="1" applyBorder="1" applyAlignment="1">
      <alignment horizontal="center" vertical="center"/>
    </xf>
    <xf numFmtId="0" fontId="1" fillId="9" borderId="38" xfId="0" applyFont="1" applyFill="1" applyBorder="1" applyAlignment="1">
      <alignment horizontal="center" vertical="center"/>
    </xf>
    <xf numFmtId="3" fontId="0" fillId="11" borderId="39" xfId="0" applyNumberFormat="1" applyFill="1" applyBorder="1" applyAlignment="1">
      <alignment horizontal="center" vertical="center"/>
    </xf>
    <xf numFmtId="3" fontId="0" fillId="13" borderId="40" xfId="0" applyNumberFormat="1" applyFill="1" applyBorder="1" applyAlignment="1">
      <alignment horizontal="center" vertical="center"/>
    </xf>
    <xf numFmtId="3" fontId="0" fillId="11" borderId="40" xfId="0" applyNumberFormat="1" applyFill="1" applyBorder="1" applyAlignment="1">
      <alignment horizontal="center" vertical="center"/>
    </xf>
    <xf numFmtId="3" fontId="0" fillId="13" borderId="41" xfId="0" applyNumberFormat="1" applyFill="1" applyBorder="1" applyAlignment="1">
      <alignment horizontal="center" vertical="center"/>
    </xf>
    <xf numFmtId="166" fontId="0" fillId="11" borderId="2" xfId="0" applyNumberFormat="1" applyFill="1" applyBorder="1" applyAlignment="1">
      <alignment horizontal="center" vertical="center"/>
    </xf>
    <xf numFmtId="9" fontId="0" fillId="11" borderId="2" xfId="0" applyNumberFormat="1" applyFill="1" applyBorder="1" applyAlignment="1">
      <alignment horizontal="center" vertical="center"/>
    </xf>
    <xf numFmtId="166" fontId="0" fillId="13" borderId="5" xfId="0" applyNumberFormat="1" applyFill="1" applyBorder="1" applyAlignment="1">
      <alignment horizontal="center" vertical="center"/>
    </xf>
    <xf numFmtId="9" fontId="0" fillId="13" borderId="5" xfId="0" applyNumberFormat="1" applyFill="1" applyBorder="1" applyAlignment="1">
      <alignment horizontal="center" vertical="center"/>
    </xf>
    <xf numFmtId="9" fontId="0" fillId="11" borderId="18" xfId="0" applyNumberFormat="1" applyFill="1" applyBorder="1" applyAlignment="1">
      <alignment horizontal="center" vertical="center"/>
    </xf>
    <xf numFmtId="9" fontId="0" fillId="13" borderId="20" xfId="0" applyNumberFormat="1" applyFill="1" applyBorder="1" applyAlignment="1">
      <alignment horizontal="center" vertical="center"/>
    </xf>
    <xf numFmtId="9" fontId="0" fillId="11" borderId="20" xfId="0" applyNumberFormat="1" applyFill="1" applyBorder="1" applyAlignment="1">
      <alignment horizontal="center" vertical="center"/>
    </xf>
    <xf numFmtId="9" fontId="0" fillId="13" borderId="22" xfId="0" applyNumberFormat="1" applyFill="1" applyBorder="1" applyAlignment="1">
      <alignment horizontal="center" vertical="center"/>
    </xf>
    <xf numFmtId="168" fontId="0" fillId="12" borderId="7" xfId="0" applyNumberFormat="1" applyFill="1" applyBorder="1" applyAlignment="1">
      <alignment horizontal="center" vertical="center"/>
    </xf>
    <xf numFmtId="168" fontId="0" fillId="12" borderId="8" xfId="0" applyNumberFormat="1" applyFill="1" applyBorder="1" applyAlignment="1">
      <alignment horizontal="center" vertical="center"/>
    </xf>
    <xf numFmtId="169" fontId="0" fillId="12" borderId="9" xfId="0" applyNumberFormat="1" applyFill="1" applyBorder="1" applyAlignment="1">
      <alignment horizontal="center" vertical="center"/>
    </xf>
    <xf numFmtId="168" fontId="0" fillId="14" borderId="1" xfId="0" applyNumberFormat="1" applyFill="1" applyBorder="1" applyAlignment="1">
      <alignment horizontal="center" vertical="center"/>
    </xf>
    <xf numFmtId="168" fontId="0" fillId="14" borderId="2" xfId="0" applyNumberFormat="1" applyFill="1" applyBorder="1" applyAlignment="1">
      <alignment horizontal="center" vertical="center"/>
    </xf>
    <xf numFmtId="168" fontId="0" fillId="14" borderId="2" xfId="0" quotePrefix="1" applyNumberFormat="1" applyFill="1" applyBorder="1" applyAlignment="1">
      <alignment horizontal="center" vertical="center"/>
    </xf>
    <xf numFmtId="169" fontId="0" fillId="14" borderId="3" xfId="0" applyNumberFormat="1" applyFill="1" applyBorder="1" applyAlignment="1">
      <alignment horizontal="center" vertical="center"/>
    </xf>
    <xf numFmtId="168" fontId="0" fillId="12" borderId="1" xfId="0" applyNumberFormat="1" applyFill="1" applyBorder="1" applyAlignment="1">
      <alignment horizontal="center" vertical="center"/>
    </xf>
    <xf numFmtId="168" fontId="0" fillId="12" borderId="2" xfId="0" quotePrefix="1" applyNumberFormat="1" applyFill="1" applyBorder="1" applyAlignment="1">
      <alignment horizontal="center" vertical="center"/>
    </xf>
    <xf numFmtId="168" fontId="0" fillId="12" borderId="2" xfId="0" applyNumberFormat="1" applyFill="1" applyBorder="1" applyAlignment="1">
      <alignment horizontal="center" vertical="center"/>
    </xf>
    <xf numFmtId="169" fontId="0" fillId="12" borderId="3" xfId="0" quotePrefix="1" applyNumberFormat="1" applyFill="1" applyBorder="1" applyAlignment="1">
      <alignment horizontal="center" vertical="center"/>
    </xf>
    <xf numFmtId="168" fontId="0" fillId="14" borderId="4" xfId="0" applyNumberFormat="1" applyFill="1" applyBorder="1" applyAlignment="1">
      <alignment horizontal="center" vertical="center"/>
    </xf>
    <xf numFmtId="168" fontId="0" fillId="14" borderId="5" xfId="0" applyNumberFormat="1" applyFill="1" applyBorder="1" applyAlignment="1">
      <alignment horizontal="center" vertical="center"/>
    </xf>
    <xf numFmtId="168" fontId="0" fillId="14" borderId="5" xfId="0" quotePrefix="1" applyNumberFormat="1" applyFill="1" applyBorder="1" applyAlignment="1">
      <alignment horizontal="center" vertical="center"/>
    </xf>
    <xf numFmtId="169" fontId="0" fillId="14" borderId="6" xfId="0" applyNumberForma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4" borderId="0" xfId="0" applyFill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13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4" fontId="14" fillId="0" borderId="0" xfId="0" applyNumberFormat="1" applyFont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/>
    </xf>
    <xf numFmtId="0" fontId="1" fillId="9" borderId="15" xfId="0" applyFont="1" applyFill="1" applyBorder="1" applyAlignment="1">
      <alignment horizont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/>
    </xf>
    <xf numFmtId="0" fontId="14" fillId="0" borderId="0" xfId="0" applyFon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DB69"/>
      <color rgb="FFFFDB6E"/>
      <color rgb="FFFFD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v.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Regression!$I$15</c:f>
              <c:strCache>
                <c:ptCount val="1"/>
                <c:pt idx="0">
                  <c:v>units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Regression!End_Date</c:f>
              <c:numCache>
                <c:formatCode>m/d/yyyy</c:formatCode>
                <c:ptCount val="12"/>
                <c:pt idx="0">
                  <c:v>41724</c:v>
                </c:pt>
                <c:pt idx="1">
                  <c:v>41695</c:v>
                </c:pt>
                <c:pt idx="2">
                  <c:v>41663</c:v>
                </c:pt>
                <c:pt idx="3">
                  <c:v>41631</c:v>
                </c:pt>
                <c:pt idx="4">
                  <c:v>41599</c:v>
                </c:pt>
                <c:pt idx="5">
                  <c:v>41569</c:v>
                </c:pt>
                <c:pt idx="6">
                  <c:v>41540</c:v>
                </c:pt>
                <c:pt idx="7">
                  <c:v>41508</c:v>
                </c:pt>
                <c:pt idx="8">
                  <c:v>41479</c:v>
                </c:pt>
                <c:pt idx="9">
                  <c:v>41449</c:v>
                </c:pt>
                <c:pt idx="10">
                  <c:v>41417</c:v>
                </c:pt>
                <c:pt idx="11">
                  <c:v>41388</c:v>
                </c:pt>
              </c:numCache>
            </c:numRef>
          </c:cat>
          <c:val>
            <c:numRef>
              <c:f>Regression!Y</c:f>
              <c:numCache>
                <c:formatCode>#,##0</c:formatCode>
                <c:ptCount val="12"/>
                <c:pt idx="0">
                  <c:v>12880</c:v>
                </c:pt>
                <c:pt idx="1">
                  <c:v>16880</c:v>
                </c:pt>
                <c:pt idx="2">
                  <c:v>18480</c:v>
                </c:pt>
                <c:pt idx="3">
                  <c:v>13520</c:v>
                </c:pt>
                <c:pt idx="4">
                  <c:v>13280</c:v>
                </c:pt>
                <c:pt idx="5">
                  <c:v>11520</c:v>
                </c:pt>
                <c:pt idx="6">
                  <c:v>15040</c:v>
                </c:pt>
                <c:pt idx="7">
                  <c:v>14400</c:v>
                </c:pt>
                <c:pt idx="8">
                  <c:v>22720</c:v>
                </c:pt>
                <c:pt idx="9">
                  <c:v>14720</c:v>
                </c:pt>
                <c:pt idx="10">
                  <c:v>10560</c:v>
                </c:pt>
                <c:pt idx="11">
                  <c:v>12080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A-4883-8514-CCEF2A9A5159}"/>
            </c:ext>
          </c:extLst>
        </c:ser>
        <c:ser>
          <c:idx val="1"/>
          <c:order val="1"/>
          <c:tx>
            <c:strRef>
              <c:f>Regression!$J$15</c:f>
              <c:strCache>
                <c:ptCount val="1"/>
                <c:pt idx="0">
                  <c:v>Predicted units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Regression!End_Date</c:f>
              <c:numCache>
                <c:formatCode>m/d/yyyy</c:formatCode>
                <c:ptCount val="12"/>
                <c:pt idx="0">
                  <c:v>41724</c:v>
                </c:pt>
                <c:pt idx="1">
                  <c:v>41695</c:v>
                </c:pt>
                <c:pt idx="2">
                  <c:v>41663</c:v>
                </c:pt>
                <c:pt idx="3">
                  <c:v>41631</c:v>
                </c:pt>
                <c:pt idx="4">
                  <c:v>41599</c:v>
                </c:pt>
                <c:pt idx="5">
                  <c:v>41569</c:v>
                </c:pt>
                <c:pt idx="6">
                  <c:v>41540</c:v>
                </c:pt>
                <c:pt idx="7">
                  <c:v>41508</c:v>
                </c:pt>
                <c:pt idx="8">
                  <c:v>41479</c:v>
                </c:pt>
                <c:pt idx="9">
                  <c:v>41449</c:v>
                </c:pt>
                <c:pt idx="10">
                  <c:v>41417</c:v>
                </c:pt>
                <c:pt idx="11">
                  <c:v>41388</c:v>
                </c:pt>
              </c:numCache>
            </c:numRef>
          </c:cat>
          <c:val>
            <c:numRef>
              <c:f>Regression!Y_Pred</c:f>
              <c:numCache>
                <c:formatCode>#,##0</c:formatCode>
                <c:ptCount val="12"/>
                <c:pt idx="0">
                  <c:v>14504.620673087727</c:v>
                </c:pt>
                <c:pt idx="1">
                  <c:v>16801.371426681631</c:v>
                </c:pt>
                <c:pt idx="2">
                  <c:v>16624.07505124373</c:v>
                </c:pt>
                <c:pt idx="3">
                  <c:v>15144.090413723075</c:v>
                </c:pt>
                <c:pt idx="4">
                  <c:v>12158.728017167847</c:v>
                </c:pt>
                <c:pt idx="5">
                  <c:v>10407.798002659891</c:v>
                </c:pt>
                <c:pt idx="6">
                  <c:v>15473.641469868069</c:v>
                </c:pt>
                <c:pt idx="7">
                  <c:v>15747.671387596791</c:v>
                </c:pt>
                <c:pt idx="8">
                  <c:v>21709.696409389537</c:v>
                </c:pt>
                <c:pt idx="9">
                  <c:v>15132.715572538786</c:v>
                </c:pt>
                <c:pt idx="10">
                  <c:v>10704.402053678734</c:v>
                </c:pt>
                <c:pt idx="11">
                  <c:v>11689.254824822019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A-4883-8514-CCEF2A9A5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4984"/>
        <c:axId val="515554000"/>
      </c:barChart>
      <c:dateAx>
        <c:axId val="515544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4000"/>
        <c:crosses val="autoZero"/>
        <c:auto val="1"/>
        <c:lblOffset val="100"/>
        <c:baseTimeUnit val="months"/>
      </c:dateAx>
      <c:valAx>
        <c:axId val="51555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4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Model v. Data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Regression!$I$15</c:f>
              <c:strCache>
                <c:ptCount val="1"/>
                <c:pt idx="0">
                  <c:v>units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Regression!End_Date</c:f>
              <c:numCache>
                <c:formatCode>m/d/yyyy</c:formatCode>
                <c:ptCount val="12"/>
                <c:pt idx="0">
                  <c:v>41724</c:v>
                </c:pt>
                <c:pt idx="1">
                  <c:v>41695</c:v>
                </c:pt>
                <c:pt idx="2">
                  <c:v>41663</c:v>
                </c:pt>
                <c:pt idx="3">
                  <c:v>41631</c:v>
                </c:pt>
                <c:pt idx="4">
                  <c:v>41599</c:v>
                </c:pt>
                <c:pt idx="5">
                  <c:v>41569</c:v>
                </c:pt>
                <c:pt idx="6">
                  <c:v>41540</c:v>
                </c:pt>
                <c:pt idx="7">
                  <c:v>41508</c:v>
                </c:pt>
                <c:pt idx="8">
                  <c:v>41479</c:v>
                </c:pt>
                <c:pt idx="9">
                  <c:v>41449</c:v>
                </c:pt>
                <c:pt idx="10">
                  <c:v>41417</c:v>
                </c:pt>
                <c:pt idx="11">
                  <c:v>41388</c:v>
                </c:pt>
              </c:numCache>
            </c:numRef>
          </c:xVal>
          <c:yVal>
            <c:numRef>
              <c:f>Regression!Y</c:f>
              <c:numCache>
                <c:formatCode>#,##0</c:formatCode>
                <c:ptCount val="12"/>
                <c:pt idx="0">
                  <c:v>12880</c:v>
                </c:pt>
                <c:pt idx="1">
                  <c:v>16880</c:v>
                </c:pt>
                <c:pt idx="2">
                  <c:v>18480</c:v>
                </c:pt>
                <c:pt idx="3">
                  <c:v>13520</c:v>
                </c:pt>
                <c:pt idx="4">
                  <c:v>13280</c:v>
                </c:pt>
                <c:pt idx="5">
                  <c:v>11520</c:v>
                </c:pt>
                <c:pt idx="6">
                  <c:v>15040</c:v>
                </c:pt>
                <c:pt idx="7">
                  <c:v>14400</c:v>
                </c:pt>
                <c:pt idx="8">
                  <c:v>22720</c:v>
                </c:pt>
                <c:pt idx="9">
                  <c:v>14720</c:v>
                </c:pt>
                <c:pt idx="10">
                  <c:v>10560</c:v>
                </c:pt>
                <c:pt idx="11">
                  <c:v>12080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0-498D-92BC-6874F52D7E74}"/>
            </c:ext>
          </c:extLst>
        </c:ser>
        <c:ser>
          <c:idx val="1"/>
          <c:order val="1"/>
          <c:tx>
            <c:strRef>
              <c:f>Regression!$J$15</c:f>
              <c:strCache>
                <c:ptCount val="1"/>
                <c:pt idx="0">
                  <c:v>Predicted units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Regression!End_Date</c:f>
              <c:numCache>
                <c:formatCode>m/d/yyyy</c:formatCode>
                <c:ptCount val="12"/>
                <c:pt idx="0">
                  <c:v>41724</c:v>
                </c:pt>
                <c:pt idx="1">
                  <c:v>41695</c:v>
                </c:pt>
                <c:pt idx="2">
                  <c:v>41663</c:v>
                </c:pt>
                <c:pt idx="3">
                  <c:v>41631</c:v>
                </c:pt>
                <c:pt idx="4">
                  <c:v>41599</c:v>
                </c:pt>
                <c:pt idx="5">
                  <c:v>41569</c:v>
                </c:pt>
                <c:pt idx="6">
                  <c:v>41540</c:v>
                </c:pt>
                <c:pt idx="7">
                  <c:v>41508</c:v>
                </c:pt>
                <c:pt idx="8">
                  <c:v>41479</c:v>
                </c:pt>
                <c:pt idx="9">
                  <c:v>41449</c:v>
                </c:pt>
                <c:pt idx="10">
                  <c:v>41417</c:v>
                </c:pt>
                <c:pt idx="11">
                  <c:v>41388</c:v>
                </c:pt>
              </c:numCache>
            </c:numRef>
          </c:xVal>
          <c:yVal>
            <c:numRef>
              <c:f>Regression!Y_Pred</c:f>
              <c:numCache>
                <c:formatCode>#,##0</c:formatCode>
                <c:ptCount val="12"/>
                <c:pt idx="0">
                  <c:v>14504.620673087727</c:v>
                </c:pt>
                <c:pt idx="1">
                  <c:v>16801.371426681631</c:v>
                </c:pt>
                <c:pt idx="2">
                  <c:v>16624.07505124373</c:v>
                </c:pt>
                <c:pt idx="3">
                  <c:v>15144.090413723075</c:v>
                </c:pt>
                <c:pt idx="4">
                  <c:v>12158.728017167847</c:v>
                </c:pt>
                <c:pt idx="5">
                  <c:v>10407.798002659891</c:v>
                </c:pt>
                <c:pt idx="6">
                  <c:v>15473.641469868069</c:v>
                </c:pt>
                <c:pt idx="7">
                  <c:v>15747.671387596791</c:v>
                </c:pt>
                <c:pt idx="8">
                  <c:v>21709.696409389537</c:v>
                </c:pt>
                <c:pt idx="9">
                  <c:v>15132.715572538786</c:v>
                </c:pt>
                <c:pt idx="10">
                  <c:v>10704.402053678734</c:v>
                </c:pt>
                <c:pt idx="11">
                  <c:v>11689.254824822019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20-498D-92BC-6874F52D7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51648"/>
        <c:axId val="515545376"/>
      </c:scatterChart>
      <c:valAx>
        <c:axId val="5155516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5376"/>
        <c:crosses val="autoZero"/>
        <c:crossBetween val="midCat"/>
      </c:valAx>
      <c:valAx>
        <c:axId val="51554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577850</xdr:colOff>
      <xdr:row>0</xdr:row>
      <xdr:rowOff>196850</xdr:rowOff>
    </xdr:from>
    <xdr:to>
      <xdr:col>12</xdr:col>
      <xdr:colOff>0</xdr:colOff>
      <xdr:row>3</xdr:row>
      <xdr:rowOff>0</xdr:rowOff>
    </xdr:to>
    <xdr:sp macro="[0]!RunPython_And_ImportAllWeather" textlink="">
      <xdr:nvSpPr>
        <xdr:cNvPr id="2" name="Rounded Rectangle 1"/>
        <xdr:cNvSpPr/>
      </xdr:nvSpPr>
      <xdr:spPr>
        <a:xfrm>
          <a:off x="7397750" y="196850"/>
          <a:ext cx="1758950" cy="609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Update weather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72</xdr:row>
      <xdr:rowOff>19050</xdr:rowOff>
    </xdr:from>
    <xdr:to>
      <xdr:col>12</xdr:col>
      <xdr:colOff>533401</xdr:colOff>
      <xdr:row>73</xdr:row>
      <xdr:rowOff>171336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520315" y="6564630"/>
              <a:ext cx="5556886" cy="335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600" b="1" i="1">
                        <a:latin typeface="Cambria Math"/>
                      </a:rPr>
                      <m:t>𝒌𝑾𝒉</m:t>
                    </m:r>
                    <m:r>
                      <a:rPr lang="fr-FR" sz="1600" b="1" i="1">
                        <a:latin typeface="Cambria Math"/>
                      </a:rPr>
                      <m:t>=</m:t>
                    </m:r>
                    <m:sSub>
                      <m:sSubPr>
                        <m:ctrlPr>
                          <a:rPr lang="fr-FR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sz="1600" b="1" i="1">
                            <a:latin typeface="Cambria Math"/>
                            <a:ea typeface="Cambria Math"/>
                          </a:rPr>
                          <m:t>𝜶</m:t>
                        </m:r>
                      </m:e>
                      <m:sub>
                        <m:r>
                          <a:rPr lang="fr-FR" sz="1600" b="1" i="1">
                            <a:latin typeface="Cambria Math"/>
                          </a:rPr>
                          <m:t>𝟎</m:t>
                        </m:r>
                      </m:sub>
                    </m:sSub>
                    <m:r>
                      <a:rPr lang="fr-FR" sz="1600" b="1" i="1">
                        <a:latin typeface="Cambria Math"/>
                      </a:rPr>
                      <m:t>.</m:t>
                    </m:r>
                    <m:r>
                      <a:rPr lang="fr-FR" sz="1600" b="1" i="1">
                        <a:latin typeface="Cambria Math" panose="02040503050406030204" pitchFamily="18" charset="0"/>
                      </a:rPr>
                      <m:t>𝑫𝒂𝒚𝒔</m:t>
                    </m:r>
                    <m:r>
                      <a:rPr lang="fr-FR" sz="1600" b="1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fr-FR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sz="1600" b="1" i="1">
                            <a:latin typeface="Cambria Math"/>
                            <a:ea typeface="Cambria Math"/>
                          </a:rPr>
                          <m:t>𝜶</m:t>
                        </m:r>
                      </m:e>
                      <m:sub>
                        <m:r>
                          <a:rPr lang="fr-FR" sz="1600" b="1" i="1">
                            <a:latin typeface="Cambria Math"/>
                          </a:rPr>
                          <m:t>𝟏</m:t>
                        </m:r>
                      </m:sub>
                    </m:sSub>
                    <m:r>
                      <a:rPr lang="fr-FR" sz="1600" b="1" i="1">
                        <a:latin typeface="Cambria Math"/>
                      </a:rPr>
                      <m:t>.</m:t>
                    </m:r>
                    <m:r>
                      <a:rPr lang="fr-FR" sz="1600" b="1" i="1">
                        <a:latin typeface="Cambria Math" panose="02040503050406030204" pitchFamily="18" charset="0"/>
                      </a:rPr>
                      <m:t>𝑯𝑫𝑫</m:t>
                    </m:r>
                    <m:r>
                      <a:rPr lang="fr-FR" sz="1600" b="1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fr-FR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sz="16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𝜶</m:t>
                        </m:r>
                      </m:e>
                      <m:sub>
                        <m:r>
                          <a:rPr lang="fr-FR" sz="16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r>
                      <a:rPr lang="fr-FR" sz="1600" b="1" i="1">
                        <a:latin typeface="Cambria Math" panose="02040503050406030204" pitchFamily="18" charset="0"/>
                      </a:rPr>
                      <m:t>.</m:t>
                    </m:r>
                    <m:r>
                      <a:rPr lang="fr-FR" sz="1600" b="1" i="1">
                        <a:latin typeface="Cambria Math" panose="02040503050406030204" pitchFamily="18" charset="0"/>
                      </a:rPr>
                      <m:t>𝑪𝑫𝑫</m:t>
                    </m:r>
                  </m:oMath>
                </m:oMathPara>
              </a14:m>
              <a:endParaRPr lang="fr-FR" sz="16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520315" y="6564630"/>
              <a:ext cx="5556886" cy="335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fr-FR" sz="1600" b="1" i="0">
                  <a:latin typeface="Cambria Math"/>
                </a:rPr>
                <a:t>𝒌𝑾𝒉=</a:t>
              </a:r>
              <a:r>
                <a:rPr lang="fr-FR" sz="1600" b="1" i="0">
                  <a:latin typeface="Cambria Math"/>
                  <a:ea typeface="Cambria Math"/>
                </a:rPr>
                <a:t>𝜶</a:t>
              </a:r>
              <a:r>
                <a:rPr lang="fr-FR" sz="1600" b="1" i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fr-FR" sz="1600" b="1" i="0">
                  <a:latin typeface="Cambria Math"/>
                </a:rPr>
                <a:t>𝟎.</a:t>
              </a:r>
              <a:r>
                <a:rPr lang="fr-FR" sz="1600" b="1" i="0">
                  <a:latin typeface="Cambria Math" panose="02040503050406030204" pitchFamily="18" charset="0"/>
                </a:rPr>
                <a:t>𝑫𝒂𝒚𝒔</a:t>
              </a:r>
              <a:r>
                <a:rPr lang="fr-FR" sz="1600" b="1" i="0">
                  <a:latin typeface="Cambria Math"/>
                </a:rPr>
                <a:t>+</a:t>
              </a:r>
              <a:r>
                <a:rPr lang="fr-FR" sz="1600" b="1" i="0">
                  <a:latin typeface="Cambria Math"/>
                  <a:ea typeface="Cambria Math"/>
                </a:rPr>
                <a:t>𝜶</a:t>
              </a:r>
              <a:r>
                <a:rPr lang="fr-FR" sz="1600" b="1" i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fr-FR" sz="1600" b="1" i="0">
                  <a:latin typeface="Cambria Math"/>
                </a:rPr>
                <a:t>𝟏.</a:t>
              </a:r>
              <a:r>
                <a:rPr lang="fr-FR" sz="1600" b="1" i="0">
                  <a:latin typeface="Cambria Math" panose="02040503050406030204" pitchFamily="18" charset="0"/>
                </a:rPr>
                <a:t>𝑯𝑫𝑫+</a:t>
              </a:r>
              <a:r>
                <a:rPr lang="fr-FR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𝜶_</a:t>
              </a:r>
              <a:r>
                <a:rPr lang="fr-FR" sz="1600" b="1" i="0">
                  <a:latin typeface="Cambria Math" panose="02040503050406030204" pitchFamily="18" charset="0"/>
                </a:rPr>
                <a:t>𝟐.𝑪𝑫𝑫</a:t>
              </a:r>
              <a:endParaRPr lang="fr-FR" sz="1600" b="1"/>
            </a:p>
          </xdr:txBody>
        </xdr:sp>
      </mc:Fallback>
    </mc:AlternateContent>
    <xdr:clientData/>
  </xdr:twoCellAnchor>
  <xdr:twoCellAnchor>
    <xdr:from>
      <xdr:col>4</xdr:col>
      <xdr:colOff>102871</xdr:colOff>
      <xdr:row>79</xdr:row>
      <xdr:rowOff>121920</xdr:rowOff>
    </xdr:from>
    <xdr:to>
      <xdr:col>12</xdr:col>
      <xdr:colOff>590551</xdr:colOff>
      <xdr:row>81</xdr:row>
      <xdr:rowOff>83706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518411" y="7947660"/>
              <a:ext cx="5615940" cy="327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600" b="1" i="1">
                        <a:latin typeface="Cambria Math"/>
                        <a:ea typeface="Cambria Math"/>
                      </a:rPr>
                      <m:t>𝜷</m:t>
                    </m:r>
                    <m:r>
                      <a:rPr lang="fr-FR" sz="1600" b="1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fr-FR" sz="16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sz="1600" b="1" i="1">
                            <a:latin typeface="Cambria Math" panose="02040503050406030204" pitchFamily="18" charset="0"/>
                          </a:rPr>
                          <m:t>(</m:t>
                        </m:r>
                        <m:sSup>
                          <m:sSupPr>
                            <m:ctrlPr>
                              <a:rPr lang="fr-FR" sz="16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fr-FR" sz="1600" b="1" i="1">
                                <a:latin typeface="Cambria Math"/>
                              </a:rPr>
                              <m:t>𝑿</m:t>
                            </m:r>
                          </m:e>
                          <m:sup>
                            <m:r>
                              <a:rPr lang="fr-FR" sz="1600" b="1" i="1">
                                <a:latin typeface="Cambria Math" panose="02040503050406030204" pitchFamily="18" charset="0"/>
                              </a:rPr>
                              <m:t>𝑻</m:t>
                            </m:r>
                          </m:sup>
                        </m:sSup>
                        <m:r>
                          <a:rPr lang="fr-FR" sz="1600" b="1" i="1">
                            <a:latin typeface="Cambria Math"/>
                          </a:rPr>
                          <m:t>𝑿</m:t>
                        </m:r>
                        <m:r>
                          <a:rPr lang="fr-FR" sz="1600" b="1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fr-FR" sz="16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fr-FR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p>
                    </m:sSup>
                    <m:sSup>
                      <m:sSupPr>
                        <m:ctrlPr>
                          <a:rPr lang="fr-FR" sz="16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sz="1600" b="1" i="1">
                            <a:latin typeface="Cambria Math"/>
                          </a:rPr>
                          <m:t>𝑿</m:t>
                        </m:r>
                      </m:e>
                      <m:sup>
                        <m:r>
                          <a:rPr lang="fr-FR" sz="1600" b="1" i="1">
                            <a:latin typeface="Cambria Math" panose="02040503050406030204" pitchFamily="18" charset="0"/>
                          </a:rPr>
                          <m:t>𝑻</m:t>
                        </m:r>
                      </m:sup>
                    </m:sSup>
                    <m:r>
                      <a:rPr lang="fr-FR" sz="1600" b="1" i="1">
                        <a:latin typeface="Cambria Math"/>
                      </a:rPr>
                      <m:t>𝒀</m:t>
                    </m:r>
                  </m:oMath>
                </m:oMathPara>
              </a14:m>
              <a:endParaRPr lang="fr-FR" sz="16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518411" y="7947660"/>
              <a:ext cx="5615940" cy="327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fr-FR" sz="1600" b="1" i="0">
                  <a:latin typeface="Cambria Math"/>
                  <a:ea typeface="Cambria Math"/>
                </a:rPr>
                <a:t>𝜷</a:t>
              </a:r>
              <a:r>
                <a:rPr lang="fr-FR" sz="1600" b="1" i="0">
                  <a:latin typeface="Cambria Math"/>
                </a:rPr>
                <a:t>=</a:t>
              </a:r>
              <a:r>
                <a:rPr lang="fr-FR" sz="1600" b="1" i="0">
                  <a:latin typeface="Cambria Math" panose="02040503050406030204" pitchFamily="18" charset="0"/>
                </a:rPr>
                <a:t>〖(</a:t>
              </a:r>
              <a:r>
                <a:rPr lang="fr-FR" sz="1600" b="1" i="0">
                  <a:latin typeface="Cambria Math"/>
                </a:rPr>
                <a:t>𝑿</a:t>
              </a:r>
              <a:r>
                <a:rPr lang="fr-FR" sz="1600" b="1" i="0">
                  <a:latin typeface="Cambria Math" panose="02040503050406030204" pitchFamily="18" charset="0"/>
                </a:rPr>
                <a:t>^𝑻</a:t>
              </a:r>
              <a:r>
                <a:rPr lang="fr-FR" sz="1600" b="1" i="0">
                  <a:latin typeface="Cambria Math"/>
                </a:rPr>
                <a:t> 𝑿</a:t>
              </a:r>
              <a:r>
                <a:rPr lang="fr-FR" sz="1600" b="1" i="0">
                  <a:latin typeface="Cambria Math" panose="02040503050406030204" pitchFamily="18" charset="0"/>
                </a:rPr>
                <a:t>)〗^(−𝟏) </a:t>
              </a:r>
              <a:r>
                <a:rPr lang="fr-FR" sz="1600" b="1" i="0">
                  <a:latin typeface="Cambria Math"/>
                </a:rPr>
                <a:t>𝑿</a:t>
              </a:r>
              <a:r>
                <a:rPr lang="fr-FR" sz="1600" b="1" i="0">
                  <a:latin typeface="Cambria Math" panose="02040503050406030204" pitchFamily="18" charset="0"/>
                </a:rPr>
                <a:t>^𝑻</a:t>
              </a:r>
              <a:r>
                <a:rPr lang="fr-FR" sz="1600" b="1" i="0">
                  <a:latin typeface="Cambria Math"/>
                </a:rPr>
                <a:t> 𝒀</a:t>
              </a:r>
              <a:endParaRPr lang="fr-FR" sz="1600" b="1"/>
            </a:p>
          </xdr:txBody>
        </xdr:sp>
      </mc:Fallback>
    </mc:AlternateContent>
    <xdr:clientData/>
  </xdr:twoCellAnchor>
  <xdr:twoCellAnchor>
    <xdr:from>
      <xdr:col>4</xdr:col>
      <xdr:colOff>83820</xdr:colOff>
      <xdr:row>75</xdr:row>
      <xdr:rowOff>160020</xdr:rowOff>
    </xdr:from>
    <xdr:to>
      <xdr:col>12</xdr:col>
      <xdr:colOff>590551</xdr:colOff>
      <xdr:row>77</xdr:row>
      <xdr:rowOff>121806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499360" y="7254240"/>
              <a:ext cx="5634991" cy="327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600" b="1" i="1">
                        <a:latin typeface="Cambria Math"/>
                      </a:rPr>
                      <m:t>𝑿</m:t>
                    </m:r>
                    <m:r>
                      <a:rPr lang="fr-FR" sz="1600" b="1" i="1">
                        <a:latin typeface="Cambria Math"/>
                      </a:rPr>
                      <m:t>𝜷</m:t>
                    </m:r>
                    <m:r>
                      <a:rPr lang="fr-FR" sz="1600" b="1" i="1">
                        <a:latin typeface="Cambria Math"/>
                      </a:rPr>
                      <m:t>=</m:t>
                    </m:r>
                    <m:r>
                      <a:rPr lang="fr-FR" sz="1600" b="1" i="1">
                        <a:latin typeface="Cambria Math"/>
                      </a:rPr>
                      <m:t>𝒀</m:t>
                    </m:r>
                  </m:oMath>
                </m:oMathPara>
              </a14:m>
              <a:endParaRPr lang="fr-FR" sz="16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499360" y="7254240"/>
              <a:ext cx="5634991" cy="327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fr-FR" sz="1600" b="1" i="0">
                  <a:latin typeface="Cambria Math"/>
                </a:rPr>
                <a:t>𝑿𝜷=𝒀</a:t>
              </a:r>
              <a:endParaRPr lang="fr-FR" sz="1600" b="1"/>
            </a:p>
          </xdr:txBody>
        </xdr:sp>
      </mc:Fallback>
    </mc:AlternateContent>
    <xdr:clientData/>
  </xdr:twoCellAnchor>
  <xdr:twoCellAnchor editAs="absolute">
    <xdr:from>
      <xdr:col>14</xdr:col>
      <xdr:colOff>21067</xdr:colOff>
      <xdr:row>8</xdr:row>
      <xdr:rowOff>13895</xdr:rowOff>
    </xdr:from>
    <xdr:to>
      <xdr:col>23</xdr:col>
      <xdr:colOff>106681</xdr:colOff>
      <xdr:row>26</xdr:row>
      <xdr:rowOff>116989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20490</xdr:colOff>
      <xdr:row>26</xdr:row>
      <xdr:rowOff>157842</xdr:rowOff>
    </xdr:from>
    <xdr:to>
      <xdr:col>23</xdr:col>
      <xdr:colOff>134472</xdr:colOff>
      <xdr:row>82</xdr:row>
      <xdr:rowOff>65314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0.67636</cdr:x>
      <cdr:y>0.15385</cdr:y>
    </cdr:from>
    <cdr:to>
      <cdr:x>0.89697</cdr:x>
      <cdr:y>0.3264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51960" y="563880"/>
          <a:ext cx="1386840" cy="632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0.7559</cdr:x>
      <cdr:y>0.04048</cdr:y>
    </cdr:from>
    <cdr:to>
      <cdr:x>0.99145</cdr:x>
      <cdr:y>0.26224</cdr:y>
    </cdr:to>
    <cdr:grpSp>
      <cdr:nvGrpSpPr>
        <cdr:cNvPr id="3" name="Group 2"/>
        <cdr:cNvGrpSpPr/>
      </cdr:nvGrpSpPr>
      <cdr:grpSpPr>
        <a:xfrm xmlns:a="http://schemas.openxmlformats.org/drawingml/2006/main">
          <a:off x="4802564" y="151749"/>
          <a:ext cx="1496552" cy="831321"/>
          <a:chOff x="4807771" y="209170"/>
          <a:chExt cx="1481419" cy="802163"/>
        </a:xfrm>
      </cdr:grpSpPr>
      <cdr:sp macro="" textlink="Regression!$N$24">
        <cdr:nvSpPr>
          <cdr:cNvPr id="5" name="TextBox 4"/>
          <cdr:cNvSpPr txBox="1"/>
        </cdr:nvSpPr>
        <cdr:spPr>
          <a:xfrm xmlns:a="http://schemas.openxmlformats.org/drawingml/2006/main">
            <a:off x="4817960" y="209170"/>
            <a:ext cx="1471230" cy="27823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fld id="{4BB4B795-FF17-4E0F-8ED7-B97C62D6770D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/>
              <a:t>Adj R² = 0.84</a:t>
            </a:fld>
            <a:endParaRPr lang="en-US" sz="1100"/>
          </a:p>
        </cdr:txBody>
      </cdr:sp>
      <cdr:sp macro="" textlink="Regression!$N$26">
        <cdr:nvSpPr>
          <cdr:cNvPr id="9" name="TextBox 1"/>
          <cdr:cNvSpPr txBox="1"/>
        </cdr:nvSpPr>
        <cdr:spPr>
          <a:xfrm xmlns:a="http://schemas.openxmlformats.org/drawingml/2006/main">
            <a:off x="4815381" y="477390"/>
            <a:ext cx="1471293" cy="27823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fld id="{565688EC-542D-41F2-A26C-C367F26694A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/>
              <a:t>CV(RMSE) = 7.48%</a:t>
            </a:fld>
            <a:endParaRPr lang="en-US" sz="1100"/>
          </a:p>
        </cdr:txBody>
      </cdr:sp>
      <cdr:sp macro="" textlink="Regression!$N$30">
        <cdr:nvSpPr>
          <cdr:cNvPr id="10" name="TextBox 1"/>
          <cdr:cNvSpPr txBox="1"/>
        </cdr:nvSpPr>
        <cdr:spPr>
          <a:xfrm xmlns:a="http://schemas.openxmlformats.org/drawingml/2006/main">
            <a:off x="4807771" y="733094"/>
            <a:ext cx="1471293" cy="27823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fld id="{D3759A9B-87F8-4AD9-B137-D27FD5CF6413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/>
              <a:t>NBE = 0.01%</a:t>
            </a:fld>
            <a:endParaRPr lang="en-US" sz="1100"/>
          </a:p>
        </cdr:txBody>
      </cdr: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0.71009</cdr:x>
      <cdr:y>0.08617</cdr:y>
    </cdr:from>
    <cdr:to>
      <cdr:x>0.93323</cdr:x>
      <cdr:y>0.15733</cdr:y>
    </cdr:to>
    <cdr:sp macro="" textlink="Regression!$N$24">
      <cdr:nvSpPr>
        <cdr:cNvPr id="2" name="TextBox 1"/>
        <cdr:cNvSpPr txBox="1"/>
      </cdr:nvSpPr>
      <cdr:spPr>
        <a:xfrm xmlns:a="http://schemas.openxmlformats.org/drawingml/2006/main">
          <a:off x="4676520" y="344714"/>
          <a:ext cx="1469582" cy="284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24A4C87-CEB4-4AAE-BCD4-20F9616258E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Adj R² = 0.84</a:t>
          </a:fld>
          <a:endParaRPr lang="en-US" sz="1100"/>
        </a:p>
      </cdr:txBody>
    </cdr:sp>
  </cdr:relSizeAnchor>
  <cdr:relSizeAnchor xmlns:cdr="http://schemas.openxmlformats.org/drawingml/2006/chartDrawing">
    <cdr:from>
      <cdr:x>0.70969</cdr:x>
      <cdr:y>0.15477</cdr:y>
    </cdr:from>
    <cdr:to>
      <cdr:x>0.93285</cdr:x>
      <cdr:y>0.22593</cdr:y>
    </cdr:to>
    <cdr:sp macro="" textlink="Regression!$N$26">
      <cdr:nvSpPr>
        <cdr:cNvPr id="3" name="TextBox 1"/>
        <cdr:cNvSpPr txBox="1"/>
      </cdr:nvSpPr>
      <cdr:spPr>
        <a:xfrm xmlns:a="http://schemas.openxmlformats.org/drawingml/2006/main">
          <a:off x="4673944" y="619153"/>
          <a:ext cx="1469645" cy="2846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5BC173-7188-46EC-8FEC-FE753F1A17B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CV(RMSE) = 7.48%</a:t>
          </a:fld>
          <a:endParaRPr lang="en-US" sz="1100"/>
        </a:p>
      </cdr:txBody>
    </cdr:sp>
  </cdr:relSizeAnchor>
  <cdr:relSizeAnchor xmlns:cdr="http://schemas.openxmlformats.org/drawingml/2006/chartDrawing">
    <cdr:from>
      <cdr:x>0.70854</cdr:x>
      <cdr:y>0.22017</cdr:y>
    </cdr:from>
    <cdr:to>
      <cdr:x>0.93169</cdr:x>
      <cdr:y>0.29133</cdr:y>
    </cdr:to>
    <cdr:sp macro="" textlink="Regression!$N$30">
      <cdr:nvSpPr>
        <cdr:cNvPr id="4" name="TextBox 1"/>
        <cdr:cNvSpPr txBox="1"/>
      </cdr:nvSpPr>
      <cdr:spPr>
        <a:xfrm xmlns:a="http://schemas.openxmlformats.org/drawingml/2006/main">
          <a:off x="4666343" y="880787"/>
          <a:ext cx="1469645" cy="2846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6EE7347-0ECB-4C75-954E-9F9F7B07715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NBE = 0.01%</a:t>
          </a:fld>
          <a:endParaRPr lang="en-US" sz="1100"/>
        </a:p>
      </cdr:txBody>
    </cdr:sp>
  </cdr:relSizeAnchor>
  <cdr:relSizeAnchor xmlns:cdr="http://schemas.openxmlformats.org/drawingml/2006/chartDrawing">
    <cdr:from>
      <cdr:x>0.71187</cdr:x>
      <cdr:y>0.02008</cdr:y>
    </cdr:from>
    <cdr:to>
      <cdr:x>0.93501</cdr:x>
      <cdr:y>0.09124</cdr:y>
    </cdr:to>
    <cdr:sp macro="" textlink="Regression!$N$23">
      <cdr:nvSpPr>
        <cdr:cNvPr id="5" name="TextBox 1"/>
        <cdr:cNvSpPr txBox="1"/>
      </cdr:nvSpPr>
      <cdr:spPr>
        <a:xfrm xmlns:a="http://schemas.openxmlformats.org/drawingml/2006/main">
          <a:off x="6057153" y="77694"/>
          <a:ext cx="1898651" cy="275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1E08EB7-72EF-4F5E-9092-C835B29161A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R² = 0.88</a:t>
          </a:fld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259080</xdr:colOff>
      <xdr:row>2</xdr:row>
      <xdr:rowOff>45720</xdr:rowOff>
    </xdr:from>
    <xdr:to>
      <xdr:col>17</xdr:col>
      <xdr:colOff>586740</xdr:colOff>
      <xdr:row>5</xdr:row>
      <xdr:rowOff>144780</xdr:rowOff>
    </xdr:to>
    <xdr:sp macro="[0]!Param.Parametric" textlink="">
      <xdr:nvSpPr>
        <xdr:cNvPr id="2" name="Rounded Rectangle 1"/>
        <xdr:cNvSpPr/>
      </xdr:nvSpPr>
      <xdr:spPr>
        <a:xfrm>
          <a:off x="9403080" y="411480"/>
          <a:ext cx="1546860" cy="6477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Parametric Analysis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5"/>
  </sheetPr>
  <dimension ref="A1:G6224"/>
  <sheetViews>
    <sheetView zoomScale="85" zoomScaleNormal="85" workbookViewId="0">
      <pane xSplit="1" ySplit="5" topLeftCell="XDY6" activePane="bottomRight" state="frozen"/>
      <selection pane="topRight" activeCell="B1" sqref="B1"/>
      <selection pane="bottomLeft" activeCell="A6" sqref="A6"/>
      <selection pane="bottomRight" activeCell="K1" sqref="K1"/>
    </sheetView>
  </sheetViews>
  <sheetFormatPr defaultRowHeight="15" x14ac:dyDescent="0.25"/>
  <cols>
    <col min="1" max="1" width="19.140625" customWidth="1"/>
    <col min="2" max="7" width="17.85546875" customWidth="1"/>
  </cols>
  <sheetData>
    <row r="1" spans="1:7" x14ac:dyDescent="0.25">
      <c r="A1" s="4" t="s">
        <v>1</v>
      </c>
      <c r="B1" t="str">
        <f>B2&amp;"-"&amp;B3</f>
        <v>744860-94789</v>
      </c>
      <c r="C1" t="str">
        <f t="shared" ref="C1:G1" si="0">C2&amp;"-"&amp;C3</f>
        <v>725030-14732</v>
      </c>
      <c r="D1" t="str">
        <f t="shared" si="0"/>
        <v>725053-94728</v>
      </c>
      <c r="E1" t="str">
        <f t="shared" si="0"/>
        <v>725060-94728</v>
      </c>
      <c r="F1" t="str">
        <f t="shared" si="0"/>
        <v>724070-93730</v>
      </c>
      <c r="G1" t="str">
        <f t="shared" si="0"/>
        <v>725020-14734</v>
      </c>
    </row>
    <row r="2" spans="1:7" x14ac:dyDescent="0.25">
      <c r="A2" s="150" t="s">
        <v>2</v>
      </c>
      <c r="B2">
        <v>744860</v>
      </c>
      <c r="C2">
        <v>725030</v>
      </c>
      <c r="D2">
        <v>725053</v>
      </c>
      <c r="E2">
        <v>725060</v>
      </c>
      <c r="F2">
        <v>724070</v>
      </c>
      <c r="G2">
        <v>725020</v>
      </c>
    </row>
    <row r="3" spans="1:7" x14ac:dyDescent="0.25">
      <c r="A3" s="150" t="s">
        <v>0</v>
      </c>
      <c r="B3">
        <v>94789</v>
      </c>
      <c r="C3">
        <v>14732</v>
      </c>
      <c r="D3">
        <v>94728</v>
      </c>
      <c r="E3">
        <v>94728</v>
      </c>
      <c r="F3">
        <v>93730</v>
      </c>
      <c r="G3">
        <v>14734</v>
      </c>
    </row>
    <row r="4" spans="1:7" x14ac:dyDescent="0.25">
      <c r="A4" s="150" t="s">
        <v>3</v>
      </c>
      <c r="B4" t="s">
        <v>17</v>
      </c>
      <c r="C4" t="s">
        <v>18</v>
      </c>
      <c r="D4" t="s">
        <v>19</v>
      </c>
      <c r="E4" t="s">
        <v>20</v>
      </c>
      <c r="F4" t="s">
        <v>21</v>
      </c>
      <c r="G4" t="s">
        <v>22</v>
      </c>
    </row>
    <row r="5" spans="1:7" x14ac:dyDescent="0.25">
      <c r="A5" s="150" t="s">
        <v>23</v>
      </c>
      <c r="B5" t="s">
        <v>24</v>
      </c>
      <c r="C5" t="s">
        <v>24</v>
      </c>
      <c r="D5" t="s">
        <v>24</v>
      </c>
      <c r="E5" t="s">
        <v>24</v>
      </c>
      <c r="F5" t="s">
        <v>25</v>
      </c>
      <c r="G5" t="s">
        <v>25</v>
      </c>
    </row>
    <row r="6" spans="1:7" x14ac:dyDescent="0.25">
      <c r="A6" s="150" t="s">
        <v>4</v>
      </c>
      <c r="B6">
        <v>40639</v>
      </c>
      <c r="C6">
        <v>40779</v>
      </c>
      <c r="D6">
        <v>40779</v>
      </c>
      <c r="E6">
        <v>40779</v>
      </c>
      <c r="F6">
        <v>39449</v>
      </c>
      <c r="G6">
        <v>40683</v>
      </c>
    </row>
    <row r="7" spans="1:7" x14ac:dyDescent="0.25">
      <c r="A7" s="150" t="s">
        <v>5</v>
      </c>
      <c r="B7">
        <v>-73762</v>
      </c>
      <c r="C7">
        <v>-73880</v>
      </c>
      <c r="D7">
        <v>-73969</v>
      </c>
      <c r="E7">
        <v>-73969</v>
      </c>
      <c r="F7">
        <v>-74567</v>
      </c>
      <c r="G7">
        <v>-74169</v>
      </c>
    </row>
    <row r="8" spans="1:7" x14ac:dyDescent="0.25">
      <c r="A8" s="150" t="s">
        <v>6</v>
      </c>
      <c r="B8">
        <v>67</v>
      </c>
      <c r="C8">
        <v>94</v>
      </c>
      <c r="D8">
        <v>475</v>
      </c>
      <c r="E8">
        <v>475</v>
      </c>
      <c r="F8">
        <v>204</v>
      </c>
      <c r="G8">
        <v>91</v>
      </c>
    </row>
    <row r="9" spans="1:7" x14ac:dyDescent="0.25">
      <c r="A9" t="s">
        <v>8</v>
      </c>
      <c r="B9">
        <f>COUNTBLANK(B16:B4251)</f>
        <v>0</v>
      </c>
      <c r="C9">
        <f t="shared" ref="C9:G9" si="1">COUNTBLANK(C16:C4251)</f>
        <v>0</v>
      </c>
      <c r="D9">
        <f t="shared" si="1"/>
        <v>3653</v>
      </c>
      <c r="E9">
        <f t="shared" si="1"/>
        <v>3352</v>
      </c>
      <c r="F9">
        <f t="shared" si="1"/>
        <v>0</v>
      </c>
      <c r="G9">
        <f t="shared" si="1"/>
        <v>0</v>
      </c>
    </row>
    <row r="10" spans="1:7" x14ac:dyDescent="0.25">
      <c r="A10" t="s">
        <v>11</v>
      </c>
      <c r="B10" s="3">
        <f>B9/COUNTA(A16:A4251)</f>
        <v>0</v>
      </c>
      <c r="C10" s="3">
        <f t="shared" ref="C10:G10" si="2">C9/COUNTA(B16:B4251)</f>
        <v>0</v>
      </c>
      <c r="D10" s="3">
        <f t="shared" si="2"/>
        <v>0.86237016052880078</v>
      </c>
      <c r="E10" s="3">
        <f t="shared" si="2"/>
        <v>5.7495711835334475</v>
      </c>
      <c r="F10" s="3">
        <f t="shared" si="2"/>
        <v>0</v>
      </c>
      <c r="G10" s="3">
        <f t="shared" si="2"/>
        <v>0</v>
      </c>
    </row>
    <row r="11" spans="1:7" x14ac:dyDescent="0.25">
      <c r="A11" t="s">
        <v>7</v>
      </c>
      <c r="B11">
        <v>0</v>
      </c>
      <c r="C11">
        <v>0</v>
      </c>
      <c r="F11">
        <v>8</v>
      </c>
      <c r="G11">
        <v>0</v>
      </c>
    </row>
    <row r="12" spans="1:7" x14ac:dyDescent="0.25">
      <c r="A12" t="s">
        <v>12</v>
      </c>
      <c r="B12" s="3">
        <f>B11/3974</f>
        <v>0</v>
      </c>
      <c r="C12" s="3">
        <f t="shared" ref="C12:G12" si="3">C11/3974</f>
        <v>0</v>
      </c>
      <c r="D12" s="3">
        <f t="shared" si="3"/>
        <v>0</v>
      </c>
      <c r="E12" s="3">
        <f t="shared" si="3"/>
        <v>0</v>
      </c>
      <c r="F12" s="3">
        <f t="shared" si="3"/>
        <v>2.0130850528434826E-3</v>
      </c>
      <c r="G12" s="3">
        <f t="shared" si="3"/>
        <v>0</v>
      </c>
    </row>
    <row r="15" spans="1:7" x14ac:dyDescent="0.25">
      <c r="A15" t="s">
        <v>15</v>
      </c>
    </row>
    <row r="16" spans="1:7" x14ac:dyDescent="0.25">
      <c r="A16" s="29">
        <v>37622</v>
      </c>
      <c r="B16" s="30">
        <v>42.2</v>
      </c>
      <c r="C16" s="30">
        <v>44.9</v>
      </c>
      <c r="D16" s="30"/>
      <c r="E16" s="30"/>
      <c r="F16" s="30">
        <v>47.9</v>
      </c>
      <c r="G16" s="30">
        <v>44.4</v>
      </c>
    </row>
    <row r="17" spans="1:7" x14ac:dyDescent="0.25">
      <c r="A17" s="29">
        <v>37623</v>
      </c>
      <c r="B17" s="30">
        <v>35.9</v>
      </c>
      <c r="C17" s="30">
        <v>34.799999999999997</v>
      </c>
      <c r="D17" s="30"/>
      <c r="E17" s="30"/>
      <c r="F17" s="30">
        <v>38.9</v>
      </c>
      <c r="G17" s="30">
        <v>35.200000000000003</v>
      </c>
    </row>
    <row r="18" spans="1:7" x14ac:dyDescent="0.25">
      <c r="A18" s="29">
        <v>37624</v>
      </c>
      <c r="B18" s="30">
        <v>33.200000000000003</v>
      </c>
      <c r="C18" s="30">
        <v>32</v>
      </c>
      <c r="D18" s="30"/>
      <c r="E18" s="30"/>
      <c r="F18" s="30">
        <v>42</v>
      </c>
      <c r="G18" s="30">
        <v>31.7</v>
      </c>
    </row>
    <row r="19" spans="1:7" x14ac:dyDescent="0.25">
      <c r="A19" s="29">
        <v>37625</v>
      </c>
      <c r="B19" s="30">
        <v>34</v>
      </c>
      <c r="C19" s="30">
        <v>33.700000000000003</v>
      </c>
      <c r="D19" s="30"/>
      <c r="E19" s="30"/>
      <c r="F19" s="30">
        <v>36.799999999999997</v>
      </c>
      <c r="G19" s="30">
        <v>34.200000000000003</v>
      </c>
    </row>
    <row r="20" spans="1:7" x14ac:dyDescent="0.25">
      <c r="A20" s="29">
        <v>37626</v>
      </c>
      <c r="B20" s="30">
        <v>34.4</v>
      </c>
      <c r="C20" s="30">
        <v>34.4</v>
      </c>
      <c r="D20" s="30"/>
      <c r="E20" s="30"/>
      <c r="F20" s="30">
        <v>33.6</v>
      </c>
      <c r="G20" s="30">
        <v>34.700000000000003</v>
      </c>
    </row>
    <row r="21" spans="1:7" x14ac:dyDescent="0.25">
      <c r="A21" s="29">
        <v>37627</v>
      </c>
      <c r="B21" s="30">
        <v>32.9</v>
      </c>
      <c r="C21" s="30">
        <v>33.299999999999997</v>
      </c>
      <c r="D21" s="30"/>
      <c r="E21" s="30"/>
      <c r="F21" s="30">
        <v>32</v>
      </c>
      <c r="G21" s="30">
        <v>32.9</v>
      </c>
    </row>
    <row r="22" spans="1:7" x14ac:dyDescent="0.25">
      <c r="A22" s="29">
        <v>37628</v>
      </c>
      <c r="B22" s="30">
        <v>28.9</v>
      </c>
      <c r="C22" s="30">
        <v>29.2</v>
      </c>
      <c r="D22" s="30"/>
      <c r="E22" s="30"/>
      <c r="F22" s="30">
        <v>29.2</v>
      </c>
      <c r="G22" s="30">
        <v>28.9</v>
      </c>
    </row>
    <row r="23" spans="1:7" x14ac:dyDescent="0.25">
      <c r="A23" s="29">
        <v>37629</v>
      </c>
      <c r="B23" s="30">
        <v>33.4</v>
      </c>
      <c r="C23" s="30">
        <v>33.799999999999997</v>
      </c>
      <c r="D23" s="30"/>
      <c r="E23" s="30"/>
      <c r="F23" s="30">
        <v>36.200000000000003</v>
      </c>
      <c r="G23" s="30">
        <v>32.799999999999997</v>
      </c>
    </row>
    <row r="24" spans="1:7" x14ac:dyDescent="0.25">
      <c r="A24" s="29">
        <v>37630</v>
      </c>
      <c r="B24" s="30">
        <v>43.4</v>
      </c>
      <c r="C24" s="30">
        <v>45</v>
      </c>
      <c r="D24" s="30"/>
      <c r="E24" s="30"/>
      <c r="F24" s="30">
        <v>45.4</v>
      </c>
      <c r="G24" s="30">
        <v>44.2</v>
      </c>
    </row>
    <row r="25" spans="1:7" x14ac:dyDescent="0.25">
      <c r="A25" s="29">
        <v>37631</v>
      </c>
      <c r="B25" s="30">
        <v>41.1</v>
      </c>
      <c r="C25" s="30">
        <v>42.3</v>
      </c>
      <c r="D25" s="30"/>
      <c r="E25" s="30"/>
      <c r="F25" s="30">
        <v>39.4</v>
      </c>
      <c r="G25" s="30">
        <v>40.799999999999997</v>
      </c>
    </row>
    <row r="26" spans="1:7" x14ac:dyDescent="0.25">
      <c r="A26" s="29">
        <v>37632</v>
      </c>
      <c r="B26" s="30">
        <v>30.2</v>
      </c>
      <c r="C26" s="30">
        <v>30</v>
      </c>
      <c r="D26" s="30"/>
      <c r="E26" s="30"/>
      <c r="F26" s="30">
        <v>30.7</v>
      </c>
      <c r="G26" s="30">
        <v>29.6</v>
      </c>
    </row>
    <row r="27" spans="1:7" x14ac:dyDescent="0.25">
      <c r="A27" s="29">
        <v>37633</v>
      </c>
      <c r="B27" s="30">
        <v>28.6</v>
      </c>
      <c r="C27" s="30">
        <v>28.6</v>
      </c>
      <c r="D27" s="30"/>
      <c r="E27" s="30"/>
      <c r="F27" s="30">
        <v>27.1</v>
      </c>
      <c r="G27" s="30">
        <v>28.2</v>
      </c>
    </row>
    <row r="28" spans="1:7" x14ac:dyDescent="0.25">
      <c r="A28" s="29">
        <v>37634</v>
      </c>
      <c r="B28" s="30">
        <v>30.9</v>
      </c>
      <c r="C28" s="30">
        <v>31.6</v>
      </c>
      <c r="D28" s="30"/>
      <c r="E28" s="30"/>
      <c r="F28" s="30">
        <v>29.4</v>
      </c>
      <c r="G28" s="30">
        <v>30.2</v>
      </c>
    </row>
    <row r="29" spans="1:7" x14ac:dyDescent="0.25">
      <c r="A29" s="29">
        <v>37635</v>
      </c>
      <c r="B29" s="30">
        <v>26.5</v>
      </c>
      <c r="C29" s="30">
        <v>26.2</v>
      </c>
      <c r="D29" s="30"/>
      <c r="E29" s="30"/>
      <c r="F29" s="30">
        <v>28.2</v>
      </c>
      <c r="G29" s="30">
        <v>26.2</v>
      </c>
    </row>
    <row r="30" spans="1:7" x14ac:dyDescent="0.25">
      <c r="A30" s="29">
        <v>37636</v>
      </c>
      <c r="B30" s="30">
        <v>26</v>
      </c>
      <c r="C30" s="30">
        <v>26</v>
      </c>
      <c r="D30" s="30"/>
      <c r="E30" s="30"/>
      <c r="F30" s="30">
        <v>25.4</v>
      </c>
      <c r="G30" s="30">
        <v>25.8</v>
      </c>
    </row>
    <row r="31" spans="1:7" x14ac:dyDescent="0.25">
      <c r="A31" s="29">
        <v>37637</v>
      </c>
      <c r="B31" s="30">
        <v>24</v>
      </c>
      <c r="C31" s="30">
        <v>24.4</v>
      </c>
      <c r="D31" s="30"/>
      <c r="E31" s="30"/>
      <c r="F31" s="30">
        <v>22.5</v>
      </c>
      <c r="G31" s="30">
        <v>23.6</v>
      </c>
    </row>
    <row r="32" spans="1:7" x14ac:dyDescent="0.25">
      <c r="A32" s="29">
        <v>37638</v>
      </c>
      <c r="B32" s="30">
        <v>25.2</v>
      </c>
      <c r="C32" s="30">
        <v>26</v>
      </c>
      <c r="D32" s="30"/>
      <c r="E32" s="30"/>
      <c r="F32" s="30">
        <v>25.4</v>
      </c>
      <c r="G32" s="30">
        <v>25.1</v>
      </c>
    </row>
    <row r="33" spans="1:7" x14ac:dyDescent="0.25">
      <c r="A33" s="29">
        <v>37639</v>
      </c>
      <c r="B33" s="30">
        <v>13.5</v>
      </c>
      <c r="C33" s="30">
        <v>14.4</v>
      </c>
      <c r="D33" s="30"/>
      <c r="E33" s="30"/>
      <c r="F33" s="30">
        <v>15.5</v>
      </c>
      <c r="G33" s="30">
        <v>13.3</v>
      </c>
    </row>
    <row r="34" spans="1:7" x14ac:dyDescent="0.25">
      <c r="A34" s="29">
        <v>37640</v>
      </c>
      <c r="B34" s="30">
        <v>21.3</v>
      </c>
      <c r="C34" s="30">
        <v>21.7</v>
      </c>
      <c r="D34" s="30"/>
      <c r="E34" s="30"/>
      <c r="F34" s="30">
        <v>17.600000000000001</v>
      </c>
      <c r="G34" s="30">
        <v>19.5</v>
      </c>
    </row>
    <row r="35" spans="1:7" x14ac:dyDescent="0.25">
      <c r="A35" s="29">
        <v>37641</v>
      </c>
      <c r="B35" s="30">
        <v>28.8</v>
      </c>
      <c r="C35" s="30">
        <v>27.9</v>
      </c>
      <c r="D35" s="30"/>
      <c r="E35" s="30"/>
      <c r="F35" s="30">
        <v>30.3</v>
      </c>
      <c r="G35" s="30">
        <v>27.2</v>
      </c>
    </row>
    <row r="36" spans="1:7" x14ac:dyDescent="0.25">
      <c r="A36" s="29">
        <v>37642</v>
      </c>
      <c r="B36" s="30">
        <v>21.2</v>
      </c>
      <c r="C36" s="30">
        <v>21.3</v>
      </c>
      <c r="D36" s="30"/>
      <c r="E36" s="30"/>
      <c r="F36" s="30">
        <v>21.6</v>
      </c>
      <c r="G36" s="30">
        <v>21</v>
      </c>
    </row>
    <row r="37" spans="1:7" x14ac:dyDescent="0.25">
      <c r="A37" s="29">
        <v>37643</v>
      </c>
      <c r="B37" s="30">
        <v>18</v>
      </c>
      <c r="C37" s="30">
        <v>18.3</v>
      </c>
      <c r="D37" s="30"/>
      <c r="E37" s="30"/>
      <c r="F37" s="30">
        <v>17.399999999999999</v>
      </c>
      <c r="G37" s="30">
        <v>17.899999999999999</v>
      </c>
    </row>
    <row r="38" spans="1:7" x14ac:dyDescent="0.25">
      <c r="A38" s="29">
        <v>37644</v>
      </c>
      <c r="B38" s="30">
        <v>14.2</v>
      </c>
      <c r="C38" s="30">
        <v>14.4</v>
      </c>
      <c r="D38" s="30"/>
      <c r="E38" s="30"/>
      <c r="F38" s="30">
        <v>15.5</v>
      </c>
      <c r="G38" s="30">
        <v>13.9</v>
      </c>
    </row>
    <row r="39" spans="1:7" x14ac:dyDescent="0.25">
      <c r="A39" s="29">
        <v>37645</v>
      </c>
      <c r="B39" s="30">
        <v>16.100000000000001</v>
      </c>
      <c r="C39" s="30">
        <v>16</v>
      </c>
      <c r="D39" s="30"/>
      <c r="E39" s="30"/>
      <c r="F39" s="30">
        <v>17.600000000000001</v>
      </c>
      <c r="G39" s="30">
        <v>15.7</v>
      </c>
    </row>
    <row r="40" spans="1:7" x14ac:dyDescent="0.25">
      <c r="A40" s="29">
        <v>37646</v>
      </c>
      <c r="B40" s="30">
        <v>24</v>
      </c>
      <c r="C40" s="30">
        <v>24.3</v>
      </c>
      <c r="D40" s="30"/>
      <c r="E40" s="30"/>
      <c r="F40" s="30">
        <v>22.2</v>
      </c>
      <c r="G40" s="30">
        <v>24.1</v>
      </c>
    </row>
    <row r="41" spans="1:7" x14ac:dyDescent="0.25">
      <c r="A41" s="29">
        <v>37647</v>
      </c>
      <c r="B41" s="30">
        <v>28.1</v>
      </c>
      <c r="C41" s="30">
        <v>30.1</v>
      </c>
      <c r="D41" s="30"/>
      <c r="E41" s="30"/>
      <c r="F41" s="30">
        <v>27.5</v>
      </c>
      <c r="G41" s="30">
        <v>27.9</v>
      </c>
    </row>
    <row r="42" spans="1:7" x14ac:dyDescent="0.25">
      <c r="A42" s="29">
        <v>37648</v>
      </c>
      <c r="B42" s="30">
        <v>20.6</v>
      </c>
      <c r="C42" s="30">
        <v>20.9</v>
      </c>
      <c r="D42" s="30"/>
      <c r="E42" s="30"/>
      <c r="F42" s="30">
        <v>22.5</v>
      </c>
      <c r="G42" s="30">
        <v>19.899999999999999</v>
      </c>
    </row>
    <row r="43" spans="1:7" x14ac:dyDescent="0.25">
      <c r="A43" s="29">
        <v>37649</v>
      </c>
      <c r="B43" s="30">
        <v>14.1</v>
      </c>
      <c r="C43" s="30">
        <v>14.3</v>
      </c>
      <c r="D43" s="30"/>
      <c r="E43" s="30"/>
      <c r="F43" s="30">
        <v>14.3</v>
      </c>
      <c r="G43" s="30">
        <v>13.9</v>
      </c>
    </row>
    <row r="44" spans="1:7" x14ac:dyDescent="0.25">
      <c r="A44" s="29">
        <v>37650</v>
      </c>
      <c r="B44" s="30">
        <v>27.7</v>
      </c>
      <c r="C44" s="30">
        <v>27.5</v>
      </c>
      <c r="D44" s="30"/>
      <c r="E44" s="30"/>
      <c r="F44" s="30">
        <v>29.7</v>
      </c>
      <c r="G44" s="30">
        <v>27</v>
      </c>
    </row>
    <row r="45" spans="1:7" x14ac:dyDescent="0.25">
      <c r="A45" s="29">
        <v>37651</v>
      </c>
      <c r="B45" s="30">
        <v>27.8</v>
      </c>
      <c r="C45" s="30">
        <v>28.9</v>
      </c>
      <c r="D45" s="30"/>
      <c r="E45" s="30"/>
      <c r="F45" s="30">
        <v>29.4</v>
      </c>
      <c r="G45" s="30">
        <v>28.2</v>
      </c>
    </row>
    <row r="46" spans="1:7" x14ac:dyDescent="0.25">
      <c r="A46" s="29">
        <v>37652</v>
      </c>
      <c r="B46" s="30">
        <v>33</v>
      </c>
      <c r="C46" s="30">
        <v>32.5</v>
      </c>
      <c r="D46" s="30"/>
      <c r="E46" s="30"/>
      <c r="F46" s="30">
        <v>33.9</v>
      </c>
      <c r="G46" s="30">
        <v>32.4</v>
      </c>
    </row>
    <row r="47" spans="1:7" x14ac:dyDescent="0.25">
      <c r="A47" s="29">
        <v>37653</v>
      </c>
      <c r="B47" s="30">
        <v>35</v>
      </c>
      <c r="C47" s="30">
        <v>34.200000000000003</v>
      </c>
      <c r="D47" s="30"/>
      <c r="E47" s="30"/>
      <c r="F47" s="30">
        <v>37.6</v>
      </c>
      <c r="G47" s="30">
        <v>35.5</v>
      </c>
    </row>
    <row r="48" spans="1:7" x14ac:dyDescent="0.25">
      <c r="A48" s="29">
        <v>37654</v>
      </c>
      <c r="B48" s="30">
        <v>39.6</v>
      </c>
      <c r="C48" s="30">
        <v>39</v>
      </c>
      <c r="D48" s="30"/>
      <c r="E48" s="30"/>
      <c r="F48" s="30">
        <v>38.1</v>
      </c>
      <c r="G48" s="30">
        <v>39.799999999999997</v>
      </c>
    </row>
    <row r="49" spans="1:7" x14ac:dyDescent="0.25">
      <c r="A49" s="29">
        <v>37655</v>
      </c>
      <c r="B49" s="30">
        <v>40.299999999999997</v>
      </c>
      <c r="C49" s="30">
        <v>40.4</v>
      </c>
      <c r="D49" s="30"/>
      <c r="E49" s="30"/>
      <c r="F49" s="30">
        <v>37.299999999999997</v>
      </c>
      <c r="G49" s="30">
        <v>41.2</v>
      </c>
    </row>
    <row r="50" spans="1:7" x14ac:dyDescent="0.25">
      <c r="A50" s="29">
        <v>37656</v>
      </c>
      <c r="B50" s="30">
        <v>41.3</v>
      </c>
      <c r="C50" s="30">
        <v>41.6</v>
      </c>
      <c r="D50" s="30"/>
      <c r="E50" s="30"/>
      <c r="F50" s="30">
        <v>43.3</v>
      </c>
      <c r="G50" s="30">
        <v>43</v>
      </c>
    </row>
    <row r="51" spans="1:7" x14ac:dyDescent="0.25">
      <c r="A51" s="29">
        <v>37657</v>
      </c>
      <c r="B51" s="30">
        <v>34.6</v>
      </c>
      <c r="C51" s="30">
        <v>34.6</v>
      </c>
      <c r="D51" s="30"/>
      <c r="E51" s="30"/>
      <c r="F51" s="30">
        <v>34.299999999999997</v>
      </c>
      <c r="G51" s="30">
        <v>34.799999999999997</v>
      </c>
    </row>
    <row r="52" spans="1:7" x14ac:dyDescent="0.25">
      <c r="A52" s="29">
        <v>37658</v>
      </c>
      <c r="B52" s="30">
        <v>26.2</v>
      </c>
      <c r="C52" s="30">
        <v>26.6</v>
      </c>
      <c r="D52" s="30"/>
      <c r="E52" s="30"/>
      <c r="F52" s="30">
        <v>24</v>
      </c>
      <c r="G52" s="30">
        <v>26.7</v>
      </c>
    </row>
    <row r="53" spans="1:7" x14ac:dyDescent="0.25">
      <c r="A53" s="29">
        <v>37659</v>
      </c>
      <c r="B53" s="30">
        <v>29.1</v>
      </c>
      <c r="C53" s="30">
        <v>29.5</v>
      </c>
      <c r="D53" s="30"/>
      <c r="E53" s="30"/>
      <c r="F53" s="30">
        <v>29.5</v>
      </c>
      <c r="G53" s="30">
        <v>29.4</v>
      </c>
    </row>
    <row r="54" spans="1:7" x14ac:dyDescent="0.25">
      <c r="A54" s="29">
        <v>37660</v>
      </c>
      <c r="B54" s="30">
        <v>24.4</v>
      </c>
      <c r="C54" s="30">
        <v>25.6</v>
      </c>
      <c r="D54" s="30"/>
      <c r="E54" s="30"/>
      <c r="F54" s="30">
        <v>23.9</v>
      </c>
      <c r="G54" s="30">
        <v>24.2</v>
      </c>
    </row>
    <row r="55" spans="1:7" x14ac:dyDescent="0.25">
      <c r="A55" s="29">
        <v>37661</v>
      </c>
      <c r="B55" s="30">
        <v>26.9</v>
      </c>
      <c r="C55" s="30">
        <v>28.7</v>
      </c>
      <c r="D55" s="30"/>
      <c r="E55" s="30"/>
      <c r="F55" s="30">
        <v>24</v>
      </c>
      <c r="G55" s="30">
        <v>25.2</v>
      </c>
    </row>
    <row r="56" spans="1:7" x14ac:dyDescent="0.25">
      <c r="A56" s="29">
        <v>37662</v>
      </c>
      <c r="B56" s="30">
        <v>32.5</v>
      </c>
      <c r="C56" s="30">
        <v>33.9</v>
      </c>
      <c r="D56" s="30"/>
      <c r="E56" s="30"/>
      <c r="F56" s="30">
        <v>30.6</v>
      </c>
      <c r="G56" s="30">
        <v>32.299999999999997</v>
      </c>
    </row>
    <row r="57" spans="1:7" x14ac:dyDescent="0.25">
      <c r="A57" s="29">
        <v>37663</v>
      </c>
      <c r="B57" s="30">
        <v>24.8</v>
      </c>
      <c r="C57" s="30">
        <v>25.6</v>
      </c>
      <c r="D57" s="30"/>
      <c r="E57" s="30"/>
      <c r="F57" s="30">
        <v>28.3</v>
      </c>
      <c r="G57" s="30">
        <v>24.5</v>
      </c>
    </row>
    <row r="58" spans="1:7" x14ac:dyDescent="0.25">
      <c r="A58" s="29">
        <v>37664</v>
      </c>
      <c r="B58" s="30">
        <v>27.1</v>
      </c>
      <c r="C58" s="30">
        <v>28.3</v>
      </c>
      <c r="D58" s="30"/>
      <c r="E58" s="30"/>
      <c r="F58" s="30">
        <v>28.9</v>
      </c>
      <c r="G58" s="30">
        <v>25.9</v>
      </c>
    </row>
    <row r="59" spans="1:7" x14ac:dyDescent="0.25">
      <c r="A59" s="29">
        <v>37665</v>
      </c>
      <c r="B59" s="30">
        <v>21.4</v>
      </c>
      <c r="C59" s="30">
        <v>22.1</v>
      </c>
      <c r="D59" s="30"/>
      <c r="E59" s="30"/>
      <c r="F59" s="30">
        <v>20</v>
      </c>
      <c r="G59" s="30">
        <v>21</v>
      </c>
    </row>
    <row r="60" spans="1:7" x14ac:dyDescent="0.25">
      <c r="A60" s="29">
        <v>37666</v>
      </c>
      <c r="B60" s="30">
        <v>21.1</v>
      </c>
      <c r="C60" s="30">
        <v>21.7</v>
      </c>
      <c r="D60" s="30"/>
      <c r="E60" s="30"/>
      <c r="F60" s="30">
        <v>20.399999999999999</v>
      </c>
      <c r="G60" s="30">
        <v>20.3</v>
      </c>
    </row>
    <row r="61" spans="1:7" x14ac:dyDescent="0.25">
      <c r="A61" s="29">
        <v>37667</v>
      </c>
      <c r="B61" s="30">
        <v>24.4</v>
      </c>
      <c r="C61" s="30">
        <v>25.2</v>
      </c>
      <c r="D61" s="30"/>
      <c r="E61" s="30"/>
      <c r="F61" s="30">
        <v>28.4</v>
      </c>
      <c r="G61" s="30">
        <v>24.7</v>
      </c>
    </row>
    <row r="62" spans="1:7" x14ac:dyDescent="0.25">
      <c r="A62" s="29">
        <v>37668</v>
      </c>
      <c r="B62" s="30">
        <v>13.2</v>
      </c>
      <c r="C62" s="30">
        <v>13.1</v>
      </c>
      <c r="D62" s="30"/>
      <c r="E62" s="30"/>
      <c r="F62" s="30">
        <v>17.7</v>
      </c>
      <c r="G62" s="30">
        <v>11.7</v>
      </c>
    </row>
    <row r="63" spans="1:7" x14ac:dyDescent="0.25">
      <c r="A63" s="29">
        <v>37669</v>
      </c>
      <c r="B63" s="30">
        <v>19.899999999999999</v>
      </c>
      <c r="C63" s="30">
        <v>20.2</v>
      </c>
      <c r="D63" s="30"/>
      <c r="E63" s="30"/>
      <c r="F63" s="30">
        <v>30.6</v>
      </c>
      <c r="G63" s="30">
        <v>18.2</v>
      </c>
    </row>
    <row r="64" spans="1:7" x14ac:dyDescent="0.25">
      <c r="A64" s="29">
        <v>37670</v>
      </c>
      <c r="B64" s="30">
        <v>26.7</v>
      </c>
      <c r="C64" s="30">
        <v>27.1</v>
      </c>
      <c r="D64" s="30"/>
      <c r="E64" s="30"/>
      <c r="F64" s="30">
        <v>27.4</v>
      </c>
      <c r="G64" s="30">
        <v>26.3</v>
      </c>
    </row>
    <row r="65" spans="1:7" x14ac:dyDescent="0.25">
      <c r="A65" s="29">
        <v>37671</v>
      </c>
      <c r="B65" s="30">
        <v>29.5</v>
      </c>
      <c r="C65" s="30">
        <v>33.1</v>
      </c>
      <c r="D65" s="30"/>
      <c r="E65" s="30"/>
      <c r="F65" s="30">
        <v>28.7</v>
      </c>
      <c r="G65" s="30">
        <v>30.6</v>
      </c>
    </row>
    <row r="66" spans="1:7" x14ac:dyDescent="0.25">
      <c r="A66" s="29">
        <v>37672</v>
      </c>
      <c r="B66" s="30">
        <v>37.200000000000003</v>
      </c>
      <c r="C66" s="30">
        <v>40.299999999999997</v>
      </c>
      <c r="D66" s="30"/>
      <c r="E66" s="30"/>
      <c r="F66" s="30">
        <v>38.200000000000003</v>
      </c>
      <c r="G66" s="30">
        <v>39.4</v>
      </c>
    </row>
    <row r="67" spans="1:7" x14ac:dyDescent="0.25">
      <c r="A67" s="29">
        <v>37673</v>
      </c>
      <c r="B67" s="30">
        <v>32.200000000000003</v>
      </c>
      <c r="C67" s="30">
        <v>40.200000000000003</v>
      </c>
      <c r="D67" s="30"/>
      <c r="E67" s="30"/>
      <c r="F67" s="30">
        <v>32.9</v>
      </c>
      <c r="G67" s="30">
        <v>36.4</v>
      </c>
    </row>
    <row r="68" spans="1:7" x14ac:dyDescent="0.25">
      <c r="A68" s="29">
        <v>37674</v>
      </c>
      <c r="B68" s="30">
        <v>36.6</v>
      </c>
      <c r="C68" s="30">
        <v>36.799999999999997</v>
      </c>
      <c r="D68" s="30"/>
      <c r="E68" s="30"/>
      <c r="F68" s="30">
        <v>37.299999999999997</v>
      </c>
      <c r="G68" s="30">
        <v>38.700000000000003</v>
      </c>
    </row>
    <row r="69" spans="1:7" x14ac:dyDescent="0.25">
      <c r="A69" s="29">
        <v>37675</v>
      </c>
      <c r="B69" s="30">
        <v>39.4</v>
      </c>
      <c r="C69" s="30">
        <v>36.700000000000003</v>
      </c>
      <c r="D69" s="30"/>
      <c r="E69" s="30"/>
      <c r="F69" s="30">
        <v>42.3</v>
      </c>
      <c r="G69" s="30">
        <v>38.4</v>
      </c>
    </row>
    <row r="70" spans="1:7" x14ac:dyDescent="0.25">
      <c r="A70" s="29">
        <v>37676</v>
      </c>
      <c r="B70" s="30">
        <v>30.3</v>
      </c>
      <c r="C70" s="30">
        <v>30</v>
      </c>
      <c r="D70" s="30"/>
      <c r="E70" s="30"/>
      <c r="F70" s="30">
        <v>32.200000000000003</v>
      </c>
      <c r="G70" s="30">
        <v>30.4</v>
      </c>
    </row>
    <row r="71" spans="1:7" x14ac:dyDescent="0.25">
      <c r="A71" s="29">
        <v>37677</v>
      </c>
      <c r="B71" s="30">
        <v>31.4</v>
      </c>
      <c r="C71" s="30">
        <v>30.9</v>
      </c>
      <c r="D71" s="30"/>
      <c r="E71" s="30"/>
      <c r="F71" s="30">
        <v>31.6</v>
      </c>
      <c r="G71" s="30">
        <v>30.8</v>
      </c>
    </row>
    <row r="72" spans="1:7" x14ac:dyDescent="0.25">
      <c r="A72" s="29">
        <v>37678</v>
      </c>
      <c r="B72" s="30">
        <v>20.5</v>
      </c>
      <c r="C72" s="30">
        <v>19.600000000000001</v>
      </c>
      <c r="D72" s="30"/>
      <c r="E72" s="30"/>
      <c r="F72" s="30">
        <v>24.8</v>
      </c>
      <c r="G72" s="30">
        <v>20.3</v>
      </c>
    </row>
    <row r="73" spans="1:7" x14ac:dyDescent="0.25">
      <c r="A73" s="29">
        <v>37679</v>
      </c>
      <c r="B73" s="30">
        <v>25.2</v>
      </c>
      <c r="C73" s="30">
        <v>24</v>
      </c>
      <c r="D73" s="30"/>
      <c r="E73" s="30"/>
      <c r="F73" s="30">
        <v>28.5</v>
      </c>
      <c r="G73" s="30">
        <v>25.5</v>
      </c>
    </row>
    <row r="74" spans="1:7" x14ac:dyDescent="0.25">
      <c r="A74" s="29">
        <v>37680</v>
      </c>
      <c r="B74" s="30">
        <v>31.4</v>
      </c>
      <c r="C74" s="30">
        <v>31.1</v>
      </c>
      <c r="D74" s="30"/>
      <c r="E74" s="30"/>
      <c r="F74" s="30">
        <v>31.8</v>
      </c>
      <c r="G74" s="30">
        <v>32.1</v>
      </c>
    </row>
    <row r="75" spans="1:7" x14ac:dyDescent="0.25">
      <c r="A75" s="29">
        <v>37681</v>
      </c>
      <c r="B75" s="30">
        <v>32.9</v>
      </c>
      <c r="C75" s="30">
        <v>34.6</v>
      </c>
      <c r="D75" s="30"/>
      <c r="E75" s="30"/>
      <c r="F75" s="30">
        <v>32.700000000000003</v>
      </c>
      <c r="G75" s="30">
        <v>34.5</v>
      </c>
    </row>
    <row r="76" spans="1:7" x14ac:dyDescent="0.25">
      <c r="A76" s="29">
        <v>37682</v>
      </c>
      <c r="B76" s="30">
        <v>38.6</v>
      </c>
      <c r="C76" s="30">
        <v>36.799999999999997</v>
      </c>
      <c r="D76" s="30"/>
      <c r="E76" s="30"/>
      <c r="F76" s="30">
        <v>41.3</v>
      </c>
      <c r="G76" s="30">
        <v>39.1</v>
      </c>
    </row>
    <row r="77" spans="1:7" x14ac:dyDescent="0.25">
      <c r="A77" s="29">
        <v>37683</v>
      </c>
      <c r="B77" s="30">
        <v>27.5</v>
      </c>
      <c r="C77" s="30">
        <v>26.3</v>
      </c>
      <c r="D77" s="30"/>
      <c r="E77" s="30"/>
      <c r="F77" s="30">
        <v>30.5</v>
      </c>
      <c r="G77" s="30">
        <v>26.9</v>
      </c>
    </row>
    <row r="78" spans="1:7" x14ac:dyDescent="0.25">
      <c r="A78" s="29">
        <v>37684</v>
      </c>
      <c r="B78" s="30">
        <v>24.4</v>
      </c>
      <c r="C78" s="30">
        <v>24.8</v>
      </c>
      <c r="D78" s="30"/>
      <c r="E78" s="30"/>
      <c r="F78" s="30">
        <v>24.7</v>
      </c>
      <c r="G78" s="30">
        <v>25.4</v>
      </c>
    </row>
    <row r="79" spans="1:7" x14ac:dyDescent="0.25">
      <c r="A79" s="29">
        <v>37685</v>
      </c>
      <c r="B79" s="30">
        <v>39.9</v>
      </c>
      <c r="C79" s="30">
        <v>39.5</v>
      </c>
      <c r="D79" s="30"/>
      <c r="E79" s="30"/>
      <c r="F79" s="30">
        <v>46.7</v>
      </c>
      <c r="G79" s="30">
        <v>39.9</v>
      </c>
    </row>
    <row r="80" spans="1:7" x14ac:dyDescent="0.25">
      <c r="A80" s="29">
        <v>37686</v>
      </c>
      <c r="B80" s="30">
        <v>35.799999999999997</v>
      </c>
      <c r="C80" s="30">
        <v>35.700000000000003</v>
      </c>
      <c r="D80" s="30"/>
      <c r="E80" s="30"/>
      <c r="F80" s="30">
        <v>38.9</v>
      </c>
      <c r="G80" s="30">
        <v>35.4</v>
      </c>
    </row>
    <row r="81" spans="1:7" x14ac:dyDescent="0.25">
      <c r="A81" s="29">
        <v>37687</v>
      </c>
      <c r="B81" s="30">
        <v>22.3</v>
      </c>
      <c r="C81" s="30">
        <v>22.7</v>
      </c>
      <c r="D81" s="30"/>
      <c r="E81" s="30"/>
      <c r="F81" s="30">
        <v>26.4</v>
      </c>
      <c r="G81" s="30">
        <v>21.3</v>
      </c>
    </row>
    <row r="82" spans="1:7" x14ac:dyDescent="0.25">
      <c r="A82" s="29">
        <v>37688</v>
      </c>
      <c r="B82" s="30">
        <v>34.6</v>
      </c>
      <c r="C82" s="30">
        <v>35.799999999999997</v>
      </c>
      <c r="D82" s="30"/>
      <c r="E82" s="30"/>
      <c r="F82" s="30">
        <v>34.1</v>
      </c>
      <c r="G82" s="30">
        <v>34.6</v>
      </c>
    </row>
    <row r="83" spans="1:7" x14ac:dyDescent="0.25">
      <c r="A83" s="29">
        <v>37689</v>
      </c>
      <c r="B83" s="30">
        <v>41.5</v>
      </c>
      <c r="C83" s="30">
        <v>41.8</v>
      </c>
      <c r="D83" s="30"/>
      <c r="E83" s="30"/>
      <c r="F83" s="30">
        <v>47.3</v>
      </c>
      <c r="G83" s="30">
        <v>42.5</v>
      </c>
    </row>
    <row r="84" spans="1:7" x14ac:dyDescent="0.25">
      <c r="A84" s="29">
        <v>37690</v>
      </c>
      <c r="B84" s="30">
        <v>25.7</v>
      </c>
      <c r="C84" s="30">
        <v>25.1</v>
      </c>
      <c r="D84" s="30"/>
      <c r="E84" s="30"/>
      <c r="F84" s="30">
        <v>29.5</v>
      </c>
      <c r="G84" s="30">
        <v>26</v>
      </c>
    </row>
    <row r="85" spans="1:7" x14ac:dyDescent="0.25">
      <c r="A85" s="29">
        <v>37691</v>
      </c>
      <c r="B85" s="30">
        <v>28.4</v>
      </c>
      <c r="C85" s="30">
        <v>29.3</v>
      </c>
      <c r="D85" s="30"/>
      <c r="E85" s="30"/>
      <c r="F85" s="30">
        <v>25.3</v>
      </c>
      <c r="G85" s="30">
        <v>28.9</v>
      </c>
    </row>
    <row r="86" spans="1:7" x14ac:dyDescent="0.25">
      <c r="A86" s="29">
        <v>37692</v>
      </c>
      <c r="B86" s="30">
        <v>36.1</v>
      </c>
      <c r="C86" s="30">
        <v>39.4</v>
      </c>
      <c r="D86" s="30"/>
      <c r="E86" s="30"/>
      <c r="F86" s="30">
        <v>37.6</v>
      </c>
      <c r="G86" s="30">
        <v>39.299999999999997</v>
      </c>
    </row>
    <row r="87" spans="1:7" x14ac:dyDescent="0.25">
      <c r="A87" s="29">
        <v>37693</v>
      </c>
      <c r="B87" s="30">
        <v>40.9</v>
      </c>
      <c r="C87" s="30">
        <v>42.9</v>
      </c>
      <c r="D87" s="30"/>
      <c r="E87" s="30"/>
      <c r="F87" s="30">
        <v>41.2</v>
      </c>
      <c r="G87" s="30">
        <v>44.1</v>
      </c>
    </row>
    <row r="88" spans="1:7" x14ac:dyDescent="0.25">
      <c r="A88" s="29">
        <v>37694</v>
      </c>
      <c r="B88" s="30">
        <v>29.3</v>
      </c>
      <c r="C88" s="30">
        <v>29.5</v>
      </c>
      <c r="D88" s="30"/>
      <c r="E88" s="30"/>
      <c r="F88" s="30">
        <v>33.5</v>
      </c>
      <c r="G88" s="30">
        <v>30.4</v>
      </c>
    </row>
    <row r="89" spans="1:7" x14ac:dyDescent="0.25">
      <c r="A89" s="29">
        <v>37695</v>
      </c>
      <c r="B89" s="30">
        <v>35.9</v>
      </c>
      <c r="C89" s="30">
        <v>37.9</v>
      </c>
      <c r="D89" s="30"/>
      <c r="E89" s="30"/>
      <c r="F89" s="30">
        <v>36.5</v>
      </c>
      <c r="G89" s="30">
        <v>39</v>
      </c>
    </row>
    <row r="90" spans="1:7" x14ac:dyDescent="0.25">
      <c r="A90" s="29">
        <v>37696</v>
      </c>
      <c r="B90" s="30">
        <v>44.5</v>
      </c>
      <c r="C90" s="30">
        <v>49.9</v>
      </c>
      <c r="D90" s="30"/>
      <c r="E90" s="30"/>
      <c r="F90" s="30">
        <v>48.7</v>
      </c>
      <c r="G90" s="30">
        <v>50.2</v>
      </c>
    </row>
    <row r="91" spans="1:7" x14ac:dyDescent="0.25">
      <c r="A91" s="29">
        <v>37697</v>
      </c>
      <c r="B91" s="30">
        <v>53.6</v>
      </c>
      <c r="C91" s="30">
        <v>54.5</v>
      </c>
      <c r="D91" s="30"/>
      <c r="E91" s="30"/>
      <c r="F91" s="30">
        <v>55.9</v>
      </c>
      <c r="G91" s="30">
        <v>58.3</v>
      </c>
    </row>
    <row r="92" spans="1:7" x14ac:dyDescent="0.25">
      <c r="A92" s="29">
        <v>37698</v>
      </c>
      <c r="B92" s="30">
        <v>52.8</v>
      </c>
      <c r="C92" s="30">
        <v>56.3</v>
      </c>
      <c r="D92" s="30"/>
      <c r="E92" s="30"/>
      <c r="F92" s="30">
        <v>50.6</v>
      </c>
      <c r="G92" s="30">
        <v>58.3</v>
      </c>
    </row>
    <row r="93" spans="1:7" x14ac:dyDescent="0.25">
      <c r="A93" s="29">
        <v>37699</v>
      </c>
      <c r="B93" s="30">
        <v>39.299999999999997</v>
      </c>
      <c r="C93" s="30">
        <v>40.4</v>
      </c>
      <c r="D93" s="30"/>
      <c r="E93" s="30"/>
      <c r="F93" s="30">
        <v>40.6</v>
      </c>
      <c r="G93" s="30">
        <v>41.3</v>
      </c>
    </row>
    <row r="94" spans="1:7" x14ac:dyDescent="0.25">
      <c r="A94" s="29">
        <v>37700</v>
      </c>
      <c r="B94" s="30">
        <v>38</v>
      </c>
      <c r="C94" s="30">
        <v>36.4</v>
      </c>
      <c r="D94" s="30"/>
      <c r="E94" s="30"/>
      <c r="F94" s="30">
        <v>40.799999999999997</v>
      </c>
      <c r="G94" s="30">
        <v>37.799999999999997</v>
      </c>
    </row>
    <row r="95" spans="1:7" x14ac:dyDescent="0.25">
      <c r="A95" s="29">
        <v>37701</v>
      </c>
      <c r="B95" s="30">
        <v>49.3</v>
      </c>
      <c r="C95" s="30">
        <v>53.4</v>
      </c>
      <c r="D95" s="30"/>
      <c r="E95" s="30"/>
      <c r="F95" s="30">
        <v>54.9</v>
      </c>
      <c r="G95" s="30">
        <v>56.4</v>
      </c>
    </row>
    <row r="96" spans="1:7" x14ac:dyDescent="0.25">
      <c r="A96" s="29">
        <v>37702</v>
      </c>
      <c r="B96" s="30">
        <v>54.7</v>
      </c>
      <c r="C96" s="30">
        <v>57.3</v>
      </c>
      <c r="D96" s="30"/>
      <c r="E96" s="30"/>
      <c r="F96" s="30">
        <v>57.1</v>
      </c>
      <c r="G96" s="30">
        <v>58.4</v>
      </c>
    </row>
    <row r="97" spans="1:7" x14ac:dyDescent="0.25">
      <c r="A97" s="29">
        <v>37703</v>
      </c>
      <c r="B97" s="30">
        <v>52.1</v>
      </c>
      <c r="C97" s="30">
        <v>51.8</v>
      </c>
      <c r="D97" s="30"/>
      <c r="E97" s="30"/>
      <c r="F97" s="30">
        <v>52.2</v>
      </c>
      <c r="G97" s="30">
        <v>53</v>
      </c>
    </row>
    <row r="98" spans="1:7" x14ac:dyDescent="0.25">
      <c r="A98" s="29">
        <v>37704</v>
      </c>
      <c r="B98" s="30">
        <v>46.4</v>
      </c>
      <c r="C98" s="30">
        <v>48.2</v>
      </c>
      <c r="D98" s="30"/>
      <c r="E98" s="30"/>
      <c r="F98" s="30">
        <v>46</v>
      </c>
      <c r="G98" s="30">
        <v>50</v>
      </c>
    </row>
    <row r="99" spans="1:7" x14ac:dyDescent="0.25">
      <c r="A99" s="29">
        <v>37705</v>
      </c>
      <c r="B99" s="30">
        <v>44.3</v>
      </c>
      <c r="C99" s="30">
        <v>48</v>
      </c>
      <c r="D99" s="30"/>
      <c r="E99" s="30"/>
      <c r="F99" s="30">
        <v>44.2</v>
      </c>
      <c r="G99" s="30">
        <v>49.2</v>
      </c>
    </row>
    <row r="100" spans="1:7" x14ac:dyDescent="0.25">
      <c r="A100" s="29">
        <v>37706</v>
      </c>
      <c r="B100" s="30">
        <v>48.5</v>
      </c>
      <c r="C100" s="30">
        <v>52.2</v>
      </c>
      <c r="D100" s="30"/>
      <c r="E100" s="30"/>
      <c r="F100" s="30">
        <v>55.4</v>
      </c>
      <c r="G100" s="30">
        <v>54.1</v>
      </c>
    </row>
    <row r="101" spans="1:7" x14ac:dyDescent="0.25">
      <c r="A101" s="29">
        <v>37707</v>
      </c>
      <c r="B101" s="30">
        <v>48.8</v>
      </c>
      <c r="C101" s="30">
        <v>49.8</v>
      </c>
      <c r="D101" s="30"/>
      <c r="E101" s="30"/>
      <c r="F101" s="30">
        <v>48.1</v>
      </c>
      <c r="G101" s="30">
        <v>50.4</v>
      </c>
    </row>
    <row r="102" spans="1:7" x14ac:dyDescent="0.25">
      <c r="A102" s="29">
        <v>37708</v>
      </c>
      <c r="B102" s="30">
        <v>47.7</v>
      </c>
      <c r="C102" s="30">
        <v>51.3</v>
      </c>
      <c r="D102" s="30"/>
      <c r="E102" s="30"/>
      <c r="F102" s="30">
        <v>45.2</v>
      </c>
      <c r="G102" s="30">
        <v>51</v>
      </c>
    </row>
    <row r="103" spans="1:7" x14ac:dyDescent="0.25">
      <c r="A103" s="29">
        <v>37709</v>
      </c>
      <c r="B103" s="30">
        <v>52.7</v>
      </c>
      <c r="C103" s="30">
        <v>55.9</v>
      </c>
      <c r="D103" s="30"/>
      <c r="E103" s="30"/>
      <c r="F103" s="30">
        <v>58</v>
      </c>
      <c r="G103" s="30">
        <v>58</v>
      </c>
    </row>
    <row r="104" spans="1:7" x14ac:dyDescent="0.25">
      <c r="A104" s="29">
        <v>37710</v>
      </c>
      <c r="B104" s="30">
        <v>47.1</v>
      </c>
      <c r="C104" s="30">
        <v>46.6</v>
      </c>
      <c r="D104" s="30"/>
      <c r="E104" s="30"/>
      <c r="F104" s="30">
        <v>48.2</v>
      </c>
      <c r="G104" s="30">
        <v>48.2</v>
      </c>
    </row>
    <row r="105" spans="1:7" x14ac:dyDescent="0.25">
      <c r="A105" s="29">
        <v>37711</v>
      </c>
      <c r="B105" s="30">
        <v>37</v>
      </c>
      <c r="C105" s="30">
        <v>36.5</v>
      </c>
      <c r="D105" s="30"/>
      <c r="E105" s="30"/>
      <c r="F105" s="30">
        <v>36.799999999999997</v>
      </c>
      <c r="G105" s="30">
        <v>37</v>
      </c>
    </row>
    <row r="106" spans="1:7" x14ac:dyDescent="0.25">
      <c r="A106" s="29">
        <v>37712</v>
      </c>
      <c r="B106" s="30">
        <v>36.1</v>
      </c>
      <c r="C106" s="30">
        <v>36.299999999999997</v>
      </c>
      <c r="D106" s="30"/>
      <c r="E106" s="30"/>
      <c r="F106" s="30">
        <v>38.5</v>
      </c>
      <c r="G106" s="30">
        <v>36</v>
      </c>
    </row>
    <row r="107" spans="1:7" x14ac:dyDescent="0.25">
      <c r="A107" s="29">
        <v>37713</v>
      </c>
      <c r="B107" s="30">
        <v>44.3</v>
      </c>
      <c r="C107" s="30">
        <v>42.8</v>
      </c>
      <c r="D107" s="30"/>
      <c r="E107" s="30"/>
      <c r="F107" s="30">
        <v>50.9</v>
      </c>
      <c r="G107" s="30">
        <v>44.5</v>
      </c>
    </row>
    <row r="108" spans="1:7" x14ac:dyDescent="0.25">
      <c r="A108" s="29">
        <v>37714</v>
      </c>
      <c r="B108" s="30">
        <v>45</v>
      </c>
      <c r="C108" s="30">
        <v>44.5</v>
      </c>
      <c r="D108" s="30"/>
      <c r="E108" s="30"/>
      <c r="F108" s="30">
        <v>48.3</v>
      </c>
      <c r="G108" s="30">
        <v>46.8</v>
      </c>
    </row>
    <row r="109" spans="1:7" x14ac:dyDescent="0.25">
      <c r="A109" s="29">
        <v>37715</v>
      </c>
      <c r="B109" s="30">
        <v>41.3</v>
      </c>
      <c r="C109" s="30">
        <v>41.4</v>
      </c>
      <c r="D109" s="30"/>
      <c r="E109" s="30"/>
      <c r="F109" s="30">
        <v>43.2</v>
      </c>
      <c r="G109" s="30">
        <v>42.2</v>
      </c>
    </row>
    <row r="110" spans="1:7" x14ac:dyDescent="0.25">
      <c r="A110" s="29">
        <v>37716</v>
      </c>
      <c r="B110" s="30">
        <v>37.700000000000003</v>
      </c>
      <c r="C110" s="30">
        <v>36.299999999999997</v>
      </c>
      <c r="D110" s="30"/>
      <c r="E110" s="30"/>
      <c r="F110" s="30">
        <v>42.5</v>
      </c>
      <c r="G110" s="30">
        <v>37.799999999999997</v>
      </c>
    </row>
    <row r="111" spans="1:7" x14ac:dyDescent="0.25">
      <c r="A111" s="29">
        <v>37717</v>
      </c>
      <c r="B111" s="30">
        <v>41</v>
      </c>
      <c r="C111" s="30">
        <v>39.700000000000003</v>
      </c>
      <c r="D111" s="30"/>
      <c r="E111" s="30"/>
      <c r="F111" s="30">
        <v>43.9</v>
      </c>
      <c r="G111" s="30">
        <v>41.6</v>
      </c>
    </row>
    <row r="112" spans="1:7" x14ac:dyDescent="0.25">
      <c r="A112" s="29">
        <v>37718</v>
      </c>
      <c r="B112" s="30">
        <v>35.200000000000003</v>
      </c>
      <c r="C112" s="30">
        <v>35.4</v>
      </c>
      <c r="D112" s="30"/>
      <c r="E112" s="30"/>
      <c r="F112" s="30">
        <v>37.700000000000003</v>
      </c>
      <c r="G112" s="30">
        <v>35.700000000000003</v>
      </c>
    </row>
    <row r="113" spans="1:7" x14ac:dyDescent="0.25">
      <c r="A113" s="29">
        <v>37719</v>
      </c>
      <c r="B113" s="30">
        <v>33.4</v>
      </c>
      <c r="C113" s="30">
        <v>33.9</v>
      </c>
      <c r="D113" s="30"/>
      <c r="E113" s="30"/>
      <c r="F113" s="30">
        <v>37.200000000000003</v>
      </c>
      <c r="G113" s="30">
        <v>33.700000000000003</v>
      </c>
    </row>
    <row r="114" spans="1:7" x14ac:dyDescent="0.25">
      <c r="A114" s="29">
        <v>37720</v>
      </c>
      <c r="B114" s="30">
        <v>35.799999999999997</v>
      </c>
      <c r="C114" s="30">
        <v>37</v>
      </c>
      <c r="D114" s="30"/>
      <c r="E114" s="30"/>
      <c r="F114" s="30">
        <v>38</v>
      </c>
      <c r="G114" s="30">
        <v>36.5</v>
      </c>
    </row>
    <row r="115" spans="1:7" x14ac:dyDescent="0.25">
      <c r="A115" s="29">
        <v>37721</v>
      </c>
      <c r="B115" s="30">
        <v>40.299999999999997</v>
      </c>
      <c r="C115" s="30">
        <v>41.7</v>
      </c>
      <c r="D115" s="30"/>
      <c r="E115" s="30"/>
      <c r="F115" s="30">
        <v>39.6</v>
      </c>
      <c r="G115" s="30">
        <v>41.5</v>
      </c>
    </row>
    <row r="116" spans="1:7" x14ac:dyDescent="0.25">
      <c r="A116" s="29">
        <v>37722</v>
      </c>
      <c r="B116" s="30">
        <v>40.799999999999997</v>
      </c>
      <c r="C116" s="30">
        <v>41.6</v>
      </c>
      <c r="D116" s="30"/>
      <c r="E116" s="30"/>
      <c r="F116" s="30">
        <v>42</v>
      </c>
      <c r="G116" s="30">
        <v>42.6</v>
      </c>
    </row>
    <row r="117" spans="1:7" x14ac:dyDescent="0.25">
      <c r="A117" s="29">
        <v>37723</v>
      </c>
      <c r="B117" s="30">
        <v>51.1</v>
      </c>
      <c r="C117" s="30">
        <v>50.5</v>
      </c>
      <c r="D117" s="30"/>
      <c r="E117" s="30"/>
      <c r="F117" s="30">
        <v>50.4</v>
      </c>
      <c r="G117" s="30">
        <v>52.5</v>
      </c>
    </row>
    <row r="118" spans="1:7" x14ac:dyDescent="0.25">
      <c r="A118" s="29">
        <v>37724</v>
      </c>
      <c r="B118" s="30">
        <v>53.7</v>
      </c>
      <c r="C118" s="30">
        <v>53.5</v>
      </c>
      <c r="D118" s="30"/>
      <c r="E118" s="30"/>
      <c r="F118" s="30">
        <v>50</v>
      </c>
      <c r="G118" s="30">
        <v>54.6</v>
      </c>
    </row>
    <row r="119" spans="1:7" x14ac:dyDescent="0.25">
      <c r="A119" s="29">
        <v>37725</v>
      </c>
      <c r="B119" s="30">
        <v>46.7</v>
      </c>
      <c r="C119" s="30">
        <v>50.3</v>
      </c>
      <c r="D119" s="30"/>
      <c r="E119" s="30"/>
      <c r="F119" s="30">
        <v>47</v>
      </c>
      <c r="G119" s="30">
        <v>50.4</v>
      </c>
    </row>
    <row r="120" spans="1:7" x14ac:dyDescent="0.25">
      <c r="A120" s="29">
        <v>37726</v>
      </c>
      <c r="B120" s="30">
        <v>51.9</v>
      </c>
      <c r="C120" s="30">
        <v>60.3</v>
      </c>
      <c r="D120" s="30"/>
      <c r="E120" s="30"/>
      <c r="F120" s="30">
        <v>57.9</v>
      </c>
      <c r="G120" s="30">
        <v>61.1</v>
      </c>
    </row>
    <row r="121" spans="1:7" x14ac:dyDescent="0.25">
      <c r="A121" s="29">
        <v>37727</v>
      </c>
      <c r="B121" s="30">
        <v>64.3</v>
      </c>
      <c r="C121" s="30">
        <v>73.099999999999994</v>
      </c>
      <c r="D121" s="30"/>
      <c r="E121" s="30"/>
      <c r="F121" s="30">
        <v>69.8</v>
      </c>
      <c r="G121" s="30">
        <v>74.099999999999994</v>
      </c>
    </row>
    <row r="122" spans="1:7" x14ac:dyDescent="0.25">
      <c r="A122" s="29">
        <v>37728</v>
      </c>
      <c r="B122" s="30">
        <v>46.2</v>
      </c>
      <c r="C122" s="30">
        <v>46.7</v>
      </c>
      <c r="D122" s="30"/>
      <c r="E122" s="30"/>
      <c r="F122" s="30">
        <v>47.6</v>
      </c>
      <c r="G122" s="30">
        <v>47.9</v>
      </c>
    </row>
    <row r="123" spans="1:7" x14ac:dyDescent="0.25">
      <c r="A123" s="29">
        <v>37729</v>
      </c>
      <c r="B123" s="30">
        <v>40.700000000000003</v>
      </c>
      <c r="C123" s="30">
        <v>39.200000000000003</v>
      </c>
      <c r="D123" s="30"/>
      <c r="E123" s="30"/>
      <c r="F123" s="30">
        <v>40.9</v>
      </c>
      <c r="G123" s="30">
        <v>40.9</v>
      </c>
    </row>
    <row r="124" spans="1:7" x14ac:dyDescent="0.25">
      <c r="A124" s="29">
        <v>37730</v>
      </c>
      <c r="B124" s="30">
        <v>47.5</v>
      </c>
      <c r="C124" s="30">
        <v>47.3</v>
      </c>
      <c r="D124" s="30"/>
      <c r="E124" s="30"/>
      <c r="F124" s="30">
        <v>47.2</v>
      </c>
      <c r="G124" s="30">
        <v>49.1</v>
      </c>
    </row>
    <row r="125" spans="1:7" x14ac:dyDescent="0.25">
      <c r="A125" s="29">
        <v>37731</v>
      </c>
      <c r="B125" s="30">
        <v>51.2</v>
      </c>
      <c r="C125" s="30">
        <v>51.3</v>
      </c>
      <c r="D125" s="30"/>
      <c r="E125" s="30"/>
      <c r="F125" s="30">
        <v>48</v>
      </c>
      <c r="G125" s="30">
        <v>52.6</v>
      </c>
    </row>
    <row r="126" spans="1:7" x14ac:dyDescent="0.25">
      <c r="A126" s="29">
        <v>37732</v>
      </c>
      <c r="B126" s="30">
        <v>47</v>
      </c>
      <c r="C126" s="30">
        <v>51.7</v>
      </c>
      <c r="D126" s="30"/>
      <c r="E126" s="30"/>
      <c r="F126" s="30">
        <v>45</v>
      </c>
      <c r="G126" s="30">
        <v>50.4</v>
      </c>
    </row>
    <row r="127" spans="1:7" x14ac:dyDescent="0.25">
      <c r="A127" s="29">
        <v>37733</v>
      </c>
      <c r="B127" s="30">
        <v>49.9</v>
      </c>
      <c r="C127" s="30">
        <v>48.3</v>
      </c>
      <c r="D127" s="30"/>
      <c r="E127" s="30"/>
      <c r="F127" s="30">
        <v>55.8</v>
      </c>
      <c r="G127" s="30">
        <v>51.8</v>
      </c>
    </row>
    <row r="128" spans="1:7" x14ac:dyDescent="0.25">
      <c r="A128" s="29">
        <v>37734</v>
      </c>
      <c r="B128" s="30">
        <v>48.7</v>
      </c>
      <c r="C128" s="30">
        <v>48.1</v>
      </c>
      <c r="D128" s="30"/>
      <c r="E128" s="30"/>
      <c r="F128" s="30">
        <v>50.1</v>
      </c>
      <c r="G128" s="30">
        <v>50.9</v>
      </c>
    </row>
    <row r="129" spans="1:7" x14ac:dyDescent="0.25">
      <c r="A129" s="29">
        <v>37735</v>
      </c>
      <c r="B129" s="30">
        <v>47.1</v>
      </c>
      <c r="C129" s="30">
        <v>46.7</v>
      </c>
      <c r="D129" s="30"/>
      <c r="E129" s="30"/>
      <c r="F129" s="30">
        <v>48.3</v>
      </c>
      <c r="G129" s="30">
        <v>48.3</v>
      </c>
    </row>
    <row r="130" spans="1:7" x14ac:dyDescent="0.25">
      <c r="A130" s="29">
        <v>37736</v>
      </c>
      <c r="B130" s="30">
        <v>53.3</v>
      </c>
      <c r="C130" s="30">
        <v>55.5</v>
      </c>
      <c r="D130" s="30"/>
      <c r="E130" s="30"/>
      <c r="F130" s="30">
        <v>52.1</v>
      </c>
      <c r="G130" s="30">
        <v>55.1</v>
      </c>
    </row>
    <row r="131" spans="1:7" x14ac:dyDescent="0.25">
      <c r="A131" s="29">
        <v>37737</v>
      </c>
      <c r="B131" s="30">
        <v>51.7</v>
      </c>
      <c r="C131" s="30">
        <v>51.5</v>
      </c>
      <c r="D131" s="30"/>
      <c r="E131" s="30"/>
      <c r="F131" s="30">
        <v>54.2</v>
      </c>
      <c r="G131" s="30">
        <v>53.5</v>
      </c>
    </row>
    <row r="132" spans="1:7" x14ac:dyDescent="0.25">
      <c r="A132" s="29">
        <v>37738</v>
      </c>
      <c r="B132" s="30">
        <v>57.2</v>
      </c>
      <c r="C132" s="30">
        <v>58.2</v>
      </c>
      <c r="D132" s="30"/>
      <c r="E132" s="30"/>
      <c r="F132" s="30">
        <v>58.3</v>
      </c>
      <c r="G132" s="30">
        <v>60.3</v>
      </c>
    </row>
    <row r="133" spans="1:7" x14ac:dyDescent="0.25">
      <c r="A133" s="29">
        <v>37739</v>
      </c>
      <c r="B133" s="30">
        <v>57.7</v>
      </c>
      <c r="C133" s="30">
        <v>64.3</v>
      </c>
      <c r="D133" s="30"/>
      <c r="E133" s="30"/>
      <c r="F133" s="30">
        <v>58.7</v>
      </c>
      <c r="G133" s="30">
        <v>66.900000000000006</v>
      </c>
    </row>
    <row r="134" spans="1:7" x14ac:dyDescent="0.25">
      <c r="A134" s="29">
        <v>37740</v>
      </c>
      <c r="B134" s="30">
        <v>60.6</v>
      </c>
      <c r="C134" s="30">
        <v>67.3</v>
      </c>
      <c r="D134" s="30"/>
      <c r="E134" s="30"/>
      <c r="F134" s="30">
        <v>64</v>
      </c>
      <c r="G134" s="30">
        <v>66.5</v>
      </c>
    </row>
    <row r="135" spans="1:7" x14ac:dyDescent="0.25">
      <c r="A135" s="29">
        <v>37741</v>
      </c>
      <c r="B135" s="30">
        <v>59.2</v>
      </c>
      <c r="C135" s="30">
        <v>60.7</v>
      </c>
      <c r="D135" s="30"/>
      <c r="E135" s="30"/>
      <c r="F135" s="30">
        <v>57.2</v>
      </c>
      <c r="G135" s="30">
        <v>61.1</v>
      </c>
    </row>
    <row r="136" spans="1:7" x14ac:dyDescent="0.25">
      <c r="A136" s="29">
        <v>37742</v>
      </c>
      <c r="B136" s="30">
        <v>54</v>
      </c>
      <c r="C136" s="30">
        <v>57.3</v>
      </c>
      <c r="D136" s="30"/>
      <c r="E136" s="30"/>
      <c r="F136" s="30">
        <v>59.7</v>
      </c>
      <c r="G136" s="30">
        <v>57.6</v>
      </c>
    </row>
    <row r="137" spans="1:7" x14ac:dyDescent="0.25">
      <c r="A137" s="29">
        <v>37743</v>
      </c>
      <c r="B137" s="30">
        <v>59.2</v>
      </c>
      <c r="C137" s="30">
        <v>65.2</v>
      </c>
      <c r="D137" s="30"/>
      <c r="E137" s="30"/>
      <c r="F137" s="30">
        <v>63.9</v>
      </c>
      <c r="G137" s="30">
        <v>69.099999999999994</v>
      </c>
    </row>
    <row r="138" spans="1:7" x14ac:dyDescent="0.25">
      <c r="A138" s="29">
        <v>37744</v>
      </c>
      <c r="B138" s="30">
        <v>56.1</v>
      </c>
      <c r="C138" s="30">
        <v>55.5</v>
      </c>
      <c r="D138" s="30"/>
      <c r="E138" s="30"/>
      <c r="F138" s="30">
        <v>57.1</v>
      </c>
      <c r="G138" s="30">
        <v>57.7</v>
      </c>
    </row>
    <row r="139" spans="1:7" x14ac:dyDescent="0.25">
      <c r="A139" s="29">
        <v>37745</v>
      </c>
      <c r="B139" s="30">
        <v>52.4</v>
      </c>
      <c r="C139" s="30">
        <v>53.7</v>
      </c>
      <c r="D139" s="30"/>
      <c r="E139" s="30"/>
      <c r="F139" s="30">
        <v>50</v>
      </c>
      <c r="G139" s="30">
        <v>54.8</v>
      </c>
    </row>
    <row r="140" spans="1:7" x14ac:dyDescent="0.25">
      <c r="A140" s="29">
        <v>37746</v>
      </c>
      <c r="B140" s="30">
        <v>50.8</v>
      </c>
      <c r="C140" s="30">
        <v>54.5</v>
      </c>
      <c r="D140" s="30"/>
      <c r="E140" s="30"/>
      <c r="F140" s="30">
        <v>45.6</v>
      </c>
      <c r="G140" s="30">
        <v>53.1</v>
      </c>
    </row>
    <row r="141" spans="1:7" x14ac:dyDescent="0.25">
      <c r="A141" s="29">
        <v>37747</v>
      </c>
      <c r="B141" s="30">
        <v>50.3</v>
      </c>
      <c r="C141" s="30">
        <v>49.5</v>
      </c>
      <c r="D141" s="30"/>
      <c r="E141" s="30"/>
      <c r="F141" s="30">
        <v>51.6</v>
      </c>
      <c r="G141" s="30">
        <v>51.1</v>
      </c>
    </row>
    <row r="142" spans="1:7" x14ac:dyDescent="0.25">
      <c r="A142" s="29">
        <v>37748</v>
      </c>
      <c r="B142" s="30">
        <v>58.1</v>
      </c>
      <c r="C142" s="30">
        <v>62.5</v>
      </c>
      <c r="D142" s="30"/>
      <c r="E142" s="30"/>
      <c r="F142" s="30">
        <v>60</v>
      </c>
      <c r="G142" s="30">
        <v>63.2</v>
      </c>
    </row>
    <row r="143" spans="1:7" x14ac:dyDescent="0.25">
      <c r="A143" s="29">
        <v>37749</v>
      </c>
      <c r="B143" s="30">
        <v>57.8</v>
      </c>
      <c r="C143" s="30">
        <v>58.1</v>
      </c>
      <c r="D143" s="30"/>
      <c r="E143" s="30"/>
      <c r="F143" s="30">
        <v>60.4</v>
      </c>
      <c r="G143" s="30">
        <v>60.7</v>
      </c>
    </row>
    <row r="144" spans="1:7" x14ac:dyDescent="0.25">
      <c r="A144" s="29">
        <v>37750</v>
      </c>
      <c r="B144" s="30">
        <v>54.4</v>
      </c>
      <c r="C144" s="30">
        <v>57.6</v>
      </c>
      <c r="D144" s="30"/>
      <c r="E144" s="30"/>
      <c r="F144" s="30">
        <v>53.6</v>
      </c>
      <c r="G144" s="30">
        <v>57.5</v>
      </c>
    </row>
    <row r="145" spans="1:7" x14ac:dyDescent="0.25">
      <c r="A145" s="29">
        <v>37751</v>
      </c>
      <c r="B145" s="30">
        <v>54.9</v>
      </c>
      <c r="C145" s="30">
        <v>58.3</v>
      </c>
      <c r="D145" s="30"/>
      <c r="E145" s="30"/>
      <c r="F145" s="30">
        <v>56.8</v>
      </c>
      <c r="G145" s="30">
        <v>59</v>
      </c>
    </row>
    <row r="146" spans="1:7" x14ac:dyDescent="0.25">
      <c r="A146" s="29">
        <v>37752</v>
      </c>
      <c r="B146" s="30">
        <v>55.9</v>
      </c>
      <c r="C146" s="30">
        <v>58.4</v>
      </c>
      <c r="D146" s="30"/>
      <c r="E146" s="30"/>
      <c r="F146" s="30">
        <v>61.6</v>
      </c>
      <c r="G146" s="30">
        <v>61.4</v>
      </c>
    </row>
    <row r="147" spans="1:7" x14ac:dyDescent="0.25">
      <c r="A147" s="29">
        <v>37753</v>
      </c>
      <c r="B147" s="30">
        <v>56.8</v>
      </c>
      <c r="C147" s="30">
        <v>57.5</v>
      </c>
      <c r="D147" s="30"/>
      <c r="E147" s="30"/>
      <c r="F147" s="30">
        <v>67.7</v>
      </c>
      <c r="G147" s="30">
        <v>59.4</v>
      </c>
    </row>
    <row r="148" spans="1:7" x14ac:dyDescent="0.25">
      <c r="A148" s="29">
        <v>37754</v>
      </c>
      <c r="B148" s="30">
        <v>56.2</v>
      </c>
      <c r="C148" s="30">
        <v>56.7</v>
      </c>
      <c r="D148" s="30"/>
      <c r="E148" s="30"/>
      <c r="F148" s="30">
        <v>57.4</v>
      </c>
      <c r="G148" s="30">
        <v>56.4</v>
      </c>
    </row>
    <row r="149" spans="1:7" x14ac:dyDescent="0.25">
      <c r="A149" s="29">
        <v>37755</v>
      </c>
      <c r="B149" s="30">
        <v>57.7</v>
      </c>
      <c r="C149" s="30">
        <v>57.3</v>
      </c>
      <c r="D149" s="30"/>
      <c r="E149" s="30"/>
      <c r="F149" s="30">
        <v>56.9</v>
      </c>
      <c r="G149" s="30">
        <v>57.7</v>
      </c>
    </row>
    <row r="150" spans="1:7" x14ac:dyDescent="0.25">
      <c r="A150" s="29">
        <v>37756</v>
      </c>
      <c r="B150" s="30">
        <v>57.8</v>
      </c>
      <c r="C150" s="30">
        <v>59</v>
      </c>
      <c r="D150" s="30"/>
      <c r="E150" s="30"/>
      <c r="F150" s="30">
        <v>54.9</v>
      </c>
      <c r="G150" s="30">
        <v>58.3</v>
      </c>
    </row>
    <row r="151" spans="1:7" x14ac:dyDescent="0.25">
      <c r="A151" s="29">
        <v>37757</v>
      </c>
      <c r="B151" s="30">
        <v>56.5</v>
      </c>
      <c r="C151" s="30">
        <v>55.4</v>
      </c>
      <c r="D151" s="30"/>
      <c r="E151" s="30"/>
      <c r="F151" s="30">
        <v>53.5</v>
      </c>
      <c r="G151" s="30">
        <v>57.6</v>
      </c>
    </row>
    <row r="152" spans="1:7" x14ac:dyDescent="0.25">
      <c r="A152" s="29">
        <v>37758</v>
      </c>
      <c r="B152" s="30">
        <v>50.9</v>
      </c>
      <c r="C152" s="30">
        <v>51.3</v>
      </c>
      <c r="D152" s="30"/>
      <c r="E152" s="30"/>
      <c r="F152" s="30">
        <v>47.8</v>
      </c>
      <c r="G152" s="30">
        <v>52.3</v>
      </c>
    </row>
    <row r="153" spans="1:7" x14ac:dyDescent="0.25">
      <c r="A153" s="29">
        <v>37759</v>
      </c>
      <c r="B153" s="30">
        <v>51.3</v>
      </c>
      <c r="C153" s="30">
        <v>53.8</v>
      </c>
      <c r="D153" s="30"/>
      <c r="E153" s="30"/>
      <c r="F153" s="30">
        <v>47.9</v>
      </c>
      <c r="G153" s="30">
        <v>53.3</v>
      </c>
    </row>
    <row r="154" spans="1:7" x14ac:dyDescent="0.25">
      <c r="A154" s="29">
        <v>37760</v>
      </c>
      <c r="B154" s="30">
        <v>58.1</v>
      </c>
      <c r="C154" s="30">
        <v>60.5</v>
      </c>
      <c r="D154" s="30"/>
      <c r="E154" s="30"/>
      <c r="F154" s="30">
        <v>54.1</v>
      </c>
      <c r="G154" s="30">
        <v>59.9</v>
      </c>
    </row>
    <row r="155" spans="1:7" x14ac:dyDescent="0.25">
      <c r="A155" s="29">
        <v>37761</v>
      </c>
      <c r="B155" s="30">
        <v>62.3</v>
      </c>
      <c r="C155" s="30">
        <v>66.7</v>
      </c>
      <c r="D155" s="30"/>
      <c r="E155" s="30"/>
      <c r="F155" s="30">
        <v>58</v>
      </c>
      <c r="G155" s="30">
        <v>66.7</v>
      </c>
    </row>
    <row r="156" spans="1:7" x14ac:dyDescent="0.25">
      <c r="A156" s="29">
        <v>37762</v>
      </c>
      <c r="B156" s="30">
        <v>56.1</v>
      </c>
      <c r="C156" s="30">
        <v>60.9</v>
      </c>
      <c r="D156" s="30"/>
      <c r="E156" s="30"/>
      <c r="F156" s="30">
        <v>56.5</v>
      </c>
      <c r="G156" s="30">
        <v>60.2</v>
      </c>
    </row>
    <row r="157" spans="1:7" x14ac:dyDescent="0.25">
      <c r="A157" s="29">
        <v>37763</v>
      </c>
      <c r="B157" s="30">
        <v>54.6</v>
      </c>
      <c r="C157" s="30">
        <v>55.1</v>
      </c>
      <c r="D157" s="30"/>
      <c r="E157" s="30"/>
      <c r="F157" s="30">
        <v>54</v>
      </c>
      <c r="G157" s="30">
        <v>55.8</v>
      </c>
    </row>
    <row r="158" spans="1:7" x14ac:dyDescent="0.25">
      <c r="A158" s="29">
        <v>37764</v>
      </c>
      <c r="B158" s="30">
        <v>52.2</v>
      </c>
      <c r="C158" s="30">
        <v>52.6</v>
      </c>
      <c r="D158" s="30"/>
      <c r="E158" s="30"/>
      <c r="F158" s="30">
        <v>51.9</v>
      </c>
      <c r="G158" s="30">
        <v>53.4</v>
      </c>
    </row>
    <row r="159" spans="1:7" x14ac:dyDescent="0.25">
      <c r="A159" s="29">
        <v>37765</v>
      </c>
      <c r="B159" s="30">
        <v>55</v>
      </c>
      <c r="C159" s="30">
        <v>53.5</v>
      </c>
      <c r="D159" s="30"/>
      <c r="E159" s="30"/>
      <c r="F159" s="30">
        <v>55.2</v>
      </c>
      <c r="G159" s="30">
        <v>54.7</v>
      </c>
    </row>
    <row r="160" spans="1:7" x14ac:dyDescent="0.25">
      <c r="A160" s="29">
        <v>37766</v>
      </c>
      <c r="B160" s="30">
        <v>56</v>
      </c>
      <c r="C160" s="30">
        <v>56.5</v>
      </c>
      <c r="D160" s="30"/>
      <c r="E160" s="30"/>
      <c r="F160" s="30">
        <v>54.5</v>
      </c>
      <c r="G160" s="30">
        <v>57.3</v>
      </c>
    </row>
    <row r="161" spans="1:7" x14ac:dyDescent="0.25">
      <c r="A161" s="29">
        <v>37767</v>
      </c>
      <c r="B161" s="30">
        <v>52.7</v>
      </c>
      <c r="C161" s="30">
        <v>53.5</v>
      </c>
      <c r="D161" s="30"/>
      <c r="E161" s="30"/>
      <c r="F161" s="30">
        <v>54.5</v>
      </c>
      <c r="G161" s="30">
        <v>53.7</v>
      </c>
    </row>
    <row r="162" spans="1:7" x14ac:dyDescent="0.25">
      <c r="A162" s="29">
        <v>37768</v>
      </c>
      <c r="B162" s="30">
        <v>55.8</v>
      </c>
      <c r="C162" s="30">
        <v>57.6</v>
      </c>
      <c r="D162" s="30"/>
      <c r="E162" s="30"/>
      <c r="F162" s="30">
        <v>55.6</v>
      </c>
      <c r="G162" s="30">
        <v>58.2</v>
      </c>
    </row>
    <row r="163" spans="1:7" x14ac:dyDescent="0.25">
      <c r="A163" s="29">
        <v>37769</v>
      </c>
      <c r="B163" s="30">
        <v>56.5</v>
      </c>
      <c r="C163" s="30">
        <v>59.2</v>
      </c>
      <c r="D163" s="30"/>
      <c r="E163" s="30"/>
      <c r="F163" s="30">
        <v>56</v>
      </c>
      <c r="G163" s="30">
        <v>59</v>
      </c>
    </row>
    <row r="164" spans="1:7" x14ac:dyDescent="0.25">
      <c r="A164" s="29">
        <v>37770</v>
      </c>
      <c r="B164" s="30">
        <v>61.1</v>
      </c>
      <c r="C164" s="30">
        <v>64.599999999999994</v>
      </c>
      <c r="D164" s="30"/>
      <c r="E164" s="30"/>
      <c r="F164" s="30">
        <v>59.6</v>
      </c>
      <c r="G164" s="30">
        <v>63.6</v>
      </c>
    </row>
    <row r="165" spans="1:7" x14ac:dyDescent="0.25">
      <c r="A165" s="29">
        <v>37771</v>
      </c>
      <c r="B165" s="30">
        <v>65.3</v>
      </c>
      <c r="C165" s="30">
        <v>68.5</v>
      </c>
      <c r="D165" s="30"/>
      <c r="E165" s="30"/>
      <c r="F165" s="30">
        <v>65.2</v>
      </c>
      <c r="G165" s="30">
        <v>68.7</v>
      </c>
    </row>
    <row r="166" spans="1:7" x14ac:dyDescent="0.25">
      <c r="A166" s="29">
        <v>37772</v>
      </c>
      <c r="B166" s="30">
        <v>62.1</v>
      </c>
      <c r="C166" s="30">
        <v>63.7</v>
      </c>
      <c r="D166" s="30"/>
      <c r="E166" s="30"/>
      <c r="F166" s="30">
        <v>64.5</v>
      </c>
      <c r="G166" s="30">
        <v>64.599999999999994</v>
      </c>
    </row>
    <row r="167" spans="1:7" x14ac:dyDescent="0.25">
      <c r="A167" s="29">
        <v>37773</v>
      </c>
      <c r="B167" s="30">
        <v>60.7</v>
      </c>
      <c r="C167" s="30">
        <v>60.7</v>
      </c>
      <c r="D167" s="30"/>
      <c r="E167" s="30"/>
      <c r="F167" s="30">
        <v>60</v>
      </c>
      <c r="G167" s="30">
        <v>60.5</v>
      </c>
    </row>
    <row r="168" spans="1:7" x14ac:dyDescent="0.25">
      <c r="A168" s="29">
        <v>37774</v>
      </c>
      <c r="B168" s="30">
        <v>60.5</v>
      </c>
      <c r="C168" s="30">
        <v>60.3</v>
      </c>
      <c r="D168" s="30"/>
      <c r="E168" s="30"/>
      <c r="F168" s="30">
        <v>58.7</v>
      </c>
      <c r="G168" s="30">
        <v>60.6</v>
      </c>
    </row>
    <row r="169" spans="1:7" x14ac:dyDescent="0.25">
      <c r="A169" s="29">
        <v>37775</v>
      </c>
      <c r="B169" s="30">
        <v>62.1</v>
      </c>
      <c r="C169" s="30">
        <v>65.099999999999994</v>
      </c>
      <c r="D169" s="30"/>
      <c r="E169" s="30"/>
      <c r="F169" s="30">
        <v>61.7</v>
      </c>
      <c r="G169" s="30">
        <v>62.7</v>
      </c>
    </row>
    <row r="170" spans="1:7" x14ac:dyDescent="0.25">
      <c r="A170" s="29">
        <v>37776</v>
      </c>
      <c r="B170" s="30">
        <v>55</v>
      </c>
      <c r="C170" s="30">
        <v>55.3</v>
      </c>
      <c r="D170" s="30"/>
      <c r="E170" s="30"/>
      <c r="F170" s="30">
        <v>55.7</v>
      </c>
      <c r="G170" s="30">
        <v>55.3</v>
      </c>
    </row>
    <row r="171" spans="1:7" x14ac:dyDescent="0.25">
      <c r="A171" s="29">
        <v>37777</v>
      </c>
      <c r="B171" s="30">
        <v>60.3</v>
      </c>
      <c r="C171" s="30">
        <v>61.1</v>
      </c>
      <c r="D171" s="30"/>
      <c r="E171" s="30"/>
      <c r="F171" s="30">
        <v>61.7</v>
      </c>
      <c r="G171" s="30">
        <v>62.2</v>
      </c>
    </row>
    <row r="172" spans="1:7" x14ac:dyDescent="0.25">
      <c r="A172" s="29">
        <v>37778</v>
      </c>
      <c r="B172" s="30">
        <v>65.599999999999994</v>
      </c>
      <c r="C172" s="30">
        <v>66.7</v>
      </c>
      <c r="D172" s="30"/>
      <c r="E172" s="30"/>
      <c r="F172" s="30">
        <v>64.900000000000006</v>
      </c>
      <c r="G172" s="30">
        <v>66.900000000000006</v>
      </c>
    </row>
    <row r="173" spans="1:7" x14ac:dyDescent="0.25">
      <c r="A173" s="29">
        <v>37779</v>
      </c>
      <c r="B173" s="30">
        <v>60.5</v>
      </c>
      <c r="C173" s="30">
        <v>64.099999999999994</v>
      </c>
      <c r="D173" s="30"/>
      <c r="E173" s="30"/>
      <c r="F173" s="30">
        <v>62.2</v>
      </c>
      <c r="G173" s="30">
        <v>63.2</v>
      </c>
    </row>
    <row r="174" spans="1:7" x14ac:dyDescent="0.25">
      <c r="A174" s="29">
        <v>37780</v>
      </c>
      <c r="B174" s="30">
        <v>61.5</v>
      </c>
      <c r="C174" s="30">
        <v>62.2</v>
      </c>
      <c r="D174" s="30"/>
      <c r="E174" s="30"/>
      <c r="F174" s="30">
        <v>61.5</v>
      </c>
      <c r="G174" s="30">
        <v>62.7</v>
      </c>
    </row>
    <row r="175" spans="1:7" x14ac:dyDescent="0.25">
      <c r="A175" s="29">
        <v>37781</v>
      </c>
      <c r="B175" s="30">
        <v>60.5</v>
      </c>
      <c r="C175" s="30">
        <v>63.4</v>
      </c>
      <c r="D175" s="30"/>
      <c r="E175" s="30"/>
      <c r="F175" s="30">
        <v>64.3</v>
      </c>
      <c r="G175" s="30">
        <v>63.6</v>
      </c>
    </row>
    <row r="176" spans="1:7" x14ac:dyDescent="0.25">
      <c r="A176" s="29">
        <v>37782</v>
      </c>
      <c r="B176" s="30">
        <v>68.5</v>
      </c>
      <c r="C176" s="30">
        <v>71.099999999999994</v>
      </c>
      <c r="D176" s="30"/>
      <c r="E176" s="30"/>
      <c r="F176" s="30">
        <v>69.599999999999994</v>
      </c>
      <c r="G176" s="30">
        <v>72.099999999999994</v>
      </c>
    </row>
    <row r="177" spans="1:7" x14ac:dyDescent="0.25">
      <c r="A177" s="29">
        <v>37783</v>
      </c>
      <c r="B177" s="30">
        <v>65.3</v>
      </c>
      <c r="C177" s="30">
        <v>70.5</v>
      </c>
      <c r="D177" s="30"/>
      <c r="E177" s="30"/>
      <c r="F177" s="30">
        <v>70.900000000000006</v>
      </c>
      <c r="G177" s="30">
        <v>72.2</v>
      </c>
    </row>
    <row r="178" spans="1:7" x14ac:dyDescent="0.25">
      <c r="A178" s="29">
        <v>37784</v>
      </c>
      <c r="B178" s="30">
        <v>71.7</v>
      </c>
      <c r="C178" s="30">
        <v>73.5</v>
      </c>
      <c r="D178" s="30"/>
      <c r="E178" s="30"/>
      <c r="F178" s="30">
        <v>75.400000000000006</v>
      </c>
      <c r="G178" s="30">
        <v>75.400000000000006</v>
      </c>
    </row>
    <row r="179" spans="1:7" x14ac:dyDescent="0.25">
      <c r="A179" s="29">
        <v>37785</v>
      </c>
      <c r="B179" s="30">
        <v>64.5</v>
      </c>
      <c r="C179" s="30">
        <v>63.8</v>
      </c>
      <c r="D179" s="30"/>
      <c r="E179" s="30"/>
      <c r="F179" s="30">
        <v>72.8</v>
      </c>
      <c r="G179" s="30">
        <v>66.2</v>
      </c>
    </row>
    <row r="180" spans="1:7" x14ac:dyDescent="0.25">
      <c r="A180" s="29">
        <v>37786</v>
      </c>
      <c r="B180" s="30">
        <v>65.599999999999994</v>
      </c>
      <c r="C180" s="30">
        <v>65.8</v>
      </c>
      <c r="D180" s="30"/>
      <c r="E180" s="30"/>
      <c r="F180" s="30">
        <v>74.2</v>
      </c>
      <c r="G180" s="30">
        <v>67.099999999999994</v>
      </c>
    </row>
    <row r="181" spans="1:7" x14ac:dyDescent="0.25">
      <c r="A181" s="29">
        <v>37787</v>
      </c>
      <c r="B181" s="30">
        <v>70.099999999999994</v>
      </c>
      <c r="C181" s="30">
        <v>72.5</v>
      </c>
      <c r="D181" s="30"/>
      <c r="E181" s="30"/>
      <c r="F181" s="30">
        <v>72.900000000000006</v>
      </c>
      <c r="G181" s="30">
        <v>73</v>
      </c>
    </row>
    <row r="182" spans="1:7" x14ac:dyDescent="0.25">
      <c r="A182" s="29">
        <v>37788</v>
      </c>
      <c r="B182" s="30">
        <v>63.9</v>
      </c>
      <c r="C182" s="30">
        <v>66.2</v>
      </c>
      <c r="D182" s="30"/>
      <c r="E182" s="30"/>
      <c r="F182" s="30">
        <v>63.1</v>
      </c>
      <c r="G182" s="30">
        <v>66.3</v>
      </c>
    </row>
    <row r="183" spans="1:7" x14ac:dyDescent="0.25">
      <c r="A183" s="29">
        <v>37789</v>
      </c>
      <c r="B183" s="30">
        <v>58.1</v>
      </c>
      <c r="C183" s="30">
        <v>59.2</v>
      </c>
      <c r="D183" s="30"/>
      <c r="E183" s="30"/>
      <c r="F183" s="30">
        <v>56.3</v>
      </c>
      <c r="G183" s="30">
        <v>59.7</v>
      </c>
    </row>
    <row r="184" spans="1:7" x14ac:dyDescent="0.25">
      <c r="A184" s="29">
        <v>37790</v>
      </c>
      <c r="B184" s="30">
        <v>61.1</v>
      </c>
      <c r="C184" s="30">
        <v>61.8</v>
      </c>
      <c r="D184" s="30"/>
      <c r="E184" s="30"/>
      <c r="F184" s="30">
        <v>63.9</v>
      </c>
      <c r="G184" s="30">
        <v>62.8</v>
      </c>
    </row>
    <row r="185" spans="1:7" x14ac:dyDescent="0.25">
      <c r="A185" s="29">
        <v>37791</v>
      </c>
      <c r="B185" s="30">
        <v>64.599999999999994</v>
      </c>
      <c r="C185" s="30">
        <v>67.3</v>
      </c>
      <c r="D185" s="30"/>
      <c r="E185" s="30"/>
      <c r="F185" s="30">
        <v>66</v>
      </c>
      <c r="G185" s="30">
        <v>68.099999999999994</v>
      </c>
    </row>
    <row r="186" spans="1:7" x14ac:dyDescent="0.25">
      <c r="A186" s="29">
        <v>37792</v>
      </c>
      <c r="B186" s="30">
        <v>66</v>
      </c>
      <c r="C186" s="30">
        <v>66.8</v>
      </c>
      <c r="D186" s="30"/>
      <c r="E186" s="30"/>
      <c r="F186" s="30">
        <v>65.099999999999994</v>
      </c>
      <c r="G186" s="30">
        <v>66.599999999999994</v>
      </c>
    </row>
    <row r="187" spans="1:7" x14ac:dyDescent="0.25">
      <c r="A187" s="29">
        <v>37793</v>
      </c>
      <c r="B187" s="30">
        <v>62</v>
      </c>
      <c r="C187" s="30">
        <v>62.5</v>
      </c>
      <c r="D187" s="30"/>
      <c r="E187" s="30"/>
      <c r="F187" s="30">
        <v>62.8</v>
      </c>
      <c r="G187" s="30">
        <v>62.3</v>
      </c>
    </row>
    <row r="188" spans="1:7" x14ac:dyDescent="0.25">
      <c r="A188" s="29">
        <v>37794</v>
      </c>
      <c r="B188" s="30">
        <v>61.4</v>
      </c>
      <c r="C188" s="30">
        <v>61.9</v>
      </c>
      <c r="D188" s="30"/>
      <c r="E188" s="30"/>
      <c r="F188" s="30">
        <v>62.7</v>
      </c>
      <c r="G188" s="30">
        <v>61.9</v>
      </c>
    </row>
    <row r="189" spans="1:7" x14ac:dyDescent="0.25">
      <c r="A189" s="29">
        <v>37795</v>
      </c>
      <c r="B189" s="30">
        <v>69.5</v>
      </c>
      <c r="C189" s="30">
        <v>70.3</v>
      </c>
      <c r="D189" s="30"/>
      <c r="E189" s="30"/>
      <c r="F189" s="30">
        <v>71.599999999999994</v>
      </c>
      <c r="G189" s="30">
        <v>71.5</v>
      </c>
    </row>
    <row r="190" spans="1:7" x14ac:dyDescent="0.25">
      <c r="A190" s="29">
        <v>37796</v>
      </c>
      <c r="B190" s="30">
        <v>75.900000000000006</v>
      </c>
      <c r="C190" s="30">
        <v>78.3</v>
      </c>
      <c r="D190" s="30"/>
      <c r="E190" s="30"/>
      <c r="F190" s="30">
        <v>76.599999999999994</v>
      </c>
      <c r="G190" s="30">
        <v>79.8</v>
      </c>
    </row>
    <row r="191" spans="1:7" x14ac:dyDescent="0.25">
      <c r="A191" s="29">
        <v>37797</v>
      </c>
      <c r="B191" s="30">
        <v>81.5</v>
      </c>
      <c r="C191" s="30">
        <v>82.5</v>
      </c>
      <c r="D191" s="30"/>
      <c r="E191" s="30"/>
      <c r="F191" s="30">
        <v>80.400000000000006</v>
      </c>
      <c r="G191" s="30">
        <v>84</v>
      </c>
    </row>
    <row r="192" spans="1:7" x14ac:dyDescent="0.25">
      <c r="A192" s="29">
        <v>37798</v>
      </c>
      <c r="B192" s="30">
        <v>85.5</v>
      </c>
      <c r="C192" s="30">
        <v>85.4</v>
      </c>
      <c r="D192" s="30"/>
      <c r="E192" s="30"/>
      <c r="F192" s="30">
        <v>82.3</v>
      </c>
      <c r="G192" s="30">
        <v>86.7</v>
      </c>
    </row>
    <row r="193" spans="1:7" x14ac:dyDescent="0.25">
      <c r="A193" s="29">
        <v>37799</v>
      </c>
      <c r="B193" s="30">
        <v>82</v>
      </c>
      <c r="C193" s="30">
        <v>87</v>
      </c>
      <c r="D193" s="30"/>
      <c r="E193" s="30"/>
      <c r="F193" s="30">
        <v>82.6</v>
      </c>
      <c r="G193" s="30">
        <v>85.5</v>
      </c>
    </row>
    <row r="194" spans="1:7" x14ac:dyDescent="0.25">
      <c r="A194" s="29">
        <v>37800</v>
      </c>
      <c r="B194" s="30">
        <v>75.7</v>
      </c>
      <c r="C194" s="30">
        <v>76.099999999999994</v>
      </c>
      <c r="D194" s="30"/>
      <c r="E194" s="30"/>
      <c r="F194" s="30">
        <v>73.8</v>
      </c>
      <c r="G194" s="30">
        <v>76.400000000000006</v>
      </c>
    </row>
    <row r="195" spans="1:7" x14ac:dyDescent="0.25">
      <c r="A195" s="29">
        <v>37801</v>
      </c>
      <c r="B195" s="30">
        <v>72.3</v>
      </c>
      <c r="C195" s="30">
        <v>75.900000000000006</v>
      </c>
      <c r="D195" s="30"/>
      <c r="E195" s="30"/>
      <c r="F195" s="30">
        <v>73.2</v>
      </c>
      <c r="G195" s="30">
        <v>75</v>
      </c>
    </row>
    <row r="196" spans="1:7" x14ac:dyDescent="0.25">
      <c r="A196" s="29">
        <v>37802</v>
      </c>
      <c r="B196" s="30">
        <v>75</v>
      </c>
      <c r="C196" s="30">
        <v>79.400000000000006</v>
      </c>
      <c r="D196" s="30"/>
      <c r="E196" s="30"/>
      <c r="F196" s="30">
        <v>77.5</v>
      </c>
      <c r="G196" s="30">
        <v>79.2</v>
      </c>
    </row>
    <row r="197" spans="1:7" x14ac:dyDescent="0.25">
      <c r="A197" s="29">
        <v>37803</v>
      </c>
      <c r="B197" s="30">
        <v>75.900000000000006</v>
      </c>
      <c r="C197" s="30">
        <v>76</v>
      </c>
      <c r="D197" s="30"/>
      <c r="E197" s="30"/>
      <c r="F197" s="30">
        <v>74.8</v>
      </c>
      <c r="G197" s="30">
        <v>77.099999999999994</v>
      </c>
    </row>
    <row r="198" spans="1:7" x14ac:dyDescent="0.25">
      <c r="A198" s="29">
        <v>37804</v>
      </c>
      <c r="B198" s="30">
        <v>74.8</v>
      </c>
      <c r="C198" s="30">
        <v>78.3</v>
      </c>
      <c r="D198" s="30"/>
      <c r="E198" s="30"/>
      <c r="F198" s="30">
        <v>73.400000000000006</v>
      </c>
      <c r="G198" s="30">
        <v>78.3</v>
      </c>
    </row>
    <row r="199" spans="1:7" x14ac:dyDescent="0.25">
      <c r="A199" s="29">
        <v>37805</v>
      </c>
      <c r="B199" s="30">
        <v>70.900000000000006</v>
      </c>
      <c r="C199" s="30">
        <v>72.2</v>
      </c>
      <c r="D199" s="30"/>
      <c r="E199" s="30"/>
      <c r="F199" s="30">
        <v>70.3</v>
      </c>
      <c r="G199" s="30">
        <v>73</v>
      </c>
    </row>
    <row r="200" spans="1:7" x14ac:dyDescent="0.25">
      <c r="A200" s="29">
        <v>37806</v>
      </c>
      <c r="B200" s="30">
        <v>74.8</v>
      </c>
      <c r="C200" s="30">
        <v>76.2</v>
      </c>
      <c r="D200" s="30"/>
      <c r="E200" s="30"/>
      <c r="F200" s="30">
        <v>77.400000000000006</v>
      </c>
      <c r="G200" s="30">
        <v>78</v>
      </c>
    </row>
    <row r="201" spans="1:7" x14ac:dyDescent="0.25">
      <c r="A201" s="29">
        <v>37807</v>
      </c>
      <c r="B201" s="30">
        <v>82.5</v>
      </c>
      <c r="C201" s="30">
        <v>86.6</v>
      </c>
      <c r="D201" s="30"/>
      <c r="E201" s="30"/>
      <c r="F201" s="30">
        <v>83.6</v>
      </c>
      <c r="G201" s="30">
        <v>85.7</v>
      </c>
    </row>
    <row r="202" spans="1:7" x14ac:dyDescent="0.25">
      <c r="A202" s="29">
        <v>37808</v>
      </c>
      <c r="B202" s="30">
        <v>83.6</v>
      </c>
      <c r="C202" s="30">
        <v>85</v>
      </c>
      <c r="D202" s="30"/>
      <c r="E202" s="30"/>
      <c r="F202" s="30">
        <v>81.5</v>
      </c>
      <c r="G202" s="30">
        <v>83.7</v>
      </c>
    </row>
    <row r="203" spans="1:7" x14ac:dyDescent="0.25">
      <c r="A203" s="29">
        <v>37809</v>
      </c>
      <c r="B203" s="30">
        <v>80.099999999999994</v>
      </c>
      <c r="C203" s="30">
        <v>81.3</v>
      </c>
      <c r="D203" s="30"/>
      <c r="E203" s="30"/>
      <c r="F203" s="30">
        <v>78</v>
      </c>
      <c r="G203" s="30">
        <v>83.6</v>
      </c>
    </row>
    <row r="204" spans="1:7" x14ac:dyDescent="0.25">
      <c r="A204" s="29">
        <v>37810</v>
      </c>
      <c r="B204" s="30">
        <v>81.400000000000006</v>
      </c>
      <c r="C204" s="30">
        <v>82.4</v>
      </c>
      <c r="D204" s="30"/>
      <c r="E204" s="30"/>
      <c r="F204" s="30">
        <v>81.7</v>
      </c>
      <c r="G204" s="30">
        <v>81.599999999999994</v>
      </c>
    </row>
    <row r="205" spans="1:7" x14ac:dyDescent="0.25">
      <c r="A205" s="29">
        <v>37811</v>
      </c>
      <c r="B205" s="30">
        <v>78.900000000000006</v>
      </c>
      <c r="C205" s="30">
        <v>79.7</v>
      </c>
      <c r="D205" s="30"/>
      <c r="E205" s="30"/>
      <c r="F205" s="30">
        <v>82.3</v>
      </c>
      <c r="G205" s="30">
        <v>79.8</v>
      </c>
    </row>
    <row r="206" spans="1:7" x14ac:dyDescent="0.25">
      <c r="A206" s="29">
        <v>37812</v>
      </c>
      <c r="B206" s="30">
        <v>68.2</v>
      </c>
      <c r="C206" s="30">
        <v>67.2</v>
      </c>
      <c r="D206" s="30"/>
      <c r="E206" s="30"/>
      <c r="F206" s="30">
        <v>68.5</v>
      </c>
      <c r="G206" s="30">
        <v>68.8</v>
      </c>
    </row>
    <row r="207" spans="1:7" x14ac:dyDescent="0.25">
      <c r="A207" s="29">
        <v>37813</v>
      </c>
      <c r="B207" s="30">
        <v>70.900000000000006</v>
      </c>
      <c r="C207" s="30">
        <v>70.2</v>
      </c>
      <c r="D207" s="30"/>
      <c r="E207" s="30"/>
      <c r="F207" s="30">
        <v>76.2</v>
      </c>
      <c r="G207" s="30">
        <v>72</v>
      </c>
    </row>
    <row r="208" spans="1:7" x14ac:dyDescent="0.25">
      <c r="A208" s="29">
        <v>37814</v>
      </c>
      <c r="B208" s="30">
        <v>76.099999999999994</v>
      </c>
      <c r="C208" s="30">
        <v>79.3</v>
      </c>
      <c r="D208" s="30"/>
      <c r="E208" s="30"/>
      <c r="F208" s="30">
        <v>78.3</v>
      </c>
      <c r="G208" s="30">
        <v>76.900000000000006</v>
      </c>
    </row>
    <row r="209" spans="1:7" x14ac:dyDescent="0.25">
      <c r="A209" s="29">
        <v>37815</v>
      </c>
      <c r="B209" s="30">
        <v>76.099999999999994</v>
      </c>
      <c r="C209" s="30">
        <v>76.8</v>
      </c>
      <c r="D209" s="30"/>
      <c r="E209" s="30"/>
      <c r="F209" s="30">
        <v>75.3</v>
      </c>
      <c r="G209" s="30">
        <v>76.2</v>
      </c>
    </row>
    <row r="210" spans="1:7" x14ac:dyDescent="0.25">
      <c r="A210" s="29">
        <v>37816</v>
      </c>
      <c r="B210" s="30">
        <v>72.099999999999994</v>
      </c>
      <c r="C210" s="30">
        <v>73.7</v>
      </c>
      <c r="D210" s="30"/>
      <c r="E210" s="30"/>
      <c r="F210" s="30">
        <v>70.3</v>
      </c>
      <c r="G210" s="30">
        <v>74.2</v>
      </c>
    </row>
    <row r="211" spans="1:7" x14ac:dyDescent="0.25">
      <c r="A211" s="29">
        <v>37817</v>
      </c>
      <c r="B211" s="30">
        <v>71.400000000000006</v>
      </c>
      <c r="C211" s="30">
        <v>73.599999999999994</v>
      </c>
      <c r="D211" s="30"/>
      <c r="E211" s="30"/>
      <c r="F211" s="30">
        <v>70.400000000000006</v>
      </c>
      <c r="G211" s="30">
        <v>73.099999999999994</v>
      </c>
    </row>
    <row r="212" spans="1:7" x14ac:dyDescent="0.25">
      <c r="A212" s="29">
        <v>37818</v>
      </c>
      <c r="B212" s="30">
        <v>73.3</v>
      </c>
      <c r="C212" s="30">
        <v>76.400000000000006</v>
      </c>
      <c r="D212" s="30"/>
      <c r="E212" s="30"/>
      <c r="F212" s="30">
        <v>77.2</v>
      </c>
      <c r="G212" s="30">
        <v>76.8</v>
      </c>
    </row>
    <row r="213" spans="1:7" x14ac:dyDescent="0.25">
      <c r="A213" s="29">
        <v>37819</v>
      </c>
      <c r="B213" s="30">
        <v>77.099999999999994</v>
      </c>
      <c r="C213" s="30">
        <v>77.3</v>
      </c>
      <c r="D213" s="30"/>
      <c r="E213" s="30"/>
      <c r="F213" s="30">
        <v>75.2</v>
      </c>
      <c r="G213" s="30">
        <v>77.400000000000006</v>
      </c>
    </row>
    <row r="214" spans="1:7" x14ac:dyDescent="0.25">
      <c r="A214" s="29">
        <v>37820</v>
      </c>
      <c r="B214" s="30">
        <v>75.2</v>
      </c>
      <c r="C214" s="30">
        <v>79</v>
      </c>
      <c r="D214" s="30"/>
      <c r="E214" s="30"/>
      <c r="F214" s="30">
        <v>75.099999999999994</v>
      </c>
      <c r="G214" s="30">
        <v>77.099999999999994</v>
      </c>
    </row>
    <row r="215" spans="1:7" x14ac:dyDescent="0.25">
      <c r="A215" s="29">
        <v>37821</v>
      </c>
      <c r="B215" s="30">
        <v>72.599999999999994</v>
      </c>
      <c r="C215" s="30">
        <v>74.400000000000006</v>
      </c>
      <c r="D215" s="30"/>
      <c r="E215" s="30"/>
      <c r="F215" s="30">
        <v>72.599999999999994</v>
      </c>
      <c r="G215" s="30">
        <v>74.2</v>
      </c>
    </row>
    <row r="216" spans="1:7" x14ac:dyDescent="0.25">
      <c r="A216" s="29">
        <v>37822</v>
      </c>
      <c r="B216" s="30">
        <v>74.2</v>
      </c>
      <c r="C216" s="30">
        <v>76.8</v>
      </c>
      <c r="D216" s="30"/>
      <c r="E216" s="30"/>
      <c r="F216" s="30">
        <v>72.7</v>
      </c>
      <c r="G216" s="30">
        <v>76.099999999999994</v>
      </c>
    </row>
    <row r="217" spans="1:7" x14ac:dyDescent="0.25">
      <c r="A217" s="29">
        <v>37823</v>
      </c>
      <c r="B217" s="30">
        <v>73.7</v>
      </c>
      <c r="C217" s="30">
        <v>76.8</v>
      </c>
      <c r="D217" s="30"/>
      <c r="E217" s="30"/>
      <c r="F217" s="30">
        <v>77</v>
      </c>
      <c r="G217" s="30">
        <v>77.3</v>
      </c>
    </row>
    <row r="218" spans="1:7" x14ac:dyDescent="0.25">
      <c r="A218" s="29">
        <v>37824</v>
      </c>
      <c r="B218" s="30">
        <v>74</v>
      </c>
      <c r="C218" s="30">
        <v>75.3</v>
      </c>
      <c r="D218" s="30"/>
      <c r="E218" s="30"/>
      <c r="F218" s="30">
        <v>78.400000000000006</v>
      </c>
      <c r="G218" s="30">
        <v>75.7</v>
      </c>
    </row>
    <row r="219" spans="1:7" x14ac:dyDescent="0.25">
      <c r="A219" s="29">
        <v>37825</v>
      </c>
      <c r="B219" s="30">
        <v>72.400000000000006</v>
      </c>
      <c r="C219" s="30">
        <v>75</v>
      </c>
      <c r="D219" s="30"/>
      <c r="E219" s="30"/>
      <c r="F219" s="30">
        <v>74.099999999999994</v>
      </c>
      <c r="G219" s="30">
        <v>74.7</v>
      </c>
    </row>
    <row r="220" spans="1:7" x14ac:dyDescent="0.25">
      <c r="A220" s="29">
        <v>37826</v>
      </c>
      <c r="B220" s="30">
        <v>71.8</v>
      </c>
      <c r="C220" s="30">
        <v>76.5</v>
      </c>
      <c r="D220" s="30"/>
      <c r="E220" s="30"/>
      <c r="F220" s="30">
        <v>74.3</v>
      </c>
      <c r="G220" s="30">
        <v>76.900000000000006</v>
      </c>
    </row>
    <row r="221" spans="1:7" x14ac:dyDescent="0.25">
      <c r="A221" s="29">
        <v>37827</v>
      </c>
      <c r="B221" s="30">
        <v>75.2</v>
      </c>
      <c r="C221" s="30">
        <v>78.5</v>
      </c>
      <c r="D221" s="30"/>
      <c r="E221" s="30"/>
      <c r="F221" s="30">
        <v>76.3</v>
      </c>
      <c r="G221" s="30">
        <v>77.5</v>
      </c>
    </row>
    <row r="222" spans="1:7" x14ac:dyDescent="0.25">
      <c r="A222" s="29">
        <v>37828</v>
      </c>
      <c r="B222" s="30">
        <v>75.099999999999994</v>
      </c>
      <c r="C222" s="30">
        <v>81.599999999999994</v>
      </c>
      <c r="D222" s="30"/>
      <c r="E222" s="30"/>
      <c r="F222" s="30">
        <v>76.900000000000006</v>
      </c>
      <c r="G222" s="30">
        <v>79.3</v>
      </c>
    </row>
    <row r="223" spans="1:7" x14ac:dyDescent="0.25">
      <c r="A223" s="29">
        <v>37829</v>
      </c>
      <c r="B223" s="30">
        <v>80</v>
      </c>
      <c r="C223" s="30">
        <v>83.8</v>
      </c>
      <c r="D223" s="30"/>
      <c r="E223" s="30"/>
      <c r="F223" s="30">
        <v>79.8</v>
      </c>
      <c r="G223" s="30">
        <v>82.7</v>
      </c>
    </row>
    <row r="224" spans="1:7" x14ac:dyDescent="0.25">
      <c r="A224" s="29">
        <v>37830</v>
      </c>
      <c r="B224" s="30">
        <v>79.3</v>
      </c>
      <c r="C224" s="30">
        <v>80.099999999999994</v>
      </c>
      <c r="D224" s="30"/>
      <c r="E224" s="30"/>
      <c r="F224" s="30">
        <v>80.900000000000006</v>
      </c>
      <c r="G224" s="30">
        <v>79.900000000000006</v>
      </c>
    </row>
    <row r="225" spans="1:7" x14ac:dyDescent="0.25">
      <c r="A225" s="29">
        <v>37831</v>
      </c>
      <c r="B225" s="30">
        <v>72.900000000000006</v>
      </c>
      <c r="C225" s="30">
        <v>73.900000000000006</v>
      </c>
      <c r="D225" s="30"/>
      <c r="E225" s="30"/>
      <c r="F225" s="30">
        <v>70.900000000000006</v>
      </c>
      <c r="G225" s="30">
        <v>74.3</v>
      </c>
    </row>
    <row r="226" spans="1:7" x14ac:dyDescent="0.25">
      <c r="A226" s="29">
        <v>37832</v>
      </c>
      <c r="B226" s="30">
        <v>70.900000000000006</v>
      </c>
      <c r="C226" s="30">
        <v>74</v>
      </c>
      <c r="D226" s="30"/>
      <c r="E226" s="30"/>
      <c r="F226" s="30">
        <v>67.3</v>
      </c>
      <c r="G226" s="30">
        <v>73</v>
      </c>
    </row>
    <row r="227" spans="1:7" x14ac:dyDescent="0.25">
      <c r="A227" s="29">
        <v>37833</v>
      </c>
      <c r="B227" s="30">
        <v>71.3</v>
      </c>
      <c r="C227" s="30">
        <v>70.8</v>
      </c>
      <c r="D227" s="30"/>
      <c r="E227" s="30"/>
      <c r="F227" s="30">
        <v>70.7</v>
      </c>
      <c r="G227" s="30">
        <v>73.7</v>
      </c>
    </row>
    <row r="228" spans="1:7" x14ac:dyDescent="0.25">
      <c r="A228" s="29">
        <v>37834</v>
      </c>
      <c r="B228" s="30">
        <v>71.7</v>
      </c>
      <c r="C228" s="30">
        <v>72.2</v>
      </c>
      <c r="D228" s="30"/>
      <c r="E228" s="30"/>
      <c r="F228" s="30">
        <v>75.099999999999994</v>
      </c>
      <c r="G228" s="30">
        <v>73.099999999999994</v>
      </c>
    </row>
    <row r="229" spans="1:7" x14ac:dyDescent="0.25">
      <c r="A229" s="29">
        <v>37835</v>
      </c>
      <c r="B229" s="30">
        <v>74</v>
      </c>
      <c r="C229" s="30">
        <v>77.400000000000006</v>
      </c>
      <c r="D229" s="30"/>
      <c r="E229" s="30"/>
      <c r="F229" s="30">
        <v>78.099999999999994</v>
      </c>
      <c r="G229" s="30">
        <v>77.400000000000006</v>
      </c>
    </row>
    <row r="230" spans="1:7" x14ac:dyDescent="0.25">
      <c r="A230" s="29">
        <v>37836</v>
      </c>
      <c r="B230" s="30">
        <v>75.2</v>
      </c>
      <c r="C230" s="30">
        <v>78.7</v>
      </c>
      <c r="D230" s="30"/>
      <c r="E230" s="30"/>
      <c r="F230" s="30">
        <v>77.5</v>
      </c>
      <c r="G230" s="30">
        <v>79.599999999999994</v>
      </c>
    </row>
    <row r="231" spans="1:7" x14ac:dyDescent="0.25">
      <c r="A231" s="29">
        <v>37837</v>
      </c>
      <c r="B231" s="30">
        <v>75.5</v>
      </c>
      <c r="C231" s="30">
        <v>77</v>
      </c>
      <c r="D231" s="30"/>
      <c r="E231" s="30"/>
      <c r="F231" s="30">
        <v>77.2</v>
      </c>
      <c r="G231" s="30">
        <v>77.8</v>
      </c>
    </row>
    <row r="232" spans="1:7" x14ac:dyDescent="0.25">
      <c r="A232" s="29">
        <v>37838</v>
      </c>
      <c r="B232" s="30">
        <v>73.7</v>
      </c>
      <c r="C232" s="30">
        <v>75.900000000000006</v>
      </c>
      <c r="D232" s="30"/>
      <c r="E232" s="30"/>
      <c r="F232" s="30">
        <v>73.5</v>
      </c>
      <c r="G232" s="30">
        <v>75.8</v>
      </c>
    </row>
    <row r="233" spans="1:7" x14ac:dyDescent="0.25">
      <c r="A233" s="29">
        <v>37839</v>
      </c>
      <c r="B233" s="30">
        <v>73.400000000000006</v>
      </c>
      <c r="C233" s="30">
        <v>75.599999999999994</v>
      </c>
      <c r="D233" s="30"/>
      <c r="E233" s="30"/>
      <c r="F233" s="30">
        <v>73.7</v>
      </c>
      <c r="G233" s="30">
        <v>74.3</v>
      </c>
    </row>
    <row r="234" spans="1:7" x14ac:dyDescent="0.25">
      <c r="A234" s="29">
        <v>37840</v>
      </c>
      <c r="B234" s="30">
        <v>73.3</v>
      </c>
      <c r="C234" s="30">
        <v>75</v>
      </c>
      <c r="D234" s="30"/>
      <c r="E234" s="30"/>
      <c r="F234" s="30">
        <v>73.099999999999994</v>
      </c>
      <c r="G234" s="30">
        <v>75.099999999999994</v>
      </c>
    </row>
    <row r="235" spans="1:7" x14ac:dyDescent="0.25">
      <c r="A235" s="29">
        <v>37841</v>
      </c>
      <c r="B235" s="30">
        <v>74.900000000000006</v>
      </c>
      <c r="C235" s="30">
        <v>74</v>
      </c>
      <c r="D235" s="30"/>
      <c r="E235" s="30"/>
      <c r="F235" s="30">
        <v>74.8</v>
      </c>
      <c r="G235" s="30">
        <v>74.8</v>
      </c>
    </row>
    <row r="236" spans="1:7" x14ac:dyDescent="0.25">
      <c r="A236" s="29">
        <v>37842</v>
      </c>
      <c r="B236" s="30">
        <v>74.400000000000006</v>
      </c>
      <c r="C236" s="30">
        <v>76.900000000000006</v>
      </c>
      <c r="D236" s="30"/>
      <c r="E236" s="30"/>
      <c r="F236" s="30">
        <v>74.5</v>
      </c>
      <c r="G236" s="30">
        <v>76.5</v>
      </c>
    </row>
    <row r="237" spans="1:7" x14ac:dyDescent="0.25">
      <c r="A237" s="29">
        <v>37843</v>
      </c>
      <c r="B237" s="30">
        <v>75.599999999999994</v>
      </c>
      <c r="C237" s="30">
        <v>76.5</v>
      </c>
      <c r="D237" s="30"/>
      <c r="E237" s="30"/>
      <c r="F237" s="30">
        <v>74.900000000000006</v>
      </c>
      <c r="G237" s="30">
        <v>76.3</v>
      </c>
    </row>
    <row r="238" spans="1:7" x14ac:dyDescent="0.25">
      <c r="A238" s="29">
        <v>37844</v>
      </c>
      <c r="B238" s="30">
        <v>74.2</v>
      </c>
      <c r="C238" s="30">
        <v>77.3</v>
      </c>
      <c r="D238" s="30"/>
      <c r="E238" s="30"/>
      <c r="F238" s="30">
        <v>73.5</v>
      </c>
      <c r="G238" s="30">
        <v>76.400000000000006</v>
      </c>
    </row>
    <row r="239" spans="1:7" x14ac:dyDescent="0.25">
      <c r="A239" s="29">
        <v>37845</v>
      </c>
      <c r="B239" s="30">
        <v>75.599999999999994</v>
      </c>
      <c r="C239" s="30">
        <v>77.599999999999994</v>
      </c>
      <c r="D239" s="30"/>
      <c r="E239" s="30"/>
      <c r="F239" s="30">
        <v>73.900000000000006</v>
      </c>
      <c r="G239" s="30">
        <v>77.5</v>
      </c>
    </row>
    <row r="240" spans="1:7" x14ac:dyDescent="0.25">
      <c r="A240" s="29">
        <v>37846</v>
      </c>
      <c r="B240" s="30">
        <v>75</v>
      </c>
      <c r="C240" s="30">
        <v>79.8</v>
      </c>
      <c r="D240" s="30"/>
      <c r="E240" s="30"/>
      <c r="F240" s="30">
        <v>75.900000000000006</v>
      </c>
      <c r="G240" s="30">
        <v>80.599999999999994</v>
      </c>
    </row>
    <row r="241" spans="1:7" x14ac:dyDescent="0.25">
      <c r="A241" s="29">
        <v>37847</v>
      </c>
      <c r="B241" s="30">
        <v>82.8</v>
      </c>
      <c r="C241" s="30">
        <v>83.6</v>
      </c>
      <c r="D241" s="30"/>
      <c r="E241" s="30"/>
      <c r="F241" s="30">
        <v>80.400000000000006</v>
      </c>
      <c r="G241" s="30">
        <v>83</v>
      </c>
    </row>
    <row r="242" spans="1:7" x14ac:dyDescent="0.25">
      <c r="A242" s="29">
        <v>37848</v>
      </c>
      <c r="B242" s="30">
        <v>81.900000000000006</v>
      </c>
      <c r="C242" s="30">
        <v>81.900000000000006</v>
      </c>
      <c r="D242" s="30"/>
      <c r="E242" s="30"/>
      <c r="F242" s="30">
        <v>79</v>
      </c>
      <c r="G242" s="30">
        <v>82.3</v>
      </c>
    </row>
    <row r="243" spans="1:7" x14ac:dyDescent="0.25">
      <c r="A243" s="29">
        <v>37849</v>
      </c>
      <c r="B243" s="30">
        <v>79</v>
      </c>
      <c r="C243" s="30">
        <v>83.5</v>
      </c>
      <c r="D243" s="30"/>
      <c r="E243" s="30"/>
      <c r="F243" s="30">
        <v>77.099999999999994</v>
      </c>
      <c r="G243" s="30">
        <v>80.400000000000006</v>
      </c>
    </row>
    <row r="244" spans="1:7" x14ac:dyDescent="0.25">
      <c r="A244" s="29">
        <v>37850</v>
      </c>
      <c r="B244" s="30">
        <v>75.400000000000006</v>
      </c>
      <c r="C244" s="30">
        <v>76.3</v>
      </c>
      <c r="D244" s="30"/>
      <c r="E244" s="30"/>
      <c r="F244" s="30">
        <v>74.5</v>
      </c>
      <c r="G244" s="30">
        <v>76</v>
      </c>
    </row>
    <row r="245" spans="1:7" x14ac:dyDescent="0.25">
      <c r="A245" s="29">
        <v>37851</v>
      </c>
      <c r="B245" s="30">
        <v>70</v>
      </c>
      <c r="C245" s="30">
        <v>71.7</v>
      </c>
      <c r="D245" s="30"/>
      <c r="E245" s="30"/>
      <c r="F245" s="30">
        <v>71</v>
      </c>
      <c r="G245" s="30">
        <v>71.2</v>
      </c>
    </row>
    <row r="246" spans="1:7" x14ac:dyDescent="0.25">
      <c r="A246" s="29">
        <v>37852</v>
      </c>
      <c r="B246" s="30">
        <v>73.2</v>
      </c>
      <c r="C246" s="30">
        <v>76.400000000000006</v>
      </c>
      <c r="D246" s="30"/>
      <c r="E246" s="30"/>
      <c r="F246" s="30">
        <v>71.8</v>
      </c>
      <c r="G246" s="30">
        <v>75.7</v>
      </c>
    </row>
    <row r="247" spans="1:7" x14ac:dyDescent="0.25">
      <c r="A247" s="29">
        <v>37853</v>
      </c>
      <c r="B247" s="30">
        <v>77</v>
      </c>
      <c r="C247" s="30">
        <v>80</v>
      </c>
      <c r="D247" s="30"/>
      <c r="E247" s="30"/>
      <c r="F247" s="30">
        <v>74.7</v>
      </c>
      <c r="G247" s="30">
        <v>78.400000000000006</v>
      </c>
    </row>
    <row r="248" spans="1:7" x14ac:dyDescent="0.25">
      <c r="A248" s="29">
        <v>37854</v>
      </c>
      <c r="B248" s="30">
        <v>77.599999999999994</v>
      </c>
      <c r="C248" s="30">
        <v>83.2</v>
      </c>
      <c r="D248" s="30"/>
      <c r="E248" s="30"/>
      <c r="F248" s="30">
        <v>77.8</v>
      </c>
      <c r="G248" s="30">
        <v>81.2</v>
      </c>
    </row>
    <row r="249" spans="1:7" x14ac:dyDescent="0.25">
      <c r="A249" s="29">
        <v>37855</v>
      </c>
      <c r="B249" s="30">
        <v>79.599999999999994</v>
      </c>
      <c r="C249" s="30">
        <v>84.7</v>
      </c>
      <c r="D249" s="30"/>
      <c r="E249" s="30"/>
      <c r="F249" s="30">
        <v>80.5</v>
      </c>
      <c r="G249" s="30">
        <v>83.1</v>
      </c>
    </row>
    <row r="250" spans="1:7" x14ac:dyDescent="0.25">
      <c r="A250" s="29">
        <v>37856</v>
      </c>
      <c r="B250" s="30">
        <v>80.2</v>
      </c>
      <c r="C250" s="30">
        <v>79.3</v>
      </c>
      <c r="D250" s="30"/>
      <c r="E250" s="30"/>
      <c r="F250" s="30">
        <v>77.400000000000006</v>
      </c>
      <c r="G250" s="30">
        <v>79.400000000000006</v>
      </c>
    </row>
    <row r="251" spans="1:7" x14ac:dyDescent="0.25">
      <c r="A251" s="29">
        <v>37857</v>
      </c>
      <c r="B251" s="30">
        <v>71</v>
      </c>
      <c r="C251" s="30">
        <v>72.099999999999994</v>
      </c>
      <c r="D251" s="30"/>
      <c r="E251" s="30"/>
      <c r="F251" s="30">
        <v>67.8</v>
      </c>
      <c r="G251" s="30">
        <v>71.400000000000006</v>
      </c>
    </row>
    <row r="252" spans="1:7" x14ac:dyDescent="0.25">
      <c r="A252" s="29">
        <v>37858</v>
      </c>
      <c r="B252" s="30">
        <v>74.900000000000006</v>
      </c>
      <c r="C252" s="30">
        <v>77.2</v>
      </c>
      <c r="D252" s="30"/>
      <c r="E252" s="30"/>
      <c r="F252" s="30">
        <v>71.900000000000006</v>
      </c>
      <c r="G252" s="30">
        <v>74.5</v>
      </c>
    </row>
    <row r="253" spans="1:7" x14ac:dyDescent="0.25">
      <c r="A253" s="29">
        <v>37859</v>
      </c>
      <c r="B253" s="30">
        <v>75.8</v>
      </c>
      <c r="C253" s="30">
        <v>78.7</v>
      </c>
      <c r="D253" s="30"/>
      <c r="E253" s="30"/>
      <c r="F253" s="30">
        <v>76.099999999999994</v>
      </c>
      <c r="G253" s="30">
        <v>78</v>
      </c>
    </row>
    <row r="254" spans="1:7" x14ac:dyDescent="0.25">
      <c r="A254" s="29">
        <v>37860</v>
      </c>
      <c r="B254" s="30">
        <v>79</v>
      </c>
      <c r="C254" s="30">
        <v>79.900000000000006</v>
      </c>
      <c r="D254" s="30"/>
      <c r="E254" s="30"/>
      <c r="F254" s="30">
        <v>78.3</v>
      </c>
      <c r="G254" s="30">
        <v>79.599999999999994</v>
      </c>
    </row>
    <row r="255" spans="1:7" x14ac:dyDescent="0.25">
      <c r="A255" s="29">
        <v>37861</v>
      </c>
      <c r="B255" s="30">
        <v>76.7</v>
      </c>
      <c r="C255" s="30">
        <v>77.7</v>
      </c>
      <c r="D255" s="30"/>
      <c r="E255" s="30"/>
      <c r="F255" s="30">
        <v>77.2</v>
      </c>
      <c r="G255" s="30">
        <v>77.8</v>
      </c>
    </row>
    <row r="256" spans="1:7" x14ac:dyDescent="0.25">
      <c r="A256" s="29">
        <v>37862</v>
      </c>
      <c r="B256" s="30">
        <v>73.099999999999994</v>
      </c>
      <c r="C256" s="30">
        <v>75.400000000000006</v>
      </c>
      <c r="D256" s="30"/>
      <c r="E256" s="30"/>
      <c r="F256" s="30">
        <v>75.900000000000006</v>
      </c>
      <c r="G256" s="30">
        <v>75</v>
      </c>
    </row>
    <row r="257" spans="1:7" x14ac:dyDescent="0.25">
      <c r="A257" s="29">
        <v>37863</v>
      </c>
      <c r="B257" s="30">
        <v>78.099999999999994</v>
      </c>
      <c r="C257" s="30">
        <v>79</v>
      </c>
      <c r="D257" s="30"/>
      <c r="E257" s="30"/>
      <c r="F257" s="30">
        <v>81</v>
      </c>
      <c r="G257" s="30">
        <v>78.8</v>
      </c>
    </row>
    <row r="258" spans="1:7" x14ac:dyDescent="0.25">
      <c r="A258" s="29">
        <v>37864</v>
      </c>
      <c r="B258" s="30">
        <v>68.3</v>
      </c>
      <c r="C258" s="30">
        <v>68.099999999999994</v>
      </c>
      <c r="D258" s="30"/>
      <c r="E258" s="30"/>
      <c r="F258" s="30">
        <v>69</v>
      </c>
      <c r="G258" s="30">
        <v>68.2</v>
      </c>
    </row>
    <row r="259" spans="1:7" x14ac:dyDescent="0.25">
      <c r="A259" s="29">
        <v>37865</v>
      </c>
      <c r="B259" s="30">
        <v>65.7</v>
      </c>
      <c r="C259" s="30">
        <v>65.900000000000006</v>
      </c>
      <c r="D259" s="30"/>
      <c r="E259" s="30"/>
      <c r="F259" s="30">
        <v>72</v>
      </c>
      <c r="G259" s="30">
        <v>65.900000000000006</v>
      </c>
    </row>
    <row r="260" spans="1:7" x14ac:dyDescent="0.25">
      <c r="A260" s="29">
        <v>37866</v>
      </c>
      <c r="B260" s="30">
        <v>63</v>
      </c>
      <c r="C260" s="30">
        <v>63.1</v>
      </c>
      <c r="D260" s="30"/>
      <c r="E260" s="30"/>
      <c r="F260" s="30">
        <v>73.599999999999994</v>
      </c>
      <c r="G260" s="30">
        <v>62.5</v>
      </c>
    </row>
    <row r="261" spans="1:7" x14ac:dyDescent="0.25">
      <c r="A261" s="29">
        <v>37867</v>
      </c>
      <c r="B261" s="30">
        <v>64.3</v>
      </c>
      <c r="C261" s="30">
        <v>64.2</v>
      </c>
      <c r="D261" s="30"/>
      <c r="E261" s="30"/>
      <c r="F261" s="30">
        <v>70.599999999999994</v>
      </c>
      <c r="G261" s="30">
        <v>64.400000000000006</v>
      </c>
    </row>
    <row r="262" spans="1:7" x14ac:dyDescent="0.25">
      <c r="A262" s="29">
        <v>37868</v>
      </c>
      <c r="B262" s="30">
        <v>71.8</v>
      </c>
      <c r="C262" s="30">
        <v>72.5</v>
      </c>
      <c r="D262" s="30"/>
      <c r="E262" s="30"/>
      <c r="F262" s="30">
        <v>74</v>
      </c>
      <c r="G262" s="30">
        <v>71.900000000000006</v>
      </c>
    </row>
    <row r="263" spans="1:7" x14ac:dyDescent="0.25">
      <c r="A263" s="29">
        <v>37869</v>
      </c>
      <c r="B263" s="30">
        <v>71.8</v>
      </c>
      <c r="C263" s="30">
        <v>72.2</v>
      </c>
      <c r="D263" s="30"/>
      <c r="E263" s="30"/>
      <c r="F263" s="30">
        <v>71.5</v>
      </c>
      <c r="G263" s="30">
        <v>72.5</v>
      </c>
    </row>
    <row r="264" spans="1:7" x14ac:dyDescent="0.25">
      <c r="A264" s="29">
        <v>37870</v>
      </c>
      <c r="B264" s="30">
        <v>68.7</v>
      </c>
      <c r="C264" s="30">
        <v>69.099999999999994</v>
      </c>
      <c r="D264" s="30"/>
      <c r="E264" s="30"/>
      <c r="F264" s="30">
        <v>65.7</v>
      </c>
      <c r="G264" s="30">
        <v>68.7</v>
      </c>
    </row>
    <row r="265" spans="1:7" x14ac:dyDescent="0.25">
      <c r="A265" s="29">
        <v>37871</v>
      </c>
      <c r="B265" s="30">
        <v>69.5</v>
      </c>
      <c r="C265" s="30">
        <v>72</v>
      </c>
      <c r="D265" s="30"/>
      <c r="E265" s="30"/>
      <c r="F265" s="30">
        <v>66.900000000000006</v>
      </c>
      <c r="G265" s="30">
        <v>70.400000000000006</v>
      </c>
    </row>
    <row r="266" spans="1:7" x14ac:dyDescent="0.25">
      <c r="A266" s="29">
        <v>37872</v>
      </c>
      <c r="B266" s="30">
        <v>69.7</v>
      </c>
      <c r="C266" s="30">
        <v>72.5</v>
      </c>
      <c r="D266" s="30"/>
      <c r="E266" s="30"/>
      <c r="F266" s="30">
        <v>67.599999999999994</v>
      </c>
      <c r="G266" s="30">
        <v>70.900000000000006</v>
      </c>
    </row>
    <row r="267" spans="1:7" x14ac:dyDescent="0.25">
      <c r="A267" s="29">
        <v>37873</v>
      </c>
      <c r="B267" s="30">
        <v>67.2</v>
      </c>
      <c r="C267" s="30">
        <v>68.5</v>
      </c>
      <c r="D267" s="30"/>
      <c r="E267" s="30"/>
      <c r="F267" s="30">
        <v>67.7</v>
      </c>
      <c r="G267" s="30">
        <v>68.599999999999994</v>
      </c>
    </row>
    <row r="268" spans="1:7" x14ac:dyDescent="0.25">
      <c r="A268" s="29">
        <v>37874</v>
      </c>
      <c r="B268" s="30">
        <v>64.5</v>
      </c>
      <c r="C268" s="30">
        <v>66.400000000000006</v>
      </c>
      <c r="D268" s="30"/>
      <c r="E268" s="30"/>
      <c r="F268" s="30">
        <v>64.5</v>
      </c>
      <c r="G268" s="30">
        <v>66.900000000000006</v>
      </c>
    </row>
    <row r="269" spans="1:7" x14ac:dyDescent="0.25">
      <c r="A269" s="29">
        <v>37875</v>
      </c>
      <c r="B269" s="30">
        <v>68.8</v>
      </c>
      <c r="C269" s="30">
        <v>71.7</v>
      </c>
      <c r="D269" s="30"/>
      <c r="E269" s="30"/>
      <c r="F269" s="30">
        <v>62.4</v>
      </c>
      <c r="G269" s="30">
        <v>70.2</v>
      </c>
    </row>
    <row r="270" spans="1:7" x14ac:dyDescent="0.25">
      <c r="A270" s="29">
        <v>37876</v>
      </c>
      <c r="B270" s="30">
        <v>67.2</v>
      </c>
      <c r="C270" s="30">
        <v>67.8</v>
      </c>
      <c r="D270" s="30"/>
      <c r="E270" s="30"/>
      <c r="F270" s="30">
        <v>66.3</v>
      </c>
      <c r="G270" s="30">
        <v>69</v>
      </c>
    </row>
    <row r="271" spans="1:7" x14ac:dyDescent="0.25">
      <c r="A271" s="29">
        <v>37877</v>
      </c>
      <c r="B271" s="30">
        <v>69.8</v>
      </c>
      <c r="C271" s="30">
        <v>67.5</v>
      </c>
      <c r="D271" s="30"/>
      <c r="E271" s="30"/>
      <c r="F271" s="30">
        <v>72.3</v>
      </c>
      <c r="G271" s="30">
        <v>67.8</v>
      </c>
    </row>
    <row r="272" spans="1:7" x14ac:dyDescent="0.25">
      <c r="A272" s="29">
        <v>37878</v>
      </c>
      <c r="B272" s="30">
        <v>74.5</v>
      </c>
      <c r="C272" s="30">
        <v>73.3</v>
      </c>
      <c r="D272" s="30"/>
      <c r="E272" s="30"/>
      <c r="F272" s="30">
        <v>75</v>
      </c>
      <c r="G272" s="30">
        <v>74.3</v>
      </c>
    </row>
    <row r="273" spans="1:7" x14ac:dyDescent="0.25">
      <c r="A273" s="29">
        <v>37879</v>
      </c>
      <c r="B273" s="30">
        <v>73.400000000000006</v>
      </c>
      <c r="C273" s="30">
        <v>75.2</v>
      </c>
      <c r="D273" s="30"/>
      <c r="E273" s="30"/>
      <c r="F273" s="30">
        <v>73.3</v>
      </c>
      <c r="G273" s="30">
        <v>74</v>
      </c>
    </row>
    <row r="274" spans="1:7" x14ac:dyDescent="0.25">
      <c r="A274" s="29">
        <v>37880</v>
      </c>
      <c r="B274" s="30">
        <v>73.3</v>
      </c>
      <c r="C274" s="30">
        <v>72.8</v>
      </c>
      <c r="D274" s="30"/>
      <c r="E274" s="30"/>
      <c r="F274" s="30">
        <v>72</v>
      </c>
      <c r="G274" s="30">
        <v>72.7</v>
      </c>
    </row>
    <row r="275" spans="1:7" x14ac:dyDescent="0.25">
      <c r="A275" s="29">
        <v>37881</v>
      </c>
      <c r="B275" s="30">
        <v>69.8</v>
      </c>
      <c r="C275" s="30">
        <v>70.900000000000006</v>
      </c>
      <c r="D275" s="30"/>
      <c r="E275" s="30"/>
      <c r="F275" s="30">
        <v>64.7</v>
      </c>
      <c r="G275" s="30">
        <v>69.3</v>
      </c>
    </row>
    <row r="276" spans="1:7" x14ac:dyDescent="0.25">
      <c r="A276" s="29">
        <v>37882</v>
      </c>
      <c r="B276" s="30">
        <v>69</v>
      </c>
      <c r="C276" s="30">
        <v>68.900000000000006</v>
      </c>
      <c r="D276" s="30"/>
      <c r="E276" s="30"/>
      <c r="F276" s="30">
        <v>68.599999999999994</v>
      </c>
      <c r="G276" s="30">
        <v>69.3</v>
      </c>
    </row>
    <row r="277" spans="1:7" x14ac:dyDescent="0.25">
      <c r="A277" s="29">
        <v>37883</v>
      </c>
      <c r="B277" s="30">
        <v>74.099999999999994</v>
      </c>
      <c r="C277" s="30">
        <v>75.3</v>
      </c>
      <c r="D277" s="30"/>
      <c r="E277" s="30"/>
      <c r="F277" s="30">
        <v>74.5</v>
      </c>
      <c r="G277" s="30">
        <v>74.900000000000006</v>
      </c>
    </row>
    <row r="278" spans="1:7" x14ac:dyDescent="0.25">
      <c r="A278" s="29">
        <v>37884</v>
      </c>
      <c r="B278" s="30">
        <v>72.900000000000006</v>
      </c>
      <c r="C278" s="30">
        <v>75.2</v>
      </c>
      <c r="D278" s="30"/>
      <c r="E278" s="30"/>
      <c r="F278" s="30">
        <v>71.099999999999994</v>
      </c>
      <c r="G278" s="30">
        <v>73.900000000000006</v>
      </c>
    </row>
    <row r="279" spans="1:7" x14ac:dyDescent="0.25">
      <c r="A279" s="29">
        <v>37885</v>
      </c>
      <c r="B279" s="30">
        <v>70.099999999999994</v>
      </c>
      <c r="C279" s="30">
        <v>70.400000000000006</v>
      </c>
      <c r="D279" s="30"/>
      <c r="E279" s="30"/>
      <c r="F279" s="30">
        <v>68.5</v>
      </c>
      <c r="G279" s="30">
        <v>69.599999999999994</v>
      </c>
    </row>
    <row r="280" spans="1:7" x14ac:dyDescent="0.25">
      <c r="A280" s="29">
        <v>37886</v>
      </c>
      <c r="B280" s="30">
        <v>67.400000000000006</v>
      </c>
      <c r="C280" s="30">
        <v>69.099999999999994</v>
      </c>
      <c r="D280" s="30"/>
      <c r="E280" s="30"/>
      <c r="F280" s="30">
        <v>68.8</v>
      </c>
      <c r="G280" s="30">
        <v>68.099999999999994</v>
      </c>
    </row>
    <row r="281" spans="1:7" x14ac:dyDescent="0.25">
      <c r="A281" s="29">
        <v>37887</v>
      </c>
      <c r="B281" s="30">
        <v>70.5</v>
      </c>
      <c r="C281" s="30">
        <v>70.8</v>
      </c>
      <c r="D281" s="30"/>
      <c r="E281" s="30"/>
      <c r="F281" s="30">
        <v>71</v>
      </c>
      <c r="G281" s="30">
        <v>70.900000000000006</v>
      </c>
    </row>
    <row r="282" spans="1:7" x14ac:dyDescent="0.25">
      <c r="A282" s="29">
        <v>37888</v>
      </c>
      <c r="B282" s="30">
        <v>66.5</v>
      </c>
      <c r="C282" s="30">
        <v>67.5</v>
      </c>
      <c r="D282" s="30"/>
      <c r="E282" s="30"/>
      <c r="F282" s="30">
        <v>62.6</v>
      </c>
      <c r="G282" s="30">
        <v>65.099999999999994</v>
      </c>
    </row>
    <row r="283" spans="1:7" x14ac:dyDescent="0.25">
      <c r="A283" s="29">
        <v>37889</v>
      </c>
      <c r="B283" s="30">
        <v>69.2</v>
      </c>
      <c r="C283" s="30">
        <v>69.400000000000006</v>
      </c>
      <c r="D283" s="30"/>
      <c r="E283" s="30"/>
      <c r="F283" s="30">
        <v>66.3</v>
      </c>
      <c r="G283" s="30">
        <v>68.400000000000006</v>
      </c>
    </row>
    <row r="284" spans="1:7" x14ac:dyDescent="0.25">
      <c r="A284" s="29">
        <v>37890</v>
      </c>
      <c r="B284" s="30">
        <v>69.099999999999994</v>
      </c>
      <c r="C284" s="30">
        <v>67.5</v>
      </c>
      <c r="D284" s="30"/>
      <c r="E284" s="30"/>
      <c r="F284" s="30">
        <v>68.5</v>
      </c>
      <c r="G284" s="30">
        <v>67.2</v>
      </c>
    </row>
    <row r="285" spans="1:7" x14ac:dyDescent="0.25">
      <c r="A285" s="29">
        <v>37891</v>
      </c>
      <c r="B285" s="30">
        <v>72</v>
      </c>
      <c r="C285" s="30">
        <v>72.3</v>
      </c>
      <c r="D285" s="30"/>
      <c r="E285" s="30"/>
      <c r="F285" s="30">
        <v>72.599999999999994</v>
      </c>
      <c r="G285" s="30">
        <v>71.099999999999994</v>
      </c>
    </row>
    <row r="286" spans="1:7" x14ac:dyDescent="0.25">
      <c r="A286" s="29">
        <v>37892</v>
      </c>
      <c r="B286" s="30">
        <v>69.599999999999994</v>
      </c>
      <c r="C286" s="30">
        <v>69.7</v>
      </c>
      <c r="D286" s="30"/>
      <c r="E286" s="30"/>
      <c r="F286" s="30">
        <v>70.3</v>
      </c>
      <c r="G286" s="30">
        <v>68.900000000000006</v>
      </c>
    </row>
    <row r="287" spans="1:7" x14ac:dyDescent="0.25">
      <c r="A287" s="29">
        <v>37893</v>
      </c>
      <c r="B287" s="30">
        <v>61.5</v>
      </c>
      <c r="C287" s="30">
        <v>61.4</v>
      </c>
      <c r="D287" s="30"/>
      <c r="E287" s="30"/>
      <c r="F287" s="30">
        <v>58.7</v>
      </c>
      <c r="G287" s="30">
        <v>60.3</v>
      </c>
    </row>
    <row r="288" spans="1:7" x14ac:dyDescent="0.25">
      <c r="A288" s="29">
        <v>37894</v>
      </c>
      <c r="B288" s="30">
        <v>58.5</v>
      </c>
      <c r="C288" s="30">
        <v>58.6</v>
      </c>
      <c r="D288" s="30"/>
      <c r="E288" s="30"/>
      <c r="F288" s="30">
        <v>54.2</v>
      </c>
      <c r="G288" s="30">
        <v>56.8</v>
      </c>
    </row>
    <row r="289" spans="1:7" x14ac:dyDescent="0.25">
      <c r="A289" s="29">
        <v>37895</v>
      </c>
      <c r="B289" s="30">
        <v>58.9</v>
      </c>
      <c r="C289" s="30">
        <v>58.6</v>
      </c>
      <c r="D289" s="30"/>
      <c r="E289" s="30"/>
      <c r="F289" s="30">
        <v>53.1</v>
      </c>
      <c r="G289" s="30">
        <v>55.7</v>
      </c>
    </row>
    <row r="290" spans="1:7" x14ac:dyDescent="0.25">
      <c r="A290" s="29">
        <v>37896</v>
      </c>
      <c r="B290" s="30">
        <v>56.4</v>
      </c>
      <c r="C290" s="30">
        <v>56</v>
      </c>
      <c r="D290" s="30"/>
      <c r="E290" s="30"/>
      <c r="F290" s="30">
        <v>53.6</v>
      </c>
      <c r="G290" s="30">
        <v>53.9</v>
      </c>
    </row>
    <row r="291" spans="1:7" x14ac:dyDescent="0.25">
      <c r="A291" s="29">
        <v>37897</v>
      </c>
      <c r="B291" s="30">
        <v>49</v>
      </c>
      <c r="C291" s="30">
        <v>48.8</v>
      </c>
      <c r="D291" s="30"/>
      <c r="E291" s="30"/>
      <c r="F291" s="30">
        <v>45</v>
      </c>
      <c r="G291" s="30">
        <v>48.4</v>
      </c>
    </row>
    <row r="292" spans="1:7" x14ac:dyDescent="0.25">
      <c r="A292" s="29">
        <v>37898</v>
      </c>
      <c r="B292" s="30">
        <v>57.7</v>
      </c>
      <c r="C292" s="30">
        <v>56.8</v>
      </c>
      <c r="D292" s="30"/>
      <c r="E292" s="30"/>
      <c r="F292" s="30">
        <v>55.1</v>
      </c>
      <c r="G292" s="30">
        <v>54.4</v>
      </c>
    </row>
    <row r="293" spans="1:7" x14ac:dyDescent="0.25">
      <c r="A293" s="29">
        <v>37899</v>
      </c>
      <c r="B293" s="30">
        <v>53.6</v>
      </c>
      <c r="C293" s="30">
        <v>54.3</v>
      </c>
      <c r="D293" s="30"/>
      <c r="E293" s="30"/>
      <c r="F293" s="30">
        <v>53.4</v>
      </c>
      <c r="G293" s="30">
        <v>51.7</v>
      </c>
    </row>
    <row r="294" spans="1:7" x14ac:dyDescent="0.25">
      <c r="A294" s="29">
        <v>37900</v>
      </c>
      <c r="B294" s="30">
        <v>52</v>
      </c>
      <c r="C294" s="30">
        <v>53.6</v>
      </c>
      <c r="D294" s="30"/>
      <c r="E294" s="30"/>
      <c r="F294" s="30">
        <v>50.3</v>
      </c>
      <c r="G294" s="30">
        <v>50.9</v>
      </c>
    </row>
    <row r="295" spans="1:7" x14ac:dyDescent="0.25">
      <c r="A295" s="29">
        <v>37901</v>
      </c>
      <c r="B295" s="30">
        <v>52.8</v>
      </c>
      <c r="C295" s="30">
        <v>56.4</v>
      </c>
      <c r="D295" s="30"/>
      <c r="E295" s="30"/>
      <c r="F295" s="30">
        <v>51.9</v>
      </c>
      <c r="G295" s="30">
        <v>53.4</v>
      </c>
    </row>
    <row r="296" spans="1:7" x14ac:dyDescent="0.25">
      <c r="A296" s="29">
        <v>37902</v>
      </c>
      <c r="B296" s="30">
        <v>60.9</v>
      </c>
      <c r="C296" s="30">
        <v>63.2</v>
      </c>
      <c r="D296" s="30"/>
      <c r="E296" s="30"/>
      <c r="F296" s="30">
        <v>59.4</v>
      </c>
      <c r="G296" s="30">
        <v>60.3</v>
      </c>
    </row>
    <row r="297" spans="1:7" x14ac:dyDescent="0.25">
      <c r="A297" s="29">
        <v>37903</v>
      </c>
      <c r="B297" s="30">
        <v>64.7</v>
      </c>
      <c r="C297" s="30">
        <v>68.2</v>
      </c>
      <c r="D297" s="30"/>
      <c r="E297" s="30"/>
      <c r="F297" s="30">
        <v>63.1</v>
      </c>
      <c r="G297" s="30">
        <v>65.599999999999994</v>
      </c>
    </row>
    <row r="298" spans="1:7" x14ac:dyDescent="0.25">
      <c r="A298" s="29">
        <v>37904</v>
      </c>
      <c r="B298" s="30">
        <v>61.9</v>
      </c>
      <c r="C298" s="30">
        <v>63.4</v>
      </c>
      <c r="D298" s="30"/>
      <c r="E298" s="30"/>
      <c r="F298" s="30">
        <v>62.1</v>
      </c>
      <c r="G298" s="30">
        <v>62.9</v>
      </c>
    </row>
    <row r="299" spans="1:7" x14ac:dyDescent="0.25">
      <c r="A299" s="29">
        <v>37905</v>
      </c>
      <c r="B299" s="30">
        <v>62.3</v>
      </c>
      <c r="C299" s="30">
        <v>62.6</v>
      </c>
      <c r="D299" s="30"/>
      <c r="E299" s="30"/>
      <c r="F299" s="30">
        <v>63.4</v>
      </c>
      <c r="G299" s="30">
        <v>62</v>
      </c>
    </row>
    <row r="300" spans="1:7" x14ac:dyDescent="0.25">
      <c r="A300" s="29">
        <v>37906</v>
      </c>
      <c r="B300" s="30">
        <v>62.5</v>
      </c>
      <c r="C300" s="30">
        <v>63.5</v>
      </c>
      <c r="D300" s="30"/>
      <c r="E300" s="30"/>
      <c r="F300" s="30">
        <v>62.2</v>
      </c>
      <c r="G300" s="30">
        <v>64.8</v>
      </c>
    </row>
    <row r="301" spans="1:7" x14ac:dyDescent="0.25">
      <c r="A301" s="29">
        <v>37907</v>
      </c>
      <c r="B301" s="30">
        <v>63.5</v>
      </c>
      <c r="C301" s="30">
        <v>64.400000000000006</v>
      </c>
      <c r="D301" s="30"/>
      <c r="E301" s="30"/>
      <c r="F301" s="30">
        <v>63.2</v>
      </c>
      <c r="G301" s="30">
        <v>65.3</v>
      </c>
    </row>
    <row r="302" spans="1:7" x14ac:dyDescent="0.25">
      <c r="A302" s="29">
        <v>37908</v>
      </c>
      <c r="B302" s="30">
        <v>59.9</v>
      </c>
      <c r="C302" s="30">
        <v>62.7</v>
      </c>
      <c r="D302" s="30"/>
      <c r="E302" s="30"/>
      <c r="F302" s="30">
        <v>57.1</v>
      </c>
      <c r="G302" s="30">
        <v>61</v>
      </c>
    </row>
    <row r="303" spans="1:7" x14ac:dyDescent="0.25">
      <c r="A303" s="29">
        <v>37909</v>
      </c>
      <c r="B303" s="30">
        <v>61.5</v>
      </c>
      <c r="C303" s="30">
        <v>61.8</v>
      </c>
      <c r="D303" s="30"/>
      <c r="E303" s="30"/>
      <c r="F303" s="30">
        <v>61.2</v>
      </c>
      <c r="G303" s="30">
        <v>61.3</v>
      </c>
    </row>
    <row r="304" spans="1:7" x14ac:dyDescent="0.25">
      <c r="A304" s="29">
        <v>37910</v>
      </c>
      <c r="B304" s="30">
        <v>57.1</v>
      </c>
      <c r="C304" s="30">
        <v>57.6</v>
      </c>
      <c r="D304" s="30"/>
      <c r="E304" s="30"/>
      <c r="F304" s="30">
        <v>56.4</v>
      </c>
      <c r="G304" s="30">
        <v>55.2</v>
      </c>
    </row>
    <row r="305" spans="1:7" x14ac:dyDescent="0.25">
      <c r="A305" s="29">
        <v>37911</v>
      </c>
      <c r="B305" s="30">
        <v>55.3</v>
      </c>
      <c r="C305" s="30">
        <v>55.8</v>
      </c>
      <c r="D305" s="30"/>
      <c r="E305" s="30"/>
      <c r="F305" s="30">
        <v>54.7</v>
      </c>
      <c r="G305" s="30">
        <v>55.1</v>
      </c>
    </row>
    <row r="306" spans="1:7" x14ac:dyDescent="0.25">
      <c r="A306" s="29">
        <v>37912</v>
      </c>
      <c r="B306" s="30">
        <v>49.4</v>
      </c>
      <c r="C306" s="30">
        <v>50.4</v>
      </c>
      <c r="D306" s="30"/>
      <c r="E306" s="30"/>
      <c r="F306" s="30">
        <v>50.4</v>
      </c>
      <c r="G306" s="30">
        <v>49.7</v>
      </c>
    </row>
    <row r="307" spans="1:7" x14ac:dyDescent="0.25">
      <c r="A307" s="29">
        <v>37913</v>
      </c>
      <c r="B307" s="30">
        <v>51.6</v>
      </c>
      <c r="C307" s="30">
        <v>52.8</v>
      </c>
      <c r="D307" s="30"/>
      <c r="E307" s="30"/>
      <c r="F307" s="30">
        <v>51.3</v>
      </c>
      <c r="G307" s="30">
        <v>51.3</v>
      </c>
    </row>
    <row r="308" spans="1:7" x14ac:dyDescent="0.25">
      <c r="A308" s="29">
        <v>37914</v>
      </c>
      <c r="B308" s="30">
        <v>47.1</v>
      </c>
      <c r="C308" s="30">
        <v>49.5</v>
      </c>
      <c r="D308" s="30"/>
      <c r="E308" s="30"/>
      <c r="F308" s="30">
        <v>48.5</v>
      </c>
      <c r="G308" s="30">
        <v>48.4</v>
      </c>
    </row>
    <row r="309" spans="1:7" x14ac:dyDescent="0.25">
      <c r="A309" s="29">
        <v>37915</v>
      </c>
      <c r="B309" s="30">
        <v>61.6</v>
      </c>
      <c r="C309" s="30">
        <v>61.9</v>
      </c>
      <c r="D309" s="30"/>
      <c r="E309" s="30"/>
      <c r="F309" s="30">
        <v>64.3</v>
      </c>
      <c r="G309" s="30">
        <v>60.7</v>
      </c>
    </row>
    <row r="310" spans="1:7" x14ac:dyDescent="0.25">
      <c r="A310" s="29">
        <v>37916</v>
      </c>
      <c r="B310" s="30">
        <v>53</v>
      </c>
      <c r="C310" s="30">
        <v>52.5</v>
      </c>
      <c r="D310" s="30"/>
      <c r="E310" s="30"/>
      <c r="F310" s="30">
        <v>56</v>
      </c>
      <c r="G310" s="30">
        <v>52.8</v>
      </c>
    </row>
    <row r="311" spans="1:7" x14ac:dyDescent="0.25">
      <c r="A311" s="29">
        <v>37917</v>
      </c>
      <c r="B311" s="30">
        <v>41.3</v>
      </c>
      <c r="C311" s="30">
        <v>41.7</v>
      </c>
      <c r="D311" s="30"/>
      <c r="E311" s="30"/>
      <c r="F311" s="30">
        <v>41</v>
      </c>
      <c r="G311" s="30">
        <v>41.6</v>
      </c>
    </row>
    <row r="312" spans="1:7" x14ac:dyDescent="0.25">
      <c r="A312" s="29">
        <v>37918</v>
      </c>
      <c r="B312" s="30">
        <v>43.4</v>
      </c>
      <c r="C312" s="30">
        <v>43.5</v>
      </c>
      <c r="D312" s="30"/>
      <c r="E312" s="30"/>
      <c r="F312" s="30">
        <v>40.200000000000003</v>
      </c>
      <c r="G312" s="30">
        <v>42.7</v>
      </c>
    </row>
    <row r="313" spans="1:7" x14ac:dyDescent="0.25">
      <c r="A313" s="29">
        <v>37919</v>
      </c>
      <c r="B313" s="30">
        <v>46.5</v>
      </c>
      <c r="C313" s="30">
        <v>50.1</v>
      </c>
      <c r="D313" s="30"/>
      <c r="E313" s="30"/>
      <c r="F313" s="30">
        <v>44</v>
      </c>
      <c r="G313" s="30">
        <v>47.3</v>
      </c>
    </row>
    <row r="314" spans="1:7" x14ac:dyDescent="0.25">
      <c r="A314" s="29">
        <v>37920</v>
      </c>
      <c r="B314" s="30">
        <v>60.8</v>
      </c>
      <c r="C314" s="30">
        <v>61.4</v>
      </c>
      <c r="D314" s="30"/>
      <c r="E314" s="30"/>
      <c r="F314" s="30">
        <v>63.2</v>
      </c>
      <c r="G314" s="30">
        <v>61.9</v>
      </c>
    </row>
    <row r="315" spans="1:7" x14ac:dyDescent="0.25">
      <c r="A315" s="29">
        <v>37921</v>
      </c>
      <c r="B315" s="30">
        <v>61.8</v>
      </c>
      <c r="C315" s="30">
        <v>62.5</v>
      </c>
      <c r="D315" s="30"/>
      <c r="E315" s="30"/>
      <c r="F315" s="30">
        <v>63.5</v>
      </c>
      <c r="G315" s="30">
        <v>63.1</v>
      </c>
    </row>
    <row r="316" spans="1:7" x14ac:dyDescent="0.25">
      <c r="A316" s="29">
        <v>37922</v>
      </c>
      <c r="B316" s="30">
        <v>53</v>
      </c>
      <c r="C316" s="30">
        <v>53.4</v>
      </c>
      <c r="D316" s="30"/>
      <c r="E316" s="30"/>
      <c r="F316" s="30">
        <v>50.6</v>
      </c>
      <c r="G316" s="30">
        <v>52.3</v>
      </c>
    </row>
    <row r="317" spans="1:7" x14ac:dyDescent="0.25">
      <c r="A317" s="29">
        <v>37923</v>
      </c>
      <c r="B317" s="30">
        <v>55.6</v>
      </c>
      <c r="C317" s="30">
        <v>55.5</v>
      </c>
      <c r="D317" s="30"/>
      <c r="E317" s="30"/>
      <c r="F317" s="30">
        <v>55</v>
      </c>
      <c r="G317" s="30">
        <v>54.1</v>
      </c>
    </row>
    <row r="318" spans="1:7" x14ac:dyDescent="0.25">
      <c r="A318" s="29">
        <v>37924</v>
      </c>
      <c r="B318" s="30">
        <v>52.5</v>
      </c>
      <c r="C318" s="30">
        <v>53.5</v>
      </c>
      <c r="D318" s="30"/>
      <c r="E318" s="30"/>
      <c r="F318" s="30">
        <v>51</v>
      </c>
      <c r="G318" s="30">
        <v>51.8</v>
      </c>
    </row>
    <row r="319" spans="1:7" x14ac:dyDescent="0.25">
      <c r="A319" s="29">
        <v>37925</v>
      </c>
      <c r="B319" s="30">
        <v>54.6</v>
      </c>
      <c r="C319" s="30">
        <v>58</v>
      </c>
      <c r="D319" s="30"/>
      <c r="E319" s="30"/>
      <c r="F319" s="30">
        <v>52.3</v>
      </c>
      <c r="G319" s="30">
        <v>56.3</v>
      </c>
    </row>
    <row r="320" spans="1:7" x14ac:dyDescent="0.25">
      <c r="A320" s="29">
        <v>37926</v>
      </c>
      <c r="B320" s="30">
        <v>59.1</v>
      </c>
      <c r="C320" s="30">
        <v>63.7</v>
      </c>
      <c r="D320" s="30"/>
      <c r="E320" s="30"/>
      <c r="F320" s="30">
        <v>60.4</v>
      </c>
      <c r="G320" s="30">
        <v>62.3</v>
      </c>
    </row>
    <row r="321" spans="1:7" x14ac:dyDescent="0.25">
      <c r="A321" s="29">
        <v>37927</v>
      </c>
      <c r="B321" s="30">
        <v>61.4</v>
      </c>
      <c r="C321" s="30">
        <v>64.599999999999994</v>
      </c>
      <c r="D321" s="30"/>
      <c r="E321" s="30"/>
      <c r="F321" s="30">
        <v>62.1</v>
      </c>
      <c r="G321" s="30">
        <v>63.5</v>
      </c>
    </row>
    <row r="322" spans="1:7" x14ac:dyDescent="0.25">
      <c r="A322" s="29">
        <v>37928</v>
      </c>
      <c r="B322" s="30">
        <v>62</v>
      </c>
      <c r="C322" s="30">
        <v>66.5</v>
      </c>
      <c r="D322" s="30"/>
      <c r="E322" s="30"/>
      <c r="F322" s="30">
        <v>64.599999999999994</v>
      </c>
      <c r="G322" s="30">
        <v>65.599999999999994</v>
      </c>
    </row>
    <row r="323" spans="1:7" x14ac:dyDescent="0.25">
      <c r="A323" s="29">
        <v>37929</v>
      </c>
      <c r="B323" s="30">
        <v>58.4</v>
      </c>
      <c r="C323" s="30">
        <v>62</v>
      </c>
      <c r="D323" s="30"/>
      <c r="E323" s="30"/>
      <c r="F323" s="30">
        <v>64.400000000000006</v>
      </c>
      <c r="G323" s="30">
        <v>61.1</v>
      </c>
    </row>
    <row r="324" spans="1:7" x14ac:dyDescent="0.25">
      <c r="A324" s="29">
        <v>37930</v>
      </c>
      <c r="B324" s="30">
        <v>55.9</v>
      </c>
      <c r="C324" s="30">
        <v>53.9</v>
      </c>
      <c r="D324" s="30"/>
      <c r="E324" s="30"/>
      <c r="F324" s="30">
        <v>66.3</v>
      </c>
      <c r="G324" s="30">
        <v>54.4</v>
      </c>
    </row>
    <row r="325" spans="1:7" x14ac:dyDescent="0.25">
      <c r="A325" s="29">
        <v>37931</v>
      </c>
      <c r="B325" s="30">
        <v>58.1</v>
      </c>
      <c r="C325" s="30">
        <v>57.9</v>
      </c>
      <c r="D325" s="30"/>
      <c r="E325" s="30"/>
      <c r="F325" s="30">
        <v>64.5</v>
      </c>
      <c r="G325" s="30">
        <v>58.1</v>
      </c>
    </row>
    <row r="326" spans="1:7" x14ac:dyDescent="0.25">
      <c r="A326" s="29">
        <v>37932</v>
      </c>
      <c r="B326" s="30">
        <v>52.4</v>
      </c>
      <c r="C326" s="30">
        <v>52.5</v>
      </c>
      <c r="D326" s="30"/>
      <c r="E326" s="30"/>
      <c r="F326" s="30">
        <v>54.9</v>
      </c>
      <c r="G326" s="30">
        <v>52.7</v>
      </c>
    </row>
    <row r="327" spans="1:7" x14ac:dyDescent="0.25">
      <c r="A327" s="29">
        <v>37933</v>
      </c>
      <c r="B327" s="30">
        <v>46.6</v>
      </c>
      <c r="C327" s="30">
        <v>46.8</v>
      </c>
      <c r="D327" s="30"/>
      <c r="E327" s="30"/>
      <c r="F327" s="30">
        <v>45.9</v>
      </c>
      <c r="G327" s="30">
        <v>45.5</v>
      </c>
    </row>
    <row r="328" spans="1:7" x14ac:dyDescent="0.25">
      <c r="A328" s="29">
        <v>37934</v>
      </c>
      <c r="B328" s="30">
        <v>36.5</v>
      </c>
      <c r="C328" s="30">
        <v>37.6</v>
      </c>
      <c r="D328" s="30"/>
      <c r="E328" s="30"/>
      <c r="F328" s="30">
        <v>36.4</v>
      </c>
      <c r="G328" s="30">
        <v>36.799999999999997</v>
      </c>
    </row>
    <row r="329" spans="1:7" x14ac:dyDescent="0.25">
      <c r="A329" s="29">
        <v>37935</v>
      </c>
      <c r="B329" s="30">
        <v>38.1</v>
      </c>
      <c r="C329" s="30">
        <v>41.8</v>
      </c>
      <c r="D329" s="30"/>
      <c r="E329" s="30"/>
      <c r="F329" s="30">
        <v>33.299999999999997</v>
      </c>
      <c r="G329" s="30">
        <v>38.299999999999997</v>
      </c>
    </row>
    <row r="330" spans="1:7" x14ac:dyDescent="0.25">
      <c r="A330" s="29">
        <v>37936</v>
      </c>
      <c r="B330" s="30">
        <v>44.9</v>
      </c>
      <c r="C330" s="30">
        <v>46.3</v>
      </c>
      <c r="D330" s="30"/>
      <c r="E330" s="30"/>
      <c r="F330" s="30">
        <v>41.3</v>
      </c>
      <c r="G330" s="30">
        <v>43.2</v>
      </c>
    </row>
    <row r="331" spans="1:7" x14ac:dyDescent="0.25">
      <c r="A331" s="29">
        <v>37937</v>
      </c>
      <c r="B331" s="30">
        <v>52.8</v>
      </c>
      <c r="C331" s="30">
        <v>53.9</v>
      </c>
      <c r="D331" s="30"/>
      <c r="E331" s="30"/>
      <c r="F331" s="30">
        <v>56.2</v>
      </c>
      <c r="G331" s="30">
        <v>52.1</v>
      </c>
    </row>
    <row r="332" spans="1:7" x14ac:dyDescent="0.25">
      <c r="A332" s="29">
        <v>37938</v>
      </c>
      <c r="B332" s="30">
        <v>52.1</v>
      </c>
      <c r="C332" s="30">
        <v>52.4</v>
      </c>
      <c r="D332" s="30"/>
      <c r="E332" s="30"/>
      <c r="F332" s="30">
        <v>53.8</v>
      </c>
      <c r="G332" s="30">
        <v>51.9</v>
      </c>
    </row>
    <row r="333" spans="1:7" x14ac:dyDescent="0.25">
      <c r="A333" s="29">
        <v>37939</v>
      </c>
      <c r="B333" s="30">
        <v>39.6</v>
      </c>
      <c r="C333" s="30">
        <v>40.6</v>
      </c>
      <c r="D333" s="30"/>
      <c r="E333" s="30"/>
      <c r="F333" s="30">
        <v>41.5</v>
      </c>
      <c r="G333" s="30">
        <v>40.200000000000003</v>
      </c>
    </row>
    <row r="334" spans="1:7" x14ac:dyDescent="0.25">
      <c r="A334" s="29">
        <v>37940</v>
      </c>
      <c r="B334" s="30">
        <v>43.6</v>
      </c>
      <c r="C334" s="30">
        <v>43.7</v>
      </c>
      <c r="D334" s="30"/>
      <c r="E334" s="30"/>
      <c r="F334" s="30">
        <v>46.9</v>
      </c>
      <c r="G334" s="30">
        <v>44.3</v>
      </c>
    </row>
    <row r="335" spans="1:7" x14ac:dyDescent="0.25">
      <c r="A335" s="29">
        <v>37941</v>
      </c>
      <c r="B335" s="30">
        <v>42.5</v>
      </c>
      <c r="C335" s="30">
        <v>45.1</v>
      </c>
      <c r="D335" s="30"/>
      <c r="E335" s="30"/>
      <c r="F335" s="30">
        <v>43.5</v>
      </c>
      <c r="G335" s="30">
        <v>43.1</v>
      </c>
    </row>
    <row r="336" spans="1:7" x14ac:dyDescent="0.25">
      <c r="A336" s="29">
        <v>37942</v>
      </c>
      <c r="B336" s="30">
        <v>48.6</v>
      </c>
      <c r="C336" s="30">
        <v>48.8</v>
      </c>
      <c r="D336" s="30"/>
      <c r="E336" s="30"/>
      <c r="F336" s="30">
        <v>52.6</v>
      </c>
      <c r="G336" s="30">
        <v>48.2</v>
      </c>
    </row>
    <row r="337" spans="1:7" x14ac:dyDescent="0.25">
      <c r="A337" s="29">
        <v>37943</v>
      </c>
      <c r="B337" s="30">
        <v>48.8</v>
      </c>
      <c r="C337" s="30">
        <v>48.6</v>
      </c>
      <c r="D337" s="30"/>
      <c r="E337" s="30"/>
      <c r="F337" s="30">
        <v>48.7</v>
      </c>
      <c r="G337" s="30">
        <v>49.4</v>
      </c>
    </row>
    <row r="338" spans="1:7" x14ac:dyDescent="0.25">
      <c r="A338" s="29">
        <v>37944</v>
      </c>
      <c r="B338" s="30">
        <v>57.3</v>
      </c>
      <c r="C338" s="30">
        <v>58.4</v>
      </c>
      <c r="D338" s="30"/>
      <c r="E338" s="30"/>
      <c r="F338" s="30">
        <v>60.7</v>
      </c>
      <c r="G338" s="30">
        <v>58.5</v>
      </c>
    </row>
    <row r="339" spans="1:7" x14ac:dyDescent="0.25">
      <c r="A339" s="29">
        <v>37945</v>
      </c>
      <c r="B339" s="30">
        <v>52.2</v>
      </c>
      <c r="C339" s="30">
        <v>52.8</v>
      </c>
      <c r="D339" s="30"/>
      <c r="E339" s="30"/>
      <c r="F339" s="30">
        <v>53.5</v>
      </c>
      <c r="G339" s="30">
        <v>52.3</v>
      </c>
    </row>
    <row r="340" spans="1:7" x14ac:dyDescent="0.25">
      <c r="A340" s="29">
        <v>37946</v>
      </c>
      <c r="B340" s="30">
        <v>50.4</v>
      </c>
      <c r="C340" s="30">
        <v>52</v>
      </c>
      <c r="D340" s="30"/>
      <c r="E340" s="30"/>
      <c r="F340" s="30">
        <v>49.7</v>
      </c>
      <c r="G340" s="30">
        <v>51.4</v>
      </c>
    </row>
    <row r="341" spans="1:7" x14ac:dyDescent="0.25">
      <c r="A341" s="29">
        <v>37947</v>
      </c>
      <c r="B341" s="30">
        <v>52.6</v>
      </c>
      <c r="C341" s="30">
        <v>54.8</v>
      </c>
      <c r="D341" s="30"/>
      <c r="E341" s="30"/>
      <c r="F341" s="30">
        <v>49.8</v>
      </c>
      <c r="G341" s="30">
        <v>54.2</v>
      </c>
    </row>
    <row r="342" spans="1:7" x14ac:dyDescent="0.25">
      <c r="A342" s="29">
        <v>37948</v>
      </c>
      <c r="B342" s="30">
        <v>46.9</v>
      </c>
      <c r="C342" s="30">
        <v>49.7</v>
      </c>
      <c r="D342" s="30"/>
      <c r="E342" s="30"/>
      <c r="F342" s="30">
        <v>44.6</v>
      </c>
      <c r="G342" s="30">
        <v>49.1</v>
      </c>
    </row>
    <row r="343" spans="1:7" x14ac:dyDescent="0.25">
      <c r="A343" s="29">
        <v>37949</v>
      </c>
      <c r="B343" s="30">
        <v>46.4</v>
      </c>
      <c r="C343" s="30">
        <v>50.1</v>
      </c>
      <c r="D343" s="30"/>
      <c r="E343" s="30"/>
      <c r="F343" s="30">
        <v>46.6</v>
      </c>
      <c r="G343" s="30">
        <v>49.7</v>
      </c>
    </row>
    <row r="344" spans="1:7" x14ac:dyDescent="0.25">
      <c r="A344" s="29">
        <v>37950</v>
      </c>
      <c r="B344" s="30">
        <v>44.3</v>
      </c>
      <c r="C344" s="30">
        <v>44.8</v>
      </c>
      <c r="D344" s="30"/>
      <c r="E344" s="30"/>
      <c r="F344" s="30">
        <v>43.4</v>
      </c>
      <c r="G344" s="30">
        <v>44.3</v>
      </c>
    </row>
    <row r="345" spans="1:7" x14ac:dyDescent="0.25">
      <c r="A345" s="29">
        <v>37951</v>
      </c>
      <c r="B345" s="30">
        <v>39.200000000000003</v>
      </c>
      <c r="C345" s="30">
        <v>41.6</v>
      </c>
      <c r="D345" s="30"/>
      <c r="E345" s="30"/>
      <c r="F345" s="30">
        <v>37.6</v>
      </c>
      <c r="G345" s="30">
        <v>39.799999999999997</v>
      </c>
    </row>
    <row r="346" spans="1:7" x14ac:dyDescent="0.25">
      <c r="A346" s="29">
        <v>37952</v>
      </c>
      <c r="B346" s="30">
        <v>45.2</v>
      </c>
      <c r="C346" s="30">
        <v>47.6</v>
      </c>
      <c r="D346" s="30"/>
      <c r="E346" s="30"/>
      <c r="F346" s="30">
        <v>44.3</v>
      </c>
      <c r="G346" s="30">
        <v>46.1</v>
      </c>
    </row>
    <row r="347" spans="1:7" x14ac:dyDescent="0.25">
      <c r="A347" s="29">
        <v>37953</v>
      </c>
      <c r="B347" s="30">
        <v>53.4</v>
      </c>
      <c r="C347" s="30">
        <v>54.4</v>
      </c>
      <c r="D347" s="30"/>
      <c r="E347" s="30"/>
      <c r="F347" s="30">
        <v>56</v>
      </c>
      <c r="G347" s="30">
        <v>53.8</v>
      </c>
    </row>
    <row r="348" spans="1:7" x14ac:dyDescent="0.25">
      <c r="A348" s="29">
        <v>37954</v>
      </c>
      <c r="B348" s="30">
        <v>47.5</v>
      </c>
      <c r="C348" s="30">
        <v>48.2</v>
      </c>
      <c r="D348" s="30"/>
      <c r="E348" s="30"/>
      <c r="F348" s="30">
        <v>45.8</v>
      </c>
      <c r="G348" s="30">
        <v>46.8</v>
      </c>
    </row>
    <row r="349" spans="1:7" x14ac:dyDescent="0.25">
      <c r="A349" s="29">
        <v>37955</v>
      </c>
      <c r="B349" s="30">
        <v>42.3</v>
      </c>
      <c r="C349" s="30">
        <v>42.6</v>
      </c>
      <c r="D349" s="30"/>
      <c r="E349" s="30"/>
      <c r="F349" s="30">
        <v>41.2</v>
      </c>
      <c r="G349" s="30">
        <v>41.7</v>
      </c>
    </row>
    <row r="350" spans="1:7" x14ac:dyDescent="0.25">
      <c r="A350" s="29">
        <v>37956</v>
      </c>
      <c r="B350" s="30">
        <v>45.7</v>
      </c>
      <c r="C350" s="30">
        <v>47.3</v>
      </c>
      <c r="D350" s="30"/>
      <c r="E350" s="30"/>
      <c r="F350" s="30">
        <v>48.7</v>
      </c>
      <c r="G350" s="30">
        <v>44.6</v>
      </c>
    </row>
    <row r="351" spans="1:7" x14ac:dyDescent="0.25">
      <c r="A351" s="29">
        <v>37957</v>
      </c>
      <c r="B351" s="30">
        <v>34.700000000000003</v>
      </c>
      <c r="C351" s="30">
        <v>35.299999999999997</v>
      </c>
      <c r="D351" s="30"/>
      <c r="E351" s="30"/>
      <c r="F351" s="30">
        <v>36.299999999999997</v>
      </c>
      <c r="G351" s="30">
        <v>33.6</v>
      </c>
    </row>
    <row r="352" spans="1:7" x14ac:dyDescent="0.25">
      <c r="A352" s="29">
        <v>37958</v>
      </c>
      <c r="B352" s="30">
        <v>25.3</v>
      </c>
      <c r="C352" s="30">
        <v>26.5</v>
      </c>
      <c r="D352" s="30"/>
      <c r="E352" s="30"/>
      <c r="F352" s="30">
        <v>26.9</v>
      </c>
      <c r="G352" s="30">
        <v>25.5</v>
      </c>
    </row>
    <row r="353" spans="1:7" x14ac:dyDescent="0.25">
      <c r="A353" s="29">
        <v>37959</v>
      </c>
      <c r="B353" s="30">
        <v>31.7</v>
      </c>
      <c r="C353" s="30">
        <v>33.5</v>
      </c>
      <c r="D353" s="30"/>
      <c r="E353" s="30"/>
      <c r="F353" s="30">
        <v>28.9</v>
      </c>
      <c r="G353" s="30">
        <v>30.4</v>
      </c>
    </row>
    <row r="354" spans="1:7" x14ac:dyDescent="0.25">
      <c r="A354" s="29">
        <v>37960</v>
      </c>
      <c r="B354" s="30">
        <v>32.200000000000003</v>
      </c>
      <c r="C354" s="30">
        <v>33.799999999999997</v>
      </c>
      <c r="D354" s="30"/>
      <c r="E354" s="30"/>
      <c r="F354" s="30">
        <v>36.200000000000003</v>
      </c>
      <c r="G354" s="30">
        <v>30.9</v>
      </c>
    </row>
    <row r="355" spans="1:7" x14ac:dyDescent="0.25">
      <c r="A355" s="29">
        <v>37961</v>
      </c>
      <c r="B355" s="30">
        <v>27.8</v>
      </c>
      <c r="C355" s="30">
        <v>27.8</v>
      </c>
      <c r="D355" s="30"/>
      <c r="E355" s="30"/>
      <c r="F355" s="30">
        <v>33.9</v>
      </c>
      <c r="G355" s="30">
        <v>26</v>
      </c>
    </row>
    <row r="356" spans="1:7" x14ac:dyDescent="0.25">
      <c r="A356" s="29">
        <v>37962</v>
      </c>
      <c r="B356" s="30">
        <v>26.1</v>
      </c>
      <c r="C356" s="30">
        <v>27.9</v>
      </c>
      <c r="D356" s="30"/>
      <c r="E356" s="30"/>
      <c r="F356" s="30">
        <v>28.3</v>
      </c>
      <c r="G356" s="30">
        <v>26.2</v>
      </c>
    </row>
    <row r="357" spans="1:7" x14ac:dyDescent="0.25">
      <c r="A357" s="29">
        <v>37963</v>
      </c>
      <c r="B357" s="30">
        <v>27.5</v>
      </c>
      <c r="C357" s="30">
        <v>29.8</v>
      </c>
      <c r="D357" s="30"/>
      <c r="E357" s="30"/>
      <c r="F357" s="30">
        <v>27.8</v>
      </c>
      <c r="G357" s="30">
        <v>27.8</v>
      </c>
    </row>
    <row r="358" spans="1:7" x14ac:dyDescent="0.25">
      <c r="A358" s="29">
        <v>37964</v>
      </c>
      <c r="B358" s="30">
        <v>32.6</v>
      </c>
      <c r="C358" s="30">
        <v>34.4</v>
      </c>
      <c r="D358" s="30"/>
      <c r="E358" s="30"/>
      <c r="F358" s="30">
        <v>30.9</v>
      </c>
      <c r="G358" s="30">
        <v>32.5</v>
      </c>
    </row>
    <row r="359" spans="1:7" x14ac:dyDescent="0.25">
      <c r="A359" s="29">
        <v>37965</v>
      </c>
      <c r="B359" s="30">
        <v>38.799999999999997</v>
      </c>
      <c r="C359" s="30">
        <v>40.5</v>
      </c>
      <c r="D359" s="30"/>
      <c r="E359" s="30"/>
      <c r="F359" s="30">
        <v>38.799999999999997</v>
      </c>
      <c r="G359" s="30">
        <v>38.6</v>
      </c>
    </row>
    <row r="360" spans="1:7" x14ac:dyDescent="0.25">
      <c r="A360" s="29">
        <v>37966</v>
      </c>
      <c r="B360" s="30">
        <v>52</v>
      </c>
      <c r="C360" s="30">
        <v>53.7</v>
      </c>
      <c r="D360" s="30"/>
      <c r="E360" s="30"/>
      <c r="F360" s="30">
        <v>54.6</v>
      </c>
      <c r="G360" s="30">
        <v>52.5</v>
      </c>
    </row>
    <row r="361" spans="1:7" x14ac:dyDescent="0.25">
      <c r="A361" s="29">
        <v>37967</v>
      </c>
      <c r="B361" s="30">
        <v>40.700000000000003</v>
      </c>
      <c r="C361" s="30">
        <v>40.799999999999997</v>
      </c>
      <c r="D361" s="30"/>
      <c r="E361" s="30"/>
      <c r="F361" s="30">
        <v>38.799999999999997</v>
      </c>
      <c r="G361" s="30">
        <v>40.1</v>
      </c>
    </row>
    <row r="362" spans="1:7" x14ac:dyDescent="0.25">
      <c r="A362" s="29">
        <v>37968</v>
      </c>
      <c r="B362" s="30">
        <v>33.299999999999997</v>
      </c>
      <c r="C362" s="30">
        <v>33.6</v>
      </c>
      <c r="D362" s="30"/>
      <c r="E362" s="30"/>
      <c r="F362" s="30">
        <v>30.5</v>
      </c>
      <c r="G362" s="30">
        <v>32.200000000000003</v>
      </c>
    </row>
    <row r="363" spans="1:7" x14ac:dyDescent="0.25">
      <c r="A363" s="29">
        <v>37969</v>
      </c>
      <c r="B363" s="30">
        <v>31</v>
      </c>
      <c r="C363" s="30">
        <v>30.8</v>
      </c>
      <c r="D363" s="30"/>
      <c r="E363" s="30"/>
      <c r="F363" s="30">
        <v>38.200000000000003</v>
      </c>
      <c r="G363" s="30">
        <v>30.4</v>
      </c>
    </row>
    <row r="364" spans="1:7" x14ac:dyDescent="0.25">
      <c r="A364" s="29">
        <v>37970</v>
      </c>
      <c r="B364" s="30">
        <v>37.9</v>
      </c>
      <c r="C364" s="30">
        <v>36.700000000000003</v>
      </c>
      <c r="D364" s="30"/>
      <c r="E364" s="30"/>
      <c r="F364" s="30">
        <v>40.700000000000003</v>
      </c>
      <c r="G364" s="30">
        <v>35.1</v>
      </c>
    </row>
    <row r="365" spans="1:7" x14ac:dyDescent="0.25">
      <c r="A365" s="29">
        <v>37971</v>
      </c>
      <c r="B365" s="30">
        <v>36.4</v>
      </c>
      <c r="C365" s="30">
        <v>38.1</v>
      </c>
      <c r="D365" s="30"/>
      <c r="E365" s="30"/>
      <c r="F365" s="30">
        <v>37.1</v>
      </c>
      <c r="G365" s="30">
        <v>36.1</v>
      </c>
    </row>
    <row r="366" spans="1:7" x14ac:dyDescent="0.25">
      <c r="A366" s="29">
        <v>37972</v>
      </c>
      <c r="B366" s="30">
        <v>47.4</v>
      </c>
      <c r="C366" s="30">
        <v>47.5</v>
      </c>
      <c r="D366" s="30"/>
      <c r="E366" s="30"/>
      <c r="F366" s="30">
        <v>50.6</v>
      </c>
      <c r="G366" s="30">
        <v>42.8</v>
      </c>
    </row>
    <row r="367" spans="1:7" x14ac:dyDescent="0.25">
      <c r="A367" s="29">
        <v>37973</v>
      </c>
      <c r="B367" s="30">
        <v>35.200000000000003</v>
      </c>
      <c r="C367" s="30">
        <v>35.700000000000003</v>
      </c>
      <c r="D367" s="30"/>
      <c r="E367" s="30"/>
      <c r="F367" s="30">
        <v>33.4</v>
      </c>
      <c r="G367" s="30">
        <v>34.299999999999997</v>
      </c>
    </row>
    <row r="368" spans="1:7" x14ac:dyDescent="0.25">
      <c r="A368" s="29">
        <v>37974</v>
      </c>
      <c r="B368" s="30">
        <v>33</v>
      </c>
      <c r="C368" s="30">
        <v>33.9</v>
      </c>
      <c r="D368" s="30"/>
      <c r="E368" s="30"/>
      <c r="F368" s="30">
        <v>30.6</v>
      </c>
      <c r="G368" s="30">
        <v>32.200000000000003</v>
      </c>
    </row>
    <row r="369" spans="1:7" x14ac:dyDescent="0.25">
      <c r="A369" s="29">
        <v>37975</v>
      </c>
      <c r="B369" s="30">
        <v>34.200000000000003</v>
      </c>
      <c r="C369" s="30">
        <v>35</v>
      </c>
      <c r="D369" s="30"/>
      <c r="E369" s="30"/>
      <c r="F369" s="30">
        <v>31.7</v>
      </c>
      <c r="G369" s="30">
        <v>32.6</v>
      </c>
    </row>
    <row r="370" spans="1:7" x14ac:dyDescent="0.25">
      <c r="A370" s="29">
        <v>37976</v>
      </c>
      <c r="B370" s="30">
        <v>30.9</v>
      </c>
      <c r="C370" s="30">
        <v>31.6</v>
      </c>
      <c r="D370" s="30"/>
      <c r="E370" s="30"/>
      <c r="F370" s="30">
        <v>30.6</v>
      </c>
      <c r="G370" s="30">
        <v>30.5</v>
      </c>
    </row>
    <row r="371" spans="1:7" x14ac:dyDescent="0.25">
      <c r="A371" s="29">
        <v>37977</v>
      </c>
      <c r="B371" s="30">
        <v>38.9</v>
      </c>
      <c r="C371" s="30">
        <v>41.5</v>
      </c>
      <c r="D371" s="30"/>
      <c r="E371" s="30"/>
      <c r="F371" s="30">
        <v>42</v>
      </c>
      <c r="G371" s="30">
        <v>38.6</v>
      </c>
    </row>
    <row r="372" spans="1:7" x14ac:dyDescent="0.25">
      <c r="A372" s="29">
        <v>37978</v>
      </c>
      <c r="B372" s="30">
        <v>44.7</v>
      </c>
      <c r="C372" s="30">
        <v>48.8</v>
      </c>
      <c r="D372" s="30"/>
      <c r="E372" s="30"/>
      <c r="F372" s="30">
        <v>49.1</v>
      </c>
      <c r="G372" s="30">
        <v>47.1</v>
      </c>
    </row>
    <row r="373" spans="1:7" x14ac:dyDescent="0.25">
      <c r="A373" s="29">
        <v>37979</v>
      </c>
      <c r="B373" s="30">
        <v>50.2</v>
      </c>
      <c r="C373" s="30">
        <v>52</v>
      </c>
      <c r="D373" s="30"/>
      <c r="E373" s="30"/>
      <c r="F373" s="30">
        <v>53.3</v>
      </c>
      <c r="G373" s="30">
        <v>51.1</v>
      </c>
    </row>
    <row r="374" spans="1:7" x14ac:dyDescent="0.25">
      <c r="A374" s="29">
        <v>37980</v>
      </c>
      <c r="B374" s="30">
        <v>42.9</v>
      </c>
      <c r="C374" s="30">
        <v>44.3</v>
      </c>
      <c r="D374" s="30"/>
      <c r="E374" s="30"/>
      <c r="F374" s="30">
        <v>38.9</v>
      </c>
      <c r="G374" s="30">
        <v>42.2</v>
      </c>
    </row>
    <row r="375" spans="1:7" x14ac:dyDescent="0.25">
      <c r="A375" s="29">
        <v>37981</v>
      </c>
      <c r="B375" s="30">
        <v>35.799999999999997</v>
      </c>
      <c r="C375" s="30">
        <v>36.6</v>
      </c>
      <c r="D375" s="30"/>
      <c r="E375" s="30"/>
      <c r="F375" s="30">
        <v>34.6</v>
      </c>
      <c r="G375" s="30">
        <v>35.1</v>
      </c>
    </row>
    <row r="376" spans="1:7" x14ac:dyDescent="0.25">
      <c r="A376" s="29">
        <v>37982</v>
      </c>
      <c r="B376" s="30">
        <v>43.1</v>
      </c>
      <c r="C376" s="30">
        <v>43.6</v>
      </c>
      <c r="D376" s="30"/>
      <c r="E376" s="30"/>
      <c r="F376" s="30">
        <v>38.700000000000003</v>
      </c>
      <c r="G376" s="30">
        <v>42.8</v>
      </c>
    </row>
    <row r="377" spans="1:7" x14ac:dyDescent="0.25">
      <c r="A377" s="29">
        <v>37983</v>
      </c>
      <c r="B377" s="30">
        <v>39.299999999999997</v>
      </c>
      <c r="C377" s="30">
        <v>42.4</v>
      </c>
      <c r="D377" s="30"/>
      <c r="E377" s="30"/>
      <c r="F377" s="30">
        <v>36.299999999999997</v>
      </c>
      <c r="G377" s="30">
        <v>40.200000000000003</v>
      </c>
    </row>
    <row r="378" spans="1:7" x14ac:dyDescent="0.25">
      <c r="A378" s="29">
        <v>37984</v>
      </c>
      <c r="B378" s="30">
        <v>38.799999999999997</v>
      </c>
      <c r="C378" s="30">
        <v>44.1</v>
      </c>
      <c r="D378" s="30"/>
      <c r="E378" s="30"/>
      <c r="F378" s="30">
        <v>38.4</v>
      </c>
      <c r="G378" s="30">
        <v>41.3</v>
      </c>
    </row>
    <row r="379" spans="1:7" x14ac:dyDescent="0.25">
      <c r="A379" s="29">
        <v>37985</v>
      </c>
      <c r="B379" s="30">
        <v>45.4</v>
      </c>
      <c r="C379" s="30">
        <v>47.4</v>
      </c>
      <c r="D379" s="30"/>
      <c r="E379" s="30"/>
      <c r="F379" s="30">
        <v>49.3</v>
      </c>
      <c r="G379" s="30">
        <v>45.1</v>
      </c>
    </row>
    <row r="380" spans="1:7" x14ac:dyDescent="0.25">
      <c r="A380" s="29">
        <v>37986</v>
      </c>
      <c r="B380" s="30">
        <v>40.299999999999997</v>
      </c>
      <c r="C380" s="30">
        <v>41.8</v>
      </c>
      <c r="D380" s="30"/>
      <c r="E380" s="30"/>
      <c r="F380" s="30">
        <v>38.200000000000003</v>
      </c>
      <c r="G380" s="30">
        <v>39.4</v>
      </c>
    </row>
    <row r="381" spans="1:7" x14ac:dyDescent="0.25">
      <c r="A381" s="29">
        <v>37987</v>
      </c>
      <c r="B381" s="30">
        <v>40.9</v>
      </c>
      <c r="C381" s="30">
        <v>42.7</v>
      </c>
      <c r="D381" s="30"/>
      <c r="E381" s="30"/>
      <c r="F381" s="30">
        <v>41.9</v>
      </c>
      <c r="G381" s="30">
        <v>40.299999999999997</v>
      </c>
    </row>
    <row r="382" spans="1:7" x14ac:dyDescent="0.25">
      <c r="A382" s="29">
        <v>37988</v>
      </c>
      <c r="B382" s="30">
        <v>41.5</v>
      </c>
      <c r="C382" s="30">
        <v>43.2</v>
      </c>
      <c r="D382" s="30"/>
      <c r="E382" s="30"/>
      <c r="F382" s="30">
        <v>40.4</v>
      </c>
      <c r="G382" s="30">
        <v>42</v>
      </c>
    </row>
    <row r="383" spans="1:7" x14ac:dyDescent="0.25">
      <c r="A383" s="29">
        <v>37989</v>
      </c>
      <c r="B383" s="30">
        <v>44.8</v>
      </c>
      <c r="C383" s="30">
        <v>47.3</v>
      </c>
      <c r="D383" s="30"/>
      <c r="E383" s="30"/>
      <c r="F383" s="30">
        <v>50.6</v>
      </c>
      <c r="G383" s="30">
        <v>46.8</v>
      </c>
    </row>
    <row r="384" spans="1:7" x14ac:dyDescent="0.25">
      <c r="A384" s="29">
        <v>37990</v>
      </c>
      <c r="B384" s="30">
        <v>47.5</v>
      </c>
      <c r="C384" s="30">
        <v>51.3</v>
      </c>
      <c r="D384" s="30"/>
      <c r="E384" s="30"/>
      <c r="F384" s="30">
        <v>55.1</v>
      </c>
      <c r="G384" s="30">
        <v>49.9</v>
      </c>
    </row>
    <row r="385" spans="1:7" x14ac:dyDescent="0.25">
      <c r="A385" s="29">
        <v>37991</v>
      </c>
      <c r="B385" s="30">
        <v>38.299999999999997</v>
      </c>
      <c r="C385" s="30">
        <v>38.4</v>
      </c>
      <c r="D385" s="30"/>
      <c r="E385" s="30"/>
      <c r="F385" s="30">
        <v>45</v>
      </c>
      <c r="G385" s="30">
        <v>38.4</v>
      </c>
    </row>
    <row r="386" spans="1:7" x14ac:dyDescent="0.25">
      <c r="A386" s="29">
        <v>37992</v>
      </c>
      <c r="B386" s="30">
        <v>37</v>
      </c>
      <c r="C386" s="30">
        <v>37.200000000000003</v>
      </c>
      <c r="D386" s="30"/>
      <c r="E386" s="30"/>
      <c r="F386" s="30">
        <v>38.5</v>
      </c>
      <c r="G386" s="30">
        <v>36.6</v>
      </c>
    </row>
    <row r="387" spans="1:7" x14ac:dyDescent="0.25">
      <c r="A387" s="29">
        <v>37993</v>
      </c>
      <c r="B387" s="30">
        <v>23.6</v>
      </c>
      <c r="C387" s="30">
        <v>23.8</v>
      </c>
      <c r="D387" s="30"/>
      <c r="E387" s="30"/>
      <c r="F387" s="30">
        <v>23.7</v>
      </c>
      <c r="G387" s="30">
        <v>22.6</v>
      </c>
    </row>
    <row r="388" spans="1:7" x14ac:dyDescent="0.25">
      <c r="A388" s="29">
        <v>37994</v>
      </c>
      <c r="B388" s="30">
        <v>25.1</v>
      </c>
      <c r="C388" s="30">
        <v>25.2</v>
      </c>
      <c r="D388" s="30"/>
      <c r="E388" s="30"/>
      <c r="F388" s="30">
        <v>25.5</v>
      </c>
      <c r="G388" s="30">
        <v>24.4</v>
      </c>
    </row>
    <row r="389" spans="1:7" x14ac:dyDescent="0.25">
      <c r="A389" s="29">
        <v>37995</v>
      </c>
      <c r="B389" s="30">
        <v>21.8</v>
      </c>
      <c r="C389" s="30">
        <v>21.6</v>
      </c>
      <c r="D389" s="30"/>
      <c r="E389" s="30"/>
      <c r="F389" s="30">
        <v>27.5</v>
      </c>
      <c r="G389" s="30">
        <v>22</v>
      </c>
    </row>
    <row r="390" spans="1:7" x14ac:dyDescent="0.25">
      <c r="A390" s="29">
        <v>37996</v>
      </c>
      <c r="B390" s="30">
        <v>7.7</v>
      </c>
      <c r="C390" s="30">
        <v>8.4</v>
      </c>
      <c r="D390" s="30"/>
      <c r="E390" s="30"/>
      <c r="F390" s="30">
        <v>10.4</v>
      </c>
      <c r="G390" s="30">
        <v>8</v>
      </c>
    </row>
    <row r="391" spans="1:7" x14ac:dyDescent="0.25">
      <c r="A391" s="29">
        <v>37997</v>
      </c>
      <c r="B391" s="30">
        <v>13.6</v>
      </c>
      <c r="C391" s="30">
        <v>14.3</v>
      </c>
      <c r="D391" s="30"/>
      <c r="E391" s="30"/>
      <c r="F391" s="30">
        <v>14</v>
      </c>
      <c r="G391" s="30">
        <v>13.5</v>
      </c>
    </row>
    <row r="392" spans="1:7" x14ac:dyDescent="0.25">
      <c r="A392" s="29">
        <v>37998</v>
      </c>
      <c r="B392" s="30">
        <v>30.2</v>
      </c>
      <c r="C392" s="30">
        <v>30.7</v>
      </c>
      <c r="D392" s="30"/>
      <c r="E392" s="30"/>
      <c r="F392" s="30">
        <v>33.299999999999997</v>
      </c>
      <c r="G392" s="30">
        <v>29.7</v>
      </c>
    </row>
    <row r="393" spans="1:7" x14ac:dyDescent="0.25">
      <c r="A393" s="29">
        <v>37999</v>
      </c>
      <c r="B393" s="30">
        <v>36.299999999999997</v>
      </c>
      <c r="C393" s="30">
        <v>38.299999999999997</v>
      </c>
      <c r="D393" s="30"/>
      <c r="E393" s="30"/>
      <c r="F393" s="30">
        <v>39.5</v>
      </c>
      <c r="G393" s="30">
        <v>36.6</v>
      </c>
    </row>
    <row r="394" spans="1:7" x14ac:dyDescent="0.25">
      <c r="A394" s="29">
        <v>38000</v>
      </c>
      <c r="B394" s="30">
        <v>15.6</v>
      </c>
      <c r="C394" s="30">
        <v>15.6</v>
      </c>
      <c r="D394" s="30"/>
      <c r="E394" s="30"/>
      <c r="F394" s="30">
        <v>22</v>
      </c>
      <c r="G394" s="30">
        <v>15.6</v>
      </c>
    </row>
    <row r="395" spans="1:7" x14ac:dyDescent="0.25">
      <c r="A395" s="29">
        <v>38001</v>
      </c>
      <c r="B395" s="30">
        <v>12.4</v>
      </c>
      <c r="C395" s="30">
        <v>13.2</v>
      </c>
      <c r="D395" s="30"/>
      <c r="E395" s="30"/>
      <c r="F395" s="30">
        <v>22.2</v>
      </c>
      <c r="G395" s="30">
        <v>12.4</v>
      </c>
    </row>
    <row r="396" spans="1:7" x14ac:dyDescent="0.25">
      <c r="A396" s="29">
        <v>38002</v>
      </c>
      <c r="B396" s="30">
        <v>10.1</v>
      </c>
      <c r="C396" s="30">
        <v>12</v>
      </c>
      <c r="D396" s="30"/>
      <c r="E396" s="30"/>
      <c r="F396" s="30">
        <v>14.2</v>
      </c>
      <c r="G396" s="30">
        <v>10.199999999999999</v>
      </c>
    </row>
    <row r="397" spans="1:7" x14ac:dyDescent="0.25">
      <c r="A397" s="29">
        <v>38003</v>
      </c>
      <c r="B397" s="30">
        <v>24.2</v>
      </c>
      <c r="C397" s="30">
        <v>25.1</v>
      </c>
      <c r="D397" s="30"/>
      <c r="E397" s="30"/>
      <c r="F397" s="30">
        <v>24.1</v>
      </c>
      <c r="G397" s="30">
        <v>23.5</v>
      </c>
    </row>
    <row r="398" spans="1:7" x14ac:dyDescent="0.25">
      <c r="A398" s="29">
        <v>38004</v>
      </c>
      <c r="B398" s="30">
        <v>31.4</v>
      </c>
      <c r="C398" s="30">
        <v>32.5</v>
      </c>
      <c r="D398" s="30"/>
      <c r="E398" s="30"/>
      <c r="F398" s="30">
        <v>33.299999999999997</v>
      </c>
      <c r="G398" s="30">
        <v>30.3</v>
      </c>
    </row>
    <row r="399" spans="1:7" x14ac:dyDescent="0.25">
      <c r="A399" s="29">
        <v>38005</v>
      </c>
      <c r="B399" s="30">
        <v>26</v>
      </c>
      <c r="C399" s="30">
        <v>26.6</v>
      </c>
      <c r="D399" s="30"/>
      <c r="E399" s="30"/>
      <c r="F399" s="30">
        <v>27.9</v>
      </c>
      <c r="G399" s="30">
        <v>25</v>
      </c>
    </row>
    <row r="400" spans="1:7" x14ac:dyDescent="0.25">
      <c r="A400" s="29">
        <v>38006</v>
      </c>
      <c r="B400" s="30">
        <v>22.6</v>
      </c>
      <c r="C400" s="30">
        <v>22.6</v>
      </c>
      <c r="D400" s="30"/>
      <c r="E400" s="30"/>
      <c r="F400" s="30">
        <v>24.4</v>
      </c>
      <c r="G400" s="30">
        <v>22</v>
      </c>
    </row>
    <row r="401" spans="1:7" x14ac:dyDescent="0.25">
      <c r="A401" s="29">
        <v>38007</v>
      </c>
      <c r="B401" s="30">
        <v>20.8</v>
      </c>
      <c r="C401" s="30">
        <v>21.8</v>
      </c>
      <c r="D401" s="30"/>
      <c r="E401" s="30"/>
      <c r="F401" s="30">
        <v>22.8</v>
      </c>
      <c r="G401" s="30">
        <v>20.3</v>
      </c>
    </row>
    <row r="402" spans="1:7" x14ac:dyDescent="0.25">
      <c r="A402" s="29">
        <v>38008</v>
      </c>
      <c r="B402" s="30">
        <v>27.9</v>
      </c>
      <c r="C402" s="30">
        <v>28.8</v>
      </c>
      <c r="D402" s="30"/>
      <c r="E402" s="30"/>
      <c r="F402" s="30">
        <v>28.8</v>
      </c>
      <c r="G402" s="30">
        <v>26.7</v>
      </c>
    </row>
    <row r="403" spans="1:7" x14ac:dyDescent="0.25">
      <c r="A403" s="29">
        <v>38009</v>
      </c>
      <c r="B403" s="30">
        <v>19.399999999999999</v>
      </c>
      <c r="C403" s="30">
        <v>20.100000000000001</v>
      </c>
      <c r="D403" s="30"/>
      <c r="E403" s="30"/>
      <c r="F403" s="30">
        <v>20.5</v>
      </c>
      <c r="G403" s="30">
        <v>17.899999999999999</v>
      </c>
    </row>
    <row r="404" spans="1:7" x14ac:dyDescent="0.25">
      <c r="A404" s="29">
        <v>38010</v>
      </c>
      <c r="B404" s="30">
        <v>17.3</v>
      </c>
      <c r="C404" s="30">
        <v>17.5</v>
      </c>
      <c r="D404" s="30"/>
      <c r="E404" s="30"/>
      <c r="F404" s="30">
        <v>17.100000000000001</v>
      </c>
      <c r="G404" s="30">
        <v>16.100000000000001</v>
      </c>
    </row>
    <row r="405" spans="1:7" x14ac:dyDescent="0.25">
      <c r="A405" s="29">
        <v>38011</v>
      </c>
      <c r="B405" s="30">
        <v>12.7</v>
      </c>
      <c r="C405" s="30">
        <v>13.3</v>
      </c>
      <c r="D405" s="30"/>
      <c r="E405" s="30"/>
      <c r="F405" s="30">
        <v>14.3</v>
      </c>
      <c r="G405" s="30">
        <v>11.9</v>
      </c>
    </row>
    <row r="406" spans="1:7" x14ac:dyDescent="0.25">
      <c r="A406" s="29">
        <v>38012</v>
      </c>
      <c r="B406" s="30">
        <v>18</v>
      </c>
      <c r="C406" s="30">
        <v>18.3</v>
      </c>
      <c r="D406" s="30"/>
      <c r="E406" s="30"/>
      <c r="F406" s="30">
        <v>20.399999999999999</v>
      </c>
      <c r="G406" s="30">
        <v>17.100000000000001</v>
      </c>
    </row>
    <row r="407" spans="1:7" x14ac:dyDescent="0.25">
      <c r="A407" s="29">
        <v>38013</v>
      </c>
      <c r="B407" s="30">
        <v>21.5</v>
      </c>
      <c r="C407" s="30">
        <v>21.5</v>
      </c>
      <c r="D407" s="30"/>
      <c r="E407" s="30"/>
      <c r="F407" s="30">
        <v>31.4</v>
      </c>
      <c r="G407" s="30">
        <v>20.399999999999999</v>
      </c>
    </row>
    <row r="408" spans="1:7" x14ac:dyDescent="0.25">
      <c r="A408" s="29">
        <v>38014</v>
      </c>
      <c r="B408" s="30">
        <v>23.9</v>
      </c>
      <c r="C408" s="30">
        <v>24.4</v>
      </c>
      <c r="D408" s="30"/>
      <c r="E408" s="30"/>
      <c r="F408" s="30">
        <v>27.4</v>
      </c>
      <c r="G408" s="30">
        <v>23.4</v>
      </c>
    </row>
    <row r="409" spans="1:7" x14ac:dyDescent="0.25">
      <c r="A409" s="29">
        <v>38015</v>
      </c>
      <c r="B409" s="30">
        <v>23.9</v>
      </c>
      <c r="C409" s="30">
        <v>25.2</v>
      </c>
      <c r="D409" s="30"/>
      <c r="E409" s="30"/>
      <c r="F409" s="30">
        <v>25.3</v>
      </c>
      <c r="G409" s="30">
        <v>22.7</v>
      </c>
    </row>
    <row r="410" spans="1:7" x14ac:dyDescent="0.25">
      <c r="A410" s="29">
        <v>38016</v>
      </c>
      <c r="B410" s="30">
        <v>19.399999999999999</v>
      </c>
      <c r="C410" s="30">
        <v>20</v>
      </c>
      <c r="D410" s="30"/>
      <c r="E410" s="30"/>
      <c r="F410" s="30">
        <v>21.6</v>
      </c>
      <c r="G410" s="30">
        <v>18.3</v>
      </c>
    </row>
    <row r="411" spans="1:7" x14ac:dyDescent="0.25">
      <c r="A411" s="29">
        <v>38017</v>
      </c>
      <c r="B411" s="30">
        <v>20.7</v>
      </c>
      <c r="C411" s="30">
        <v>21.7</v>
      </c>
      <c r="D411" s="30"/>
      <c r="E411" s="30"/>
      <c r="F411" s="30">
        <v>17.899999999999999</v>
      </c>
      <c r="G411" s="30">
        <v>19.8</v>
      </c>
    </row>
    <row r="412" spans="1:7" x14ac:dyDescent="0.25">
      <c r="A412" s="29">
        <v>38018</v>
      </c>
      <c r="B412" s="30">
        <v>25.6</v>
      </c>
      <c r="C412" s="30">
        <v>27.1</v>
      </c>
      <c r="D412" s="30"/>
      <c r="E412" s="30"/>
      <c r="F412" s="30">
        <v>21.5</v>
      </c>
      <c r="G412" s="30">
        <v>25.1</v>
      </c>
    </row>
    <row r="413" spans="1:7" x14ac:dyDescent="0.25">
      <c r="A413" s="29">
        <v>38019</v>
      </c>
      <c r="B413" s="30">
        <v>27.8</v>
      </c>
      <c r="C413" s="30">
        <v>29.8</v>
      </c>
      <c r="D413" s="30"/>
      <c r="E413" s="30"/>
      <c r="F413" s="30">
        <v>24.7</v>
      </c>
      <c r="G413" s="30">
        <v>26.7</v>
      </c>
    </row>
    <row r="414" spans="1:7" x14ac:dyDescent="0.25">
      <c r="A414" s="29">
        <v>38020</v>
      </c>
      <c r="B414" s="30">
        <v>31.6</v>
      </c>
      <c r="C414" s="30">
        <v>31.4</v>
      </c>
      <c r="D414" s="30"/>
      <c r="E414" s="30"/>
      <c r="F414" s="30">
        <v>33.799999999999997</v>
      </c>
      <c r="G414" s="30">
        <v>32.4</v>
      </c>
    </row>
    <row r="415" spans="1:7" x14ac:dyDescent="0.25">
      <c r="A415" s="29">
        <v>38021</v>
      </c>
      <c r="B415" s="30">
        <v>38.9</v>
      </c>
      <c r="C415" s="30">
        <v>38.9</v>
      </c>
      <c r="D415" s="30"/>
      <c r="E415" s="30"/>
      <c r="F415" s="30">
        <v>37.6</v>
      </c>
      <c r="G415" s="30">
        <v>38.799999999999997</v>
      </c>
    </row>
    <row r="416" spans="1:7" x14ac:dyDescent="0.25">
      <c r="A416" s="29">
        <v>38022</v>
      </c>
      <c r="B416" s="30">
        <v>32.1</v>
      </c>
      <c r="C416" s="30">
        <v>32</v>
      </c>
      <c r="D416" s="30"/>
      <c r="E416" s="30"/>
      <c r="F416" s="30">
        <v>29.8</v>
      </c>
      <c r="G416" s="30">
        <v>31.5</v>
      </c>
    </row>
    <row r="417" spans="1:7" x14ac:dyDescent="0.25">
      <c r="A417" s="29">
        <v>38023</v>
      </c>
      <c r="B417" s="30">
        <v>34.4</v>
      </c>
      <c r="C417" s="30">
        <v>32.4</v>
      </c>
      <c r="D417" s="30"/>
      <c r="E417" s="30"/>
      <c r="F417" s="30">
        <v>37.200000000000003</v>
      </c>
      <c r="G417" s="30">
        <v>33.799999999999997</v>
      </c>
    </row>
    <row r="418" spans="1:7" x14ac:dyDescent="0.25">
      <c r="A418" s="29">
        <v>38024</v>
      </c>
      <c r="B418" s="30">
        <v>38.6</v>
      </c>
      <c r="C418" s="30">
        <v>38.200000000000003</v>
      </c>
      <c r="D418" s="30"/>
      <c r="E418" s="30"/>
      <c r="F418" s="30">
        <v>41.1</v>
      </c>
      <c r="G418" s="30">
        <v>38.200000000000003</v>
      </c>
    </row>
    <row r="419" spans="1:7" x14ac:dyDescent="0.25">
      <c r="A419" s="29">
        <v>38025</v>
      </c>
      <c r="B419" s="30">
        <v>27.5</v>
      </c>
      <c r="C419" s="30">
        <v>27.5</v>
      </c>
      <c r="D419" s="30"/>
      <c r="E419" s="30"/>
      <c r="F419" s="30">
        <v>29.6</v>
      </c>
      <c r="G419" s="30">
        <v>27.3</v>
      </c>
    </row>
    <row r="420" spans="1:7" x14ac:dyDescent="0.25">
      <c r="A420" s="29">
        <v>38026</v>
      </c>
      <c r="B420" s="30">
        <v>31.7</v>
      </c>
      <c r="C420" s="30">
        <v>33.799999999999997</v>
      </c>
      <c r="D420" s="30"/>
      <c r="E420" s="30"/>
      <c r="F420" s="30">
        <v>31.4</v>
      </c>
      <c r="G420" s="30">
        <v>31.9</v>
      </c>
    </row>
    <row r="421" spans="1:7" x14ac:dyDescent="0.25">
      <c r="A421" s="29">
        <v>38027</v>
      </c>
      <c r="B421" s="30">
        <v>39.1</v>
      </c>
      <c r="C421" s="30">
        <v>42.9</v>
      </c>
      <c r="D421" s="30"/>
      <c r="E421" s="30"/>
      <c r="F421" s="30">
        <v>42.1</v>
      </c>
      <c r="G421" s="30">
        <v>41.9</v>
      </c>
    </row>
    <row r="422" spans="1:7" x14ac:dyDescent="0.25">
      <c r="A422" s="29">
        <v>38028</v>
      </c>
      <c r="B422" s="30">
        <v>37.700000000000003</v>
      </c>
      <c r="C422" s="30">
        <v>38.6</v>
      </c>
      <c r="D422" s="30"/>
      <c r="E422" s="30"/>
      <c r="F422" s="30">
        <v>35.200000000000003</v>
      </c>
      <c r="G422" s="30">
        <v>38.299999999999997</v>
      </c>
    </row>
    <row r="423" spans="1:7" x14ac:dyDescent="0.25">
      <c r="A423" s="29">
        <v>38029</v>
      </c>
      <c r="B423" s="30">
        <v>31.6</v>
      </c>
      <c r="C423" s="30">
        <v>33.1</v>
      </c>
      <c r="D423" s="30"/>
      <c r="E423" s="30"/>
      <c r="F423" s="30">
        <v>30.9</v>
      </c>
      <c r="G423" s="30">
        <v>32.799999999999997</v>
      </c>
    </row>
    <row r="424" spans="1:7" x14ac:dyDescent="0.25">
      <c r="A424" s="29">
        <v>38030</v>
      </c>
      <c r="B424" s="30">
        <v>36.200000000000003</v>
      </c>
      <c r="C424" s="30">
        <v>38</v>
      </c>
      <c r="D424" s="30"/>
      <c r="E424" s="30"/>
      <c r="F424" s="30">
        <v>36.200000000000003</v>
      </c>
      <c r="G424" s="30">
        <v>36.700000000000003</v>
      </c>
    </row>
    <row r="425" spans="1:7" x14ac:dyDescent="0.25">
      <c r="A425" s="29">
        <v>38031</v>
      </c>
      <c r="B425" s="30">
        <v>37</v>
      </c>
      <c r="C425" s="30">
        <v>37.9</v>
      </c>
      <c r="D425" s="30"/>
      <c r="E425" s="30"/>
      <c r="F425" s="30">
        <v>37.200000000000003</v>
      </c>
      <c r="G425" s="30">
        <v>36.5</v>
      </c>
    </row>
    <row r="426" spans="1:7" x14ac:dyDescent="0.25">
      <c r="A426" s="29">
        <v>38032</v>
      </c>
      <c r="B426" s="30">
        <v>30.4</v>
      </c>
      <c r="C426" s="30">
        <v>29.9</v>
      </c>
      <c r="D426" s="30"/>
      <c r="E426" s="30"/>
      <c r="F426" s="30">
        <v>30.6</v>
      </c>
      <c r="G426" s="30">
        <v>29.6</v>
      </c>
    </row>
    <row r="427" spans="1:7" x14ac:dyDescent="0.25">
      <c r="A427" s="29">
        <v>38033</v>
      </c>
      <c r="B427" s="30">
        <v>21.7</v>
      </c>
      <c r="C427" s="30">
        <v>21.8</v>
      </c>
      <c r="D427" s="30"/>
      <c r="E427" s="30"/>
      <c r="F427" s="30">
        <v>22.9</v>
      </c>
      <c r="G427" s="30">
        <v>21.6</v>
      </c>
    </row>
    <row r="428" spans="1:7" x14ac:dyDescent="0.25">
      <c r="A428" s="29">
        <v>38034</v>
      </c>
      <c r="B428" s="30">
        <v>27.2</v>
      </c>
      <c r="C428" s="30">
        <v>26.9</v>
      </c>
      <c r="D428" s="30"/>
      <c r="E428" s="30"/>
      <c r="F428" s="30">
        <v>25</v>
      </c>
      <c r="G428" s="30">
        <v>26.8</v>
      </c>
    </row>
    <row r="429" spans="1:7" x14ac:dyDescent="0.25">
      <c r="A429" s="29">
        <v>38035</v>
      </c>
      <c r="B429" s="30">
        <v>33.6</v>
      </c>
      <c r="C429" s="30">
        <v>33.4</v>
      </c>
      <c r="D429" s="30"/>
      <c r="E429" s="30"/>
      <c r="F429" s="30">
        <v>33</v>
      </c>
      <c r="G429" s="30">
        <v>34.200000000000003</v>
      </c>
    </row>
    <row r="430" spans="1:7" x14ac:dyDescent="0.25">
      <c r="A430" s="29">
        <v>38036</v>
      </c>
      <c r="B430" s="30">
        <v>36.1</v>
      </c>
      <c r="C430" s="30">
        <v>36.299999999999997</v>
      </c>
      <c r="D430" s="30"/>
      <c r="E430" s="30"/>
      <c r="F430" s="30">
        <v>36.5</v>
      </c>
      <c r="G430" s="30">
        <v>37.1</v>
      </c>
    </row>
    <row r="431" spans="1:7" x14ac:dyDescent="0.25">
      <c r="A431" s="29">
        <v>38037</v>
      </c>
      <c r="B431" s="30">
        <v>35.299999999999997</v>
      </c>
      <c r="C431" s="30">
        <v>37</v>
      </c>
      <c r="D431" s="30"/>
      <c r="E431" s="30"/>
      <c r="F431" s="30">
        <v>34.4</v>
      </c>
      <c r="G431" s="30">
        <v>36.799999999999997</v>
      </c>
    </row>
    <row r="432" spans="1:7" x14ac:dyDescent="0.25">
      <c r="A432" s="29">
        <v>38038</v>
      </c>
      <c r="B432" s="30">
        <v>40.799999999999997</v>
      </c>
      <c r="C432" s="30">
        <v>39.4</v>
      </c>
      <c r="D432" s="30"/>
      <c r="E432" s="30"/>
      <c r="F432" s="30">
        <v>46.8</v>
      </c>
      <c r="G432" s="30">
        <v>40.9</v>
      </c>
    </row>
    <row r="433" spans="1:7" x14ac:dyDescent="0.25">
      <c r="A433" s="29">
        <v>38039</v>
      </c>
      <c r="B433" s="30">
        <v>40</v>
      </c>
      <c r="C433" s="30">
        <v>39</v>
      </c>
      <c r="D433" s="30"/>
      <c r="E433" s="30"/>
      <c r="F433" s="30">
        <v>41</v>
      </c>
      <c r="G433" s="30">
        <v>39.4</v>
      </c>
    </row>
    <row r="434" spans="1:7" x14ac:dyDescent="0.25">
      <c r="A434" s="29">
        <v>38040</v>
      </c>
      <c r="B434" s="30">
        <v>36.6</v>
      </c>
      <c r="C434" s="30">
        <v>37.1</v>
      </c>
      <c r="D434" s="30"/>
      <c r="E434" s="30"/>
      <c r="F434" s="30">
        <v>34.4</v>
      </c>
      <c r="G434" s="30">
        <v>37.700000000000003</v>
      </c>
    </row>
    <row r="435" spans="1:7" x14ac:dyDescent="0.25">
      <c r="A435" s="29">
        <v>38041</v>
      </c>
      <c r="B435" s="30">
        <v>34.6</v>
      </c>
      <c r="C435" s="30">
        <v>36</v>
      </c>
      <c r="D435" s="30"/>
      <c r="E435" s="30"/>
      <c r="F435" s="30">
        <v>36.799999999999997</v>
      </c>
      <c r="G435" s="30">
        <v>36.5</v>
      </c>
    </row>
    <row r="436" spans="1:7" x14ac:dyDescent="0.25">
      <c r="A436" s="29">
        <v>38042</v>
      </c>
      <c r="B436" s="30">
        <v>31.2</v>
      </c>
      <c r="C436" s="30">
        <v>32.1</v>
      </c>
      <c r="D436" s="30"/>
      <c r="E436" s="30"/>
      <c r="F436" s="30">
        <v>32.6</v>
      </c>
      <c r="G436" s="30">
        <v>31.9</v>
      </c>
    </row>
    <row r="437" spans="1:7" x14ac:dyDescent="0.25">
      <c r="A437" s="29">
        <v>38043</v>
      </c>
      <c r="B437" s="30">
        <v>35.1</v>
      </c>
      <c r="C437" s="30">
        <v>35.700000000000003</v>
      </c>
      <c r="D437" s="30"/>
      <c r="E437" s="30"/>
      <c r="F437" s="30">
        <v>30.8</v>
      </c>
      <c r="G437" s="30">
        <v>35.6</v>
      </c>
    </row>
    <row r="438" spans="1:7" x14ac:dyDescent="0.25">
      <c r="A438" s="29">
        <v>38044</v>
      </c>
      <c r="B438" s="30">
        <v>35.6</v>
      </c>
      <c r="C438" s="30">
        <v>36.1</v>
      </c>
      <c r="D438" s="30"/>
      <c r="E438" s="30"/>
      <c r="F438" s="30">
        <v>35</v>
      </c>
      <c r="G438" s="30">
        <v>36.5</v>
      </c>
    </row>
    <row r="439" spans="1:7" x14ac:dyDescent="0.25">
      <c r="A439" s="29">
        <v>38045</v>
      </c>
      <c r="B439" s="30">
        <v>40.799999999999997</v>
      </c>
      <c r="C439" s="30">
        <v>40.9</v>
      </c>
      <c r="D439" s="30"/>
      <c r="E439" s="30"/>
      <c r="F439" s="30">
        <v>37.9</v>
      </c>
      <c r="G439" s="30">
        <v>41.4</v>
      </c>
    </row>
    <row r="440" spans="1:7" x14ac:dyDescent="0.25">
      <c r="A440" s="29">
        <v>38046</v>
      </c>
      <c r="B440" s="30">
        <v>47.5</v>
      </c>
      <c r="C440" s="30">
        <v>49</v>
      </c>
      <c r="D440" s="30"/>
      <c r="E440" s="30"/>
      <c r="F440" s="30">
        <v>46.7</v>
      </c>
      <c r="G440" s="30">
        <v>47.8</v>
      </c>
    </row>
    <row r="441" spans="1:7" x14ac:dyDescent="0.25">
      <c r="A441" s="29">
        <v>38047</v>
      </c>
      <c r="B441" s="30">
        <v>49.5</v>
      </c>
      <c r="C441" s="30">
        <v>53.3</v>
      </c>
      <c r="D441" s="30"/>
      <c r="E441" s="30"/>
      <c r="F441" s="30">
        <v>49.5</v>
      </c>
      <c r="G441" s="30">
        <v>52.2</v>
      </c>
    </row>
    <row r="442" spans="1:7" x14ac:dyDescent="0.25">
      <c r="A442" s="29">
        <v>38048</v>
      </c>
      <c r="B442" s="30">
        <v>47</v>
      </c>
      <c r="C442" s="30">
        <v>51</v>
      </c>
      <c r="D442" s="30"/>
      <c r="E442" s="30"/>
      <c r="F442" s="30">
        <v>54.1</v>
      </c>
      <c r="G442" s="30">
        <v>51.7</v>
      </c>
    </row>
    <row r="443" spans="1:7" x14ac:dyDescent="0.25">
      <c r="A443" s="29">
        <v>38049</v>
      </c>
      <c r="B443" s="30">
        <v>54</v>
      </c>
      <c r="C443" s="30">
        <v>52.3</v>
      </c>
      <c r="D443" s="30"/>
      <c r="E443" s="30"/>
      <c r="F443" s="30">
        <v>53</v>
      </c>
      <c r="G443" s="30">
        <v>54.2</v>
      </c>
    </row>
    <row r="444" spans="1:7" x14ac:dyDescent="0.25">
      <c r="A444" s="29">
        <v>38050</v>
      </c>
      <c r="B444" s="30">
        <v>46.7</v>
      </c>
      <c r="C444" s="30">
        <v>48.5</v>
      </c>
      <c r="D444" s="30"/>
      <c r="E444" s="30"/>
      <c r="F444" s="30">
        <v>48.9</v>
      </c>
      <c r="G444" s="30">
        <v>49.2</v>
      </c>
    </row>
    <row r="445" spans="1:7" x14ac:dyDescent="0.25">
      <c r="A445" s="29">
        <v>38051</v>
      </c>
      <c r="B445" s="30">
        <v>44.1</v>
      </c>
      <c r="C445" s="30">
        <v>45</v>
      </c>
      <c r="D445" s="30"/>
      <c r="E445" s="30"/>
      <c r="F445" s="30">
        <v>49.6</v>
      </c>
      <c r="G445" s="30">
        <v>45.7</v>
      </c>
    </row>
    <row r="446" spans="1:7" x14ac:dyDescent="0.25">
      <c r="A446" s="29">
        <v>38052</v>
      </c>
      <c r="B446" s="30">
        <v>49.7</v>
      </c>
      <c r="C446" s="30">
        <v>50</v>
      </c>
      <c r="D446" s="30"/>
      <c r="E446" s="30"/>
      <c r="F446" s="30">
        <v>58.6</v>
      </c>
      <c r="G446" s="30">
        <v>53.3</v>
      </c>
    </row>
    <row r="447" spans="1:7" x14ac:dyDescent="0.25">
      <c r="A447" s="29">
        <v>38053</v>
      </c>
      <c r="B447" s="30">
        <v>46.2</v>
      </c>
      <c r="C447" s="30">
        <v>45.4</v>
      </c>
      <c r="D447" s="30"/>
      <c r="E447" s="30"/>
      <c r="F447" s="30">
        <v>49</v>
      </c>
      <c r="G447" s="30">
        <v>46.8</v>
      </c>
    </row>
    <row r="448" spans="1:7" x14ac:dyDescent="0.25">
      <c r="A448" s="29">
        <v>38054</v>
      </c>
      <c r="B448" s="30">
        <v>37.700000000000003</v>
      </c>
      <c r="C448" s="30">
        <v>37.9</v>
      </c>
      <c r="D448" s="30"/>
      <c r="E448" s="30"/>
      <c r="F448" s="30">
        <v>39</v>
      </c>
      <c r="G448" s="30">
        <v>38.5</v>
      </c>
    </row>
    <row r="449" spans="1:7" x14ac:dyDescent="0.25">
      <c r="A449" s="29">
        <v>38055</v>
      </c>
      <c r="B449" s="30">
        <v>36.799999999999997</v>
      </c>
      <c r="C449" s="30">
        <v>36.9</v>
      </c>
      <c r="D449" s="30"/>
      <c r="E449" s="30"/>
      <c r="F449" s="30">
        <v>37.200000000000003</v>
      </c>
      <c r="G449" s="30">
        <v>36.799999999999997</v>
      </c>
    </row>
    <row r="450" spans="1:7" x14ac:dyDescent="0.25">
      <c r="A450" s="29">
        <v>38056</v>
      </c>
      <c r="B450" s="30">
        <v>38.6</v>
      </c>
      <c r="C450" s="30">
        <v>37.799999999999997</v>
      </c>
      <c r="D450" s="30"/>
      <c r="E450" s="30"/>
      <c r="F450" s="30">
        <v>38.700000000000003</v>
      </c>
      <c r="G450" s="30">
        <v>39.5</v>
      </c>
    </row>
    <row r="451" spans="1:7" x14ac:dyDescent="0.25">
      <c r="A451" s="29">
        <v>38057</v>
      </c>
      <c r="B451" s="30">
        <v>42.6</v>
      </c>
      <c r="C451" s="30">
        <v>42.9</v>
      </c>
      <c r="D451" s="30"/>
      <c r="E451" s="30"/>
      <c r="F451" s="30">
        <v>42.6</v>
      </c>
      <c r="G451" s="30">
        <v>43.6</v>
      </c>
    </row>
    <row r="452" spans="1:7" x14ac:dyDescent="0.25">
      <c r="A452" s="29">
        <v>38058</v>
      </c>
      <c r="B452" s="30">
        <v>42.6</v>
      </c>
      <c r="C452" s="30">
        <v>44.6</v>
      </c>
      <c r="D452" s="30"/>
      <c r="E452" s="30"/>
      <c r="F452" s="30">
        <v>43.5</v>
      </c>
      <c r="G452" s="30">
        <v>44.1</v>
      </c>
    </row>
    <row r="453" spans="1:7" x14ac:dyDescent="0.25">
      <c r="A453" s="29">
        <v>38059</v>
      </c>
      <c r="B453" s="30">
        <v>37</v>
      </c>
      <c r="C453" s="30">
        <v>36.5</v>
      </c>
      <c r="D453" s="30"/>
      <c r="E453" s="30"/>
      <c r="F453" s="30">
        <v>35.700000000000003</v>
      </c>
      <c r="G453" s="30">
        <v>36.700000000000003</v>
      </c>
    </row>
    <row r="454" spans="1:7" x14ac:dyDescent="0.25">
      <c r="A454" s="29">
        <v>38060</v>
      </c>
      <c r="B454" s="30">
        <v>34.1</v>
      </c>
      <c r="C454" s="30">
        <v>34.6</v>
      </c>
      <c r="D454" s="30"/>
      <c r="E454" s="30"/>
      <c r="F454" s="30">
        <v>33.4</v>
      </c>
      <c r="G454" s="30">
        <v>34.5</v>
      </c>
    </row>
    <row r="455" spans="1:7" x14ac:dyDescent="0.25">
      <c r="A455" s="29">
        <v>38061</v>
      </c>
      <c r="B455" s="30">
        <v>47.4</v>
      </c>
      <c r="C455" s="30">
        <v>48</v>
      </c>
      <c r="D455" s="30"/>
      <c r="E455" s="30"/>
      <c r="F455" s="30">
        <v>50</v>
      </c>
      <c r="G455" s="30">
        <v>48.3</v>
      </c>
    </row>
    <row r="456" spans="1:7" x14ac:dyDescent="0.25">
      <c r="A456" s="29">
        <v>38062</v>
      </c>
      <c r="B456" s="30">
        <v>38.299999999999997</v>
      </c>
      <c r="C456" s="30">
        <v>37.799999999999997</v>
      </c>
      <c r="D456" s="30"/>
      <c r="E456" s="30"/>
      <c r="F456" s="30">
        <v>38.5</v>
      </c>
      <c r="G456" s="30">
        <v>38.1</v>
      </c>
    </row>
    <row r="457" spans="1:7" x14ac:dyDescent="0.25">
      <c r="A457" s="29">
        <v>38063</v>
      </c>
      <c r="B457" s="30">
        <v>30.6</v>
      </c>
      <c r="C457" s="30">
        <v>30.4</v>
      </c>
      <c r="D457" s="30"/>
      <c r="E457" s="30"/>
      <c r="F457" s="30">
        <v>33.9</v>
      </c>
      <c r="G457" s="30">
        <v>29.5</v>
      </c>
    </row>
    <row r="458" spans="1:7" x14ac:dyDescent="0.25">
      <c r="A458" s="29">
        <v>38064</v>
      </c>
      <c r="B458" s="30">
        <v>31.4</v>
      </c>
      <c r="C458" s="30">
        <v>31.7</v>
      </c>
      <c r="D458" s="30"/>
      <c r="E458" s="30"/>
      <c r="F458" s="30">
        <v>34.799999999999997</v>
      </c>
      <c r="G458" s="30">
        <v>32</v>
      </c>
    </row>
    <row r="459" spans="1:7" x14ac:dyDescent="0.25">
      <c r="A459" s="29">
        <v>38065</v>
      </c>
      <c r="B459" s="30">
        <v>36.200000000000003</v>
      </c>
      <c r="C459" s="30">
        <v>36.6</v>
      </c>
      <c r="D459" s="30"/>
      <c r="E459" s="30"/>
      <c r="F459" s="30">
        <v>37.799999999999997</v>
      </c>
      <c r="G459" s="30">
        <v>36.799999999999997</v>
      </c>
    </row>
    <row r="460" spans="1:7" x14ac:dyDescent="0.25">
      <c r="A460" s="29">
        <v>38066</v>
      </c>
      <c r="B460" s="30">
        <v>37.299999999999997</v>
      </c>
      <c r="C460" s="30">
        <v>39.200000000000003</v>
      </c>
      <c r="D460" s="30"/>
      <c r="E460" s="30"/>
      <c r="F460" s="30">
        <v>34.299999999999997</v>
      </c>
      <c r="G460" s="30">
        <v>39.700000000000003</v>
      </c>
    </row>
    <row r="461" spans="1:7" x14ac:dyDescent="0.25">
      <c r="A461" s="29">
        <v>38067</v>
      </c>
      <c r="B461" s="30">
        <v>44.7</v>
      </c>
      <c r="C461" s="30">
        <v>44</v>
      </c>
      <c r="D461" s="30"/>
      <c r="E461" s="30"/>
      <c r="F461" s="30">
        <v>48.6</v>
      </c>
      <c r="G461" s="30">
        <v>44.8</v>
      </c>
    </row>
    <row r="462" spans="1:7" x14ac:dyDescent="0.25">
      <c r="A462" s="29">
        <v>38068</v>
      </c>
      <c r="B462" s="30">
        <v>32.1</v>
      </c>
      <c r="C462" s="30">
        <v>31.3</v>
      </c>
      <c r="D462" s="30"/>
      <c r="E462" s="30"/>
      <c r="F462" s="30">
        <v>34.6</v>
      </c>
      <c r="G462" s="30">
        <v>31.8</v>
      </c>
    </row>
    <row r="463" spans="1:7" x14ac:dyDescent="0.25">
      <c r="A463" s="29">
        <v>38069</v>
      </c>
      <c r="B463" s="30">
        <v>32.6</v>
      </c>
      <c r="C463" s="30">
        <v>33.5</v>
      </c>
      <c r="D463" s="30"/>
      <c r="E463" s="30"/>
      <c r="F463" s="30">
        <v>30</v>
      </c>
      <c r="G463" s="30">
        <v>33.4</v>
      </c>
    </row>
    <row r="464" spans="1:7" x14ac:dyDescent="0.25">
      <c r="A464" s="29">
        <v>38070</v>
      </c>
      <c r="B464" s="30">
        <v>42.7</v>
      </c>
      <c r="C464" s="30">
        <v>45.7</v>
      </c>
      <c r="D464" s="30"/>
      <c r="E464" s="30"/>
      <c r="F464" s="30">
        <v>42.3</v>
      </c>
      <c r="G464" s="30">
        <v>45.6</v>
      </c>
    </row>
    <row r="465" spans="1:7" x14ac:dyDescent="0.25">
      <c r="A465" s="29">
        <v>38071</v>
      </c>
      <c r="B465" s="30">
        <v>44.3</v>
      </c>
      <c r="C465" s="30">
        <v>47.1</v>
      </c>
      <c r="D465" s="30"/>
      <c r="E465" s="30"/>
      <c r="F465" s="30">
        <v>48.5</v>
      </c>
      <c r="G465" s="30">
        <v>48.8</v>
      </c>
    </row>
    <row r="466" spans="1:7" x14ac:dyDescent="0.25">
      <c r="A466" s="29">
        <v>38072</v>
      </c>
      <c r="B466" s="30">
        <v>48.1</v>
      </c>
      <c r="C466" s="30">
        <v>49.9</v>
      </c>
      <c r="D466" s="30"/>
      <c r="E466" s="30"/>
      <c r="F466" s="30">
        <v>55.8</v>
      </c>
      <c r="G466" s="30">
        <v>52.6</v>
      </c>
    </row>
    <row r="467" spans="1:7" x14ac:dyDescent="0.25">
      <c r="A467" s="29">
        <v>38073</v>
      </c>
      <c r="B467" s="30">
        <v>54.4</v>
      </c>
      <c r="C467" s="30">
        <v>57.1</v>
      </c>
      <c r="D467" s="30"/>
      <c r="E467" s="30"/>
      <c r="F467" s="30">
        <v>58.1</v>
      </c>
      <c r="G467" s="30">
        <v>60.1</v>
      </c>
    </row>
    <row r="468" spans="1:7" x14ac:dyDescent="0.25">
      <c r="A468" s="29">
        <v>38074</v>
      </c>
      <c r="B468" s="30">
        <v>53.6</v>
      </c>
      <c r="C468" s="30">
        <v>52.1</v>
      </c>
      <c r="D468" s="30"/>
      <c r="E468" s="30"/>
      <c r="F468" s="30">
        <v>50.9</v>
      </c>
      <c r="G468" s="30">
        <v>53.7</v>
      </c>
    </row>
    <row r="469" spans="1:7" x14ac:dyDescent="0.25">
      <c r="A469" s="29">
        <v>38075</v>
      </c>
      <c r="B469" s="30">
        <v>42.7</v>
      </c>
      <c r="C469" s="30">
        <v>43.1</v>
      </c>
      <c r="D469" s="30"/>
      <c r="E469" s="30"/>
      <c r="F469" s="30">
        <v>41.6</v>
      </c>
      <c r="G469" s="30">
        <v>44.2</v>
      </c>
    </row>
    <row r="470" spans="1:7" x14ac:dyDescent="0.25">
      <c r="A470" s="29">
        <v>38076</v>
      </c>
      <c r="B470" s="30">
        <v>39.299999999999997</v>
      </c>
      <c r="C470" s="30">
        <v>38.4</v>
      </c>
      <c r="D470" s="30"/>
      <c r="E470" s="30"/>
      <c r="F470" s="30">
        <v>38.5</v>
      </c>
      <c r="G470" s="30">
        <v>39.6</v>
      </c>
    </row>
    <row r="471" spans="1:7" x14ac:dyDescent="0.25">
      <c r="A471" s="29">
        <v>38077</v>
      </c>
      <c r="B471" s="30">
        <v>43.7</v>
      </c>
      <c r="C471" s="30">
        <v>42.2</v>
      </c>
      <c r="D471" s="30"/>
      <c r="E471" s="30"/>
      <c r="F471" s="30">
        <v>43.3</v>
      </c>
      <c r="G471" s="30">
        <v>43.8</v>
      </c>
    </row>
    <row r="472" spans="1:7" x14ac:dyDescent="0.25">
      <c r="A472" s="29">
        <v>38078</v>
      </c>
      <c r="B472" s="30">
        <v>46.9</v>
      </c>
      <c r="C472" s="30">
        <v>44.4</v>
      </c>
      <c r="D472" s="30"/>
      <c r="E472" s="30"/>
      <c r="F472" s="30">
        <v>46.2</v>
      </c>
      <c r="G472" s="30">
        <v>47.4</v>
      </c>
    </row>
    <row r="473" spans="1:7" x14ac:dyDescent="0.25">
      <c r="A473" s="29">
        <v>38079</v>
      </c>
      <c r="B473" s="30">
        <v>46</v>
      </c>
      <c r="C473" s="30">
        <v>44.9</v>
      </c>
      <c r="D473" s="30"/>
      <c r="E473" s="30"/>
      <c r="F473" s="30">
        <v>42.2</v>
      </c>
      <c r="G473" s="30">
        <v>46.3</v>
      </c>
    </row>
    <row r="474" spans="1:7" x14ac:dyDescent="0.25">
      <c r="A474" s="29">
        <v>38080</v>
      </c>
      <c r="B474" s="30">
        <v>43.3</v>
      </c>
      <c r="C474" s="30">
        <v>44</v>
      </c>
      <c r="D474" s="30"/>
      <c r="E474" s="30"/>
      <c r="F474" s="30">
        <v>43</v>
      </c>
      <c r="G474" s="30">
        <v>44.7</v>
      </c>
    </row>
    <row r="475" spans="1:7" x14ac:dyDescent="0.25">
      <c r="A475" s="29">
        <v>38081</v>
      </c>
      <c r="B475" s="30">
        <v>47.2</v>
      </c>
      <c r="C475" s="30">
        <v>48.1</v>
      </c>
      <c r="D475" s="30"/>
      <c r="E475" s="30"/>
      <c r="F475" s="30">
        <v>43.3</v>
      </c>
      <c r="G475" s="30">
        <v>47.7</v>
      </c>
    </row>
    <row r="476" spans="1:7" x14ac:dyDescent="0.25">
      <c r="A476" s="29">
        <v>38082</v>
      </c>
      <c r="B476" s="30">
        <v>37</v>
      </c>
      <c r="C476" s="30">
        <v>36.299999999999997</v>
      </c>
      <c r="D476" s="30"/>
      <c r="E476" s="30"/>
      <c r="F476" s="30">
        <v>37.5</v>
      </c>
      <c r="G476" s="30">
        <v>36.5</v>
      </c>
    </row>
    <row r="477" spans="1:7" x14ac:dyDescent="0.25">
      <c r="A477" s="29">
        <v>38083</v>
      </c>
      <c r="B477" s="30">
        <v>41.1</v>
      </c>
      <c r="C477" s="30">
        <v>40.4</v>
      </c>
      <c r="D477" s="30"/>
      <c r="E477" s="30"/>
      <c r="F477" s="30">
        <v>41.4</v>
      </c>
      <c r="G477" s="30">
        <v>41.3</v>
      </c>
    </row>
    <row r="478" spans="1:7" x14ac:dyDescent="0.25">
      <c r="A478" s="29">
        <v>38084</v>
      </c>
      <c r="B478" s="30">
        <v>52.7</v>
      </c>
      <c r="C478" s="30">
        <v>53.2</v>
      </c>
      <c r="D478" s="30"/>
      <c r="E478" s="30"/>
      <c r="F478" s="30">
        <v>56.1</v>
      </c>
      <c r="G478" s="30">
        <v>54.3</v>
      </c>
    </row>
    <row r="479" spans="1:7" x14ac:dyDescent="0.25">
      <c r="A479" s="29">
        <v>38085</v>
      </c>
      <c r="B479" s="30">
        <v>46.6</v>
      </c>
      <c r="C479" s="30">
        <v>47.5</v>
      </c>
      <c r="D479" s="30"/>
      <c r="E479" s="30"/>
      <c r="F479" s="30">
        <v>46.2</v>
      </c>
      <c r="G479" s="30">
        <v>47.7</v>
      </c>
    </row>
    <row r="480" spans="1:7" x14ac:dyDescent="0.25">
      <c r="A480" s="29">
        <v>38086</v>
      </c>
      <c r="B480" s="30">
        <v>50.3</v>
      </c>
      <c r="C480" s="30">
        <v>50.5</v>
      </c>
      <c r="D480" s="30"/>
      <c r="E480" s="30"/>
      <c r="F480" s="30">
        <v>49.1</v>
      </c>
      <c r="G480" s="30">
        <v>51.5</v>
      </c>
    </row>
    <row r="481" spans="1:7" x14ac:dyDescent="0.25">
      <c r="A481" s="29">
        <v>38087</v>
      </c>
      <c r="B481" s="30">
        <v>51.9</v>
      </c>
      <c r="C481" s="30">
        <v>52.1</v>
      </c>
      <c r="D481" s="30"/>
      <c r="E481" s="30"/>
      <c r="F481" s="30">
        <v>48.3</v>
      </c>
      <c r="G481" s="30">
        <v>53</v>
      </c>
    </row>
    <row r="482" spans="1:7" x14ac:dyDescent="0.25">
      <c r="A482" s="29">
        <v>38088</v>
      </c>
      <c r="B482" s="30">
        <v>46.8</v>
      </c>
      <c r="C482" s="30">
        <v>48.4</v>
      </c>
      <c r="D482" s="30"/>
      <c r="E482" s="30"/>
      <c r="F482" s="30">
        <v>45.2</v>
      </c>
      <c r="G482" s="30">
        <v>49.7</v>
      </c>
    </row>
    <row r="483" spans="1:7" x14ac:dyDescent="0.25">
      <c r="A483" s="29">
        <v>38089</v>
      </c>
      <c r="B483" s="30">
        <v>46.1</v>
      </c>
      <c r="C483" s="30">
        <v>46.7</v>
      </c>
      <c r="D483" s="30"/>
      <c r="E483" s="30"/>
      <c r="F483" s="30">
        <v>43.6</v>
      </c>
      <c r="G483" s="30">
        <v>47.3</v>
      </c>
    </row>
    <row r="484" spans="1:7" x14ac:dyDescent="0.25">
      <c r="A484" s="29">
        <v>38090</v>
      </c>
      <c r="B484" s="30">
        <v>47</v>
      </c>
      <c r="C484" s="30">
        <v>44.9</v>
      </c>
      <c r="D484" s="30"/>
      <c r="E484" s="30"/>
      <c r="F484" s="30">
        <v>48.1</v>
      </c>
      <c r="G484" s="30">
        <v>46.3</v>
      </c>
    </row>
    <row r="485" spans="1:7" x14ac:dyDescent="0.25">
      <c r="A485" s="29">
        <v>38091</v>
      </c>
      <c r="B485" s="30">
        <v>51.6</v>
      </c>
      <c r="C485" s="30">
        <v>51.5</v>
      </c>
      <c r="D485" s="30"/>
      <c r="E485" s="30"/>
      <c r="F485" s="30">
        <v>52.9</v>
      </c>
      <c r="G485" s="30">
        <v>56.2</v>
      </c>
    </row>
    <row r="486" spans="1:7" x14ac:dyDescent="0.25">
      <c r="A486" s="29">
        <v>38092</v>
      </c>
      <c r="B486" s="30">
        <v>49.8</v>
      </c>
      <c r="C486" s="30">
        <v>49.3</v>
      </c>
      <c r="D486" s="30"/>
      <c r="E486" s="30"/>
      <c r="F486" s="30">
        <v>48.9</v>
      </c>
      <c r="G486" s="30">
        <v>51.6</v>
      </c>
    </row>
    <row r="487" spans="1:7" x14ac:dyDescent="0.25">
      <c r="A487" s="29">
        <v>38093</v>
      </c>
      <c r="B487" s="30">
        <v>50.7</v>
      </c>
      <c r="C487" s="30">
        <v>51.3</v>
      </c>
      <c r="D487" s="30"/>
      <c r="E487" s="30"/>
      <c r="F487" s="30">
        <v>45.3</v>
      </c>
      <c r="G487" s="30">
        <v>52.2</v>
      </c>
    </row>
    <row r="488" spans="1:7" x14ac:dyDescent="0.25">
      <c r="A488" s="29">
        <v>38094</v>
      </c>
      <c r="B488" s="30">
        <v>50.2</v>
      </c>
      <c r="C488" s="30">
        <v>57</v>
      </c>
      <c r="D488" s="30"/>
      <c r="E488" s="30"/>
      <c r="F488" s="30">
        <v>54</v>
      </c>
      <c r="G488" s="30">
        <v>59.2</v>
      </c>
    </row>
    <row r="489" spans="1:7" x14ac:dyDescent="0.25">
      <c r="A489" s="29">
        <v>38095</v>
      </c>
      <c r="B489" s="30">
        <v>58.1</v>
      </c>
      <c r="C489" s="30">
        <v>64.7</v>
      </c>
      <c r="D489" s="30"/>
      <c r="E489" s="30"/>
      <c r="F489" s="30">
        <v>64.400000000000006</v>
      </c>
      <c r="G489" s="30">
        <v>66.2</v>
      </c>
    </row>
    <row r="490" spans="1:7" x14ac:dyDescent="0.25">
      <c r="A490" s="29">
        <v>38096</v>
      </c>
      <c r="B490" s="30">
        <v>53.6</v>
      </c>
      <c r="C490" s="30">
        <v>59.4</v>
      </c>
      <c r="D490" s="30"/>
      <c r="E490" s="30"/>
      <c r="F490" s="30">
        <v>63.8</v>
      </c>
      <c r="G490" s="30">
        <v>62.5</v>
      </c>
    </row>
    <row r="491" spans="1:7" x14ac:dyDescent="0.25">
      <c r="A491" s="29">
        <v>38097</v>
      </c>
      <c r="B491" s="30">
        <v>65.7</v>
      </c>
      <c r="C491" s="30">
        <v>68.400000000000006</v>
      </c>
      <c r="D491" s="30"/>
      <c r="E491" s="30"/>
      <c r="F491" s="30">
        <v>67</v>
      </c>
      <c r="G491" s="30">
        <v>70.5</v>
      </c>
    </row>
    <row r="492" spans="1:7" x14ac:dyDescent="0.25">
      <c r="A492" s="29">
        <v>38098</v>
      </c>
      <c r="B492" s="30">
        <v>52.2</v>
      </c>
      <c r="C492" s="30">
        <v>56.1</v>
      </c>
      <c r="D492" s="30"/>
      <c r="E492" s="30"/>
      <c r="F492" s="30">
        <v>54</v>
      </c>
      <c r="G492" s="30">
        <v>55.4</v>
      </c>
    </row>
    <row r="493" spans="1:7" x14ac:dyDescent="0.25">
      <c r="A493" s="29">
        <v>38099</v>
      </c>
      <c r="B493" s="30">
        <v>56.3</v>
      </c>
      <c r="C493" s="30">
        <v>59.9</v>
      </c>
      <c r="D493" s="30"/>
      <c r="E493" s="30"/>
      <c r="F493" s="30">
        <v>64.3</v>
      </c>
      <c r="G493" s="30">
        <v>61.9</v>
      </c>
    </row>
    <row r="494" spans="1:7" x14ac:dyDescent="0.25">
      <c r="A494" s="29">
        <v>38100</v>
      </c>
      <c r="B494" s="30">
        <v>58.4</v>
      </c>
      <c r="C494" s="30">
        <v>59</v>
      </c>
      <c r="D494" s="30"/>
      <c r="E494" s="30"/>
      <c r="F494" s="30">
        <v>60.6</v>
      </c>
      <c r="G494" s="30">
        <v>60.9</v>
      </c>
    </row>
    <row r="495" spans="1:7" x14ac:dyDescent="0.25">
      <c r="A495" s="29">
        <v>38101</v>
      </c>
      <c r="B495" s="30">
        <v>55.6</v>
      </c>
      <c r="C495" s="30">
        <v>55.2</v>
      </c>
      <c r="D495" s="30"/>
      <c r="E495" s="30"/>
      <c r="F495" s="30">
        <v>55</v>
      </c>
      <c r="G495" s="30">
        <v>56.7</v>
      </c>
    </row>
    <row r="496" spans="1:7" x14ac:dyDescent="0.25">
      <c r="A496" s="29">
        <v>38102</v>
      </c>
      <c r="B496" s="30">
        <v>51.1</v>
      </c>
      <c r="C496" s="30">
        <v>51.5</v>
      </c>
      <c r="D496" s="30"/>
      <c r="E496" s="30"/>
      <c r="F496" s="30">
        <v>50.1</v>
      </c>
      <c r="G496" s="30">
        <v>51.5</v>
      </c>
    </row>
    <row r="497" spans="1:7" x14ac:dyDescent="0.25">
      <c r="A497" s="29">
        <v>38103</v>
      </c>
      <c r="B497" s="30">
        <v>51.2</v>
      </c>
      <c r="C497" s="30">
        <v>50.8</v>
      </c>
      <c r="D497" s="30"/>
      <c r="E497" s="30"/>
      <c r="F497" s="30">
        <v>59.6</v>
      </c>
      <c r="G497" s="30">
        <v>51.7</v>
      </c>
    </row>
    <row r="498" spans="1:7" x14ac:dyDescent="0.25">
      <c r="A498" s="29">
        <v>38104</v>
      </c>
      <c r="B498" s="30">
        <v>58.2</v>
      </c>
      <c r="C498" s="30">
        <v>59.6</v>
      </c>
      <c r="D498" s="30"/>
      <c r="E498" s="30"/>
      <c r="F498" s="30">
        <v>58.9</v>
      </c>
      <c r="G498" s="30">
        <v>59.4</v>
      </c>
    </row>
    <row r="499" spans="1:7" x14ac:dyDescent="0.25">
      <c r="A499" s="29">
        <v>38105</v>
      </c>
      <c r="B499" s="30">
        <v>50.6</v>
      </c>
      <c r="C499" s="30">
        <v>50.8</v>
      </c>
      <c r="D499" s="30"/>
      <c r="E499" s="30"/>
      <c r="F499" s="30">
        <v>48.7</v>
      </c>
      <c r="G499" s="30">
        <v>51.3</v>
      </c>
    </row>
    <row r="500" spans="1:7" x14ac:dyDescent="0.25">
      <c r="A500" s="29">
        <v>38106</v>
      </c>
      <c r="B500" s="30">
        <v>54.9</v>
      </c>
      <c r="C500" s="30">
        <v>60.2</v>
      </c>
      <c r="D500" s="30"/>
      <c r="E500" s="30"/>
      <c r="F500" s="30">
        <v>57</v>
      </c>
      <c r="G500" s="30">
        <v>61.5</v>
      </c>
    </row>
    <row r="501" spans="1:7" x14ac:dyDescent="0.25">
      <c r="A501" s="29">
        <v>38107</v>
      </c>
      <c r="B501" s="30">
        <v>57.1</v>
      </c>
      <c r="C501" s="30">
        <v>63.2</v>
      </c>
      <c r="D501" s="30"/>
      <c r="E501" s="30"/>
      <c r="F501" s="30">
        <v>61.2</v>
      </c>
      <c r="G501" s="30">
        <v>65.8</v>
      </c>
    </row>
    <row r="502" spans="1:7" x14ac:dyDescent="0.25">
      <c r="A502" s="29">
        <v>38108</v>
      </c>
      <c r="B502" s="30">
        <v>57.2</v>
      </c>
      <c r="C502" s="30">
        <v>63.3</v>
      </c>
      <c r="D502" s="30"/>
      <c r="E502" s="30"/>
      <c r="F502" s="30">
        <v>63.5</v>
      </c>
      <c r="G502" s="30">
        <v>67.5</v>
      </c>
    </row>
    <row r="503" spans="1:7" x14ac:dyDescent="0.25">
      <c r="A503" s="29">
        <v>38109</v>
      </c>
      <c r="B503" s="30">
        <v>57.3</v>
      </c>
      <c r="C503" s="30">
        <v>61</v>
      </c>
      <c r="D503" s="30"/>
      <c r="E503" s="30"/>
      <c r="F503" s="30">
        <v>63.4</v>
      </c>
      <c r="G503" s="30">
        <v>67.2</v>
      </c>
    </row>
    <row r="504" spans="1:7" x14ac:dyDescent="0.25">
      <c r="A504" s="29">
        <v>38110</v>
      </c>
      <c r="B504" s="30">
        <v>55</v>
      </c>
      <c r="C504" s="30">
        <v>56.6</v>
      </c>
      <c r="D504" s="30"/>
      <c r="E504" s="30"/>
      <c r="F504" s="30">
        <v>57.6</v>
      </c>
      <c r="G504" s="30">
        <v>59.2</v>
      </c>
    </row>
    <row r="505" spans="1:7" x14ac:dyDescent="0.25">
      <c r="A505" s="29">
        <v>38111</v>
      </c>
      <c r="B505" s="30">
        <v>50.7</v>
      </c>
      <c r="C505" s="30">
        <v>50.1</v>
      </c>
      <c r="D505" s="30"/>
      <c r="E505" s="30"/>
      <c r="F505" s="30">
        <v>49.3</v>
      </c>
      <c r="G505" s="30">
        <v>50.8</v>
      </c>
    </row>
    <row r="506" spans="1:7" x14ac:dyDescent="0.25">
      <c r="A506" s="29">
        <v>38112</v>
      </c>
      <c r="B506" s="30">
        <v>52.6</v>
      </c>
      <c r="C506" s="30">
        <v>56.8</v>
      </c>
      <c r="D506" s="30"/>
      <c r="E506" s="30"/>
      <c r="F506" s="30">
        <v>54.8</v>
      </c>
      <c r="G506" s="30">
        <v>56.4</v>
      </c>
    </row>
    <row r="507" spans="1:7" x14ac:dyDescent="0.25">
      <c r="A507" s="29">
        <v>38113</v>
      </c>
      <c r="B507" s="30">
        <v>56.2</v>
      </c>
      <c r="C507" s="30">
        <v>57.2</v>
      </c>
      <c r="D507" s="30"/>
      <c r="E507" s="30"/>
      <c r="F507" s="30">
        <v>56.6</v>
      </c>
      <c r="G507" s="30">
        <v>58.8</v>
      </c>
    </row>
    <row r="508" spans="1:7" x14ac:dyDescent="0.25">
      <c r="A508" s="29">
        <v>38114</v>
      </c>
      <c r="B508" s="30">
        <v>62.6</v>
      </c>
      <c r="C508" s="30">
        <v>66.7</v>
      </c>
      <c r="D508" s="30"/>
      <c r="E508" s="30"/>
      <c r="F508" s="30">
        <v>63.4</v>
      </c>
      <c r="G508" s="30">
        <v>67.5</v>
      </c>
    </row>
    <row r="509" spans="1:7" x14ac:dyDescent="0.25">
      <c r="A509" s="29">
        <v>38115</v>
      </c>
      <c r="B509" s="30">
        <v>58.5</v>
      </c>
      <c r="C509" s="30">
        <v>57.9</v>
      </c>
      <c r="D509" s="30"/>
      <c r="E509" s="30"/>
      <c r="F509" s="30">
        <v>59</v>
      </c>
      <c r="G509" s="30">
        <v>58.6</v>
      </c>
    </row>
    <row r="510" spans="1:7" x14ac:dyDescent="0.25">
      <c r="A510" s="29">
        <v>38116</v>
      </c>
      <c r="B510" s="30">
        <v>54</v>
      </c>
      <c r="C510" s="30">
        <v>55.4</v>
      </c>
      <c r="D510" s="30"/>
      <c r="E510" s="30"/>
      <c r="F510" s="30">
        <v>59.5</v>
      </c>
      <c r="G510" s="30">
        <v>57.1</v>
      </c>
    </row>
    <row r="511" spans="1:7" x14ac:dyDescent="0.25">
      <c r="A511" s="29">
        <v>38117</v>
      </c>
      <c r="B511" s="30">
        <v>58.6</v>
      </c>
      <c r="C511" s="30">
        <v>61.1</v>
      </c>
      <c r="D511" s="30"/>
      <c r="E511" s="30"/>
      <c r="F511" s="30">
        <v>64.5</v>
      </c>
      <c r="G511" s="30">
        <v>62.3</v>
      </c>
    </row>
    <row r="512" spans="1:7" x14ac:dyDescent="0.25">
      <c r="A512" s="29">
        <v>38118</v>
      </c>
      <c r="B512" s="30">
        <v>65.599999999999994</v>
      </c>
      <c r="C512" s="30">
        <v>70.5</v>
      </c>
      <c r="D512" s="30"/>
      <c r="E512" s="30"/>
      <c r="F512" s="30">
        <v>73.400000000000006</v>
      </c>
      <c r="G512" s="30">
        <v>71.5</v>
      </c>
    </row>
    <row r="513" spans="1:7" x14ac:dyDescent="0.25">
      <c r="A513" s="29">
        <v>38119</v>
      </c>
      <c r="B513" s="30">
        <v>70.099999999999994</v>
      </c>
      <c r="C513" s="30">
        <v>73.599999999999994</v>
      </c>
      <c r="D513" s="30"/>
      <c r="E513" s="30"/>
      <c r="F513" s="30">
        <v>75.7</v>
      </c>
      <c r="G513" s="30">
        <v>76.599999999999994</v>
      </c>
    </row>
    <row r="514" spans="1:7" x14ac:dyDescent="0.25">
      <c r="A514" s="29">
        <v>38120</v>
      </c>
      <c r="B514" s="30">
        <v>68.5</v>
      </c>
      <c r="C514" s="30">
        <v>72.099999999999994</v>
      </c>
      <c r="D514" s="30"/>
      <c r="E514" s="30"/>
      <c r="F514" s="30">
        <v>73.3</v>
      </c>
      <c r="G514" s="30">
        <v>74.5</v>
      </c>
    </row>
    <row r="515" spans="1:7" x14ac:dyDescent="0.25">
      <c r="A515" s="29">
        <v>38121</v>
      </c>
      <c r="B515" s="30">
        <v>58.4</v>
      </c>
      <c r="C515" s="30">
        <v>58.6</v>
      </c>
      <c r="D515" s="30"/>
      <c r="E515" s="30"/>
      <c r="F515" s="30">
        <v>69.099999999999994</v>
      </c>
      <c r="G515" s="30">
        <v>61</v>
      </c>
    </row>
    <row r="516" spans="1:7" x14ac:dyDescent="0.25">
      <c r="A516" s="29">
        <v>38122</v>
      </c>
      <c r="B516" s="30">
        <v>65.599999999999994</v>
      </c>
      <c r="C516" s="30">
        <v>69.7</v>
      </c>
      <c r="D516" s="30"/>
      <c r="E516" s="30"/>
      <c r="F516" s="30">
        <v>74.2</v>
      </c>
      <c r="G516" s="30">
        <v>71.099999999999994</v>
      </c>
    </row>
    <row r="517" spans="1:7" x14ac:dyDescent="0.25">
      <c r="A517" s="29">
        <v>38123</v>
      </c>
      <c r="B517" s="30">
        <v>70.3</v>
      </c>
      <c r="C517" s="30">
        <v>71.099999999999994</v>
      </c>
      <c r="D517" s="30"/>
      <c r="E517" s="30"/>
      <c r="F517" s="30">
        <v>72.599999999999994</v>
      </c>
      <c r="G517" s="30">
        <v>72.3</v>
      </c>
    </row>
    <row r="518" spans="1:7" x14ac:dyDescent="0.25">
      <c r="A518" s="29">
        <v>38124</v>
      </c>
      <c r="B518" s="30">
        <v>62.7</v>
      </c>
      <c r="C518" s="30">
        <v>63.7</v>
      </c>
      <c r="D518" s="30"/>
      <c r="E518" s="30"/>
      <c r="F518" s="30">
        <v>69.099999999999994</v>
      </c>
      <c r="G518" s="30">
        <v>66.3</v>
      </c>
    </row>
    <row r="519" spans="1:7" x14ac:dyDescent="0.25">
      <c r="A519" s="29">
        <v>38125</v>
      </c>
      <c r="B519" s="30">
        <v>63.6</v>
      </c>
      <c r="C519" s="30">
        <v>68.5</v>
      </c>
      <c r="D519" s="30"/>
      <c r="E519" s="30"/>
      <c r="F519" s="30">
        <v>71.5</v>
      </c>
      <c r="G519" s="30">
        <v>69.099999999999994</v>
      </c>
    </row>
    <row r="520" spans="1:7" x14ac:dyDescent="0.25">
      <c r="A520" s="29">
        <v>38126</v>
      </c>
      <c r="B520" s="30">
        <v>67</v>
      </c>
      <c r="C520" s="30">
        <v>70.7</v>
      </c>
      <c r="D520" s="30"/>
      <c r="E520" s="30"/>
      <c r="F520" s="30">
        <v>69.900000000000006</v>
      </c>
      <c r="G520" s="30">
        <v>70.599999999999994</v>
      </c>
    </row>
    <row r="521" spans="1:7" x14ac:dyDescent="0.25">
      <c r="A521" s="29">
        <v>38127</v>
      </c>
      <c r="B521" s="30">
        <v>61.9</v>
      </c>
      <c r="C521" s="30">
        <v>63.2</v>
      </c>
      <c r="D521" s="30"/>
      <c r="E521" s="30"/>
      <c r="F521" s="30">
        <v>63.1</v>
      </c>
      <c r="G521" s="30">
        <v>63.9</v>
      </c>
    </row>
    <row r="522" spans="1:7" x14ac:dyDescent="0.25">
      <c r="A522" s="29">
        <v>38128</v>
      </c>
      <c r="B522" s="30">
        <v>64</v>
      </c>
      <c r="C522" s="30">
        <v>67.2</v>
      </c>
      <c r="D522" s="30"/>
      <c r="E522" s="30"/>
      <c r="F522" s="30">
        <v>63.4</v>
      </c>
      <c r="G522" s="30">
        <v>68</v>
      </c>
    </row>
    <row r="523" spans="1:7" x14ac:dyDescent="0.25">
      <c r="A523" s="29">
        <v>38129</v>
      </c>
      <c r="B523" s="30">
        <v>67.8</v>
      </c>
      <c r="C523" s="30">
        <v>73.400000000000006</v>
      </c>
      <c r="D523" s="30"/>
      <c r="E523" s="30"/>
      <c r="F523" s="30">
        <v>72.7</v>
      </c>
      <c r="G523" s="30">
        <v>75.2</v>
      </c>
    </row>
    <row r="524" spans="1:7" x14ac:dyDescent="0.25">
      <c r="A524" s="29">
        <v>38130</v>
      </c>
      <c r="B524" s="30">
        <v>66.7</v>
      </c>
      <c r="C524" s="30">
        <v>68</v>
      </c>
      <c r="D524" s="30"/>
      <c r="E524" s="30"/>
      <c r="F524" s="30">
        <v>79.400000000000006</v>
      </c>
      <c r="G524" s="30">
        <v>73.3</v>
      </c>
    </row>
    <row r="525" spans="1:7" x14ac:dyDescent="0.25">
      <c r="A525" s="29">
        <v>38131</v>
      </c>
      <c r="B525" s="30">
        <v>67</v>
      </c>
      <c r="C525" s="30">
        <v>63.3</v>
      </c>
      <c r="D525" s="30"/>
      <c r="E525" s="30"/>
      <c r="F525" s="30">
        <v>79.7</v>
      </c>
      <c r="G525" s="30">
        <v>72</v>
      </c>
    </row>
    <row r="526" spans="1:7" x14ac:dyDescent="0.25">
      <c r="A526" s="29">
        <v>38132</v>
      </c>
      <c r="B526" s="30">
        <v>63.9</v>
      </c>
      <c r="C526" s="30">
        <v>67</v>
      </c>
      <c r="D526" s="30"/>
      <c r="E526" s="30"/>
      <c r="F526" s="30">
        <v>74.5</v>
      </c>
      <c r="G526" s="30">
        <v>68.900000000000006</v>
      </c>
    </row>
    <row r="527" spans="1:7" x14ac:dyDescent="0.25">
      <c r="A527" s="29">
        <v>38133</v>
      </c>
      <c r="B527" s="30">
        <v>56.5</v>
      </c>
      <c r="C527" s="30">
        <v>57.5</v>
      </c>
      <c r="D527" s="30"/>
      <c r="E527" s="30"/>
      <c r="F527" s="30">
        <v>63.7</v>
      </c>
      <c r="G527" s="30">
        <v>58.5</v>
      </c>
    </row>
    <row r="528" spans="1:7" x14ac:dyDescent="0.25">
      <c r="A528" s="29">
        <v>38134</v>
      </c>
      <c r="B528" s="30">
        <v>60.4</v>
      </c>
      <c r="C528" s="30">
        <v>62.1</v>
      </c>
      <c r="D528" s="30"/>
      <c r="E528" s="30"/>
      <c r="F528" s="30">
        <v>63.1</v>
      </c>
      <c r="G528" s="30">
        <v>63.5</v>
      </c>
    </row>
    <row r="529" spans="1:7" x14ac:dyDescent="0.25">
      <c r="A529" s="29">
        <v>38135</v>
      </c>
      <c r="B529" s="30">
        <v>64.400000000000006</v>
      </c>
      <c r="C529" s="30">
        <v>65.5</v>
      </c>
      <c r="D529" s="30"/>
      <c r="E529" s="30"/>
      <c r="F529" s="30">
        <v>68.900000000000006</v>
      </c>
      <c r="G529" s="30">
        <v>67.900000000000006</v>
      </c>
    </row>
    <row r="530" spans="1:7" x14ac:dyDescent="0.25">
      <c r="A530" s="29">
        <v>38136</v>
      </c>
      <c r="B530" s="30">
        <v>63</v>
      </c>
      <c r="C530" s="30">
        <v>62.4</v>
      </c>
      <c r="D530" s="30"/>
      <c r="E530" s="30"/>
      <c r="F530" s="30">
        <v>64.8</v>
      </c>
      <c r="G530" s="30">
        <v>62.8</v>
      </c>
    </row>
    <row r="531" spans="1:7" x14ac:dyDescent="0.25">
      <c r="A531" s="29">
        <v>38137</v>
      </c>
      <c r="B531" s="30">
        <v>61.8</v>
      </c>
      <c r="C531" s="30">
        <v>62.9</v>
      </c>
      <c r="D531" s="30"/>
      <c r="E531" s="30"/>
      <c r="F531" s="30">
        <v>58.2</v>
      </c>
      <c r="G531" s="30">
        <v>62.2</v>
      </c>
    </row>
    <row r="532" spans="1:7" x14ac:dyDescent="0.25">
      <c r="A532" s="29">
        <v>38138</v>
      </c>
      <c r="B532" s="30">
        <v>61.8</v>
      </c>
      <c r="C532" s="30">
        <v>63</v>
      </c>
      <c r="D532" s="30"/>
      <c r="E532" s="30"/>
      <c r="F532" s="30">
        <v>63.2</v>
      </c>
      <c r="G532" s="30">
        <v>63.2</v>
      </c>
    </row>
    <row r="533" spans="1:7" x14ac:dyDescent="0.25">
      <c r="A533" s="29">
        <v>38139</v>
      </c>
      <c r="B533" s="30">
        <v>59.4</v>
      </c>
      <c r="C533" s="30">
        <v>59.5</v>
      </c>
      <c r="D533" s="30"/>
      <c r="E533" s="30"/>
      <c r="F533" s="30">
        <v>62.6</v>
      </c>
      <c r="G533" s="30">
        <v>60.1</v>
      </c>
    </row>
    <row r="534" spans="1:7" x14ac:dyDescent="0.25">
      <c r="A534" s="29">
        <v>38140</v>
      </c>
      <c r="B534" s="30">
        <v>65.7</v>
      </c>
      <c r="C534" s="30">
        <v>67.7</v>
      </c>
      <c r="D534" s="30"/>
      <c r="E534" s="30"/>
      <c r="F534" s="30">
        <v>67.3</v>
      </c>
      <c r="G534" s="30">
        <v>67.2</v>
      </c>
    </row>
    <row r="535" spans="1:7" x14ac:dyDescent="0.25">
      <c r="A535" s="29">
        <v>38141</v>
      </c>
      <c r="B535" s="30">
        <v>67.8</v>
      </c>
      <c r="C535" s="30">
        <v>68.599999999999994</v>
      </c>
      <c r="D535" s="30"/>
      <c r="E535" s="30"/>
      <c r="F535" s="30">
        <v>67.2</v>
      </c>
      <c r="G535" s="30">
        <v>68.5</v>
      </c>
    </row>
    <row r="536" spans="1:7" x14ac:dyDescent="0.25">
      <c r="A536" s="29">
        <v>38142</v>
      </c>
      <c r="B536" s="30">
        <v>64.8</v>
      </c>
      <c r="C536" s="30">
        <v>66.599999999999994</v>
      </c>
      <c r="D536" s="30"/>
      <c r="E536" s="30"/>
      <c r="F536" s="30">
        <v>62.9</v>
      </c>
      <c r="G536" s="30">
        <v>67.099999999999994</v>
      </c>
    </row>
    <row r="537" spans="1:7" x14ac:dyDescent="0.25">
      <c r="A537" s="29">
        <v>38143</v>
      </c>
      <c r="B537" s="30">
        <v>62.6</v>
      </c>
      <c r="C537" s="30">
        <v>62.2</v>
      </c>
      <c r="D537" s="30"/>
      <c r="E537" s="30"/>
      <c r="F537" s="30">
        <v>62.2</v>
      </c>
      <c r="G537" s="30">
        <v>63.7</v>
      </c>
    </row>
    <row r="538" spans="1:7" x14ac:dyDescent="0.25">
      <c r="A538" s="29">
        <v>38144</v>
      </c>
      <c r="B538" s="30">
        <v>58.8</v>
      </c>
      <c r="C538" s="30">
        <v>58.6</v>
      </c>
      <c r="D538" s="30"/>
      <c r="E538" s="30"/>
      <c r="F538" s="30">
        <v>60.5</v>
      </c>
      <c r="G538" s="30">
        <v>59.3</v>
      </c>
    </row>
    <row r="539" spans="1:7" x14ac:dyDescent="0.25">
      <c r="A539" s="29">
        <v>38145</v>
      </c>
      <c r="B539" s="30">
        <v>64.2</v>
      </c>
      <c r="C539" s="30">
        <v>66.3</v>
      </c>
      <c r="D539" s="30"/>
      <c r="E539" s="30"/>
      <c r="F539" s="30">
        <v>65.599999999999994</v>
      </c>
      <c r="G539" s="30">
        <v>67.8</v>
      </c>
    </row>
    <row r="540" spans="1:7" x14ac:dyDescent="0.25">
      <c r="A540" s="29">
        <v>38146</v>
      </c>
      <c r="B540" s="30">
        <v>71.400000000000006</v>
      </c>
      <c r="C540" s="30">
        <v>78.7</v>
      </c>
      <c r="D540" s="30"/>
      <c r="E540" s="30"/>
      <c r="F540" s="30">
        <v>70.599999999999994</v>
      </c>
      <c r="G540" s="30">
        <v>77.3</v>
      </c>
    </row>
    <row r="541" spans="1:7" x14ac:dyDescent="0.25">
      <c r="A541" s="29">
        <v>38147</v>
      </c>
      <c r="B541" s="30">
        <v>76.2</v>
      </c>
      <c r="C541" s="30">
        <v>82.5</v>
      </c>
      <c r="D541" s="30"/>
      <c r="E541" s="30"/>
      <c r="F541" s="30">
        <v>76.099999999999994</v>
      </c>
      <c r="G541" s="30">
        <v>81.900000000000006</v>
      </c>
    </row>
    <row r="542" spans="1:7" x14ac:dyDescent="0.25">
      <c r="A542" s="29">
        <v>38148</v>
      </c>
      <c r="B542" s="30">
        <v>77.5</v>
      </c>
      <c r="C542" s="30">
        <v>78.5</v>
      </c>
      <c r="D542" s="30"/>
      <c r="E542" s="30"/>
      <c r="F542" s="30">
        <v>79.2</v>
      </c>
      <c r="G542" s="30">
        <v>80</v>
      </c>
    </row>
    <row r="543" spans="1:7" x14ac:dyDescent="0.25">
      <c r="A543" s="29">
        <v>38149</v>
      </c>
      <c r="B543" s="30">
        <v>64.2</v>
      </c>
      <c r="C543" s="30">
        <v>66.8</v>
      </c>
      <c r="D543" s="30"/>
      <c r="E543" s="30"/>
      <c r="F543" s="30">
        <v>61.1</v>
      </c>
      <c r="G543" s="30">
        <v>65.7</v>
      </c>
    </row>
    <row r="544" spans="1:7" x14ac:dyDescent="0.25">
      <c r="A544" s="29">
        <v>38150</v>
      </c>
      <c r="B544" s="30">
        <v>64.3</v>
      </c>
      <c r="C544" s="30">
        <v>67.3</v>
      </c>
      <c r="D544" s="30"/>
      <c r="E544" s="30"/>
      <c r="F544" s="30">
        <v>61.7</v>
      </c>
      <c r="G544" s="30">
        <v>66.900000000000006</v>
      </c>
    </row>
    <row r="545" spans="1:7" x14ac:dyDescent="0.25">
      <c r="A545" s="29">
        <v>38151</v>
      </c>
      <c r="B545" s="30">
        <v>64.599999999999994</v>
      </c>
      <c r="C545" s="30">
        <v>67.3</v>
      </c>
      <c r="D545" s="30"/>
      <c r="E545" s="30"/>
      <c r="F545" s="30">
        <v>63</v>
      </c>
      <c r="G545" s="30">
        <v>66.900000000000006</v>
      </c>
    </row>
    <row r="546" spans="1:7" x14ac:dyDescent="0.25">
      <c r="A546" s="29">
        <v>38152</v>
      </c>
      <c r="B546" s="30">
        <v>67.5</v>
      </c>
      <c r="C546" s="30">
        <v>70.2</v>
      </c>
      <c r="D546" s="30"/>
      <c r="E546" s="30"/>
      <c r="F546" s="30">
        <v>71.2</v>
      </c>
      <c r="G546" s="30">
        <v>71.3</v>
      </c>
    </row>
    <row r="547" spans="1:7" x14ac:dyDescent="0.25">
      <c r="A547" s="29">
        <v>38153</v>
      </c>
      <c r="B547" s="30">
        <v>73.5</v>
      </c>
      <c r="C547" s="30">
        <v>78.5</v>
      </c>
      <c r="D547" s="30"/>
      <c r="E547" s="30"/>
      <c r="F547" s="30">
        <v>75.5</v>
      </c>
      <c r="G547" s="30">
        <v>80.2</v>
      </c>
    </row>
    <row r="548" spans="1:7" x14ac:dyDescent="0.25">
      <c r="A548" s="29">
        <v>38154</v>
      </c>
      <c r="B548" s="30">
        <v>76.7</v>
      </c>
      <c r="C548" s="30">
        <v>80.3</v>
      </c>
      <c r="D548" s="30"/>
      <c r="E548" s="30"/>
      <c r="F548" s="30">
        <v>77</v>
      </c>
      <c r="G548" s="30">
        <v>80.8</v>
      </c>
    </row>
    <row r="549" spans="1:7" x14ac:dyDescent="0.25">
      <c r="A549" s="29">
        <v>38155</v>
      </c>
      <c r="B549" s="30">
        <v>74.599999999999994</v>
      </c>
      <c r="C549" s="30">
        <v>78.3</v>
      </c>
      <c r="D549" s="30"/>
      <c r="E549" s="30"/>
      <c r="F549" s="30">
        <v>77.3</v>
      </c>
      <c r="G549" s="30">
        <v>80.3</v>
      </c>
    </row>
    <row r="550" spans="1:7" x14ac:dyDescent="0.25">
      <c r="A550" s="29">
        <v>38156</v>
      </c>
      <c r="B550" s="30">
        <v>76.8</v>
      </c>
      <c r="C550" s="30">
        <v>78.900000000000006</v>
      </c>
      <c r="D550" s="30"/>
      <c r="E550" s="30"/>
      <c r="F550" s="30">
        <v>78.900000000000006</v>
      </c>
      <c r="G550" s="30">
        <v>79.3</v>
      </c>
    </row>
    <row r="551" spans="1:7" x14ac:dyDescent="0.25">
      <c r="A551" s="29">
        <v>38157</v>
      </c>
      <c r="B551" s="30">
        <v>75.599999999999994</v>
      </c>
      <c r="C551" s="30">
        <v>76.2</v>
      </c>
      <c r="D551" s="30"/>
      <c r="E551" s="30"/>
      <c r="F551" s="30">
        <v>78.8</v>
      </c>
      <c r="G551" s="30">
        <v>79.599999999999994</v>
      </c>
    </row>
    <row r="552" spans="1:7" x14ac:dyDescent="0.25">
      <c r="A552" s="29">
        <v>38158</v>
      </c>
      <c r="B552" s="30">
        <v>66.8</v>
      </c>
      <c r="C552" s="30">
        <v>67</v>
      </c>
      <c r="D552" s="30"/>
      <c r="E552" s="30"/>
      <c r="F552" s="30">
        <v>65.8</v>
      </c>
      <c r="G552" s="30">
        <v>67.400000000000006</v>
      </c>
    </row>
    <row r="553" spans="1:7" x14ac:dyDescent="0.25">
      <c r="A553" s="29">
        <v>38159</v>
      </c>
      <c r="B553" s="30">
        <v>67.8</v>
      </c>
      <c r="C553" s="30">
        <v>72.099999999999994</v>
      </c>
      <c r="D553" s="30"/>
      <c r="E553" s="30"/>
      <c r="F553" s="30">
        <v>65.2</v>
      </c>
      <c r="G553" s="30">
        <v>70.900000000000006</v>
      </c>
    </row>
    <row r="554" spans="1:7" x14ac:dyDescent="0.25">
      <c r="A554" s="29">
        <v>38160</v>
      </c>
      <c r="B554" s="30">
        <v>68</v>
      </c>
      <c r="C554" s="30">
        <v>72.2</v>
      </c>
      <c r="D554" s="30"/>
      <c r="E554" s="30"/>
      <c r="F554" s="30">
        <v>73.2</v>
      </c>
      <c r="G554" s="30">
        <v>72</v>
      </c>
    </row>
    <row r="555" spans="1:7" x14ac:dyDescent="0.25">
      <c r="A555" s="29">
        <v>38161</v>
      </c>
      <c r="B555" s="30">
        <v>73.400000000000006</v>
      </c>
      <c r="C555" s="30">
        <v>76</v>
      </c>
      <c r="D555" s="30"/>
      <c r="E555" s="30"/>
      <c r="F555" s="30">
        <v>72.900000000000006</v>
      </c>
      <c r="G555" s="30">
        <v>75.8</v>
      </c>
    </row>
    <row r="556" spans="1:7" x14ac:dyDescent="0.25">
      <c r="A556" s="29">
        <v>38162</v>
      </c>
      <c r="B556" s="30">
        <v>71.3</v>
      </c>
      <c r="C556" s="30">
        <v>74</v>
      </c>
      <c r="D556" s="30"/>
      <c r="E556" s="30"/>
      <c r="F556" s="30">
        <v>73</v>
      </c>
      <c r="G556" s="30">
        <v>75.8</v>
      </c>
    </row>
    <row r="557" spans="1:7" x14ac:dyDescent="0.25">
      <c r="A557" s="29">
        <v>38163</v>
      </c>
      <c r="B557" s="30">
        <v>70.7</v>
      </c>
      <c r="C557" s="30">
        <v>73.8</v>
      </c>
      <c r="D557" s="30"/>
      <c r="E557" s="30"/>
      <c r="F557" s="30">
        <v>73.5</v>
      </c>
      <c r="G557" s="30">
        <v>73.900000000000006</v>
      </c>
    </row>
    <row r="558" spans="1:7" x14ac:dyDescent="0.25">
      <c r="A558" s="29">
        <v>38164</v>
      </c>
      <c r="B558" s="30">
        <v>71.8</v>
      </c>
      <c r="C558" s="30">
        <v>72.599999999999994</v>
      </c>
      <c r="D558" s="30"/>
      <c r="E558" s="30"/>
      <c r="F558" s="30">
        <v>74.400000000000006</v>
      </c>
      <c r="G558" s="30">
        <v>72.8</v>
      </c>
    </row>
    <row r="559" spans="1:7" x14ac:dyDescent="0.25">
      <c r="A559" s="29">
        <v>38165</v>
      </c>
      <c r="B559" s="30">
        <v>70.099999999999994</v>
      </c>
      <c r="C559" s="30">
        <v>71.2</v>
      </c>
      <c r="D559" s="30"/>
      <c r="E559" s="30"/>
      <c r="F559" s="30">
        <v>68.8</v>
      </c>
      <c r="G559" s="30">
        <v>70.7</v>
      </c>
    </row>
    <row r="560" spans="1:7" x14ac:dyDescent="0.25">
      <c r="A560" s="29">
        <v>38166</v>
      </c>
      <c r="B560" s="30">
        <v>71.5</v>
      </c>
      <c r="C560" s="30">
        <v>74</v>
      </c>
      <c r="D560" s="30"/>
      <c r="E560" s="30"/>
      <c r="F560" s="30">
        <v>70.900000000000006</v>
      </c>
      <c r="G560" s="30">
        <v>72.2</v>
      </c>
    </row>
    <row r="561" spans="1:7" x14ac:dyDescent="0.25">
      <c r="A561" s="29">
        <v>38167</v>
      </c>
      <c r="B561" s="30">
        <v>69.900000000000006</v>
      </c>
      <c r="C561" s="30">
        <v>71.3</v>
      </c>
      <c r="D561" s="30"/>
      <c r="E561" s="30"/>
      <c r="F561" s="30">
        <v>70.2</v>
      </c>
      <c r="G561" s="30">
        <v>71.3</v>
      </c>
    </row>
    <row r="562" spans="1:7" x14ac:dyDescent="0.25">
      <c r="A562" s="29">
        <v>38168</v>
      </c>
      <c r="B562" s="30">
        <v>71.8</v>
      </c>
      <c r="C562" s="30">
        <v>76.7</v>
      </c>
      <c r="D562" s="30"/>
      <c r="E562" s="30"/>
      <c r="F562" s="30">
        <v>72.400000000000006</v>
      </c>
      <c r="G562" s="30">
        <v>74.8</v>
      </c>
    </row>
    <row r="563" spans="1:7" x14ac:dyDescent="0.25">
      <c r="A563" s="29">
        <v>38169</v>
      </c>
      <c r="B563" s="30">
        <v>72.2</v>
      </c>
      <c r="C563" s="30">
        <v>77.5</v>
      </c>
      <c r="D563" s="30"/>
      <c r="E563" s="30"/>
      <c r="F563" s="30">
        <v>73.2</v>
      </c>
      <c r="G563" s="30">
        <v>76.099999999999994</v>
      </c>
    </row>
    <row r="564" spans="1:7" x14ac:dyDescent="0.25">
      <c r="A564" s="29">
        <v>38170</v>
      </c>
      <c r="B564" s="30">
        <v>73.7</v>
      </c>
      <c r="C564" s="30">
        <v>78</v>
      </c>
      <c r="D564" s="30"/>
      <c r="E564" s="30"/>
      <c r="F564" s="30">
        <v>74.7</v>
      </c>
      <c r="G564" s="30">
        <v>78.400000000000006</v>
      </c>
    </row>
    <row r="565" spans="1:7" x14ac:dyDescent="0.25">
      <c r="A565" s="29">
        <v>38171</v>
      </c>
      <c r="B565" s="30">
        <v>74.400000000000006</v>
      </c>
      <c r="C565" s="30">
        <v>75.5</v>
      </c>
      <c r="D565" s="30"/>
      <c r="E565" s="30"/>
      <c r="F565" s="30">
        <v>73.900000000000006</v>
      </c>
      <c r="G565" s="30">
        <v>77.7</v>
      </c>
    </row>
    <row r="566" spans="1:7" x14ac:dyDescent="0.25">
      <c r="A566" s="29">
        <v>38172</v>
      </c>
      <c r="B566" s="30">
        <v>72.2</v>
      </c>
      <c r="C566" s="30">
        <v>76.599999999999994</v>
      </c>
      <c r="D566" s="30"/>
      <c r="E566" s="30"/>
      <c r="F566" s="30">
        <v>72.400000000000006</v>
      </c>
      <c r="G566" s="30">
        <v>75.3</v>
      </c>
    </row>
    <row r="567" spans="1:7" x14ac:dyDescent="0.25">
      <c r="A567" s="29">
        <v>38173</v>
      </c>
      <c r="B567" s="30">
        <v>74.5</v>
      </c>
      <c r="C567" s="30">
        <v>76.8</v>
      </c>
      <c r="D567" s="30"/>
      <c r="E567" s="30"/>
      <c r="F567" s="30">
        <v>80.099999999999994</v>
      </c>
      <c r="G567" s="30">
        <v>77.900000000000006</v>
      </c>
    </row>
    <row r="568" spans="1:7" x14ac:dyDescent="0.25">
      <c r="A568" s="29">
        <v>38174</v>
      </c>
      <c r="B568" s="30">
        <v>77.099999999999994</v>
      </c>
      <c r="C568" s="30">
        <v>78.2</v>
      </c>
      <c r="D568" s="30"/>
      <c r="E568" s="30"/>
      <c r="F568" s="30">
        <v>79.400000000000006</v>
      </c>
      <c r="G568" s="30">
        <v>79.3</v>
      </c>
    </row>
    <row r="569" spans="1:7" x14ac:dyDescent="0.25">
      <c r="A569" s="29">
        <v>38175</v>
      </c>
      <c r="B569" s="30">
        <v>74.900000000000006</v>
      </c>
      <c r="C569" s="30">
        <v>76</v>
      </c>
      <c r="D569" s="30"/>
      <c r="E569" s="30"/>
      <c r="F569" s="30">
        <v>74.5</v>
      </c>
      <c r="G569" s="30">
        <v>75.8</v>
      </c>
    </row>
    <row r="570" spans="1:7" x14ac:dyDescent="0.25">
      <c r="A570" s="29">
        <v>38176</v>
      </c>
      <c r="B570" s="30">
        <v>77.599999999999994</v>
      </c>
      <c r="C570" s="30">
        <v>79.900000000000006</v>
      </c>
      <c r="D570" s="30"/>
      <c r="E570" s="30"/>
      <c r="F570" s="30">
        <v>79.2</v>
      </c>
      <c r="G570" s="30">
        <v>79.8</v>
      </c>
    </row>
    <row r="571" spans="1:7" x14ac:dyDescent="0.25">
      <c r="A571" s="29">
        <v>38177</v>
      </c>
      <c r="B571" s="30">
        <v>76.400000000000006</v>
      </c>
      <c r="C571" s="30">
        <v>76.400000000000006</v>
      </c>
      <c r="D571" s="30"/>
      <c r="E571" s="30"/>
      <c r="F571" s="30">
        <v>76.2</v>
      </c>
      <c r="G571" s="30">
        <v>76</v>
      </c>
    </row>
    <row r="572" spans="1:7" x14ac:dyDescent="0.25">
      <c r="A572" s="29">
        <v>38178</v>
      </c>
      <c r="B572" s="30">
        <v>74</v>
      </c>
      <c r="C572" s="30">
        <v>74.8</v>
      </c>
      <c r="D572" s="30"/>
      <c r="E572" s="30"/>
      <c r="F572" s="30">
        <v>72.599999999999994</v>
      </c>
      <c r="G572" s="30">
        <v>74.400000000000006</v>
      </c>
    </row>
    <row r="573" spans="1:7" x14ac:dyDescent="0.25">
      <c r="A573" s="29">
        <v>38179</v>
      </c>
      <c r="B573" s="30">
        <v>76.2</v>
      </c>
      <c r="C573" s="30">
        <v>78.900000000000006</v>
      </c>
      <c r="D573" s="30"/>
      <c r="E573" s="30"/>
      <c r="F573" s="30">
        <v>76.8</v>
      </c>
      <c r="G573" s="30">
        <v>78.400000000000006</v>
      </c>
    </row>
    <row r="574" spans="1:7" x14ac:dyDescent="0.25">
      <c r="A574" s="29">
        <v>38180</v>
      </c>
      <c r="B574" s="30">
        <v>71.099999999999994</v>
      </c>
      <c r="C574" s="30">
        <v>72.599999999999994</v>
      </c>
      <c r="D574" s="30"/>
      <c r="E574" s="30"/>
      <c r="F574" s="30">
        <v>74.7</v>
      </c>
      <c r="G574" s="30">
        <v>71.7</v>
      </c>
    </row>
    <row r="575" spans="1:7" x14ac:dyDescent="0.25">
      <c r="A575" s="29">
        <v>38181</v>
      </c>
      <c r="B575" s="30">
        <v>66.3</v>
      </c>
      <c r="C575" s="30">
        <v>66.099999999999994</v>
      </c>
      <c r="D575" s="30"/>
      <c r="E575" s="30"/>
      <c r="F575" s="30">
        <v>72.099999999999994</v>
      </c>
      <c r="G575" s="30">
        <v>66.400000000000006</v>
      </c>
    </row>
    <row r="576" spans="1:7" x14ac:dyDescent="0.25">
      <c r="A576" s="29">
        <v>38182</v>
      </c>
      <c r="B576" s="30">
        <v>69.099999999999994</v>
      </c>
      <c r="C576" s="30">
        <v>69.7</v>
      </c>
      <c r="D576" s="30"/>
      <c r="E576" s="30"/>
      <c r="F576" s="30">
        <v>70.599999999999994</v>
      </c>
      <c r="G576" s="30">
        <v>69.7</v>
      </c>
    </row>
    <row r="577" spans="1:7" x14ac:dyDescent="0.25">
      <c r="A577" s="29">
        <v>38183</v>
      </c>
      <c r="B577" s="30">
        <v>72.8</v>
      </c>
      <c r="C577" s="30">
        <v>73.599999999999994</v>
      </c>
      <c r="D577" s="30"/>
      <c r="E577" s="30"/>
      <c r="F577" s="30">
        <v>72.5</v>
      </c>
      <c r="G577" s="30">
        <v>72.900000000000006</v>
      </c>
    </row>
    <row r="578" spans="1:7" x14ac:dyDescent="0.25">
      <c r="A578" s="29">
        <v>38184</v>
      </c>
      <c r="B578" s="30">
        <v>73.7</v>
      </c>
      <c r="C578" s="30">
        <v>74.900000000000006</v>
      </c>
      <c r="D578" s="30"/>
      <c r="E578" s="30"/>
      <c r="F578" s="30">
        <v>74.8</v>
      </c>
      <c r="G578" s="30">
        <v>72.8</v>
      </c>
    </row>
    <row r="579" spans="1:7" x14ac:dyDescent="0.25">
      <c r="A579" s="29">
        <v>38185</v>
      </c>
      <c r="B579" s="30">
        <v>75.8</v>
      </c>
      <c r="C579" s="30">
        <v>77.7</v>
      </c>
      <c r="D579" s="30"/>
      <c r="E579" s="30"/>
      <c r="F579" s="30">
        <v>76.2</v>
      </c>
      <c r="G579" s="30">
        <v>76.400000000000006</v>
      </c>
    </row>
    <row r="580" spans="1:7" x14ac:dyDescent="0.25">
      <c r="A580" s="29">
        <v>38186</v>
      </c>
      <c r="B580" s="30">
        <v>74.3</v>
      </c>
      <c r="C580" s="30">
        <v>73.900000000000006</v>
      </c>
      <c r="D580" s="30"/>
      <c r="E580" s="30"/>
      <c r="F580" s="30">
        <v>74.099999999999994</v>
      </c>
      <c r="G580" s="30">
        <v>75</v>
      </c>
    </row>
    <row r="581" spans="1:7" x14ac:dyDescent="0.25">
      <c r="A581" s="29">
        <v>38187</v>
      </c>
      <c r="B581" s="30">
        <v>73.400000000000006</v>
      </c>
      <c r="C581" s="30">
        <v>73</v>
      </c>
      <c r="D581" s="30"/>
      <c r="E581" s="30"/>
      <c r="F581" s="30">
        <v>72.8</v>
      </c>
      <c r="G581" s="30">
        <v>71.3</v>
      </c>
    </row>
    <row r="582" spans="1:7" x14ac:dyDescent="0.25">
      <c r="A582" s="29">
        <v>38188</v>
      </c>
      <c r="B582" s="30">
        <v>76.3</v>
      </c>
      <c r="C582" s="30">
        <v>78.900000000000006</v>
      </c>
      <c r="D582" s="30"/>
      <c r="E582" s="30"/>
      <c r="F582" s="30">
        <v>77.2</v>
      </c>
      <c r="G582" s="30">
        <v>77.2</v>
      </c>
    </row>
    <row r="583" spans="1:7" x14ac:dyDescent="0.25">
      <c r="A583" s="29">
        <v>38189</v>
      </c>
      <c r="B583" s="30">
        <v>77.7</v>
      </c>
      <c r="C583" s="30">
        <v>80.2</v>
      </c>
      <c r="D583" s="30"/>
      <c r="E583" s="30"/>
      <c r="F583" s="30">
        <v>76.8</v>
      </c>
      <c r="G583" s="30">
        <v>79.599999999999994</v>
      </c>
    </row>
    <row r="584" spans="1:7" x14ac:dyDescent="0.25">
      <c r="A584" s="29">
        <v>38190</v>
      </c>
      <c r="B584" s="30">
        <v>77.2</v>
      </c>
      <c r="C584" s="30">
        <v>81.099999999999994</v>
      </c>
      <c r="D584" s="30"/>
      <c r="E584" s="30"/>
      <c r="F584" s="30">
        <v>77.400000000000006</v>
      </c>
      <c r="G584" s="30">
        <v>79.7</v>
      </c>
    </row>
    <row r="585" spans="1:7" x14ac:dyDescent="0.25">
      <c r="A585" s="29">
        <v>38191</v>
      </c>
      <c r="B585" s="30">
        <v>75.900000000000006</v>
      </c>
      <c r="C585" s="30">
        <v>76.599999999999994</v>
      </c>
      <c r="D585" s="30"/>
      <c r="E585" s="30"/>
      <c r="F585" s="30">
        <v>78.8</v>
      </c>
      <c r="G585" s="30">
        <v>76.2</v>
      </c>
    </row>
    <row r="586" spans="1:7" x14ac:dyDescent="0.25">
      <c r="A586" s="29">
        <v>38192</v>
      </c>
      <c r="B586" s="30">
        <v>71.5</v>
      </c>
      <c r="C586" s="30">
        <v>72.400000000000006</v>
      </c>
      <c r="D586" s="30"/>
      <c r="E586" s="30"/>
      <c r="F586" s="30">
        <v>74.8</v>
      </c>
      <c r="G586" s="30">
        <v>71.7</v>
      </c>
    </row>
    <row r="587" spans="1:7" x14ac:dyDescent="0.25">
      <c r="A587" s="29">
        <v>38193</v>
      </c>
      <c r="B587" s="30">
        <v>70.2</v>
      </c>
      <c r="C587" s="30">
        <v>70.8</v>
      </c>
      <c r="D587" s="30"/>
      <c r="E587" s="30"/>
      <c r="F587" s="30">
        <v>69.7</v>
      </c>
      <c r="G587" s="30">
        <v>71.400000000000006</v>
      </c>
    </row>
    <row r="588" spans="1:7" x14ac:dyDescent="0.25">
      <c r="A588" s="29">
        <v>38194</v>
      </c>
      <c r="B588" s="30">
        <v>70.8</v>
      </c>
      <c r="C588" s="30">
        <v>71.8</v>
      </c>
      <c r="D588" s="30"/>
      <c r="E588" s="30"/>
      <c r="F588" s="30">
        <v>69.8</v>
      </c>
      <c r="G588" s="30">
        <v>72.2</v>
      </c>
    </row>
    <row r="589" spans="1:7" x14ac:dyDescent="0.25">
      <c r="A589" s="29">
        <v>38195</v>
      </c>
      <c r="B589" s="30">
        <v>69.5</v>
      </c>
      <c r="C589" s="30">
        <v>71.099999999999994</v>
      </c>
      <c r="D589" s="30"/>
      <c r="E589" s="30"/>
      <c r="F589" s="30">
        <v>73.900000000000006</v>
      </c>
      <c r="G589" s="30">
        <v>70.8</v>
      </c>
    </row>
    <row r="590" spans="1:7" x14ac:dyDescent="0.25">
      <c r="A590" s="29">
        <v>38196</v>
      </c>
      <c r="B590" s="30">
        <v>71.599999999999994</v>
      </c>
      <c r="C590" s="30">
        <v>70.599999999999994</v>
      </c>
      <c r="D590" s="30"/>
      <c r="E590" s="30"/>
      <c r="F590" s="30">
        <v>74.400000000000006</v>
      </c>
      <c r="G590" s="30">
        <v>69.599999999999994</v>
      </c>
    </row>
    <row r="591" spans="1:7" x14ac:dyDescent="0.25">
      <c r="A591" s="29">
        <v>38197</v>
      </c>
      <c r="B591" s="30">
        <v>74.5</v>
      </c>
      <c r="C591" s="30">
        <v>75.7</v>
      </c>
      <c r="D591" s="30"/>
      <c r="E591" s="30"/>
      <c r="F591" s="30">
        <v>74.7</v>
      </c>
      <c r="G591" s="30">
        <v>75</v>
      </c>
    </row>
    <row r="592" spans="1:7" x14ac:dyDescent="0.25">
      <c r="A592" s="29">
        <v>38198</v>
      </c>
      <c r="B592" s="30">
        <v>75</v>
      </c>
      <c r="C592" s="30">
        <v>78.8</v>
      </c>
      <c r="D592" s="30"/>
      <c r="E592" s="30"/>
      <c r="F592" s="30">
        <v>78.3</v>
      </c>
      <c r="G592" s="30">
        <v>76.8</v>
      </c>
    </row>
    <row r="593" spans="1:7" x14ac:dyDescent="0.25">
      <c r="A593" s="29">
        <v>38199</v>
      </c>
      <c r="B593" s="30">
        <v>77.400000000000006</v>
      </c>
      <c r="C593" s="30">
        <v>80.2</v>
      </c>
      <c r="D593" s="30"/>
      <c r="E593" s="30"/>
      <c r="F593" s="30">
        <v>79.599999999999994</v>
      </c>
      <c r="G593" s="30">
        <v>80.900000000000006</v>
      </c>
    </row>
    <row r="594" spans="1:7" x14ac:dyDescent="0.25">
      <c r="A594" s="29">
        <v>38200</v>
      </c>
      <c r="B594" s="30">
        <v>76.099999999999994</v>
      </c>
      <c r="C594" s="30">
        <v>79.400000000000006</v>
      </c>
      <c r="D594" s="30"/>
      <c r="E594" s="30"/>
      <c r="F594" s="30">
        <v>76.900000000000006</v>
      </c>
      <c r="G594" s="30">
        <v>78.599999999999994</v>
      </c>
    </row>
    <row r="595" spans="1:7" x14ac:dyDescent="0.25">
      <c r="A595" s="29">
        <v>38201</v>
      </c>
      <c r="B595" s="30">
        <v>77.2</v>
      </c>
      <c r="C595" s="30">
        <v>80</v>
      </c>
      <c r="D595" s="30"/>
      <c r="E595" s="30"/>
      <c r="F595" s="30">
        <v>75.8</v>
      </c>
      <c r="G595" s="30">
        <v>79.2</v>
      </c>
    </row>
    <row r="596" spans="1:7" x14ac:dyDescent="0.25">
      <c r="A596" s="29">
        <v>38202</v>
      </c>
      <c r="B596" s="30">
        <v>75.900000000000006</v>
      </c>
      <c r="C596" s="30">
        <v>79.099999999999994</v>
      </c>
      <c r="D596" s="30"/>
      <c r="E596" s="30"/>
      <c r="F596" s="30">
        <v>75.3</v>
      </c>
      <c r="G596" s="30">
        <v>78.099999999999994</v>
      </c>
    </row>
    <row r="597" spans="1:7" x14ac:dyDescent="0.25">
      <c r="A597" s="29">
        <v>38203</v>
      </c>
      <c r="B597" s="30">
        <v>78.3</v>
      </c>
      <c r="C597" s="30">
        <v>79.5</v>
      </c>
      <c r="D597" s="30"/>
      <c r="E597" s="30"/>
      <c r="F597" s="30">
        <v>76.5</v>
      </c>
      <c r="G597" s="30">
        <v>79.599999999999994</v>
      </c>
    </row>
    <row r="598" spans="1:7" x14ac:dyDescent="0.25">
      <c r="A598" s="29">
        <v>38204</v>
      </c>
      <c r="B598" s="30">
        <v>72.599999999999994</v>
      </c>
      <c r="C598" s="30">
        <v>73.7</v>
      </c>
      <c r="D598" s="30"/>
      <c r="E598" s="30"/>
      <c r="F598" s="30">
        <v>72.099999999999994</v>
      </c>
      <c r="G598" s="30">
        <v>73.099999999999994</v>
      </c>
    </row>
    <row r="599" spans="1:7" x14ac:dyDescent="0.25">
      <c r="A599" s="29">
        <v>38205</v>
      </c>
      <c r="B599" s="30">
        <v>68.8</v>
      </c>
      <c r="C599" s="30">
        <v>68.5</v>
      </c>
      <c r="D599" s="30"/>
      <c r="E599" s="30"/>
      <c r="F599" s="30">
        <v>66.8</v>
      </c>
      <c r="G599" s="30">
        <v>67.7</v>
      </c>
    </row>
    <row r="600" spans="1:7" x14ac:dyDescent="0.25">
      <c r="A600" s="29">
        <v>38206</v>
      </c>
      <c r="B600" s="30">
        <v>65.3</v>
      </c>
      <c r="C600" s="30">
        <v>66.099999999999994</v>
      </c>
      <c r="D600" s="30"/>
      <c r="E600" s="30"/>
      <c r="F600" s="30">
        <v>61.2</v>
      </c>
      <c r="G600" s="30">
        <v>64.900000000000006</v>
      </c>
    </row>
    <row r="601" spans="1:7" x14ac:dyDescent="0.25">
      <c r="A601" s="29">
        <v>38207</v>
      </c>
      <c r="B601" s="30">
        <v>69.2</v>
      </c>
      <c r="C601" s="30">
        <v>70.099999999999994</v>
      </c>
      <c r="D601" s="30"/>
      <c r="E601" s="30"/>
      <c r="F601" s="30">
        <v>66</v>
      </c>
      <c r="G601" s="30">
        <v>68.900000000000006</v>
      </c>
    </row>
    <row r="602" spans="1:7" x14ac:dyDescent="0.25">
      <c r="A602" s="29">
        <v>38208</v>
      </c>
      <c r="B602" s="30">
        <v>74</v>
      </c>
      <c r="C602" s="30">
        <v>76.8</v>
      </c>
      <c r="D602" s="30"/>
      <c r="E602" s="30"/>
      <c r="F602" s="30">
        <v>73.8</v>
      </c>
      <c r="G602" s="30">
        <v>75.8</v>
      </c>
    </row>
    <row r="603" spans="1:7" x14ac:dyDescent="0.25">
      <c r="A603" s="29">
        <v>38209</v>
      </c>
      <c r="B603" s="30">
        <v>73.599999999999994</v>
      </c>
      <c r="C603" s="30">
        <v>77.8</v>
      </c>
      <c r="D603" s="30"/>
      <c r="E603" s="30"/>
      <c r="F603" s="30">
        <v>73.599999999999994</v>
      </c>
      <c r="G603" s="30">
        <v>76.3</v>
      </c>
    </row>
    <row r="604" spans="1:7" x14ac:dyDescent="0.25">
      <c r="A604" s="29">
        <v>38210</v>
      </c>
      <c r="B604" s="30">
        <v>74.2</v>
      </c>
      <c r="C604" s="30">
        <v>75.8</v>
      </c>
      <c r="D604" s="30"/>
      <c r="E604" s="30"/>
      <c r="F604" s="30">
        <v>76.3</v>
      </c>
      <c r="G604" s="30">
        <v>75.8</v>
      </c>
    </row>
    <row r="605" spans="1:7" x14ac:dyDescent="0.25">
      <c r="A605" s="29">
        <v>38211</v>
      </c>
      <c r="B605" s="30">
        <v>74.3</v>
      </c>
      <c r="C605" s="30">
        <v>74.900000000000006</v>
      </c>
      <c r="D605" s="30"/>
      <c r="E605" s="30"/>
      <c r="F605" s="30">
        <v>76.5</v>
      </c>
      <c r="G605" s="30">
        <v>74.900000000000006</v>
      </c>
    </row>
    <row r="606" spans="1:7" x14ac:dyDescent="0.25">
      <c r="A606" s="29">
        <v>38212</v>
      </c>
      <c r="B606" s="30">
        <v>74.3</v>
      </c>
      <c r="C606" s="30">
        <v>75.599999999999994</v>
      </c>
      <c r="D606" s="30"/>
      <c r="E606" s="30"/>
      <c r="F606" s="30">
        <v>74.900000000000006</v>
      </c>
      <c r="G606" s="30">
        <v>76</v>
      </c>
    </row>
    <row r="607" spans="1:7" x14ac:dyDescent="0.25">
      <c r="A607" s="29">
        <v>38213</v>
      </c>
      <c r="B607" s="30">
        <v>72.8</v>
      </c>
      <c r="C607" s="30">
        <v>73.599999999999994</v>
      </c>
      <c r="D607" s="30"/>
      <c r="E607" s="30"/>
      <c r="F607" s="30">
        <v>71.7</v>
      </c>
      <c r="G607" s="30">
        <v>73.099999999999994</v>
      </c>
    </row>
    <row r="608" spans="1:7" x14ac:dyDescent="0.25">
      <c r="A608" s="29">
        <v>38214</v>
      </c>
      <c r="B608" s="30">
        <v>70.599999999999994</v>
      </c>
      <c r="C608" s="30">
        <v>71.099999999999994</v>
      </c>
      <c r="D608" s="30"/>
      <c r="E608" s="30"/>
      <c r="F608" s="30">
        <v>70.400000000000006</v>
      </c>
      <c r="G608" s="30">
        <v>70.900000000000006</v>
      </c>
    </row>
    <row r="609" spans="1:7" x14ac:dyDescent="0.25">
      <c r="A609" s="29">
        <v>38215</v>
      </c>
      <c r="B609" s="30">
        <v>70.2</v>
      </c>
      <c r="C609" s="30">
        <v>70.3</v>
      </c>
      <c r="D609" s="30"/>
      <c r="E609" s="30"/>
      <c r="F609" s="30">
        <v>69.2</v>
      </c>
      <c r="G609" s="30">
        <v>70.599999999999994</v>
      </c>
    </row>
    <row r="610" spans="1:7" x14ac:dyDescent="0.25">
      <c r="A610" s="29">
        <v>38216</v>
      </c>
      <c r="B610" s="30">
        <v>69.7</v>
      </c>
      <c r="C610" s="30">
        <v>70</v>
      </c>
      <c r="D610" s="30"/>
      <c r="E610" s="30"/>
      <c r="F610" s="30">
        <v>69.900000000000006</v>
      </c>
      <c r="G610" s="30">
        <v>69.7</v>
      </c>
    </row>
    <row r="611" spans="1:7" x14ac:dyDescent="0.25">
      <c r="A611" s="29">
        <v>38217</v>
      </c>
      <c r="B611" s="30">
        <v>72.2</v>
      </c>
      <c r="C611" s="30">
        <v>72.900000000000006</v>
      </c>
      <c r="D611" s="30"/>
      <c r="E611" s="30"/>
      <c r="F611" s="30">
        <v>74.3</v>
      </c>
      <c r="G611" s="30">
        <v>72</v>
      </c>
    </row>
    <row r="612" spans="1:7" x14ac:dyDescent="0.25">
      <c r="A612" s="29">
        <v>38218</v>
      </c>
      <c r="B612" s="30">
        <v>76.400000000000006</v>
      </c>
      <c r="C612" s="30">
        <v>77.3</v>
      </c>
      <c r="D612" s="30"/>
      <c r="E612" s="30"/>
      <c r="F612" s="30">
        <v>76.400000000000006</v>
      </c>
      <c r="G612" s="30">
        <v>76.900000000000006</v>
      </c>
    </row>
    <row r="613" spans="1:7" x14ac:dyDescent="0.25">
      <c r="A613" s="29">
        <v>38219</v>
      </c>
      <c r="B613" s="30">
        <v>78.099999999999994</v>
      </c>
      <c r="C613" s="30">
        <v>82.5</v>
      </c>
      <c r="D613" s="30"/>
      <c r="E613" s="30"/>
      <c r="F613" s="30">
        <v>79.5</v>
      </c>
      <c r="G613" s="30">
        <v>81.599999999999994</v>
      </c>
    </row>
    <row r="614" spans="1:7" x14ac:dyDescent="0.25">
      <c r="A614" s="29">
        <v>38220</v>
      </c>
      <c r="B614" s="30">
        <v>75.400000000000006</v>
      </c>
      <c r="C614" s="30">
        <v>78.3</v>
      </c>
      <c r="D614" s="30"/>
      <c r="E614" s="30"/>
      <c r="F614" s="30">
        <v>77.5</v>
      </c>
      <c r="G614" s="30">
        <v>78.5</v>
      </c>
    </row>
    <row r="615" spans="1:7" x14ac:dyDescent="0.25">
      <c r="A615" s="29">
        <v>38221</v>
      </c>
      <c r="B615" s="30">
        <v>67.900000000000006</v>
      </c>
      <c r="C615" s="30">
        <v>68.099999999999994</v>
      </c>
      <c r="D615" s="30"/>
      <c r="E615" s="30"/>
      <c r="F615" s="30">
        <v>66.3</v>
      </c>
      <c r="G615" s="30">
        <v>67.2</v>
      </c>
    </row>
    <row r="616" spans="1:7" x14ac:dyDescent="0.25">
      <c r="A616" s="29">
        <v>38222</v>
      </c>
      <c r="B616" s="30">
        <v>69.8</v>
      </c>
      <c r="C616" s="30">
        <v>72.7</v>
      </c>
      <c r="D616" s="30"/>
      <c r="E616" s="30"/>
      <c r="F616" s="30">
        <v>66.2</v>
      </c>
      <c r="G616" s="30">
        <v>71</v>
      </c>
    </row>
    <row r="617" spans="1:7" x14ac:dyDescent="0.25">
      <c r="A617" s="29">
        <v>38223</v>
      </c>
      <c r="B617" s="30">
        <v>73.2</v>
      </c>
      <c r="C617" s="30">
        <v>75</v>
      </c>
      <c r="D617" s="30"/>
      <c r="E617" s="30"/>
      <c r="F617" s="30">
        <v>69.2</v>
      </c>
      <c r="G617" s="30">
        <v>73.599999999999994</v>
      </c>
    </row>
    <row r="618" spans="1:7" x14ac:dyDescent="0.25">
      <c r="A618" s="29">
        <v>38224</v>
      </c>
      <c r="B618" s="30">
        <v>68.8</v>
      </c>
      <c r="C618" s="30">
        <v>70.900000000000006</v>
      </c>
      <c r="D618" s="30"/>
      <c r="E618" s="30"/>
      <c r="F618" s="30">
        <v>69.400000000000006</v>
      </c>
      <c r="G618" s="30">
        <v>70.8</v>
      </c>
    </row>
    <row r="619" spans="1:7" x14ac:dyDescent="0.25">
      <c r="A619" s="29">
        <v>38225</v>
      </c>
      <c r="B619" s="30">
        <v>67.8</v>
      </c>
      <c r="C619" s="30">
        <v>70.099999999999994</v>
      </c>
      <c r="D619" s="30"/>
      <c r="E619" s="30"/>
      <c r="F619" s="30">
        <v>68.400000000000006</v>
      </c>
      <c r="G619" s="30">
        <v>70</v>
      </c>
    </row>
    <row r="620" spans="1:7" x14ac:dyDescent="0.25">
      <c r="A620" s="29">
        <v>38226</v>
      </c>
      <c r="B620" s="30">
        <v>73.2</v>
      </c>
      <c r="C620" s="30">
        <v>74.599999999999994</v>
      </c>
      <c r="D620" s="30"/>
      <c r="E620" s="30"/>
      <c r="F620" s="30">
        <v>71.3</v>
      </c>
      <c r="G620" s="30">
        <v>75.400000000000006</v>
      </c>
    </row>
    <row r="621" spans="1:7" x14ac:dyDescent="0.25">
      <c r="A621" s="29">
        <v>38227</v>
      </c>
      <c r="B621" s="30">
        <v>76.400000000000006</v>
      </c>
      <c r="C621" s="30">
        <v>79.400000000000006</v>
      </c>
      <c r="D621" s="30"/>
      <c r="E621" s="30"/>
      <c r="F621" s="30">
        <v>76.599999999999994</v>
      </c>
      <c r="G621" s="30">
        <v>79.900000000000006</v>
      </c>
    </row>
    <row r="622" spans="1:7" x14ac:dyDescent="0.25">
      <c r="A622" s="29">
        <v>38228</v>
      </c>
      <c r="B622" s="30">
        <v>76.3</v>
      </c>
      <c r="C622" s="30">
        <v>80.3</v>
      </c>
      <c r="D622" s="30"/>
      <c r="E622" s="30"/>
      <c r="F622" s="30">
        <v>75.5</v>
      </c>
      <c r="G622" s="30">
        <v>79.900000000000006</v>
      </c>
    </row>
    <row r="623" spans="1:7" x14ac:dyDescent="0.25">
      <c r="A623" s="29">
        <v>38229</v>
      </c>
      <c r="B623" s="30">
        <v>77.099999999999994</v>
      </c>
      <c r="C623" s="30">
        <v>77.900000000000006</v>
      </c>
      <c r="D623" s="30"/>
      <c r="E623" s="30"/>
      <c r="F623" s="30">
        <v>76.099999999999994</v>
      </c>
      <c r="G623" s="30">
        <v>78.2</v>
      </c>
    </row>
    <row r="624" spans="1:7" x14ac:dyDescent="0.25">
      <c r="A624" s="29">
        <v>38230</v>
      </c>
      <c r="B624" s="30">
        <v>77.7</v>
      </c>
      <c r="C624" s="30">
        <v>77.8</v>
      </c>
      <c r="D624" s="30"/>
      <c r="E624" s="30"/>
      <c r="F624" s="30">
        <v>76.599999999999994</v>
      </c>
      <c r="G624" s="30">
        <v>78.3</v>
      </c>
    </row>
    <row r="625" spans="1:7" x14ac:dyDescent="0.25">
      <c r="A625" s="29">
        <v>38231</v>
      </c>
      <c r="B625" s="30">
        <v>74.900000000000006</v>
      </c>
      <c r="C625" s="30">
        <v>74.400000000000006</v>
      </c>
      <c r="D625" s="30"/>
      <c r="E625" s="30"/>
      <c r="F625" s="30">
        <v>70.3</v>
      </c>
      <c r="G625" s="30">
        <v>74.400000000000006</v>
      </c>
    </row>
    <row r="626" spans="1:7" x14ac:dyDescent="0.25">
      <c r="A626" s="29">
        <v>38232</v>
      </c>
      <c r="B626" s="30">
        <v>72.099999999999994</v>
      </c>
      <c r="C626" s="30">
        <v>72.400000000000006</v>
      </c>
      <c r="D626" s="30"/>
      <c r="E626" s="30"/>
      <c r="F626" s="30">
        <v>68.8</v>
      </c>
      <c r="G626" s="30">
        <v>71.900000000000006</v>
      </c>
    </row>
    <row r="627" spans="1:7" x14ac:dyDescent="0.25">
      <c r="A627" s="29">
        <v>38233</v>
      </c>
      <c r="B627" s="30">
        <v>70.7</v>
      </c>
      <c r="C627" s="30">
        <v>72.599999999999994</v>
      </c>
      <c r="D627" s="30"/>
      <c r="E627" s="30"/>
      <c r="F627" s="30">
        <v>67.7</v>
      </c>
      <c r="G627" s="30">
        <v>71.8</v>
      </c>
    </row>
    <row r="628" spans="1:7" x14ac:dyDescent="0.25">
      <c r="A628" s="29">
        <v>38234</v>
      </c>
      <c r="B628" s="30">
        <v>74.5</v>
      </c>
      <c r="C628" s="30">
        <v>76.5</v>
      </c>
      <c r="D628" s="30"/>
      <c r="E628" s="30"/>
      <c r="F628" s="30">
        <v>70.400000000000006</v>
      </c>
      <c r="G628" s="30">
        <v>75.3</v>
      </c>
    </row>
    <row r="629" spans="1:7" x14ac:dyDescent="0.25">
      <c r="A629" s="29">
        <v>38235</v>
      </c>
      <c r="B629" s="30">
        <v>69.599999999999994</v>
      </c>
      <c r="C629" s="30">
        <v>70.900000000000006</v>
      </c>
      <c r="D629" s="30"/>
      <c r="E629" s="30"/>
      <c r="F629" s="30">
        <v>67.5</v>
      </c>
      <c r="G629" s="30">
        <v>71.5</v>
      </c>
    </row>
    <row r="630" spans="1:7" x14ac:dyDescent="0.25">
      <c r="A630" s="29">
        <v>38236</v>
      </c>
      <c r="B630" s="30">
        <v>65.7</v>
      </c>
      <c r="C630" s="30">
        <v>66.2</v>
      </c>
      <c r="D630" s="30"/>
      <c r="E630" s="30"/>
      <c r="F630" s="30">
        <v>68.900000000000006</v>
      </c>
      <c r="G630" s="30">
        <v>66.8</v>
      </c>
    </row>
    <row r="631" spans="1:7" x14ac:dyDescent="0.25">
      <c r="A631" s="29">
        <v>38237</v>
      </c>
      <c r="B631" s="30">
        <v>72.2</v>
      </c>
      <c r="C631" s="30">
        <v>72.5</v>
      </c>
      <c r="D631" s="30"/>
      <c r="E631" s="30"/>
      <c r="F631" s="30">
        <v>71.5</v>
      </c>
      <c r="G631" s="30">
        <v>72</v>
      </c>
    </row>
    <row r="632" spans="1:7" x14ac:dyDescent="0.25">
      <c r="A632" s="29">
        <v>38238</v>
      </c>
      <c r="B632" s="30">
        <v>73.2</v>
      </c>
      <c r="C632" s="30">
        <v>73.5</v>
      </c>
      <c r="D632" s="30"/>
      <c r="E632" s="30"/>
      <c r="F632" s="30">
        <v>74.8</v>
      </c>
      <c r="G632" s="30">
        <v>72.8</v>
      </c>
    </row>
    <row r="633" spans="1:7" x14ac:dyDescent="0.25">
      <c r="A633" s="29">
        <v>38239</v>
      </c>
      <c r="B633" s="30">
        <v>75.5</v>
      </c>
      <c r="C633" s="30">
        <v>76</v>
      </c>
      <c r="D633" s="30"/>
      <c r="E633" s="30"/>
      <c r="F633" s="30">
        <v>77.2</v>
      </c>
      <c r="G633" s="30">
        <v>76.8</v>
      </c>
    </row>
    <row r="634" spans="1:7" x14ac:dyDescent="0.25">
      <c r="A634" s="29">
        <v>38240</v>
      </c>
      <c r="B634" s="30">
        <v>74</v>
      </c>
      <c r="C634" s="30">
        <v>73.2</v>
      </c>
      <c r="D634" s="30"/>
      <c r="E634" s="30"/>
      <c r="F634" s="30">
        <v>73</v>
      </c>
      <c r="G634" s="30">
        <v>72.8</v>
      </c>
    </row>
    <row r="635" spans="1:7" x14ac:dyDescent="0.25">
      <c r="A635" s="29">
        <v>38241</v>
      </c>
      <c r="B635" s="30">
        <v>69.2</v>
      </c>
      <c r="C635" s="30">
        <v>69.900000000000006</v>
      </c>
      <c r="D635" s="30"/>
      <c r="E635" s="30"/>
      <c r="F635" s="30">
        <v>67.5</v>
      </c>
      <c r="G635" s="30">
        <v>68.400000000000006</v>
      </c>
    </row>
    <row r="636" spans="1:7" x14ac:dyDescent="0.25">
      <c r="A636" s="29">
        <v>38242</v>
      </c>
      <c r="B636" s="30">
        <v>68</v>
      </c>
      <c r="C636" s="30">
        <v>70.400000000000006</v>
      </c>
      <c r="D636" s="30"/>
      <c r="E636" s="30"/>
      <c r="F636" s="30">
        <v>64.7</v>
      </c>
      <c r="G636" s="30">
        <v>68.7</v>
      </c>
    </row>
    <row r="637" spans="1:7" x14ac:dyDescent="0.25">
      <c r="A637" s="29">
        <v>38243</v>
      </c>
      <c r="B637" s="30">
        <v>72.599999999999994</v>
      </c>
      <c r="C637" s="30">
        <v>74.3</v>
      </c>
      <c r="D637" s="30"/>
      <c r="E637" s="30"/>
      <c r="F637" s="30">
        <v>70.3</v>
      </c>
      <c r="G637" s="30">
        <v>73.2</v>
      </c>
    </row>
    <row r="638" spans="1:7" x14ac:dyDescent="0.25">
      <c r="A638" s="29">
        <v>38244</v>
      </c>
      <c r="B638" s="30">
        <v>69.8</v>
      </c>
      <c r="C638" s="30">
        <v>70.400000000000006</v>
      </c>
      <c r="D638" s="30"/>
      <c r="E638" s="30"/>
      <c r="F638" s="30">
        <v>68.8</v>
      </c>
      <c r="G638" s="30">
        <v>70.400000000000006</v>
      </c>
    </row>
    <row r="639" spans="1:7" x14ac:dyDescent="0.25">
      <c r="A639" s="29">
        <v>38245</v>
      </c>
      <c r="B639" s="30">
        <v>66.2</v>
      </c>
      <c r="C639" s="30">
        <v>66.599999999999994</v>
      </c>
      <c r="D639" s="30"/>
      <c r="E639" s="30"/>
      <c r="F639" s="30">
        <v>67</v>
      </c>
      <c r="G639" s="30">
        <v>67.5</v>
      </c>
    </row>
    <row r="640" spans="1:7" x14ac:dyDescent="0.25">
      <c r="A640" s="29">
        <v>38246</v>
      </c>
      <c r="B640" s="30">
        <v>71</v>
      </c>
      <c r="C640" s="30">
        <v>70.599999999999994</v>
      </c>
      <c r="D640" s="30"/>
      <c r="E640" s="30"/>
      <c r="F640" s="30">
        <v>71.7</v>
      </c>
      <c r="G640" s="30">
        <v>70.5</v>
      </c>
    </row>
    <row r="641" spans="1:7" x14ac:dyDescent="0.25">
      <c r="A641" s="29">
        <v>38247</v>
      </c>
      <c r="B641" s="30">
        <v>71.7</v>
      </c>
      <c r="C641" s="30">
        <v>73.7</v>
      </c>
      <c r="D641" s="30"/>
      <c r="E641" s="30"/>
      <c r="F641" s="30">
        <v>71.8</v>
      </c>
      <c r="G641" s="30">
        <v>71.599999999999994</v>
      </c>
    </row>
    <row r="642" spans="1:7" x14ac:dyDescent="0.25">
      <c r="A642" s="29">
        <v>38248</v>
      </c>
      <c r="B642" s="30">
        <v>69.8</v>
      </c>
      <c r="C642" s="30">
        <v>69.099999999999994</v>
      </c>
      <c r="D642" s="30"/>
      <c r="E642" s="30"/>
      <c r="F642" s="30">
        <v>72.2</v>
      </c>
      <c r="G642" s="30">
        <v>68.400000000000006</v>
      </c>
    </row>
    <row r="643" spans="1:7" x14ac:dyDescent="0.25">
      <c r="A643" s="29">
        <v>38249</v>
      </c>
      <c r="B643" s="30">
        <v>58.8</v>
      </c>
      <c r="C643" s="30">
        <v>58</v>
      </c>
      <c r="D643" s="30"/>
      <c r="E643" s="30"/>
      <c r="F643" s="30">
        <v>58.8</v>
      </c>
      <c r="G643" s="30">
        <v>58.4</v>
      </c>
    </row>
    <row r="644" spans="1:7" x14ac:dyDescent="0.25">
      <c r="A644" s="29">
        <v>38250</v>
      </c>
      <c r="B644" s="30">
        <v>60.4</v>
      </c>
      <c r="C644" s="30">
        <v>60.8</v>
      </c>
      <c r="D644" s="30"/>
      <c r="E644" s="30"/>
      <c r="F644" s="30">
        <v>56.6</v>
      </c>
      <c r="G644" s="30">
        <v>59.5</v>
      </c>
    </row>
    <row r="645" spans="1:7" x14ac:dyDescent="0.25">
      <c r="A645" s="29">
        <v>38251</v>
      </c>
      <c r="B645" s="30">
        <v>68.400000000000006</v>
      </c>
      <c r="C645" s="30">
        <v>68.900000000000006</v>
      </c>
      <c r="D645" s="30"/>
      <c r="E645" s="30"/>
      <c r="F645" s="30">
        <v>62.2</v>
      </c>
      <c r="G645" s="30">
        <v>66.400000000000006</v>
      </c>
    </row>
    <row r="646" spans="1:7" x14ac:dyDescent="0.25">
      <c r="A646" s="29">
        <v>38252</v>
      </c>
      <c r="B646" s="30">
        <v>72.599999999999994</v>
      </c>
      <c r="C646" s="30">
        <v>73.099999999999994</v>
      </c>
      <c r="D646" s="30"/>
      <c r="E646" s="30"/>
      <c r="F646" s="30">
        <v>67.5</v>
      </c>
      <c r="G646" s="30">
        <v>72.599999999999994</v>
      </c>
    </row>
    <row r="647" spans="1:7" x14ac:dyDescent="0.25">
      <c r="A647" s="29">
        <v>38253</v>
      </c>
      <c r="B647" s="30">
        <v>75.400000000000006</v>
      </c>
      <c r="C647" s="30">
        <v>75.2</v>
      </c>
      <c r="D647" s="30"/>
      <c r="E647" s="30"/>
      <c r="F647" s="30">
        <v>70.099999999999994</v>
      </c>
      <c r="G647" s="30">
        <v>75</v>
      </c>
    </row>
    <row r="648" spans="1:7" x14ac:dyDescent="0.25">
      <c r="A648" s="29">
        <v>38254</v>
      </c>
      <c r="B648" s="30">
        <v>67.2</v>
      </c>
      <c r="C648" s="30">
        <v>69.7</v>
      </c>
      <c r="D648" s="30"/>
      <c r="E648" s="30"/>
      <c r="F648" s="30">
        <v>64.400000000000006</v>
      </c>
      <c r="G648" s="30">
        <v>69.5</v>
      </c>
    </row>
    <row r="649" spans="1:7" x14ac:dyDescent="0.25">
      <c r="A649" s="29">
        <v>38255</v>
      </c>
      <c r="B649" s="30">
        <v>66.2</v>
      </c>
      <c r="C649" s="30">
        <v>68.2</v>
      </c>
      <c r="D649" s="30"/>
      <c r="E649" s="30"/>
      <c r="F649" s="30">
        <v>61.8</v>
      </c>
      <c r="G649" s="30">
        <v>67.099999999999994</v>
      </c>
    </row>
    <row r="650" spans="1:7" x14ac:dyDescent="0.25">
      <c r="A650" s="29">
        <v>38256</v>
      </c>
      <c r="B650" s="30">
        <v>70.7</v>
      </c>
      <c r="C650" s="30">
        <v>71.8</v>
      </c>
      <c r="D650" s="30"/>
      <c r="E650" s="30"/>
      <c r="F650" s="30">
        <v>66.3</v>
      </c>
      <c r="G650" s="30">
        <v>70.599999999999994</v>
      </c>
    </row>
    <row r="651" spans="1:7" x14ac:dyDescent="0.25">
      <c r="A651" s="29">
        <v>38257</v>
      </c>
      <c r="B651" s="30">
        <v>67.900000000000006</v>
      </c>
      <c r="C651" s="30">
        <v>70</v>
      </c>
      <c r="D651" s="30"/>
      <c r="E651" s="30"/>
      <c r="F651" s="30">
        <v>64.900000000000006</v>
      </c>
      <c r="G651" s="30">
        <v>68.099999999999994</v>
      </c>
    </row>
    <row r="652" spans="1:7" x14ac:dyDescent="0.25">
      <c r="A652" s="29">
        <v>38258</v>
      </c>
      <c r="B652" s="30">
        <v>70.2</v>
      </c>
      <c r="C652" s="30">
        <v>70.2</v>
      </c>
      <c r="D652" s="30"/>
      <c r="E652" s="30"/>
      <c r="F652" s="30">
        <v>72</v>
      </c>
      <c r="G652" s="30">
        <v>69.400000000000006</v>
      </c>
    </row>
    <row r="653" spans="1:7" x14ac:dyDescent="0.25">
      <c r="A653" s="29">
        <v>38259</v>
      </c>
      <c r="B653" s="30">
        <v>64.5</v>
      </c>
      <c r="C653" s="30">
        <v>64.099999999999994</v>
      </c>
      <c r="D653" s="30"/>
      <c r="E653" s="30"/>
      <c r="F653" s="30">
        <v>66.3</v>
      </c>
      <c r="G653" s="30">
        <v>63.8</v>
      </c>
    </row>
    <row r="654" spans="1:7" x14ac:dyDescent="0.25">
      <c r="A654" s="29">
        <v>38260</v>
      </c>
      <c r="B654" s="30">
        <v>62.2</v>
      </c>
      <c r="C654" s="30">
        <v>62.7</v>
      </c>
      <c r="D654" s="30"/>
      <c r="E654" s="30"/>
      <c r="F654" s="30">
        <v>62.8</v>
      </c>
      <c r="G654" s="30">
        <v>62.5</v>
      </c>
    </row>
    <row r="655" spans="1:7" x14ac:dyDescent="0.25">
      <c r="A655" s="29">
        <v>38261</v>
      </c>
      <c r="B655" s="30">
        <v>63.6</v>
      </c>
      <c r="C655" s="30">
        <v>64</v>
      </c>
      <c r="D655" s="30"/>
      <c r="E655" s="30"/>
      <c r="F655" s="30">
        <v>60.4</v>
      </c>
      <c r="G655" s="30">
        <v>63</v>
      </c>
    </row>
    <row r="656" spans="1:7" x14ac:dyDescent="0.25">
      <c r="A656" s="29">
        <v>38262</v>
      </c>
      <c r="B656" s="30">
        <v>63.3</v>
      </c>
      <c r="C656" s="30">
        <v>64.900000000000006</v>
      </c>
      <c r="D656" s="30"/>
      <c r="E656" s="30"/>
      <c r="F656" s="30">
        <v>62.6</v>
      </c>
      <c r="G656" s="30">
        <v>63.7</v>
      </c>
    </row>
    <row r="657" spans="1:7" x14ac:dyDescent="0.25">
      <c r="A657" s="29">
        <v>38263</v>
      </c>
      <c r="B657" s="30">
        <v>62.5</v>
      </c>
      <c r="C657" s="30">
        <v>62.4</v>
      </c>
      <c r="D657" s="30"/>
      <c r="E657" s="30"/>
      <c r="F657" s="30">
        <v>61.6</v>
      </c>
      <c r="G657" s="30">
        <v>61.8</v>
      </c>
    </row>
    <row r="658" spans="1:7" x14ac:dyDescent="0.25">
      <c r="A658" s="29">
        <v>38264</v>
      </c>
      <c r="B658" s="30">
        <v>60.6</v>
      </c>
      <c r="C658" s="30">
        <v>63.2</v>
      </c>
      <c r="D658" s="30"/>
      <c r="E658" s="30"/>
      <c r="F658" s="30">
        <v>57.4</v>
      </c>
      <c r="G658" s="30">
        <v>60.7</v>
      </c>
    </row>
    <row r="659" spans="1:7" x14ac:dyDescent="0.25">
      <c r="A659" s="29">
        <v>38265</v>
      </c>
      <c r="B659" s="30">
        <v>58.1</v>
      </c>
      <c r="C659" s="30">
        <v>58.2</v>
      </c>
      <c r="D659" s="30"/>
      <c r="E659" s="30"/>
      <c r="F659" s="30">
        <v>57.2</v>
      </c>
      <c r="G659" s="30">
        <v>57.7</v>
      </c>
    </row>
    <row r="660" spans="1:7" x14ac:dyDescent="0.25">
      <c r="A660" s="29">
        <v>38266</v>
      </c>
      <c r="B660" s="30">
        <v>53.3</v>
      </c>
      <c r="C660" s="30">
        <v>56.6</v>
      </c>
      <c r="D660" s="30"/>
      <c r="E660" s="30"/>
      <c r="F660" s="30">
        <v>48.9</v>
      </c>
      <c r="G660" s="30">
        <v>53.7</v>
      </c>
    </row>
    <row r="661" spans="1:7" x14ac:dyDescent="0.25">
      <c r="A661" s="29">
        <v>38267</v>
      </c>
      <c r="B661" s="30">
        <v>60.9</v>
      </c>
      <c r="C661" s="30">
        <v>63</v>
      </c>
      <c r="D661" s="30"/>
      <c r="E661" s="30"/>
      <c r="F661" s="30">
        <v>57.6</v>
      </c>
      <c r="G661" s="30">
        <v>59.7</v>
      </c>
    </row>
    <row r="662" spans="1:7" x14ac:dyDescent="0.25">
      <c r="A662" s="29">
        <v>38268</v>
      </c>
      <c r="B662" s="30">
        <v>63</v>
      </c>
      <c r="C662" s="30">
        <v>66</v>
      </c>
      <c r="D662" s="30"/>
      <c r="E662" s="30"/>
      <c r="F662" s="30">
        <v>59.9</v>
      </c>
      <c r="G662" s="30">
        <v>64.400000000000006</v>
      </c>
    </row>
    <row r="663" spans="1:7" x14ac:dyDescent="0.25">
      <c r="A663" s="29">
        <v>38269</v>
      </c>
      <c r="B663" s="30">
        <v>63.7</v>
      </c>
      <c r="C663" s="30">
        <v>65</v>
      </c>
      <c r="D663" s="30"/>
      <c r="E663" s="30"/>
      <c r="F663" s="30">
        <v>59.3</v>
      </c>
      <c r="G663" s="30">
        <v>63.4</v>
      </c>
    </row>
    <row r="664" spans="1:7" x14ac:dyDescent="0.25">
      <c r="A664" s="29">
        <v>38270</v>
      </c>
      <c r="B664" s="30">
        <v>63.3</v>
      </c>
      <c r="C664" s="30">
        <v>63.8</v>
      </c>
      <c r="D664" s="30"/>
      <c r="E664" s="30"/>
      <c r="F664" s="30">
        <v>62.4</v>
      </c>
      <c r="G664" s="30">
        <v>62.5</v>
      </c>
    </row>
    <row r="665" spans="1:7" x14ac:dyDescent="0.25">
      <c r="A665" s="29">
        <v>38271</v>
      </c>
      <c r="B665" s="30">
        <v>55.5</v>
      </c>
      <c r="C665" s="30">
        <v>55</v>
      </c>
      <c r="D665" s="30"/>
      <c r="E665" s="30"/>
      <c r="F665" s="30">
        <v>53.3</v>
      </c>
      <c r="G665" s="30">
        <v>54.3</v>
      </c>
    </row>
    <row r="666" spans="1:7" x14ac:dyDescent="0.25">
      <c r="A666" s="29">
        <v>38272</v>
      </c>
      <c r="B666" s="30">
        <v>54.7</v>
      </c>
      <c r="C666" s="30">
        <v>55</v>
      </c>
      <c r="D666" s="30"/>
      <c r="E666" s="30"/>
      <c r="F666" s="30">
        <v>48.6</v>
      </c>
      <c r="G666" s="30">
        <v>53.4</v>
      </c>
    </row>
    <row r="667" spans="1:7" x14ac:dyDescent="0.25">
      <c r="A667" s="29">
        <v>38273</v>
      </c>
      <c r="B667" s="30">
        <v>56.7</v>
      </c>
      <c r="C667" s="30">
        <v>59.1</v>
      </c>
      <c r="D667" s="30"/>
      <c r="E667" s="30"/>
      <c r="F667" s="30">
        <v>50.1</v>
      </c>
      <c r="G667" s="30">
        <v>57</v>
      </c>
    </row>
    <row r="668" spans="1:7" x14ac:dyDescent="0.25">
      <c r="A668" s="29">
        <v>38274</v>
      </c>
      <c r="B668" s="30">
        <v>58.6</v>
      </c>
      <c r="C668" s="30">
        <v>59.7</v>
      </c>
      <c r="D668" s="30"/>
      <c r="E668" s="30"/>
      <c r="F668" s="30">
        <v>56.9</v>
      </c>
      <c r="G668" s="30">
        <v>57</v>
      </c>
    </row>
    <row r="669" spans="1:7" x14ac:dyDescent="0.25">
      <c r="A669" s="29">
        <v>38275</v>
      </c>
      <c r="B669" s="30">
        <v>59.5</v>
      </c>
      <c r="C669" s="30">
        <v>59.7</v>
      </c>
      <c r="D669" s="30"/>
      <c r="E669" s="30"/>
      <c r="F669" s="30">
        <v>59.4</v>
      </c>
      <c r="G669" s="30">
        <v>58.7</v>
      </c>
    </row>
    <row r="670" spans="1:7" x14ac:dyDescent="0.25">
      <c r="A670" s="29">
        <v>38276</v>
      </c>
      <c r="B670" s="30">
        <v>57.2</v>
      </c>
      <c r="C670" s="30">
        <v>56.8</v>
      </c>
      <c r="D670" s="30"/>
      <c r="E670" s="30"/>
      <c r="F670" s="30">
        <v>55.6</v>
      </c>
      <c r="G670" s="30">
        <v>55</v>
      </c>
    </row>
    <row r="671" spans="1:7" x14ac:dyDescent="0.25">
      <c r="A671" s="29">
        <v>38277</v>
      </c>
      <c r="B671" s="30">
        <v>51.2</v>
      </c>
      <c r="C671" s="30">
        <v>50.7</v>
      </c>
      <c r="D671" s="30"/>
      <c r="E671" s="30"/>
      <c r="F671" s="30">
        <v>50.2</v>
      </c>
      <c r="G671" s="30">
        <v>48.4</v>
      </c>
    </row>
    <row r="672" spans="1:7" x14ac:dyDescent="0.25">
      <c r="A672" s="29">
        <v>38278</v>
      </c>
      <c r="B672" s="30">
        <v>52.3</v>
      </c>
      <c r="C672" s="30">
        <v>52.7</v>
      </c>
      <c r="D672" s="30"/>
      <c r="E672" s="30"/>
      <c r="F672" s="30">
        <v>47.1</v>
      </c>
      <c r="G672" s="30">
        <v>50.2</v>
      </c>
    </row>
    <row r="673" spans="1:7" x14ac:dyDescent="0.25">
      <c r="A673" s="29">
        <v>38279</v>
      </c>
      <c r="B673" s="30">
        <v>51.6</v>
      </c>
      <c r="C673" s="30">
        <v>52.1</v>
      </c>
      <c r="D673" s="30"/>
      <c r="E673" s="30"/>
      <c r="F673" s="30">
        <v>56.2</v>
      </c>
      <c r="G673" s="30">
        <v>51</v>
      </c>
    </row>
    <row r="674" spans="1:7" x14ac:dyDescent="0.25">
      <c r="A674" s="29">
        <v>38280</v>
      </c>
      <c r="B674" s="30">
        <v>52.9</v>
      </c>
      <c r="C674" s="30">
        <v>52.3</v>
      </c>
      <c r="D674" s="30"/>
      <c r="E674" s="30"/>
      <c r="F674" s="30">
        <v>55.5</v>
      </c>
      <c r="G674" s="30">
        <v>50.7</v>
      </c>
    </row>
    <row r="675" spans="1:7" x14ac:dyDescent="0.25">
      <c r="A675" s="29">
        <v>38281</v>
      </c>
      <c r="B675" s="30">
        <v>52.4</v>
      </c>
      <c r="C675" s="30">
        <v>51.5</v>
      </c>
      <c r="D675" s="30"/>
      <c r="E675" s="30"/>
      <c r="F675" s="30">
        <v>53.4</v>
      </c>
      <c r="G675" s="30">
        <v>50.6</v>
      </c>
    </row>
    <row r="676" spans="1:7" x14ac:dyDescent="0.25">
      <c r="A676" s="29">
        <v>38282</v>
      </c>
      <c r="B676" s="30">
        <v>52.3</v>
      </c>
      <c r="C676" s="30">
        <v>51.8</v>
      </c>
      <c r="D676" s="30"/>
      <c r="E676" s="30"/>
      <c r="F676" s="30">
        <v>51.1</v>
      </c>
      <c r="G676" s="30">
        <v>50.9</v>
      </c>
    </row>
    <row r="677" spans="1:7" x14ac:dyDescent="0.25">
      <c r="A677" s="29">
        <v>38283</v>
      </c>
      <c r="B677" s="30">
        <v>49.9</v>
      </c>
      <c r="C677" s="30">
        <v>49.8</v>
      </c>
      <c r="D677" s="30"/>
      <c r="E677" s="30"/>
      <c r="F677" s="30">
        <v>49.8</v>
      </c>
      <c r="G677" s="30">
        <v>48.6</v>
      </c>
    </row>
    <row r="678" spans="1:7" x14ac:dyDescent="0.25">
      <c r="A678" s="29">
        <v>38284</v>
      </c>
      <c r="B678" s="30">
        <v>50.8</v>
      </c>
      <c r="C678" s="30">
        <v>50.1</v>
      </c>
      <c r="D678" s="30"/>
      <c r="E678" s="30"/>
      <c r="F678" s="30">
        <v>49.3</v>
      </c>
      <c r="G678" s="30">
        <v>48.9</v>
      </c>
    </row>
    <row r="679" spans="1:7" x14ac:dyDescent="0.25">
      <c r="A679" s="29">
        <v>38285</v>
      </c>
      <c r="B679" s="30">
        <v>51.7</v>
      </c>
      <c r="C679" s="30">
        <v>51.1</v>
      </c>
      <c r="D679" s="30"/>
      <c r="E679" s="30"/>
      <c r="F679" s="30">
        <v>48.5</v>
      </c>
      <c r="G679" s="30">
        <v>50.3</v>
      </c>
    </row>
    <row r="680" spans="1:7" x14ac:dyDescent="0.25">
      <c r="A680" s="29">
        <v>38286</v>
      </c>
      <c r="B680" s="30">
        <v>56.1</v>
      </c>
      <c r="C680" s="30">
        <v>55.9</v>
      </c>
      <c r="D680" s="30"/>
      <c r="E680" s="30"/>
      <c r="F680" s="30">
        <v>53.2</v>
      </c>
      <c r="G680" s="30">
        <v>55.2</v>
      </c>
    </row>
    <row r="681" spans="1:7" x14ac:dyDescent="0.25">
      <c r="A681" s="29">
        <v>38287</v>
      </c>
      <c r="B681" s="30">
        <v>55.5</v>
      </c>
      <c r="C681" s="30">
        <v>56.2</v>
      </c>
      <c r="D681" s="30"/>
      <c r="E681" s="30"/>
      <c r="F681" s="30">
        <v>51.5</v>
      </c>
      <c r="G681" s="30">
        <v>54.8</v>
      </c>
    </row>
    <row r="682" spans="1:7" x14ac:dyDescent="0.25">
      <c r="A682" s="29">
        <v>38288</v>
      </c>
      <c r="B682" s="30">
        <v>51.6</v>
      </c>
      <c r="C682" s="30">
        <v>51.7</v>
      </c>
      <c r="D682" s="30"/>
      <c r="E682" s="30"/>
      <c r="F682" s="30">
        <v>49.6</v>
      </c>
      <c r="G682" s="30">
        <v>50.8</v>
      </c>
    </row>
    <row r="683" spans="1:7" x14ac:dyDescent="0.25">
      <c r="A683" s="29">
        <v>38289</v>
      </c>
      <c r="B683" s="30">
        <v>51.1</v>
      </c>
      <c r="C683" s="30">
        <v>52.1</v>
      </c>
      <c r="D683" s="30"/>
      <c r="E683" s="30"/>
      <c r="F683" s="30">
        <v>47.2</v>
      </c>
      <c r="G683" s="30">
        <v>49.6</v>
      </c>
    </row>
    <row r="684" spans="1:7" x14ac:dyDescent="0.25">
      <c r="A684" s="29">
        <v>38290</v>
      </c>
      <c r="B684" s="30">
        <v>57.9</v>
      </c>
      <c r="C684" s="30">
        <v>57.6</v>
      </c>
      <c r="D684" s="30"/>
      <c r="E684" s="30"/>
      <c r="F684" s="30">
        <v>58.7</v>
      </c>
      <c r="G684" s="30">
        <v>57.3</v>
      </c>
    </row>
    <row r="685" spans="1:7" x14ac:dyDescent="0.25">
      <c r="A685" s="29">
        <v>38291</v>
      </c>
      <c r="B685" s="30">
        <v>63.9</v>
      </c>
      <c r="C685" s="30">
        <v>65.2</v>
      </c>
      <c r="D685" s="30"/>
      <c r="E685" s="30"/>
      <c r="F685" s="30">
        <v>66.599999999999994</v>
      </c>
      <c r="G685" s="30">
        <v>65</v>
      </c>
    </row>
    <row r="686" spans="1:7" x14ac:dyDescent="0.25">
      <c r="A686" s="29">
        <v>38292</v>
      </c>
      <c r="B686" s="30">
        <v>59.5</v>
      </c>
      <c r="C686" s="30">
        <v>58.9</v>
      </c>
      <c r="D686" s="30"/>
      <c r="E686" s="30"/>
      <c r="F686" s="30">
        <v>56.9</v>
      </c>
      <c r="G686" s="30">
        <v>58.1</v>
      </c>
    </row>
    <row r="687" spans="1:7" x14ac:dyDescent="0.25">
      <c r="A687" s="29">
        <v>38293</v>
      </c>
      <c r="B687" s="30">
        <v>52.2</v>
      </c>
      <c r="C687" s="30">
        <v>52.4</v>
      </c>
      <c r="D687" s="30"/>
      <c r="E687" s="30"/>
      <c r="F687" s="30">
        <v>53.3</v>
      </c>
      <c r="G687" s="30">
        <v>52.2</v>
      </c>
    </row>
    <row r="688" spans="1:7" x14ac:dyDescent="0.25">
      <c r="A688" s="29">
        <v>38294</v>
      </c>
      <c r="B688" s="30">
        <v>57.3</v>
      </c>
      <c r="C688" s="30">
        <v>56.9</v>
      </c>
      <c r="D688" s="30"/>
      <c r="E688" s="30"/>
      <c r="F688" s="30">
        <v>60.2</v>
      </c>
      <c r="G688" s="30">
        <v>56.2</v>
      </c>
    </row>
    <row r="689" spans="1:7" x14ac:dyDescent="0.25">
      <c r="A689" s="29">
        <v>38295</v>
      </c>
      <c r="B689" s="30">
        <v>46.2</v>
      </c>
      <c r="C689" s="30">
        <v>46.1</v>
      </c>
      <c r="D689" s="30"/>
      <c r="E689" s="30"/>
      <c r="F689" s="30">
        <v>44.9</v>
      </c>
      <c r="G689" s="30">
        <v>44.6</v>
      </c>
    </row>
    <row r="690" spans="1:7" x14ac:dyDescent="0.25">
      <c r="A690" s="29">
        <v>38296</v>
      </c>
      <c r="B690" s="30">
        <v>51.5</v>
      </c>
      <c r="C690" s="30">
        <v>51.2</v>
      </c>
      <c r="D690" s="30"/>
      <c r="E690" s="30"/>
      <c r="F690" s="30">
        <v>51.4</v>
      </c>
      <c r="G690" s="30">
        <v>49.9</v>
      </c>
    </row>
    <row r="691" spans="1:7" x14ac:dyDescent="0.25">
      <c r="A691" s="29">
        <v>38297</v>
      </c>
      <c r="B691" s="30">
        <v>50.4</v>
      </c>
      <c r="C691" s="30">
        <v>51</v>
      </c>
      <c r="D691" s="30"/>
      <c r="E691" s="30"/>
      <c r="F691" s="30">
        <v>48.4</v>
      </c>
      <c r="G691" s="30">
        <v>47.6</v>
      </c>
    </row>
    <row r="692" spans="1:7" x14ac:dyDescent="0.25">
      <c r="A692" s="29">
        <v>38298</v>
      </c>
      <c r="B692" s="30">
        <v>54.2</v>
      </c>
      <c r="C692" s="30">
        <v>58.2</v>
      </c>
      <c r="D692" s="30"/>
      <c r="E692" s="30"/>
      <c r="F692" s="30">
        <v>54.1</v>
      </c>
      <c r="G692" s="30">
        <v>54.8</v>
      </c>
    </row>
    <row r="693" spans="1:7" x14ac:dyDescent="0.25">
      <c r="A693" s="29">
        <v>38299</v>
      </c>
      <c r="B693" s="30">
        <v>51</v>
      </c>
      <c r="C693" s="30">
        <v>52.2</v>
      </c>
      <c r="D693" s="30"/>
      <c r="E693" s="30"/>
      <c r="F693" s="30">
        <v>51.2</v>
      </c>
      <c r="G693" s="30">
        <v>50.9</v>
      </c>
    </row>
    <row r="694" spans="1:7" x14ac:dyDescent="0.25">
      <c r="A694" s="29">
        <v>38300</v>
      </c>
      <c r="B694" s="30">
        <v>39.4</v>
      </c>
      <c r="C694" s="30">
        <v>39.700000000000003</v>
      </c>
      <c r="D694" s="30"/>
      <c r="E694" s="30"/>
      <c r="F694" s="30">
        <v>35.9</v>
      </c>
      <c r="G694" s="30">
        <v>38.799999999999997</v>
      </c>
    </row>
    <row r="695" spans="1:7" x14ac:dyDescent="0.25">
      <c r="A695" s="29">
        <v>38301</v>
      </c>
      <c r="B695" s="30">
        <v>35.200000000000003</v>
      </c>
      <c r="C695" s="30">
        <v>36.799999999999997</v>
      </c>
      <c r="D695" s="30"/>
      <c r="E695" s="30"/>
      <c r="F695" s="30">
        <v>33.6</v>
      </c>
      <c r="G695" s="30">
        <v>35.299999999999997</v>
      </c>
    </row>
    <row r="696" spans="1:7" x14ac:dyDescent="0.25">
      <c r="A696" s="29">
        <v>38302</v>
      </c>
      <c r="B696" s="30">
        <v>48</v>
      </c>
      <c r="C696" s="30">
        <v>48.1</v>
      </c>
      <c r="D696" s="30"/>
      <c r="E696" s="30"/>
      <c r="F696" s="30">
        <v>45.8</v>
      </c>
      <c r="G696" s="30">
        <v>45.5</v>
      </c>
    </row>
    <row r="697" spans="1:7" x14ac:dyDescent="0.25">
      <c r="A697" s="29">
        <v>38303</v>
      </c>
      <c r="B697" s="30">
        <v>44.6</v>
      </c>
      <c r="C697" s="30">
        <v>44.8</v>
      </c>
      <c r="D697" s="30"/>
      <c r="E697" s="30"/>
      <c r="F697" s="30">
        <v>45</v>
      </c>
      <c r="G697" s="30">
        <v>42.5</v>
      </c>
    </row>
    <row r="698" spans="1:7" x14ac:dyDescent="0.25">
      <c r="A698" s="29">
        <v>38304</v>
      </c>
      <c r="B698" s="30">
        <v>38.700000000000003</v>
      </c>
      <c r="C698" s="30">
        <v>38</v>
      </c>
      <c r="D698" s="30"/>
      <c r="E698" s="30"/>
      <c r="F698" s="30">
        <v>41.5</v>
      </c>
      <c r="G698" s="30">
        <v>37.5</v>
      </c>
    </row>
    <row r="699" spans="1:7" x14ac:dyDescent="0.25">
      <c r="A699" s="29">
        <v>38305</v>
      </c>
      <c r="B699" s="30">
        <v>38</v>
      </c>
      <c r="C699" s="30">
        <v>38.4</v>
      </c>
      <c r="D699" s="30"/>
      <c r="E699" s="30"/>
      <c r="F699" s="30">
        <v>35.700000000000003</v>
      </c>
      <c r="G699" s="30">
        <v>37.799999999999997</v>
      </c>
    </row>
    <row r="700" spans="1:7" x14ac:dyDescent="0.25">
      <c r="A700" s="29">
        <v>38306</v>
      </c>
      <c r="B700" s="30">
        <v>47</v>
      </c>
      <c r="C700" s="30">
        <v>47.9</v>
      </c>
      <c r="D700" s="30"/>
      <c r="E700" s="30"/>
      <c r="F700" s="30">
        <v>40</v>
      </c>
      <c r="G700" s="30">
        <v>47.6</v>
      </c>
    </row>
    <row r="701" spans="1:7" x14ac:dyDescent="0.25">
      <c r="A701" s="29">
        <v>38307</v>
      </c>
      <c r="B701" s="30">
        <v>49.3</v>
      </c>
      <c r="C701" s="30">
        <v>51.5</v>
      </c>
      <c r="D701" s="30"/>
      <c r="E701" s="30"/>
      <c r="F701" s="30">
        <v>43.1</v>
      </c>
      <c r="G701" s="30">
        <v>50.4</v>
      </c>
    </row>
    <row r="702" spans="1:7" x14ac:dyDescent="0.25">
      <c r="A702" s="29">
        <v>38308</v>
      </c>
      <c r="B702" s="30">
        <v>47.5</v>
      </c>
      <c r="C702" s="30">
        <v>50.4</v>
      </c>
      <c r="D702" s="30"/>
      <c r="E702" s="30"/>
      <c r="F702" s="30">
        <v>42.4</v>
      </c>
      <c r="G702" s="30">
        <v>48.3</v>
      </c>
    </row>
    <row r="703" spans="1:7" x14ac:dyDescent="0.25">
      <c r="A703" s="29">
        <v>38309</v>
      </c>
      <c r="B703" s="30">
        <v>47.2</v>
      </c>
      <c r="C703" s="30">
        <v>51.9</v>
      </c>
      <c r="D703" s="30"/>
      <c r="E703" s="30"/>
      <c r="F703" s="30">
        <v>46.7</v>
      </c>
      <c r="G703" s="30">
        <v>48.6</v>
      </c>
    </row>
    <row r="704" spans="1:7" x14ac:dyDescent="0.25">
      <c r="A704" s="29">
        <v>38310</v>
      </c>
      <c r="B704" s="30">
        <v>55.2</v>
      </c>
      <c r="C704" s="30">
        <v>57.7</v>
      </c>
      <c r="D704" s="30"/>
      <c r="E704" s="30"/>
      <c r="F704" s="30">
        <v>53.9</v>
      </c>
      <c r="G704" s="30">
        <v>57</v>
      </c>
    </row>
    <row r="705" spans="1:7" x14ac:dyDescent="0.25">
      <c r="A705" s="29">
        <v>38311</v>
      </c>
      <c r="B705" s="30">
        <v>50.9</v>
      </c>
      <c r="C705" s="30">
        <v>50.4</v>
      </c>
      <c r="D705" s="30"/>
      <c r="E705" s="30"/>
      <c r="F705" s="30">
        <v>52</v>
      </c>
      <c r="G705" s="30">
        <v>50.9</v>
      </c>
    </row>
    <row r="706" spans="1:7" x14ac:dyDescent="0.25">
      <c r="A706" s="29">
        <v>38312</v>
      </c>
      <c r="B706" s="30">
        <v>50.5</v>
      </c>
      <c r="C706" s="30">
        <v>48.7</v>
      </c>
      <c r="D706" s="30"/>
      <c r="E706" s="30"/>
      <c r="F706" s="30">
        <v>53.3</v>
      </c>
      <c r="G706" s="30">
        <v>49.1</v>
      </c>
    </row>
    <row r="707" spans="1:7" x14ac:dyDescent="0.25">
      <c r="A707" s="29">
        <v>38313</v>
      </c>
      <c r="B707" s="30">
        <v>51.3</v>
      </c>
      <c r="C707" s="30">
        <v>52.1</v>
      </c>
      <c r="D707" s="30"/>
      <c r="E707" s="30"/>
      <c r="F707" s="30">
        <v>51.4</v>
      </c>
      <c r="G707" s="30">
        <v>51.8</v>
      </c>
    </row>
    <row r="708" spans="1:7" x14ac:dyDescent="0.25">
      <c r="A708" s="29">
        <v>38314</v>
      </c>
      <c r="B708" s="30">
        <v>50.6</v>
      </c>
      <c r="C708" s="30">
        <v>51.1</v>
      </c>
      <c r="D708" s="30"/>
      <c r="E708" s="30"/>
      <c r="F708" s="30">
        <v>50.3</v>
      </c>
      <c r="G708" s="30">
        <v>49.9</v>
      </c>
    </row>
    <row r="709" spans="1:7" x14ac:dyDescent="0.25">
      <c r="A709" s="29">
        <v>38315</v>
      </c>
      <c r="B709" s="30">
        <v>51.5</v>
      </c>
      <c r="C709" s="30">
        <v>52.8</v>
      </c>
      <c r="D709" s="30"/>
      <c r="E709" s="30"/>
      <c r="F709" s="30">
        <v>54.4</v>
      </c>
      <c r="G709" s="30">
        <v>53.1</v>
      </c>
    </row>
    <row r="710" spans="1:7" x14ac:dyDescent="0.25">
      <c r="A710" s="29">
        <v>38316</v>
      </c>
      <c r="B710" s="30">
        <v>56.4</v>
      </c>
      <c r="C710" s="30">
        <v>57.1</v>
      </c>
      <c r="D710" s="30"/>
      <c r="E710" s="30"/>
      <c r="F710" s="30">
        <v>58.4</v>
      </c>
      <c r="G710" s="30">
        <v>59.5</v>
      </c>
    </row>
    <row r="711" spans="1:7" x14ac:dyDescent="0.25">
      <c r="A711" s="29">
        <v>38317</v>
      </c>
      <c r="B711" s="30">
        <v>39</v>
      </c>
      <c r="C711" s="30">
        <v>39</v>
      </c>
      <c r="D711" s="30"/>
      <c r="E711" s="30"/>
      <c r="F711" s="30">
        <v>39.1</v>
      </c>
      <c r="G711" s="30">
        <v>38.1</v>
      </c>
    </row>
    <row r="712" spans="1:7" x14ac:dyDescent="0.25">
      <c r="A712" s="29">
        <v>38318</v>
      </c>
      <c r="B712" s="30">
        <v>44.4</v>
      </c>
      <c r="C712" s="30">
        <v>45.2</v>
      </c>
      <c r="D712" s="30"/>
      <c r="E712" s="30"/>
      <c r="F712" s="30">
        <v>38.799999999999997</v>
      </c>
      <c r="G712" s="30">
        <v>42.9</v>
      </c>
    </row>
    <row r="713" spans="1:7" x14ac:dyDescent="0.25">
      <c r="A713" s="29">
        <v>38319</v>
      </c>
      <c r="B713" s="30">
        <v>54.7</v>
      </c>
      <c r="C713" s="30">
        <v>54.5</v>
      </c>
      <c r="D713" s="30"/>
      <c r="E713" s="30"/>
      <c r="F713" s="30">
        <v>55.5</v>
      </c>
      <c r="G713" s="30">
        <v>54.9</v>
      </c>
    </row>
    <row r="714" spans="1:7" x14ac:dyDescent="0.25">
      <c r="A714" s="29">
        <v>38320</v>
      </c>
      <c r="B714" s="30">
        <v>46.6</v>
      </c>
      <c r="C714" s="30">
        <v>46.7</v>
      </c>
      <c r="D714" s="30"/>
      <c r="E714" s="30"/>
      <c r="F714" s="30">
        <v>42.7</v>
      </c>
      <c r="G714" s="30">
        <v>45.6</v>
      </c>
    </row>
    <row r="715" spans="1:7" x14ac:dyDescent="0.25">
      <c r="A715" s="29">
        <v>38321</v>
      </c>
      <c r="B715" s="30">
        <v>42.4</v>
      </c>
      <c r="C715" s="30">
        <v>43.8</v>
      </c>
      <c r="D715" s="30"/>
      <c r="E715" s="30"/>
      <c r="F715" s="30">
        <v>39.9</v>
      </c>
      <c r="G715" s="30">
        <v>42.3</v>
      </c>
    </row>
    <row r="716" spans="1:7" x14ac:dyDescent="0.25">
      <c r="A716" s="29">
        <v>38322</v>
      </c>
      <c r="B716" s="30">
        <v>51.2</v>
      </c>
      <c r="C716" s="30">
        <v>51</v>
      </c>
      <c r="D716" s="30"/>
      <c r="E716" s="30"/>
      <c r="F716" s="30">
        <v>50.9</v>
      </c>
      <c r="G716" s="30">
        <v>49.8</v>
      </c>
    </row>
    <row r="717" spans="1:7" x14ac:dyDescent="0.25">
      <c r="A717" s="29">
        <v>38323</v>
      </c>
      <c r="B717" s="30">
        <v>44.1</v>
      </c>
      <c r="C717" s="30">
        <v>44.5</v>
      </c>
      <c r="D717" s="30"/>
      <c r="E717" s="30"/>
      <c r="F717" s="30">
        <v>42</v>
      </c>
      <c r="G717" s="30">
        <v>42.5</v>
      </c>
    </row>
    <row r="718" spans="1:7" x14ac:dyDescent="0.25">
      <c r="A718" s="29">
        <v>38324</v>
      </c>
      <c r="B718" s="30">
        <v>41.4</v>
      </c>
      <c r="C718" s="30">
        <v>43.1</v>
      </c>
      <c r="D718" s="30"/>
      <c r="E718" s="30"/>
      <c r="F718" s="30">
        <v>37</v>
      </c>
      <c r="G718" s="30">
        <v>40.200000000000003</v>
      </c>
    </row>
    <row r="719" spans="1:7" x14ac:dyDescent="0.25">
      <c r="A719" s="29">
        <v>38325</v>
      </c>
      <c r="B719" s="30">
        <v>36.799999999999997</v>
      </c>
      <c r="C719" s="30">
        <v>37.4</v>
      </c>
      <c r="D719" s="30"/>
      <c r="E719" s="30"/>
      <c r="F719" s="30">
        <v>34</v>
      </c>
      <c r="G719" s="30">
        <v>36</v>
      </c>
    </row>
    <row r="720" spans="1:7" x14ac:dyDescent="0.25">
      <c r="A720" s="29">
        <v>38326</v>
      </c>
      <c r="B720" s="30">
        <v>46.4</v>
      </c>
      <c r="C720" s="30">
        <v>47.2</v>
      </c>
      <c r="D720" s="30"/>
      <c r="E720" s="30"/>
      <c r="F720" s="30">
        <v>45</v>
      </c>
      <c r="G720" s="30">
        <v>43.9</v>
      </c>
    </row>
    <row r="721" spans="1:7" x14ac:dyDescent="0.25">
      <c r="A721" s="29">
        <v>38327</v>
      </c>
      <c r="B721" s="30">
        <v>38.9</v>
      </c>
      <c r="C721" s="30">
        <v>39.799999999999997</v>
      </c>
      <c r="D721" s="30"/>
      <c r="E721" s="30"/>
      <c r="F721" s="30">
        <v>42.8</v>
      </c>
      <c r="G721" s="30">
        <v>37.9</v>
      </c>
    </row>
    <row r="722" spans="1:7" x14ac:dyDescent="0.25">
      <c r="A722" s="29">
        <v>38328</v>
      </c>
      <c r="B722" s="30">
        <v>42.6</v>
      </c>
      <c r="C722" s="30">
        <v>40.6</v>
      </c>
      <c r="D722" s="30"/>
      <c r="E722" s="30"/>
      <c r="F722" s="30">
        <v>49.1</v>
      </c>
      <c r="G722" s="30">
        <v>39</v>
      </c>
    </row>
    <row r="723" spans="1:7" x14ac:dyDescent="0.25">
      <c r="A723" s="29">
        <v>38329</v>
      </c>
      <c r="B723" s="30">
        <v>53.1</v>
      </c>
      <c r="C723" s="30">
        <v>50.9</v>
      </c>
      <c r="D723" s="30"/>
      <c r="E723" s="30"/>
      <c r="F723" s="30">
        <v>57.2</v>
      </c>
      <c r="G723" s="30">
        <v>50.9</v>
      </c>
    </row>
    <row r="724" spans="1:7" x14ac:dyDescent="0.25">
      <c r="A724" s="29">
        <v>38330</v>
      </c>
      <c r="B724" s="30">
        <v>45.1</v>
      </c>
      <c r="C724" s="30">
        <v>46.3</v>
      </c>
      <c r="D724" s="30"/>
      <c r="E724" s="30"/>
      <c r="F724" s="30">
        <v>42.9</v>
      </c>
      <c r="G724" s="30">
        <v>44.6</v>
      </c>
    </row>
    <row r="725" spans="1:7" x14ac:dyDescent="0.25">
      <c r="A725" s="29">
        <v>38331</v>
      </c>
      <c r="B725" s="30">
        <v>46.8</v>
      </c>
      <c r="C725" s="30">
        <v>45.6</v>
      </c>
      <c r="D725" s="30"/>
      <c r="E725" s="30"/>
      <c r="F725" s="30">
        <v>51.6</v>
      </c>
      <c r="G725" s="30">
        <v>46</v>
      </c>
    </row>
    <row r="726" spans="1:7" x14ac:dyDescent="0.25">
      <c r="A726" s="29">
        <v>38332</v>
      </c>
      <c r="B726" s="30">
        <v>48.4</v>
      </c>
      <c r="C726" s="30">
        <v>48.3</v>
      </c>
      <c r="D726" s="30"/>
      <c r="E726" s="30"/>
      <c r="F726" s="30">
        <v>52.4</v>
      </c>
      <c r="G726" s="30">
        <v>47.9</v>
      </c>
    </row>
    <row r="727" spans="1:7" x14ac:dyDescent="0.25">
      <c r="A727" s="29">
        <v>38333</v>
      </c>
      <c r="B727" s="30">
        <v>44</v>
      </c>
      <c r="C727" s="30">
        <v>44.4</v>
      </c>
      <c r="D727" s="30"/>
      <c r="E727" s="30"/>
      <c r="F727" s="30">
        <v>41.6</v>
      </c>
      <c r="G727" s="30">
        <v>42.9</v>
      </c>
    </row>
    <row r="728" spans="1:7" x14ac:dyDescent="0.25">
      <c r="A728" s="29">
        <v>38334</v>
      </c>
      <c r="B728" s="30">
        <v>44.6</v>
      </c>
      <c r="C728" s="30">
        <v>44.5</v>
      </c>
      <c r="D728" s="30"/>
      <c r="E728" s="30"/>
      <c r="F728" s="30">
        <v>44.7</v>
      </c>
      <c r="G728" s="30">
        <v>43.1</v>
      </c>
    </row>
    <row r="729" spans="1:7" x14ac:dyDescent="0.25">
      <c r="A729" s="29">
        <v>38335</v>
      </c>
      <c r="B729" s="30">
        <v>36.1</v>
      </c>
      <c r="C729" s="30">
        <v>36</v>
      </c>
      <c r="D729" s="30"/>
      <c r="E729" s="30"/>
      <c r="F729" s="30">
        <v>35.700000000000003</v>
      </c>
      <c r="G729" s="30">
        <v>35.299999999999997</v>
      </c>
    </row>
    <row r="730" spans="1:7" x14ac:dyDescent="0.25">
      <c r="A730" s="29">
        <v>38336</v>
      </c>
      <c r="B730" s="30">
        <v>27.4</v>
      </c>
      <c r="C730" s="30">
        <v>27.7</v>
      </c>
      <c r="D730" s="30"/>
      <c r="E730" s="30"/>
      <c r="F730" s="30">
        <v>27</v>
      </c>
      <c r="G730" s="30">
        <v>27</v>
      </c>
    </row>
    <row r="731" spans="1:7" x14ac:dyDescent="0.25">
      <c r="A731" s="29">
        <v>38337</v>
      </c>
      <c r="B731" s="30">
        <v>33.299999999999997</v>
      </c>
      <c r="C731" s="30">
        <v>34</v>
      </c>
      <c r="D731" s="30"/>
      <c r="E731" s="30"/>
      <c r="F731" s="30">
        <v>29.2</v>
      </c>
      <c r="G731" s="30">
        <v>31.4</v>
      </c>
    </row>
    <row r="732" spans="1:7" x14ac:dyDescent="0.25">
      <c r="A732" s="29">
        <v>38338</v>
      </c>
      <c r="B732" s="30">
        <v>40.700000000000003</v>
      </c>
      <c r="C732" s="30">
        <v>40.1</v>
      </c>
      <c r="D732" s="30"/>
      <c r="E732" s="30"/>
      <c r="F732" s="30">
        <v>39.799999999999997</v>
      </c>
      <c r="G732" s="30">
        <v>38.1</v>
      </c>
    </row>
    <row r="733" spans="1:7" x14ac:dyDescent="0.25">
      <c r="A733" s="29">
        <v>38339</v>
      </c>
      <c r="B733" s="30">
        <v>34.4</v>
      </c>
      <c r="C733" s="30">
        <v>33.799999999999997</v>
      </c>
      <c r="D733" s="30"/>
      <c r="E733" s="30"/>
      <c r="F733" s="30">
        <v>32.5</v>
      </c>
      <c r="G733" s="30">
        <v>32</v>
      </c>
    </row>
    <row r="734" spans="1:7" x14ac:dyDescent="0.25">
      <c r="A734" s="29">
        <v>38340</v>
      </c>
      <c r="B734" s="30">
        <v>38.299999999999997</v>
      </c>
      <c r="C734" s="30">
        <v>39.799999999999997</v>
      </c>
      <c r="D734" s="30"/>
      <c r="E734" s="30"/>
      <c r="F734" s="30">
        <v>34.6</v>
      </c>
      <c r="G734" s="30">
        <v>36.200000000000003</v>
      </c>
    </row>
    <row r="735" spans="1:7" x14ac:dyDescent="0.25">
      <c r="A735" s="29">
        <v>38341</v>
      </c>
      <c r="B735" s="30">
        <v>18.899999999999999</v>
      </c>
      <c r="C735" s="30">
        <v>19.2</v>
      </c>
      <c r="D735" s="30"/>
      <c r="E735" s="30"/>
      <c r="F735" s="30">
        <v>19</v>
      </c>
      <c r="G735" s="30">
        <v>17.100000000000001</v>
      </c>
    </row>
    <row r="736" spans="1:7" x14ac:dyDescent="0.25">
      <c r="A736" s="29">
        <v>38342</v>
      </c>
      <c r="B736" s="30">
        <v>21.3</v>
      </c>
      <c r="C736" s="30">
        <v>21</v>
      </c>
      <c r="D736" s="30"/>
      <c r="E736" s="30"/>
      <c r="F736" s="30">
        <v>24.1</v>
      </c>
      <c r="G736" s="30">
        <v>19.3</v>
      </c>
    </row>
    <row r="737" spans="1:7" x14ac:dyDescent="0.25">
      <c r="A737" s="29">
        <v>38343</v>
      </c>
      <c r="B737" s="30">
        <v>37.1</v>
      </c>
      <c r="C737" s="30">
        <v>39</v>
      </c>
      <c r="D737" s="30"/>
      <c r="E737" s="30"/>
      <c r="F737" s="30">
        <v>36.9</v>
      </c>
      <c r="G737" s="30">
        <v>35</v>
      </c>
    </row>
    <row r="738" spans="1:7" x14ac:dyDescent="0.25">
      <c r="A738" s="29">
        <v>38344</v>
      </c>
      <c r="B738" s="30">
        <v>51.8</v>
      </c>
      <c r="C738" s="30">
        <v>52.2</v>
      </c>
      <c r="D738" s="30"/>
      <c r="E738" s="30"/>
      <c r="F738" s="30">
        <v>54.2</v>
      </c>
      <c r="G738" s="30">
        <v>50</v>
      </c>
    </row>
    <row r="739" spans="1:7" x14ac:dyDescent="0.25">
      <c r="A739" s="29">
        <v>38345</v>
      </c>
      <c r="B739" s="30">
        <v>37.5</v>
      </c>
      <c r="C739" s="30">
        <v>37.299999999999997</v>
      </c>
      <c r="D739" s="30"/>
      <c r="E739" s="30"/>
      <c r="F739" s="30">
        <v>36.299999999999997</v>
      </c>
      <c r="G739" s="30">
        <v>36</v>
      </c>
    </row>
    <row r="740" spans="1:7" x14ac:dyDescent="0.25">
      <c r="A740" s="29">
        <v>38346</v>
      </c>
      <c r="B740" s="30">
        <v>29.2</v>
      </c>
      <c r="C740" s="30">
        <v>29.7</v>
      </c>
      <c r="D740" s="30"/>
      <c r="E740" s="30"/>
      <c r="F740" s="30">
        <v>26.2</v>
      </c>
      <c r="G740" s="30">
        <v>28.2</v>
      </c>
    </row>
    <row r="741" spans="1:7" x14ac:dyDescent="0.25">
      <c r="A741" s="29">
        <v>38347</v>
      </c>
      <c r="B741" s="30">
        <v>28.2</v>
      </c>
      <c r="C741" s="30">
        <v>27.7</v>
      </c>
      <c r="D741" s="30"/>
      <c r="E741" s="30"/>
      <c r="F741" s="30">
        <v>25.3</v>
      </c>
      <c r="G741" s="30">
        <v>25.5</v>
      </c>
    </row>
    <row r="742" spans="1:7" x14ac:dyDescent="0.25">
      <c r="A742" s="29">
        <v>38348</v>
      </c>
      <c r="B742" s="30">
        <v>25.4</v>
      </c>
      <c r="C742" s="30">
        <v>25.5</v>
      </c>
      <c r="D742" s="30"/>
      <c r="E742" s="30"/>
      <c r="F742" s="30">
        <v>26.3</v>
      </c>
      <c r="G742" s="30">
        <v>25</v>
      </c>
    </row>
    <row r="743" spans="1:7" x14ac:dyDescent="0.25">
      <c r="A743" s="29">
        <v>38349</v>
      </c>
      <c r="B743" s="30">
        <v>21.2</v>
      </c>
      <c r="C743" s="30">
        <v>21.9</v>
      </c>
      <c r="D743" s="30"/>
      <c r="E743" s="30"/>
      <c r="F743" s="30">
        <v>19.899999999999999</v>
      </c>
      <c r="G743" s="30">
        <v>20.3</v>
      </c>
    </row>
    <row r="744" spans="1:7" x14ac:dyDescent="0.25">
      <c r="A744" s="29">
        <v>38350</v>
      </c>
      <c r="B744" s="30">
        <v>34.6</v>
      </c>
      <c r="C744" s="30">
        <v>36</v>
      </c>
      <c r="D744" s="30"/>
      <c r="E744" s="30"/>
      <c r="F744" s="30">
        <v>36.700000000000003</v>
      </c>
      <c r="G744" s="30">
        <v>34.9</v>
      </c>
    </row>
    <row r="745" spans="1:7" x14ac:dyDescent="0.25">
      <c r="A745" s="29">
        <v>38351</v>
      </c>
      <c r="B745" s="30">
        <v>42.3</v>
      </c>
      <c r="C745" s="30">
        <v>42.2</v>
      </c>
      <c r="D745" s="30"/>
      <c r="E745" s="30"/>
      <c r="F745" s="30">
        <v>38.1</v>
      </c>
      <c r="G745" s="30">
        <v>42</v>
      </c>
    </row>
    <row r="746" spans="1:7" x14ac:dyDescent="0.25">
      <c r="A746" s="29">
        <v>38352</v>
      </c>
      <c r="B746" s="30">
        <v>40.799999999999997</v>
      </c>
      <c r="C746" s="30">
        <v>43.5</v>
      </c>
      <c r="D746" s="30"/>
      <c r="E746" s="30"/>
      <c r="F746" s="30">
        <v>38.299999999999997</v>
      </c>
      <c r="G746" s="30">
        <v>44.1</v>
      </c>
    </row>
    <row r="747" spans="1:7" x14ac:dyDescent="0.25">
      <c r="A747" s="29">
        <v>38353</v>
      </c>
      <c r="B747" s="30">
        <v>48.2</v>
      </c>
      <c r="C747" s="30">
        <v>51.6</v>
      </c>
      <c r="D747" s="30"/>
      <c r="E747" s="30"/>
      <c r="F747" s="30">
        <v>52</v>
      </c>
      <c r="G747" s="30">
        <v>51</v>
      </c>
    </row>
    <row r="748" spans="1:7" x14ac:dyDescent="0.25">
      <c r="A748" s="29">
        <v>38354</v>
      </c>
      <c r="B748" s="30">
        <v>40.1</v>
      </c>
      <c r="C748" s="30">
        <v>40</v>
      </c>
      <c r="D748" s="30"/>
      <c r="E748" s="30"/>
      <c r="F748" s="30">
        <v>39.6</v>
      </c>
      <c r="G748" s="30">
        <v>38.799999999999997</v>
      </c>
    </row>
    <row r="749" spans="1:7" x14ac:dyDescent="0.25">
      <c r="A749" s="29">
        <v>38355</v>
      </c>
      <c r="B749" s="30">
        <v>47.5</v>
      </c>
      <c r="C749" s="30">
        <v>50</v>
      </c>
      <c r="D749" s="30"/>
      <c r="E749" s="30"/>
      <c r="F749" s="30">
        <v>50.8</v>
      </c>
      <c r="G749" s="30">
        <v>48.7</v>
      </c>
    </row>
    <row r="750" spans="1:7" x14ac:dyDescent="0.25">
      <c r="A750" s="29">
        <v>38356</v>
      </c>
      <c r="B750" s="30">
        <v>47.3</v>
      </c>
      <c r="C750" s="30">
        <v>46.8</v>
      </c>
      <c r="D750" s="30"/>
      <c r="E750" s="30"/>
      <c r="F750" s="30">
        <v>52.6</v>
      </c>
      <c r="G750" s="30">
        <v>47.6</v>
      </c>
    </row>
    <row r="751" spans="1:7" x14ac:dyDescent="0.25">
      <c r="A751" s="29">
        <v>38357</v>
      </c>
      <c r="B751" s="30">
        <v>41.1</v>
      </c>
      <c r="C751" s="30">
        <v>41.2</v>
      </c>
      <c r="D751" s="30"/>
      <c r="E751" s="30"/>
      <c r="F751" s="30">
        <v>42.7</v>
      </c>
      <c r="G751" s="30">
        <v>40.5</v>
      </c>
    </row>
    <row r="752" spans="1:7" x14ac:dyDescent="0.25">
      <c r="A752" s="29">
        <v>38358</v>
      </c>
      <c r="B752" s="30">
        <v>36.200000000000003</v>
      </c>
      <c r="C752" s="30">
        <v>35.299999999999997</v>
      </c>
      <c r="D752" s="30"/>
      <c r="E752" s="30"/>
      <c r="F752" s="30">
        <v>44.1</v>
      </c>
      <c r="G752" s="30">
        <v>35</v>
      </c>
    </row>
    <row r="753" spans="1:7" x14ac:dyDescent="0.25">
      <c r="A753" s="29">
        <v>38359</v>
      </c>
      <c r="B753" s="30">
        <v>38.299999999999997</v>
      </c>
      <c r="C753" s="30">
        <v>37.9</v>
      </c>
      <c r="D753" s="30"/>
      <c r="E753" s="30"/>
      <c r="F753" s="30">
        <v>42.2</v>
      </c>
      <c r="G753" s="30">
        <v>36.799999999999997</v>
      </c>
    </row>
    <row r="754" spans="1:7" x14ac:dyDescent="0.25">
      <c r="A754" s="29">
        <v>38360</v>
      </c>
      <c r="B754" s="30">
        <v>37.5</v>
      </c>
      <c r="C754" s="30">
        <v>36.700000000000003</v>
      </c>
      <c r="D754" s="30"/>
      <c r="E754" s="30"/>
      <c r="F754" s="30">
        <v>41.9</v>
      </c>
      <c r="G754" s="30">
        <v>36.1</v>
      </c>
    </row>
    <row r="755" spans="1:7" x14ac:dyDescent="0.25">
      <c r="A755" s="29">
        <v>38361</v>
      </c>
      <c r="B755" s="30">
        <v>36</v>
      </c>
      <c r="C755" s="30">
        <v>35.700000000000003</v>
      </c>
      <c r="D755" s="30"/>
      <c r="E755" s="30"/>
      <c r="F755" s="30">
        <v>37.799999999999997</v>
      </c>
      <c r="G755" s="30">
        <v>36</v>
      </c>
    </row>
    <row r="756" spans="1:7" x14ac:dyDescent="0.25">
      <c r="A756" s="29">
        <v>38362</v>
      </c>
      <c r="B756" s="30">
        <v>41.1</v>
      </c>
      <c r="C756" s="30">
        <v>40.6</v>
      </c>
      <c r="D756" s="30"/>
      <c r="E756" s="30"/>
      <c r="F756" s="30">
        <v>41.3</v>
      </c>
      <c r="G756" s="30">
        <v>39.799999999999997</v>
      </c>
    </row>
    <row r="757" spans="1:7" x14ac:dyDescent="0.25">
      <c r="A757" s="29">
        <v>38363</v>
      </c>
      <c r="B757" s="30">
        <v>38.799999999999997</v>
      </c>
      <c r="C757" s="30">
        <v>38.299999999999997</v>
      </c>
      <c r="D757" s="30"/>
      <c r="E757" s="30"/>
      <c r="F757" s="30">
        <v>37.1</v>
      </c>
      <c r="G757" s="30">
        <v>37.200000000000003</v>
      </c>
    </row>
    <row r="758" spans="1:7" x14ac:dyDescent="0.25">
      <c r="A758" s="29">
        <v>38364</v>
      </c>
      <c r="B758" s="30">
        <v>38.9</v>
      </c>
      <c r="C758" s="30">
        <v>37.1</v>
      </c>
      <c r="D758" s="30"/>
      <c r="E758" s="30"/>
      <c r="F758" s="30">
        <v>45.4</v>
      </c>
      <c r="G758" s="30">
        <v>37.700000000000003</v>
      </c>
    </row>
    <row r="759" spans="1:7" x14ac:dyDescent="0.25">
      <c r="A759" s="29">
        <v>38365</v>
      </c>
      <c r="B759" s="30">
        <v>44.3</v>
      </c>
      <c r="C759" s="30">
        <v>40.6</v>
      </c>
      <c r="D759" s="30"/>
      <c r="E759" s="30"/>
      <c r="F759" s="30">
        <v>49.7</v>
      </c>
      <c r="G759" s="30">
        <v>41.2</v>
      </c>
    </row>
    <row r="760" spans="1:7" x14ac:dyDescent="0.25">
      <c r="A760" s="29">
        <v>38366</v>
      </c>
      <c r="B760" s="30">
        <v>48.2</v>
      </c>
      <c r="C760" s="30">
        <v>49.4</v>
      </c>
      <c r="D760" s="30"/>
      <c r="E760" s="30"/>
      <c r="F760" s="30">
        <v>50.6</v>
      </c>
      <c r="G760" s="30">
        <v>52.1</v>
      </c>
    </row>
    <row r="761" spans="1:7" x14ac:dyDescent="0.25">
      <c r="A761" s="29">
        <v>38367</v>
      </c>
      <c r="B761" s="30">
        <v>31.4</v>
      </c>
      <c r="C761" s="30">
        <v>31.1</v>
      </c>
      <c r="D761" s="30"/>
      <c r="E761" s="30"/>
      <c r="F761" s="30">
        <v>31.9</v>
      </c>
      <c r="G761" s="30">
        <v>30.1</v>
      </c>
    </row>
    <row r="762" spans="1:7" x14ac:dyDescent="0.25">
      <c r="A762" s="29">
        <v>38368</v>
      </c>
      <c r="B762" s="30">
        <v>29</v>
      </c>
      <c r="C762" s="30">
        <v>28.8</v>
      </c>
      <c r="D762" s="30"/>
      <c r="E762" s="30"/>
      <c r="F762" s="30">
        <v>29.3</v>
      </c>
      <c r="G762" s="30">
        <v>27.4</v>
      </c>
    </row>
    <row r="763" spans="1:7" x14ac:dyDescent="0.25">
      <c r="A763" s="29">
        <v>38369</v>
      </c>
      <c r="B763" s="30">
        <v>26.4</v>
      </c>
      <c r="C763" s="30">
        <v>26.1</v>
      </c>
      <c r="D763" s="30"/>
      <c r="E763" s="30"/>
      <c r="F763" s="30">
        <v>26.2</v>
      </c>
      <c r="G763" s="30">
        <v>25.6</v>
      </c>
    </row>
    <row r="764" spans="1:7" x14ac:dyDescent="0.25">
      <c r="A764" s="29">
        <v>38370</v>
      </c>
      <c r="B764" s="30">
        <v>16.3</v>
      </c>
      <c r="C764" s="30">
        <v>16</v>
      </c>
      <c r="D764" s="30"/>
      <c r="E764" s="30"/>
      <c r="F764" s="30">
        <v>16.600000000000001</v>
      </c>
      <c r="G764" s="30">
        <v>15.4</v>
      </c>
    </row>
    <row r="765" spans="1:7" x14ac:dyDescent="0.25">
      <c r="A765" s="29">
        <v>38371</v>
      </c>
      <c r="B765" s="30">
        <v>15.5</v>
      </c>
      <c r="C765" s="30">
        <v>14.8</v>
      </c>
      <c r="D765" s="30"/>
      <c r="E765" s="30"/>
      <c r="F765" s="30">
        <v>15.1</v>
      </c>
      <c r="G765" s="30">
        <v>13.7</v>
      </c>
    </row>
    <row r="766" spans="1:7" x14ac:dyDescent="0.25">
      <c r="A766" s="29">
        <v>38372</v>
      </c>
      <c r="B766" s="30">
        <v>26.3</v>
      </c>
      <c r="C766" s="30">
        <v>26</v>
      </c>
      <c r="D766" s="30"/>
      <c r="E766" s="30"/>
      <c r="F766" s="30">
        <v>27</v>
      </c>
      <c r="G766" s="30">
        <v>24.4</v>
      </c>
    </row>
    <row r="767" spans="1:7" x14ac:dyDescent="0.25">
      <c r="A767" s="29">
        <v>38373</v>
      </c>
      <c r="B767" s="30">
        <v>18.399999999999999</v>
      </c>
      <c r="C767" s="30">
        <v>17.5</v>
      </c>
      <c r="D767" s="30"/>
      <c r="E767" s="30"/>
      <c r="F767" s="30">
        <v>20.7</v>
      </c>
      <c r="G767" s="30">
        <v>16.8</v>
      </c>
    </row>
    <row r="768" spans="1:7" x14ac:dyDescent="0.25">
      <c r="A768" s="29">
        <v>38374</v>
      </c>
      <c r="B768" s="30">
        <v>13</v>
      </c>
      <c r="C768" s="30">
        <v>12.3</v>
      </c>
      <c r="D768" s="30"/>
      <c r="E768" s="30"/>
      <c r="F768" s="30">
        <v>16.100000000000001</v>
      </c>
      <c r="G768" s="30">
        <v>10.3</v>
      </c>
    </row>
    <row r="769" spans="1:7" x14ac:dyDescent="0.25">
      <c r="A769" s="29">
        <v>38375</v>
      </c>
      <c r="B769" s="30">
        <v>21.4</v>
      </c>
      <c r="C769" s="30">
        <v>20.9</v>
      </c>
      <c r="D769" s="30"/>
      <c r="E769" s="30"/>
      <c r="F769" s="30">
        <v>22</v>
      </c>
      <c r="G769" s="30">
        <v>19</v>
      </c>
    </row>
    <row r="770" spans="1:7" x14ac:dyDescent="0.25">
      <c r="A770" s="29">
        <v>38376</v>
      </c>
      <c r="B770" s="30">
        <v>13.3</v>
      </c>
      <c r="C770" s="30">
        <v>14.6</v>
      </c>
      <c r="D770" s="30"/>
      <c r="E770" s="30"/>
      <c r="F770" s="30">
        <v>12.8</v>
      </c>
      <c r="G770" s="30">
        <v>12.9</v>
      </c>
    </row>
    <row r="771" spans="1:7" x14ac:dyDescent="0.25">
      <c r="A771" s="29">
        <v>38377</v>
      </c>
      <c r="B771" s="30">
        <v>24.1</v>
      </c>
      <c r="C771" s="30">
        <v>25</v>
      </c>
      <c r="D771" s="30"/>
      <c r="E771" s="30"/>
      <c r="F771" s="30">
        <v>24.2</v>
      </c>
      <c r="G771" s="30">
        <v>23.3</v>
      </c>
    </row>
    <row r="772" spans="1:7" x14ac:dyDescent="0.25">
      <c r="A772" s="29">
        <v>38378</v>
      </c>
      <c r="B772" s="30">
        <v>33.299999999999997</v>
      </c>
      <c r="C772" s="30">
        <v>32.5</v>
      </c>
      <c r="D772" s="30"/>
      <c r="E772" s="30"/>
      <c r="F772" s="30">
        <v>34.9</v>
      </c>
      <c r="G772" s="30">
        <v>32.9</v>
      </c>
    </row>
    <row r="773" spans="1:7" x14ac:dyDescent="0.25">
      <c r="A773" s="29">
        <v>38379</v>
      </c>
      <c r="B773" s="30">
        <v>15.7</v>
      </c>
      <c r="C773" s="30">
        <v>15.7</v>
      </c>
      <c r="D773" s="30"/>
      <c r="E773" s="30"/>
      <c r="F773" s="30">
        <v>22.5</v>
      </c>
      <c r="G773" s="30">
        <v>15.8</v>
      </c>
    </row>
    <row r="774" spans="1:7" x14ac:dyDescent="0.25">
      <c r="A774" s="29">
        <v>38380</v>
      </c>
      <c r="B774" s="30">
        <v>12.9</v>
      </c>
      <c r="C774" s="30">
        <v>13.4</v>
      </c>
      <c r="D774" s="30"/>
      <c r="E774" s="30"/>
      <c r="F774" s="30">
        <v>13.4</v>
      </c>
      <c r="G774" s="30">
        <v>11.8</v>
      </c>
    </row>
    <row r="775" spans="1:7" x14ac:dyDescent="0.25">
      <c r="A775" s="29">
        <v>38381</v>
      </c>
      <c r="B775" s="30">
        <v>20.3</v>
      </c>
      <c r="C775" s="30">
        <v>24.2</v>
      </c>
      <c r="D775" s="30"/>
      <c r="E775" s="30"/>
      <c r="F775" s="30">
        <v>18.8</v>
      </c>
      <c r="G775" s="30">
        <v>19.7</v>
      </c>
    </row>
    <row r="776" spans="1:7" x14ac:dyDescent="0.25">
      <c r="A776" s="29">
        <v>38382</v>
      </c>
      <c r="B776" s="30">
        <v>29.3</v>
      </c>
      <c r="C776" s="30">
        <v>30.7</v>
      </c>
      <c r="D776" s="30"/>
      <c r="E776" s="30"/>
      <c r="F776" s="30">
        <v>28.8</v>
      </c>
      <c r="G776" s="30">
        <v>28.2</v>
      </c>
    </row>
    <row r="777" spans="1:7" x14ac:dyDescent="0.25">
      <c r="A777" s="29">
        <v>38383</v>
      </c>
      <c r="B777" s="30">
        <v>30.3</v>
      </c>
      <c r="C777" s="30">
        <v>30.3</v>
      </c>
      <c r="D777" s="30"/>
      <c r="E777" s="30"/>
      <c r="F777" s="30">
        <v>29.4</v>
      </c>
      <c r="G777" s="30">
        <v>27.5</v>
      </c>
    </row>
    <row r="778" spans="1:7" x14ac:dyDescent="0.25">
      <c r="A778" s="29">
        <v>38384</v>
      </c>
      <c r="B778" s="30">
        <v>26.9</v>
      </c>
      <c r="C778" s="30">
        <v>30.5</v>
      </c>
      <c r="D778" s="30"/>
      <c r="E778" s="30"/>
      <c r="F778" s="30">
        <v>26.3</v>
      </c>
      <c r="G778" s="30">
        <v>28.2</v>
      </c>
    </row>
    <row r="779" spans="1:7" x14ac:dyDescent="0.25">
      <c r="A779" s="29">
        <v>38385</v>
      </c>
      <c r="B779" s="30">
        <v>29.7</v>
      </c>
      <c r="C779" s="30">
        <v>31.9</v>
      </c>
      <c r="D779" s="30"/>
      <c r="E779" s="30"/>
      <c r="F779" s="30">
        <v>25.8</v>
      </c>
      <c r="G779" s="30">
        <v>30.7</v>
      </c>
    </row>
    <row r="780" spans="1:7" x14ac:dyDescent="0.25">
      <c r="A780" s="29">
        <v>38386</v>
      </c>
      <c r="B780" s="30">
        <v>32.1</v>
      </c>
      <c r="C780" s="30">
        <v>33.200000000000003</v>
      </c>
      <c r="D780" s="30"/>
      <c r="E780" s="30"/>
      <c r="F780" s="30">
        <v>29.9</v>
      </c>
      <c r="G780" s="30">
        <v>31.9</v>
      </c>
    </row>
    <row r="781" spans="1:7" x14ac:dyDescent="0.25">
      <c r="A781" s="29">
        <v>38387</v>
      </c>
      <c r="B781" s="30">
        <v>36.9</v>
      </c>
      <c r="C781" s="30">
        <v>37.5</v>
      </c>
      <c r="D781" s="30"/>
      <c r="E781" s="30"/>
      <c r="F781" s="30">
        <v>34.6</v>
      </c>
      <c r="G781" s="30">
        <v>37.1</v>
      </c>
    </row>
    <row r="782" spans="1:7" x14ac:dyDescent="0.25">
      <c r="A782" s="29">
        <v>38388</v>
      </c>
      <c r="B782" s="30">
        <v>41.3</v>
      </c>
      <c r="C782" s="30">
        <v>43.1</v>
      </c>
      <c r="D782" s="30"/>
      <c r="E782" s="30"/>
      <c r="F782" s="30">
        <v>37.9</v>
      </c>
      <c r="G782" s="30">
        <v>41.5</v>
      </c>
    </row>
    <row r="783" spans="1:7" x14ac:dyDescent="0.25">
      <c r="A783" s="29">
        <v>38389</v>
      </c>
      <c r="B783" s="30">
        <v>41.6</v>
      </c>
      <c r="C783" s="30">
        <v>42.5</v>
      </c>
      <c r="D783" s="30"/>
      <c r="E783" s="30"/>
      <c r="F783" s="30">
        <v>37</v>
      </c>
      <c r="G783" s="30">
        <v>43.7</v>
      </c>
    </row>
    <row r="784" spans="1:7" x14ac:dyDescent="0.25">
      <c r="A784" s="29">
        <v>38390</v>
      </c>
      <c r="B784" s="30">
        <v>38.299999999999997</v>
      </c>
      <c r="C784" s="30">
        <v>40.200000000000003</v>
      </c>
      <c r="D784" s="30"/>
      <c r="E784" s="30"/>
      <c r="F784" s="30">
        <v>37.200000000000003</v>
      </c>
      <c r="G784" s="30">
        <v>39.9</v>
      </c>
    </row>
    <row r="785" spans="1:7" x14ac:dyDescent="0.25">
      <c r="A785" s="29">
        <v>38391</v>
      </c>
      <c r="B785" s="30">
        <v>36.9</v>
      </c>
      <c r="C785" s="30">
        <v>42.2</v>
      </c>
      <c r="D785" s="30"/>
      <c r="E785" s="30"/>
      <c r="F785" s="30">
        <v>37.1</v>
      </c>
      <c r="G785" s="30">
        <v>41.7</v>
      </c>
    </row>
    <row r="786" spans="1:7" x14ac:dyDescent="0.25">
      <c r="A786" s="29">
        <v>38392</v>
      </c>
      <c r="B786" s="30">
        <v>43.4</v>
      </c>
      <c r="C786" s="30">
        <v>47.8</v>
      </c>
      <c r="D786" s="30"/>
      <c r="E786" s="30"/>
      <c r="F786" s="30">
        <v>42.7</v>
      </c>
      <c r="G786" s="30">
        <v>47.3</v>
      </c>
    </row>
    <row r="787" spans="1:7" x14ac:dyDescent="0.25">
      <c r="A787" s="29">
        <v>38393</v>
      </c>
      <c r="B787" s="30">
        <v>42.2</v>
      </c>
      <c r="C787" s="30">
        <v>40.700000000000003</v>
      </c>
      <c r="D787" s="30"/>
      <c r="E787" s="30"/>
      <c r="F787" s="30">
        <v>41.7</v>
      </c>
      <c r="G787" s="30">
        <v>42.3</v>
      </c>
    </row>
    <row r="788" spans="1:7" x14ac:dyDescent="0.25">
      <c r="A788" s="29">
        <v>38394</v>
      </c>
      <c r="B788" s="30">
        <v>34.4</v>
      </c>
      <c r="C788" s="30">
        <v>33.200000000000003</v>
      </c>
      <c r="D788" s="30"/>
      <c r="E788" s="30"/>
      <c r="F788" s="30">
        <v>34.700000000000003</v>
      </c>
      <c r="G788" s="30">
        <v>33.6</v>
      </c>
    </row>
    <row r="789" spans="1:7" x14ac:dyDescent="0.25">
      <c r="A789" s="29">
        <v>38395</v>
      </c>
      <c r="B789" s="30">
        <v>36</v>
      </c>
      <c r="C789" s="30">
        <v>35.5</v>
      </c>
      <c r="D789" s="30"/>
      <c r="E789" s="30"/>
      <c r="F789" s="30">
        <v>33.9</v>
      </c>
      <c r="G789" s="30">
        <v>35</v>
      </c>
    </row>
    <row r="790" spans="1:7" x14ac:dyDescent="0.25">
      <c r="A790" s="29">
        <v>38396</v>
      </c>
      <c r="B790" s="30">
        <v>37.5</v>
      </c>
      <c r="C790" s="30">
        <v>36.700000000000003</v>
      </c>
      <c r="D790" s="30"/>
      <c r="E790" s="30"/>
      <c r="F790" s="30">
        <v>36</v>
      </c>
      <c r="G790" s="30">
        <v>36.299999999999997</v>
      </c>
    </row>
    <row r="791" spans="1:7" x14ac:dyDescent="0.25">
      <c r="A791" s="29">
        <v>38397</v>
      </c>
      <c r="B791" s="30">
        <v>36</v>
      </c>
      <c r="C791" s="30">
        <v>36.4</v>
      </c>
      <c r="D791" s="30"/>
      <c r="E791" s="30"/>
      <c r="F791" s="30">
        <v>38.1</v>
      </c>
      <c r="G791" s="30">
        <v>36.6</v>
      </c>
    </row>
    <row r="792" spans="1:7" x14ac:dyDescent="0.25">
      <c r="A792" s="29">
        <v>38398</v>
      </c>
      <c r="B792" s="30">
        <v>47.9</v>
      </c>
      <c r="C792" s="30">
        <v>49.2</v>
      </c>
      <c r="D792" s="30"/>
      <c r="E792" s="30"/>
      <c r="F792" s="30">
        <v>50.2</v>
      </c>
      <c r="G792" s="30">
        <v>49.4</v>
      </c>
    </row>
    <row r="793" spans="1:7" x14ac:dyDescent="0.25">
      <c r="A793" s="29">
        <v>38399</v>
      </c>
      <c r="B793" s="30">
        <v>43.2</v>
      </c>
      <c r="C793" s="30">
        <v>46.5</v>
      </c>
      <c r="D793" s="30"/>
      <c r="E793" s="30"/>
      <c r="F793" s="30">
        <v>48.2</v>
      </c>
      <c r="G793" s="30">
        <v>47.1</v>
      </c>
    </row>
    <row r="794" spans="1:7" x14ac:dyDescent="0.25">
      <c r="A794" s="29">
        <v>38400</v>
      </c>
      <c r="B794" s="30">
        <v>35.5</v>
      </c>
      <c r="C794" s="30">
        <v>35.1</v>
      </c>
      <c r="D794" s="30"/>
      <c r="E794" s="30"/>
      <c r="F794" s="30">
        <v>35.5</v>
      </c>
      <c r="G794" s="30">
        <v>34.700000000000003</v>
      </c>
    </row>
    <row r="795" spans="1:7" x14ac:dyDescent="0.25">
      <c r="A795" s="29">
        <v>38401</v>
      </c>
      <c r="B795" s="30">
        <v>30.2</v>
      </c>
      <c r="C795" s="30">
        <v>29.7</v>
      </c>
      <c r="D795" s="30"/>
      <c r="E795" s="30"/>
      <c r="F795" s="30">
        <v>28.5</v>
      </c>
      <c r="G795" s="30">
        <v>29.2</v>
      </c>
    </row>
    <row r="796" spans="1:7" x14ac:dyDescent="0.25">
      <c r="A796" s="29">
        <v>38402</v>
      </c>
      <c r="B796" s="30">
        <v>23.1</v>
      </c>
      <c r="C796" s="30">
        <v>22.5</v>
      </c>
      <c r="D796" s="30"/>
      <c r="E796" s="30"/>
      <c r="F796" s="30">
        <v>23.8</v>
      </c>
      <c r="G796" s="30">
        <v>22.7</v>
      </c>
    </row>
    <row r="797" spans="1:7" x14ac:dyDescent="0.25">
      <c r="A797" s="29">
        <v>38403</v>
      </c>
      <c r="B797" s="30">
        <v>31.3</v>
      </c>
      <c r="C797" s="30">
        <v>31.5</v>
      </c>
      <c r="D797" s="30"/>
      <c r="E797" s="30"/>
      <c r="F797" s="30">
        <v>30.1</v>
      </c>
      <c r="G797" s="30">
        <v>30.4</v>
      </c>
    </row>
    <row r="798" spans="1:7" x14ac:dyDescent="0.25">
      <c r="A798" s="29">
        <v>38404</v>
      </c>
      <c r="B798" s="30">
        <v>33.4</v>
      </c>
      <c r="C798" s="30">
        <v>32.200000000000003</v>
      </c>
      <c r="D798" s="30"/>
      <c r="E798" s="30"/>
      <c r="F798" s="30">
        <v>39</v>
      </c>
      <c r="G798" s="30">
        <v>32.5</v>
      </c>
    </row>
    <row r="799" spans="1:7" x14ac:dyDescent="0.25">
      <c r="A799" s="29">
        <v>38405</v>
      </c>
      <c r="B799" s="30">
        <v>35.799999999999997</v>
      </c>
      <c r="C799" s="30">
        <v>35.299999999999997</v>
      </c>
      <c r="D799" s="30"/>
      <c r="E799" s="30"/>
      <c r="F799" s="30">
        <v>38.4</v>
      </c>
      <c r="G799" s="30">
        <v>35</v>
      </c>
    </row>
    <row r="800" spans="1:7" x14ac:dyDescent="0.25">
      <c r="A800" s="29">
        <v>38406</v>
      </c>
      <c r="B800" s="30">
        <v>37</v>
      </c>
      <c r="C800" s="30">
        <v>37</v>
      </c>
      <c r="D800" s="30"/>
      <c r="E800" s="30"/>
      <c r="F800" s="30">
        <v>37.700000000000003</v>
      </c>
      <c r="G800" s="30">
        <v>36.700000000000003</v>
      </c>
    </row>
    <row r="801" spans="1:7" x14ac:dyDescent="0.25">
      <c r="A801" s="29">
        <v>38407</v>
      </c>
      <c r="B801" s="30">
        <v>28.6</v>
      </c>
      <c r="C801" s="30">
        <v>28</v>
      </c>
      <c r="D801" s="30"/>
      <c r="E801" s="30"/>
      <c r="F801" s="30">
        <v>28.8</v>
      </c>
      <c r="G801" s="30">
        <v>28</v>
      </c>
    </row>
    <row r="802" spans="1:7" x14ac:dyDescent="0.25">
      <c r="A802" s="29">
        <v>38408</v>
      </c>
      <c r="B802" s="30">
        <v>26.6</v>
      </c>
      <c r="C802" s="30">
        <v>27</v>
      </c>
      <c r="D802" s="30"/>
      <c r="E802" s="30"/>
      <c r="F802" s="30">
        <v>27.4</v>
      </c>
      <c r="G802" s="30">
        <v>26.2</v>
      </c>
    </row>
    <row r="803" spans="1:7" x14ac:dyDescent="0.25">
      <c r="A803" s="29">
        <v>38409</v>
      </c>
      <c r="B803" s="30">
        <v>30.4</v>
      </c>
      <c r="C803" s="30">
        <v>31.6</v>
      </c>
      <c r="D803" s="30"/>
      <c r="E803" s="30"/>
      <c r="F803" s="30">
        <v>28.3</v>
      </c>
      <c r="G803" s="30">
        <v>29.5</v>
      </c>
    </row>
    <row r="804" spans="1:7" x14ac:dyDescent="0.25">
      <c r="A804" s="29">
        <v>38410</v>
      </c>
      <c r="B804" s="30">
        <v>30.8</v>
      </c>
      <c r="C804" s="30">
        <v>30.6</v>
      </c>
      <c r="D804" s="30"/>
      <c r="E804" s="30"/>
      <c r="F804" s="30">
        <v>29.3</v>
      </c>
      <c r="G804" s="30">
        <v>30</v>
      </c>
    </row>
    <row r="805" spans="1:7" x14ac:dyDescent="0.25">
      <c r="A805" s="29">
        <v>38411</v>
      </c>
      <c r="B805" s="30">
        <v>32.200000000000003</v>
      </c>
      <c r="C805" s="30">
        <v>32.4</v>
      </c>
      <c r="D805" s="30"/>
      <c r="E805" s="30"/>
      <c r="F805" s="30">
        <v>31.6</v>
      </c>
      <c r="G805" s="30">
        <v>32</v>
      </c>
    </row>
    <row r="806" spans="1:7" x14ac:dyDescent="0.25">
      <c r="A806" s="29">
        <v>38412</v>
      </c>
      <c r="B806" s="30">
        <v>31.7</v>
      </c>
      <c r="C806" s="30">
        <v>31.5</v>
      </c>
      <c r="D806" s="30"/>
      <c r="E806" s="30"/>
      <c r="F806" s="30">
        <v>33.200000000000003</v>
      </c>
      <c r="G806" s="30">
        <v>30.7</v>
      </c>
    </row>
    <row r="807" spans="1:7" x14ac:dyDescent="0.25">
      <c r="A807" s="29">
        <v>38413</v>
      </c>
      <c r="B807" s="30">
        <v>33.9</v>
      </c>
      <c r="C807" s="30">
        <v>34.1</v>
      </c>
      <c r="D807" s="30"/>
      <c r="E807" s="30"/>
      <c r="F807" s="30">
        <v>33</v>
      </c>
      <c r="G807" s="30">
        <v>33</v>
      </c>
    </row>
    <row r="808" spans="1:7" x14ac:dyDescent="0.25">
      <c r="A808" s="29">
        <v>38414</v>
      </c>
      <c r="B808" s="30">
        <v>28.8</v>
      </c>
      <c r="C808" s="30">
        <v>28.9</v>
      </c>
      <c r="D808" s="30"/>
      <c r="E808" s="30"/>
      <c r="F808" s="30">
        <v>27.9</v>
      </c>
      <c r="G808" s="30">
        <v>27.5</v>
      </c>
    </row>
    <row r="809" spans="1:7" x14ac:dyDescent="0.25">
      <c r="A809" s="29">
        <v>38415</v>
      </c>
      <c r="B809" s="30">
        <v>29</v>
      </c>
      <c r="C809" s="30">
        <v>29.4</v>
      </c>
      <c r="D809" s="30"/>
      <c r="E809" s="30"/>
      <c r="F809" s="30">
        <v>28.8</v>
      </c>
      <c r="G809" s="30">
        <v>28</v>
      </c>
    </row>
    <row r="810" spans="1:7" x14ac:dyDescent="0.25">
      <c r="A810" s="29">
        <v>38416</v>
      </c>
      <c r="B810" s="30">
        <v>34</v>
      </c>
      <c r="C810" s="30">
        <v>33.9</v>
      </c>
      <c r="D810" s="30"/>
      <c r="E810" s="30"/>
      <c r="F810" s="30">
        <v>31.6</v>
      </c>
      <c r="G810" s="30">
        <v>32.299999999999997</v>
      </c>
    </row>
    <row r="811" spans="1:7" x14ac:dyDescent="0.25">
      <c r="A811" s="29">
        <v>38417</v>
      </c>
      <c r="B811" s="30">
        <v>37.5</v>
      </c>
      <c r="C811" s="30">
        <v>37.9</v>
      </c>
      <c r="D811" s="30"/>
      <c r="E811" s="30"/>
      <c r="F811" s="30">
        <v>34.9</v>
      </c>
      <c r="G811" s="30">
        <v>36.299999999999997</v>
      </c>
    </row>
    <row r="812" spans="1:7" x14ac:dyDescent="0.25">
      <c r="A812" s="29">
        <v>38418</v>
      </c>
      <c r="B812" s="30">
        <v>45</v>
      </c>
      <c r="C812" s="30">
        <v>48.5</v>
      </c>
      <c r="D812" s="30"/>
      <c r="E812" s="30"/>
      <c r="F812" s="30">
        <v>45.8</v>
      </c>
      <c r="G812" s="30">
        <v>49.2</v>
      </c>
    </row>
    <row r="813" spans="1:7" x14ac:dyDescent="0.25">
      <c r="A813" s="29">
        <v>38419</v>
      </c>
      <c r="B813" s="30">
        <v>38.4</v>
      </c>
      <c r="C813" s="30">
        <v>40</v>
      </c>
      <c r="D813" s="30"/>
      <c r="E813" s="30"/>
      <c r="F813" s="30">
        <v>42.1</v>
      </c>
      <c r="G813" s="30">
        <v>42.4</v>
      </c>
    </row>
    <row r="814" spans="1:7" x14ac:dyDescent="0.25">
      <c r="A814" s="29">
        <v>38420</v>
      </c>
      <c r="B814" s="30">
        <v>21.5</v>
      </c>
      <c r="C814" s="30">
        <v>22</v>
      </c>
      <c r="D814" s="30"/>
      <c r="E814" s="30"/>
      <c r="F814" s="30">
        <v>24.1</v>
      </c>
      <c r="G814" s="30">
        <v>21.2</v>
      </c>
    </row>
    <row r="815" spans="1:7" x14ac:dyDescent="0.25">
      <c r="A815" s="29">
        <v>38421</v>
      </c>
      <c r="B815" s="30">
        <v>26.5</v>
      </c>
      <c r="C815" s="30">
        <v>26.7</v>
      </c>
      <c r="D815" s="30"/>
      <c r="E815" s="30"/>
      <c r="F815" s="30">
        <v>26.2</v>
      </c>
      <c r="G815" s="30">
        <v>25.9</v>
      </c>
    </row>
    <row r="816" spans="1:7" x14ac:dyDescent="0.25">
      <c r="A816" s="29">
        <v>38422</v>
      </c>
      <c r="B816" s="30">
        <v>33.6</v>
      </c>
      <c r="C816" s="30">
        <v>31.7</v>
      </c>
      <c r="D816" s="30"/>
      <c r="E816" s="30"/>
      <c r="F816" s="30">
        <v>37.6</v>
      </c>
      <c r="G816" s="30">
        <v>32.9</v>
      </c>
    </row>
    <row r="817" spans="1:7" x14ac:dyDescent="0.25">
      <c r="A817" s="29">
        <v>38423</v>
      </c>
      <c r="B817" s="30">
        <v>36.200000000000003</v>
      </c>
      <c r="C817" s="30">
        <v>35.4</v>
      </c>
      <c r="D817" s="30"/>
      <c r="E817" s="30"/>
      <c r="F817" s="30">
        <v>38.5</v>
      </c>
      <c r="G817" s="30">
        <v>36.799999999999997</v>
      </c>
    </row>
    <row r="818" spans="1:7" x14ac:dyDescent="0.25">
      <c r="A818" s="29">
        <v>38424</v>
      </c>
      <c r="B818" s="30">
        <v>39.9</v>
      </c>
      <c r="C818" s="30">
        <v>39</v>
      </c>
      <c r="D818" s="30"/>
      <c r="E818" s="30"/>
      <c r="F818" s="30">
        <v>39.700000000000003</v>
      </c>
      <c r="G818" s="30">
        <v>38.6</v>
      </c>
    </row>
    <row r="819" spans="1:7" x14ac:dyDescent="0.25">
      <c r="A819" s="29">
        <v>38425</v>
      </c>
      <c r="B819" s="30">
        <v>36.1</v>
      </c>
      <c r="C819" s="30">
        <v>35.200000000000003</v>
      </c>
      <c r="D819" s="30"/>
      <c r="E819" s="30"/>
      <c r="F819" s="30">
        <v>37.4</v>
      </c>
      <c r="G819" s="30">
        <v>35.4</v>
      </c>
    </row>
    <row r="820" spans="1:7" x14ac:dyDescent="0.25">
      <c r="A820" s="29">
        <v>38426</v>
      </c>
      <c r="B820" s="30">
        <v>36.5</v>
      </c>
      <c r="C820" s="30">
        <v>35.6</v>
      </c>
      <c r="D820" s="30"/>
      <c r="E820" s="30"/>
      <c r="F820" s="30">
        <v>34</v>
      </c>
      <c r="G820" s="30">
        <v>35.9</v>
      </c>
    </row>
    <row r="821" spans="1:7" x14ac:dyDescent="0.25">
      <c r="A821" s="29">
        <v>38427</v>
      </c>
      <c r="B821" s="30">
        <v>38.9</v>
      </c>
      <c r="C821" s="30">
        <v>37.799999999999997</v>
      </c>
      <c r="D821" s="30"/>
      <c r="E821" s="30"/>
      <c r="F821" s="30">
        <v>37.299999999999997</v>
      </c>
      <c r="G821" s="30">
        <v>38.200000000000003</v>
      </c>
    </row>
    <row r="822" spans="1:7" x14ac:dyDescent="0.25">
      <c r="A822" s="29">
        <v>38428</v>
      </c>
      <c r="B822" s="30">
        <v>37.200000000000003</v>
      </c>
      <c r="C822" s="30">
        <v>38.4</v>
      </c>
      <c r="D822" s="30"/>
      <c r="E822" s="30"/>
      <c r="F822" s="30">
        <v>37.200000000000003</v>
      </c>
      <c r="G822" s="30">
        <v>38.5</v>
      </c>
    </row>
    <row r="823" spans="1:7" x14ac:dyDescent="0.25">
      <c r="A823" s="29">
        <v>38429</v>
      </c>
      <c r="B823" s="30">
        <v>40.9</v>
      </c>
      <c r="C823" s="30">
        <v>42.1</v>
      </c>
      <c r="D823" s="30"/>
      <c r="E823" s="30"/>
      <c r="F823" s="30">
        <v>37.799999999999997</v>
      </c>
      <c r="G823" s="30">
        <v>41.8</v>
      </c>
    </row>
    <row r="824" spans="1:7" x14ac:dyDescent="0.25">
      <c r="A824" s="29">
        <v>38430</v>
      </c>
      <c r="B824" s="30">
        <v>40.5</v>
      </c>
      <c r="C824" s="30">
        <v>41.6</v>
      </c>
      <c r="D824" s="30"/>
      <c r="E824" s="30"/>
      <c r="F824" s="30">
        <v>36</v>
      </c>
      <c r="G824" s="30">
        <v>41.3</v>
      </c>
    </row>
    <row r="825" spans="1:7" x14ac:dyDescent="0.25">
      <c r="A825" s="29">
        <v>38431</v>
      </c>
      <c r="B825" s="30">
        <v>39</v>
      </c>
      <c r="C825" s="30">
        <v>40.1</v>
      </c>
      <c r="D825" s="30"/>
      <c r="E825" s="30"/>
      <c r="F825" s="30">
        <v>41.5</v>
      </c>
      <c r="G825" s="30">
        <v>40.5</v>
      </c>
    </row>
    <row r="826" spans="1:7" x14ac:dyDescent="0.25">
      <c r="A826" s="29">
        <v>38432</v>
      </c>
      <c r="B826" s="30">
        <v>41.8</v>
      </c>
      <c r="C826" s="30">
        <v>40.1</v>
      </c>
      <c r="D826" s="30"/>
      <c r="E826" s="30"/>
      <c r="F826" s="30">
        <v>44.3</v>
      </c>
      <c r="G826" s="30">
        <v>42.4</v>
      </c>
    </row>
    <row r="827" spans="1:7" x14ac:dyDescent="0.25">
      <c r="A827" s="29">
        <v>38433</v>
      </c>
      <c r="B827" s="30">
        <v>42.2</v>
      </c>
      <c r="C827" s="30">
        <v>43.4</v>
      </c>
      <c r="D827" s="30"/>
      <c r="E827" s="30"/>
      <c r="F827" s="30">
        <v>40.799999999999997</v>
      </c>
      <c r="G827" s="30">
        <v>43.7</v>
      </c>
    </row>
    <row r="828" spans="1:7" x14ac:dyDescent="0.25">
      <c r="A828" s="29">
        <v>38434</v>
      </c>
      <c r="B828" s="30">
        <v>39</v>
      </c>
      <c r="C828" s="30">
        <v>41.1</v>
      </c>
      <c r="D828" s="30"/>
      <c r="E828" s="30"/>
      <c r="F828" s="30">
        <v>41</v>
      </c>
      <c r="G828" s="30">
        <v>40.799999999999997</v>
      </c>
    </row>
    <row r="829" spans="1:7" x14ac:dyDescent="0.25">
      <c r="A829" s="29">
        <v>38435</v>
      </c>
      <c r="B829" s="30">
        <v>37.4</v>
      </c>
      <c r="C829" s="30">
        <v>36.4</v>
      </c>
      <c r="D829" s="30"/>
      <c r="E829" s="30"/>
      <c r="F829" s="30">
        <v>38.5</v>
      </c>
      <c r="G829" s="30">
        <v>36.4</v>
      </c>
    </row>
    <row r="830" spans="1:7" x14ac:dyDescent="0.25">
      <c r="A830" s="29">
        <v>38436</v>
      </c>
      <c r="B830" s="30">
        <v>42</v>
      </c>
      <c r="C830" s="30">
        <v>42.8</v>
      </c>
      <c r="D830" s="30"/>
      <c r="E830" s="30"/>
      <c r="F830" s="30">
        <v>41</v>
      </c>
      <c r="G830" s="30">
        <v>42.3</v>
      </c>
    </row>
    <row r="831" spans="1:7" x14ac:dyDescent="0.25">
      <c r="A831" s="29">
        <v>38437</v>
      </c>
      <c r="B831" s="30">
        <v>40.799999999999997</v>
      </c>
      <c r="C831" s="30">
        <v>40.700000000000003</v>
      </c>
      <c r="D831" s="30"/>
      <c r="E831" s="30"/>
      <c r="F831" s="30">
        <v>39.5</v>
      </c>
      <c r="G831" s="30">
        <v>40.200000000000003</v>
      </c>
    </row>
    <row r="832" spans="1:7" x14ac:dyDescent="0.25">
      <c r="A832" s="29">
        <v>38438</v>
      </c>
      <c r="B832" s="30">
        <v>41.3</v>
      </c>
      <c r="C832" s="30">
        <v>41.4</v>
      </c>
      <c r="D832" s="30"/>
      <c r="E832" s="30"/>
      <c r="F832" s="30">
        <v>43.9</v>
      </c>
      <c r="G832" s="30">
        <v>41.7</v>
      </c>
    </row>
    <row r="833" spans="1:7" x14ac:dyDescent="0.25">
      <c r="A833" s="29">
        <v>38439</v>
      </c>
      <c r="B833" s="30">
        <v>43.4</v>
      </c>
      <c r="C833" s="30">
        <v>40.1</v>
      </c>
      <c r="D833" s="30"/>
      <c r="E833" s="30"/>
      <c r="F833" s="30">
        <v>48.5</v>
      </c>
      <c r="G833" s="30">
        <v>41.2</v>
      </c>
    </row>
    <row r="834" spans="1:7" x14ac:dyDescent="0.25">
      <c r="A834" s="29">
        <v>38440</v>
      </c>
      <c r="B834" s="30">
        <v>49.2</v>
      </c>
      <c r="C834" s="30">
        <v>46.8</v>
      </c>
      <c r="D834" s="30"/>
      <c r="E834" s="30"/>
      <c r="F834" s="30">
        <v>50.7</v>
      </c>
      <c r="G834" s="30">
        <v>48.9</v>
      </c>
    </row>
    <row r="835" spans="1:7" x14ac:dyDescent="0.25">
      <c r="A835" s="29">
        <v>38441</v>
      </c>
      <c r="B835" s="30">
        <v>49.7</v>
      </c>
      <c r="C835" s="30">
        <v>51.4</v>
      </c>
      <c r="D835" s="30"/>
      <c r="E835" s="30"/>
      <c r="F835" s="30">
        <v>47.2</v>
      </c>
      <c r="G835" s="30">
        <v>50.8</v>
      </c>
    </row>
    <row r="836" spans="1:7" x14ac:dyDescent="0.25">
      <c r="A836" s="29">
        <v>38442</v>
      </c>
      <c r="B836" s="30">
        <v>43.5</v>
      </c>
      <c r="C836" s="30">
        <v>45.7</v>
      </c>
      <c r="D836" s="30"/>
      <c r="E836" s="30"/>
      <c r="F836" s="30">
        <v>42.5</v>
      </c>
      <c r="G836" s="30">
        <v>46.2</v>
      </c>
    </row>
    <row r="837" spans="1:7" x14ac:dyDescent="0.25">
      <c r="A837" s="29">
        <v>38443</v>
      </c>
      <c r="B837" s="30">
        <v>43.7</v>
      </c>
      <c r="C837" s="30">
        <v>43.3</v>
      </c>
      <c r="D837" s="30"/>
      <c r="E837" s="30"/>
      <c r="F837" s="30">
        <v>47.3</v>
      </c>
      <c r="G837" s="30">
        <v>44.7</v>
      </c>
    </row>
    <row r="838" spans="1:7" x14ac:dyDescent="0.25">
      <c r="A838" s="29">
        <v>38444</v>
      </c>
      <c r="B838" s="30">
        <v>47</v>
      </c>
      <c r="C838" s="30">
        <v>46.8</v>
      </c>
      <c r="D838" s="30"/>
      <c r="E838" s="30"/>
      <c r="F838" s="30">
        <v>50.4</v>
      </c>
      <c r="G838" s="30">
        <v>46.6</v>
      </c>
    </row>
    <row r="839" spans="1:7" x14ac:dyDescent="0.25">
      <c r="A839" s="29">
        <v>38445</v>
      </c>
      <c r="B839" s="30">
        <v>45.5</v>
      </c>
      <c r="C839" s="30">
        <v>46.3</v>
      </c>
      <c r="D839" s="30"/>
      <c r="E839" s="30"/>
      <c r="F839" s="30">
        <v>45.7</v>
      </c>
      <c r="G839" s="30">
        <v>45.6</v>
      </c>
    </row>
    <row r="840" spans="1:7" x14ac:dyDescent="0.25">
      <c r="A840" s="29">
        <v>38446</v>
      </c>
      <c r="B840" s="30">
        <v>47</v>
      </c>
      <c r="C840" s="30">
        <v>46.1</v>
      </c>
      <c r="D840" s="30"/>
      <c r="E840" s="30"/>
      <c r="F840" s="30">
        <v>49.2</v>
      </c>
      <c r="G840" s="30">
        <v>47.3</v>
      </c>
    </row>
    <row r="841" spans="1:7" x14ac:dyDescent="0.25">
      <c r="A841" s="29">
        <v>38447</v>
      </c>
      <c r="B841" s="30">
        <v>53.5</v>
      </c>
      <c r="C841" s="30">
        <v>52.7</v>
      </c>
      <c r="D841" s="30"/>
      <c r="E841" s="30"/>
      <c r="F841" s="30">
        <v>52.1</v>
      </c>
      <c r="G841" s="30">
        <v>53.6</v>
      </c>
    </row>
    <row r="842" spans="1:7" x14ac:dyDescent="0.25">
      <c r="A842" s="29">
        <v>38448</v>
      </c>
      <c r="B842" s="30">
        <v>53.1</v>
      </c>
      <c r="C842" s="30">
        <v>60.4</v>
      </c>
      <c r="D842" s="30"/>
      <c r="E842" s="30"/>
      <c r="F842" s="30">
        <v>56.2</v>
      </c>
      <c r="G842" s="30">
        <v>60.3</v>
      </c>
    </row>
    <row r="843" spans="1:7" x14ac:dyDescent="0.25">
      <c r="A843" s="29">
        <v>38449</v>
      </c>
      <c r="B843" s="30">
        <v>52.2</v>
      </c>
      <c r="C843" s="30">
        <v>56.5</v>
      </c>
      <c r="D843" s="30"/>
      <c r="E843" s="30"/>
      <c r="F843" s="30">
        <v>63.6</v>
      </c>
      <c r="G843" s="30">
        <v>61.7</v>
      </c>
    </row>
    <row r="844" spans="1:7" x14ac:dyDescent="0.25">
      <c r="A844" s="29">
        <v>38450</v>
      </c>
      <c r="B844" s="30">
        <v>55.4</v>
      </c>
      <c r="C844" s="30">
        <v>57</v>
      </c>
      <c r="D844" s="30"/>
      <c r="E844" s="30"/>
      <c r="F844" s="30">
        <v>55.4</v>
      </c>
      <c r="G844" s="30">
        <v>58.4</v>
      </c>
    </row>
    <row r="845" spans="1:7" x14ac:dyDescent="0.25">
      <c r="A845" s="29">
        <v>38451</v>
      </c>
      <c r="B845" s="30">
        <v>49.5</v>
      </c>
      <c r="C845" s="30">
        <v>51.1</v>
      </c>
      <c r="D845" s="30"/>
      <c r="E845" s="30"/>
      <c r="F845" s="30">
        <v>46.5</v>
      </c>
      <c r="G845" s="30">
        <v>50.6</v>
      </c>
    </row>
    <row r="846" spans="1:7" x14ac:dyDescent="0.25">
      <c r="A846" s="29">
        <v>38452</v>
      </c>
      <c r="B846" s="30">
        <v>49.5</v>
      </c>
      <c r="C846" s="30">
        <v>54.9</v>
      </c>
      <c r="D846" s="30"/>
      <c r="E846" s="30"/>
      <c r="F846" s="30">
        <v>46.7</v>
      </c>
      <c r="G846" s="30">
        <v>54.3</v>
      </c>
    </row>
    <row r="847" spans="1:7" x14ac:dyDescent="0.25">
      <c r="A847" s="29">
        <v>38453</v>
      </c>
      <c r="B847" s="30">
        <v>51.4</v>
      </c>
      <c r="C847" s="30">
        <v>53.4</v>
      </c>
      <c r="D847" s="30"/>
      <c r="E847" s="30"/>
      <c r="F847" s="30">
        <v>47.4</v>
      </c>
      <c r="G847" s="30">
        <v>54.2</v>
      </c>
    </row>
    <row r="848" spans="1:7" x14ac:dyDescent="0.25">
      <c r="A848" s="29">
        <v>38454</v>
      </c>
      <c r="B848" s="30">
        <v>45</v>
      </c>
      <c r="C848" s="30">
        <v>45.6</v>
      </c>
      <c r="D848" s="30"/>
      <c r="E848" s="30"/>
      <c r="F848" s="30">
        <v>41.7</v>
      </c>
      <c r="G848" s="30">
        <v>46.1</v>
      </c>
    </row>
    <row r="849" spans="1:7" x14ac:dyDescent="0.25">
      <c r="A849" s="29">
        <v>38455</v>
      </c>
      <c r="B849" s="30">
        <v>46.3</v>
      </c>
      <c r="C849" s="30">
        <v>47.6</v>
      </c>
      <c r="D849" s="30"/>
      <c r="E849" s="30"/>
      <c r="F849" s="30">
        <v>43.5</v>
      </c>
      <c r="G849" s="30">
        <v>48.6</v>
      </c>
    </row>
    <row r="850" spans="1:7" x14ac:dyDescent="0.25">
      <c r="A850" s="29">
        <v>38456</v>
      </c>
      <c r="B850" s="30">
        <v>48.8</v>
      </c>
      <c r="C850" s="30">
        <v>50.8</v>
      </c>
      <c r="D850" s="30"/>
      <c r="E850" s="30"/>
      <c r="F850" s="30">
        <v>43.4</v>
      </c>
      <c r="G850" s="30">
        <v>49.8</v>
      </c>
    </row>
    <row r="851" spans="1:7" x14ac:dyDescent="0.25">
      <c r="A851" s="29">
        <v>38457</v>
      </c>
      <c r="B851" s="30">
        <v>46.6</v>
      </c>
      <c r="C851" s="30">
        <v>47.7</v>
      </c>
      <c r="D851" s="30"/>
      <c r="E851" s="30"/>
      <c r="F851" s="30">
        <v>44.8</v>
      </c>
      <c r="G851" s="30">
        <v>47.8</v>
      </c>
    </row>
    <row r="852" spans="1:7" x14ac:dyDescent="0.25">
      <c r="A852" s="29">
        <v>38458</v>
      </c>
      <c r="B852" s="30">
        <v>46.4</v>
      </c>
      <c r="C852" s="30">
        <v>48.1</v>
      </c>
      <c r="D852" s="30"/>
      <c r="E852" s="30"/>
      <c r="F852" s="30">
        <v>41.1</v>
      </c>
      <c r="G852" s="30">
        <v>47</v>
      </c>
    </row>
    <row r="853" spans="1:7" x14ac:dyDescent="0.25">
      <c r="A853" s="29">
        <v>38459</v>
      </c>
      <c r="B853" s="30">
        <v>51.3</v>
      </c>
      <c r="C853" s="30">
        <v>54</v>
      </c>
      <c r="D853" s="30"/>
      <c r="E853" s="30"/>
      <c r="F853" s="30">
        <v>48.1</v>
      </c>
      <c r="G853" s="30">
        <v>53.8</v>
      </c>
    </row>
    <row r="854" spans="1:7" x14ac:dyDescent="0.25">
      <c r="A854" s="29">
        <v>38460</v>
      </c>
      <c r="B854" s="30">
        <v>60.7</v>
      </c>
      <c r="C854" s="30">
        <v>64.3</v>
      </c>
      <c r="D854" s="30"/>
      <c r="E854" s="30"/>
      <c r="F854" s="30">
        <v>58.8</v>
      </c>
      <c r="G854" s="30">
        <v>65</v>
      </c>
    </row>
    <row r="855" spans="1:7" x14ac:dyDescent="0.25">
      <c r="A855" s="29">
        <v>38461</v>
      </c>
      <c r="B855" s="30">
        <v>55.3</v>
      </c>
      <c r="C855" s="30">
        <v>58.7</v>
      </c>
      <c r="D855" s="30"/>
      <c r="E855" s="30"/>
      <c r="F855" s="30">
        <v>59.8</v>
      </c>
      <c r="G855" s="30">
        <v>61.9</v>
      </c>
    </row>
    <row r="856" spans="1:7" x14ac:dyDescent="0.25">
      <c r="A856" s="29">
        <v>38462</v>
      </c>
      <c r="B856" s="30">
        <v>64.400000000000006</v>
      </c>
      <c r="C856" s="30">
        <v>70.900000000000006</v>
      </c>
      <c r="D856" s="30"/>
      <c r="E856" s="30"/>
      <c r="F856" s="30">
        <v>68.8</v>
      </c>
      <c r="G856" s="30">
        <v>73.2</v>
      </c>
    </row>
    <row r="857" spans="1:7" x14ac:dyDescent="0.25">
      <c r="A857" s="29">
        <v>38463</v>
      </c>
      <c r="B857" s="30">
        <v>61.3</v>
      </c>
      <c r="C857" s="30">
        <v>62.3</v>
      </c>
      <c r="D857" s="30"/>
      <c r="E857" s="30"/>
      <c r="F857" s="30">
        <v>63</v>
      </c>
      <c r="G857" s="30">
        <v>63.4</v>
      </c>
    </row>
    <row r="858" spans="1:7" x14ac:dyDescent="0.25">
      <c r="A858" s="29">
        <v>38464</v>
      </c>
      <c r="B858" s="30">
        <v>48.6</v>
      </c>
      <c r="C858" s="30">
        <v>51.4</v>
      </c>
      <c r="D858" s="30"/>
      <c r="E858" s="30"/>
      <c r="F858" s="30">
        <v>45.6</v>
      </c>
      <c r="G858" s="30">
        <v>50.2</v>
      </c>
    </row>
    <row r="859" spans="1:7" x14ac:dyDescent="0.25">
      <c r="A859" s="29">
        <v>38465</v>
      </c>
      <c r="B859" s="30">
        <v>51.6</v>
      </c>
      <c r="C859" s="30">
        <v>52</v>
      </c>
      <c r="D859" s="30"/>
      <c r="E859" s="30"/>
      <c r="F859" s="30">
        <v>53.1</v>
      </c>
      <c r="G859" s="30">
        <v>53.7</v>
      </c>
    </row>
    <row r="860" spans="1:7" x14ac:dyDescent="0.25">
      <c r="A860" s="29">
        <v>38466</v>
      </c>
      <c r="B860" s="30">
        <v>52.4</v>
      </c>
      <c r="C860" s="30">
        <v>53.1</v>
      </c>
      <c r="D860" s="30"/>
      <c r="E860" s="30"/>
      <c r="F860" s="30">
        <v>51.5</v>
      </c>
      <c r="G860" s="30">
        <v>52.1</v>
      </c>
    </row>
    <row r="861" spans="1:7" x14ac:dyDescent="0.25">
      <c r="A861" s="29">
        <v>38467</v>
      </c>
      <c r="B861" s="30">
        <v>48.3</v>
      </c>
      <c r="C861" s="30">
        <v>47.8</v>
      </c>
      <c r="D861" s="30"/>
      <c r="E861" s="30"/>
      <c r="F861" s="30">
        <v>47.7</v>
      </c>
      <c r="G861" s="30">
        <v>46.8</v>
      </c>
    </row>
    <row r="862" spans="1:7" x14ac:dyDescent="0.25">
      <c r="A862" s="29">
        <v>38468</v>
      </c>
      <c r="B862" s="30">
        <v>53.1</v>
      </c>
      <c r="C862" s="30">
        <v>55.9</v>
      </c>
      <c r="D862" s="30"/>
      <c r="E862" s="30"/>
      <c r="F862" s="30">
        <v>53.3</v>
      </c>
      <c r="G862" s="30">
        <v>55.8</v>
      </c>
    </row>
    <row r="863" spans="1:7" x14ac:dyDescent="0.25">
      <c r="A863" s="29">
        <v>38469</v>
      </c>
      <c r="B863" s="30">
        <v>55.2</v>
      </c>
      <c r="C863" s="30">
        <v>55.8</v>
      </c>
      <c r="D863" s="30"/>
      <c r="E863" s="30"/>
      <c r="F863" s="30">
        <v>58.3</v>
      </c>
      <c r="G863" s="30">
        <v>56.1</v>
      </c>
    </row>
    <row r="864" spans="1:7" x14ac:dyDescent="0.25">
      <c r="A864" s="29">
        <v>38470</v>
      </c>
      <c r="B864" s="30">
        <v>56.7</v>
      </c>
      <c r="C864" s="30">
        <v>56.1</v>
      </c>
      <c r="D864" s="30"/>
      <c r="E864" s="30"/>
      <c r="F864" s="30">
        <v>57.6</v>
      </c>
      <c r="G864" s="30">
        <v>56.7</v>
      </c>
    </row>
    <row r="865" spans="1:7" x14ac:dyDescent="0.25">
      <c r="A865" s="29">
        <v>38471</v>
      </c>
      <c r="B865" s="30">
        <v>53.1</v>
      </c>
      <c r="C865" s="30">
        <v>53.3</v>
      </c>
      <c r="D865" s="30"/>
      <c r="E865" s="30"/>
      <c r="F865" s="30">
        <v>51.6</v>
      </c>
      <c r="G865" s="30">
        <v>53.2</v>
      </c>
    </row>
    <row r="866" spans="1:7" x14ac:dyDescent="0.25">
      <c r="A866" s="29">
        <v>38472</v>
      </c>
      <c r="B866" s="30">
        <v>52.7</v>
      </c>
      <c r="C866" s="30">
        <v>52.7</v>
      </c>
      <c r="D866" s="30"/>
      <c r="E866" s="30"/>
      <c r="F866" s="30">
        <v>54.3</v>
      </c>
      <c r="G866" s="30">
        <v>53.7</v>
      </c>
    </row>
    <row r="867" spans="1:7" x14ac:dyDescent="0.25">
      <c r="A867" s="29">
        <v>38473</v>
      </c>
      <c r="B867" s="30">
        <v>57.2</v>
      </c>
      <c r="C867" s="30">
        <v>57</v>
      </c>
      <c r="D867" s="30"/>
      <c r="E867" s="30"/>
      <c r="F867" s="30">
        <v>58.8</v>
      </c>
      <c r="G867" s="30">
        <v>58.3</v>
      </c>
    </row>
    <row r="868" spans="1:7" x14ac:dyDescent="0.25">
      <c r="A868" s="29">
        <v>38474</v>
      </c>
      <c r="B868" s="30">
        <v>53.9</v>
      </c>
      <c r="C868" s="30">
        <v>55.7</v>
      </c>
      <c r="D868" s="30"/>
      <c r="E868" s="30"/>
      <c r="F868" s="30">
        <v>51.4</v>
      </c>
      <c r="G868" s="30">
        <v>54.2</v>
      </c>
    </row>
    <row r="869" spans="1:7" x14ac:dyDescent="0.25">
      <c r="A869" s="29">
        <v>38475</v>
      </c>
      <c r="B869" s="30">
        <v>49.5</v>
      </c>
      <c r="C869" s="30">
        <v>50.3</v>
      </c>
      <c r="D869" s="30"/>
      <c r="E869" s="30"/>
      <c r="F869" s="30">
        <v>48.7</v>
      </c>
      <c r="G869" s="30">
        <v>48.9</v>
      </c>
    </row>
    <row r="870" spans="1:7" x14ac:dyDescent="0.25">
      <c r="A870" s="29">
        <v>38476</v>
      </c>
      <c r="B870" s="30">
        <v>52.7</v>
      </c>
      <c r="C870" s="30">
        <v>53.3</v>
      </c>
      <c r="D870" s="30"/>
      <c r="E870" s="30"/>
      <c r="F870" s="30">
        <v>50.3</v>
      </c>
      <c r="G870" s="30">
        <v>53.1</v>
      </c>
    </row>
    <row r="871" spans="1:7" x14ac:dyDescent="0.25">
      <c r="A871" s="29">
        <v>38477</v>
      </c>
      <c r="B871" s="30">
        <v>53</v>
      </c>
      <c r="C871" s="30">
        <v>53.6</v>
      </c>
      <c r="D871" s="30"/>
      <c r="E871" s="30"/>
      <c r="F871" s="30">
        <v>48.3</v>
      </c>
      <c r="G871" s="30">
        <v>53.3</v>
      </c>
    </row>
    <row r="872" spans="1:7" x14ac:dyDescent="0.25">
      <c r="A872" s="29">
        <v>38478</v>
      </c>
      <c r="B872" s="30">
        <v>50.4</v>
      </c>
      <c r="C872" s="30">
        <v>50.5</v>
      </c>
      <c r="D872" s="30"/>
      <c r="E872" s="30"/>
      <c r="F872" s="30">
        <v>47.4</v>
      </c>
      <c r="G872" s="30">
        <v>51.3</v>
      </c>
    </row>
    <row r="873" spans="1:7" x14ac:dyDescent="0.25">
      <c r="A873" s="29">
        <v>38479</v>
      </c>
      <c r="B873" s="30">
        <v>51.7</v>
      </c>
      <c r="C873" s="30">
        <v>51.4</v>
      </c>
      <c r="D873" s="30"/>
      <c r="E873" s="30"/>
      <c r="F873" s="30">
        <v>51.2</v>
      </c>
      <c r="G873" s="30">
        <v>52.9</v>
      </c>
    </row>
    <row r="874" spans="1:7" x14ac:dyDescent="0.25">
      <c r="A874" s="29">
        <v>38480</v>
      </c>
      <c r="B874" s="30">
        <v>54.5</v>
      </c>
      <c r="C874" s="30">
        <v>54.4</v>
      </c>
      <c r="D874" s="30"/>
      <c r="E874" s="30"/>
      <c r="F874" s="30">
        <v>51.8</v>
      </c>
      <c r="G874" s="30">
        <v>56.4</v>
      </c>
    </row>
    <row r="875" spans="1:7" x14ac:dyDescent="0.25">
      <c r="A875" s="29">
        <v>38481</v>
      </c>
      <c r="B875" s="30">
        <v>56.8</v>
      </c>
      <c r="C875" s="30">
        <v>58</v>
      </c>
      <c r="D875" s="30"/>
      <c r="E875" s="30"/>
      <c r="F875" s="30">
        <v>55</v>
      </c>
      <c r="G875" s="30">
        <v>58.2</v>
      </c>
    </row>
    <row r="876" spans="1:7" x14ac:dyDescent="0.25">
      <c r="A876" s="29">
        <v>38482</v>
      </c>
      <c r="B876" s="30">
        <v>54.1</v>
      </c>
      <c r="C876" s="30">
        <v>56.8</v>
      </c>
      <c r="D876" s="30"/>
      <c r="E876" s="30"/>
      <c r="F876" s="30">
        <v>50.7</v>
      </c>
      <c r="G876" s="30">
        <v>56.9</v>
      </c>
    </row>
    <row r="877" spans="1:7" x14ac:dyDescent="0.25">
      <c r="A877" s="29">
        <v>38483</v>
      </c>
      <c r="B877" s="30">
        <v>53.5</v>
      </c>
      <c r="C877" s="30">
        <v>57.3</v>
      </c>
      <c r="D877" s="30"/>
      <c r="E877" s="30"/>
      <c r="F877" s="30">
        <v>55.5</v>
      </c>
      <c r="G877" s="30">
        <v>58.9</v>
      </c>
    </row>
    <row r="878" spans="1:7" x14ac:dyDescent="0.25">
      <c r="A878" s="29">
        <v>38484</v>
      </c>
      <c r="B878" s="30">
        <v>62.7</v>
      </c>
      <c r="C878" s="30">
        <v>62.2</v>
      </c>
      <c r="D878" s="30"/>
      <c r="E878" s="30"/>
      <c r="F878" s="30">
        <v>64.099999999999994</v>
      </c>
      <c r="G878" s="30">
        <v>66</v>
      </c>
    </row>
    <row r="879" spans="1:7" x14ac:dyDescent="0.25">
      <c r="A879" s="29">
        <v>38485</v>
      </c>
      <c r="B879" s="30">
        <v>52.3</v>
      </c>
      <c r="C879" s="30">
        <v>53.9</v>
      </c>
      <c r="D879" s="30"/>
      <c r="E879" s="30"/>
      <c r="F879" s="30">
        <v>50.6</v>
      </c>
      <c r="G879" s="30">
        <v>54</v>
      </c>
    </row>
    <row r="880" spans="1:7" x14ac:dyDescent="0.25">
      <c r="A880" s="29">
        <v>38486</v>
      </c>
      <c r="B880" s="30">
        <v>56.9</v>
      </c>
      <c r="C880" s="30">
        <v>60.1</v>
      </c>
      <c r="D880" s="30"/>
      <c r="E880" s="30"/>
      <c r="F880" s="30">
        <v>58.9</v>
      </c>
      <c r="G880" s="30">
        <v>61.4</v>
      </c>
    </row>
    <row r="881" spans="1:7" x14ac:dyDescent="0.25">
      <c r="A881" s="29">
        <v>38487</v>
      </c>
      <c r="B881" s="30">
        <v>63.8</v>
      </c>
      <c r="C881" s="30">
        <v>64.400000000000006</v>
      </c>
      <c r="D881" s="30"/>
      <c r="E881" s="30"/>
      <c r="F881" s="30">
        <v>67.7</v>
      </c>
      <c r="G881" s="30">
        <v>68.7</v>
      </c>
    </row>
    <row r="882" spans="1:7" x14ac:dyDescent="0.25">
      <c r="A882" s="29">
        <v>38488</v>
      </c>
      <c r="B882" s="30">
        <v>60.1</v>
      </c>
      <c r="C882" s="30">
        <v>63.5</v>
      </c>
      <c r="D882" s="30"/>
      <c r="E882" s="30"/>
      <c r="F882" s="30">
        <v>63.3</v>
      </c>
      <c r="G882" s="30">
        <v>65.099999999999994</v>
      </c>
    </row>
    <row r="883" spans="1:7" x14ac:dyDescent="0.25">
      <c r="A883" s="29">
        <v>38489</v>
      </c>
      <c r="B883" s="30">
        <v>58.4</v>
      </c>
      <c r="C883" s="30">
        <v>60.1</v>
      </c>
      <c r="D883" s="30"/>
      <c r="E883" s="30"/>
      <c r="F883" s="30">
        <v>56.8</v>
      </c>
      <c r="G883" s="30">
        <v>62.1</v>
      </c>
    </row>
    <row r="884" spans="1:7" x14ac:dyDescent="0.25">
      <c r="A884" s="29">
        <v>38490</v>
      </c>
      <c r="B884" s="30">
        <v>58.8</v>
      </c>
      <c r="C884" s="30">
        <v>61</v>
      </c>
      <c r="D884" s="30"/>
      <c r="E884" s="30"/>
      <c r="F884" s="30">
        <v>55.9</v>
      </c>
      <c r="G884" s="30">
        <v>61.5</v>
      </c>
    </row>
    <row r="885" spans="1:7" x14ac:dyDescent="0.25">
      <c r="A885" s="29">
        <v>38491</v>
      </c>
      <c r="B885" s="30">
        <v>57.7</v>
      </c>
      <c r="C885" s="30">
        <v>60</v>
      </c>
      <c r="D885" s="30"/>
      <c r="E885" s="30"/>
      <c r="F885" s="30">
        <v>55.8</v>
      </c>
      <c r="G885" s="30">
        <v>60.5</v>
      </c>
    </row>
    <row r="886" spans="1:7" x14ac:dyDescent="0.25">
      <c r="A886" s="29">
        <v>38492</v>
      </c>
      <c r="B886" s="30">
        <v>53.3</v>
      </c>
      <c r="C886" s="30">
        <v>54.8</v>
      </c>
      <c r="D886" s="30"/>
      <c r="E886" s="30"/>
      <c r="F886" s="30">
        <v>53.1</v>
      </c>
      <c r="G886" s="30">
        <v>55</v>
      </c>
    </row>
    <row r="887" spans="1:7" x14ac:dyDescent="0.25">
      <c r="A887" s="29">
        <v>38493</v>
      </c>
      <c r="B887" s="30">
        <v>55.7</v>
      </c>
      <c r="C887" s="30">
        <v>57.8</v>
      </c>
      <c r="D887" s="30"/>
      <c r="E887" s="30"/>
      <c r="F887" s="30">
        <v>55.6</v>
      </c>
      <c r="G887" s="30">
        <v>57.4</v>
      </c>
    </row>
    <row r="888" spans="1:7" x14ac:dyDescent="0.25">
      <c r="A888" s="29">
        <v>38494</v>
      </c>
      <c r="B888" s="30">
        <v>55.4</v>
      </c>
      <c r="C888" s="30">
        <v>55</v>
      </c>
      <c r="D888" s="30"/>
      <c r="E888" s="30"/>
      <c r="F888" s="30">
        <v>58</v>
      </c>
      <c r="G888" s="30">
        <v>56</v>
      </c>
    </row>
    <row r="889" spans="1:7" x14ac:dyDescent="0.25">
      <c r="A889" s="29">
        <v>38495</v>
      </c>
      <c r="B889" s="30">
        <v>55.9</v>
      </c>
      <c r="C889" s="30">
        <v>55.9</v>
      </c>
      <c r="D889" s="30"/>
      <c r="E889" s="30"/>
      <c r="F889" s="30">
        <v>54.7</v>
      </c>
      <c r="G889" s="30">
        <v>56</v>
      </c>
    </row>
    <row r="890" spans="1:7" x14ac:dyDescent="0.25">
      <c r="A890" s="29">
        <v>38496</v>
      </c>
      <c r="B890" s="30">
        <v>55</v>
      </c>
      <c r="C890" s="30">
        <v>54.8</v>
      </c>
      <c r="D890" s="30"/>
      <c r="E890" s="30"/>
      <c r="F890" s="30">
        <v>55.4</v>
      </c>
      <c r="G890" s="30">
        <v>55.2</v>
      </c>
    </row>
    <row r="891" spans="1:7" x14ac:dyDescent="0.25">
      <c r="A891" s="29">
        <v>38497</v>
      </c>
      <c r="B891" s="30">
        <v>50</v>
      </c>
      <c r="C891" s="30">
        <v>50.6</v>
      </c>
      <c r="D891" s="30"/>
      <c r="E891" s="30"/>
      <c r="F891" s="30">
        <v>50.2</v>
      </c>
      <c r="G891" s="30">
        <v>49.8</v>
      </c>
    </row>
    <row r="892" spans="1:7" x14ac:dyDescent="0.25">
      <c r="A892" s="29">
        <v>38498</v>
      </c>
      <c r="B892" s="30">
        <v>55</v>
      </c>
      <c r="C892" s="30">
        <v>55.3</v>
      </c>
      <c r="D892" s="30"/>
      <c r="E892" s="30"/>
      <c r="F892" s="30">
        <v>54.2</v>
      </c>
      <c r="G892" s="30">
        <v>55.4</v>
      </c>
    </row>
    <row r="893" spans="1:7" x14ac:dyDescent="0.25">
      <c r="A893" s="29">
        <v>38499</v>
      </c>
      <c r="B893" s="30">
        <v>62.2</v>
      </c>
      <c r="C893" s="30">
        <v>63.3</v>
      </c>
      <c r="D893" s="30"/>
      <c r="E893" s="30"/>
      <c r="F893" s="30">
        <v>65.900000000000006</v>
      </c>
      <c r="G893" s="30">
        <v>66.7</v>
      </c>
    </row>
    <row r="894" spans="1:7" x14ac:dyDescent="0.25">
      <c r="A894" s="29">
        <v>38500</v>
      </c>
      <c r="B894" s="30">
        <v>64.5</v>
      </c>
      <c r="C894" s="30">
        <v>67.3</v>
      </c>
      <c r="D894" s="30"/>
      <c r="E894" s="30"/>
      <c r="F894" s="30">
        <v>65.8</v>
      </c>
      <c r="G894" s="30">
        <v>66.3</v>
      </c>
    </row>
    <row r="895" spans="1:7" x14ac:dyDescent="0.25">
      <c r="A895" s="29">
        <v>38501</v>
      </c>
      <c r="B895" s="30">
        <v>65.599999999999994</v>
      </c>
      <c r="C895" s="30">
        <v>64.599999999999994</v>
      </c>
      <c r="D895" s="30"/>
      <c r="E895" s="30"/>
      <c r="F895" s="30">
        <v>63.8</v>
      </c>
      <c r="G895" s="30">
        <v>64.3</v>
      </c>
    </row>
    <row r="896" spans="1:7" x14ac:dyDescent="0.25">
      <c r="A896" s="29">
        <v>38502</v>
      </c>
      <c r="B896" s="30">
        <v>66.5</v>
      </c>
      <c r="C896" s="30">
        <v>67.7</v>
      </c>
      <c r="D896" s="30"/>
      <c r="E896" s="30"/>
      <c r="F896" s="30">
        <v>64.5</v>
      </c>
      <c r="G896" s="30">
        <v>66.8</v>
      </c>
    </row>
    <row r="897" spans="1:7" x14ac:dyDescent="0.25">
      <c r="A897" s="29">
        <v>38503</v>
      </c>
      <c r="B897" s="30">
        <v>67.099999999999994</v>
      </c>
      <c r="C897" s="30">
        <v>67.5</v>
      </c>
      <c r="D897" s="30"/>
      <c r="E897" s="30"/>
      <c r="F897" s="30">
        <v>65.7</v>
      </c>
      <c r="G897" s="30">
        <v>67.3</v>
      </c>
    </row>
    <row r="898" spans="1:7" x14ac:dyDescent="0.25">
      <c r="A898" s="29">
        <v>38504</v>
      </c>
      <c r="B898" s="30">
        <v>58.1</v>
      </c>
      <c r="C898" s="30">
        <v>61</v>
      </c>
      <c r="D898" s="30"/>
      <c r="E898" s="30"/>
      <c r="F898" s="30">
        <v>58</v>
      </c>
      <c r="G898" s="30">
        <v>59.8</v>
      </c>
    </row>
    <row r="899" spans="1:7" x14ac:dyDescent="0.25">
      <c r="A899" s="29">
        <v>38505</v>
      </c>
      <c r="B899" s="30">
        <v>55.9</v>
      </c>
      <c r="C899" s="30">
        <v>58.2</v>
      </c>
      <c r="D899" s="30"/>
      <c r="E899" s="30"/>
      <c r="F899" s="30">
        <v>56.7</v>
      </c>
      <c r="G899" s="30">
        <v>57.2</v>
      </c>
    </row>
    <row r="900" spans="1:7" x14ac:dyDescent="0.25">
      <c r="A900" s="29">
        <v>38506</v>
      </c>
      <c r="B900" s="30">
        <v>60.2</v>
      </c>
      <c r="C900" s="30">
        <v>60.9</v>
      </c>
      <c r="D900" s="30"/>
      <c r="E900" s="30"/>
      <c r="F900" s="30">
        <v>59.2</v>
      </c>
      <c r="G900" s="30">
        <v>60.2</v>
      </c>
    </row>
    <row r="901" spans="1:7" x14ac:dyDescent="0.25">
      <c r="A901" s="29">
        <v>38507</v>
      </c>
      <c r="B901" s="30">
        <v>67.099999999999994</v>
      </c>
      <c r="C901" s="30">
        <v>68</v>
      </c>
      <c r="D901" s="30"/>
      <c r="E901" s="30"/>
      <c r="F901" s="30">
        <v>65.099999999999994</v>
      </c>
      <c r="G901" s="30">
        <v>69.400000000000006</v>
      </c>
    </row>
    <row r="902" spans="1:7" x14ac:dyDescent="0.25">
      <c r="A902" s="29">
        <v>38508</v>
      </c>
      <c r="B902" s="30">
        <v>73.3</v>
      </c>
      <c r="C902" s="30">
        <v>78</v>
      </c>
      <c r="D902" s="30"/>
      <c r="E902" s="30"/>
      <c r="F902" s="30">
        <v>73.900000000000006</v>
      </c>
      <c r="G902" s="30">
        <v>77.900000000000006</v>
      </c>
    </row>
    <row r="903" spans="1:7" x14ac:dyDescent="0.25">
      <c r="A903" s="29">
        <v>38509</v>
      </c>
      <c r="B903" s="30">
        <v>71.599999999999994</v>
      </c>
      <c r="C903" s="30">
        <v>74.2</v>
      </c>
      <c r="D903" s="30"/>
      <c r="E903" s="30"/>
      <c r="F903" s="30">
        <v>74.8</v>
      </c>
      <c r="G903" s="30">
        <v>80.099999999999994</v>
      </c>
    </row>
    <row r="904" spans="1:7" x14ac:dyDescent="0.25">
      <c r="A904" s="29">
        <v>38510</v>
      </c>
      <c r="B904" s="30">
        <v>71.099999999999994</v>
      </c>
      <c r="C904" s="30">
        <v>76.2</v>
      </c>
      <c r="D904" s="30"/>
      <c r="E904" s="30"/>
      <c r="F904" s="30">
        <v>75.599999999999994</v>
      </c>
      <c r="G904" s="30">
        <v>76.3</v>
      </c>
    </row>
    <row r="905" spans="1:7" x14ac:dyDescent="0.25">
      <c r="A905" s="29">
        <v>38511</v>
      </c>
      <c r="B905" s="30">
        <v>78.5</v>
      </c>
      <c r="C905" s="30">
        <v>83.5</v>
      </c>
      <c r="D905" s="30"/>
      <c r="E905" s="30"/>
      <c r="F905" s="30">
        <v>81.099999999999994</v>
      </c>
      <c r="G905" s="30">
        <v>82.6</v>
      </c>
    </row>
    <row r="906" spans="1:7" x14ac:dyDescent="0.25">
      <c r="A906" s="29">
        <v>38512</v>
      </c>
      <c r="B906" s="30">
        <v>73</v>
      </c>
      <c r="C906" s="30">
        <v>82.2</v>
      </c>
      <c r="D906" s="30"/>
      <c r="E906" s="30"/>
      <c r="F906" s="30">
        <v>76.099999999999994</v>
      </c>
      <c r="G906" s="30">
        <v>82.6</v>
      </c>
    </row>
    <row r="907" spans="1:7" x14ac:dyDescent="0.25">
      <c r="A907" s="29">
        <v>38513</v>
      </c>
      <c r="B907" s="30">
        <v>69.099999999999994</v>
      </c>
      <c r="C907" s="30">
        <v>73.900000000000006</v>
      </c>
      <c r="D907" s="30"/>
      <c r="E907" s="30"/>
      <c r="F907" s="30">
        <v>74.8</v>
      </c>
      <c r="G907" s="30">
        <v>77.900000000000006</v>
      </c>
    </row>
    <row r="908" spans="1:7" x14ac:dyDescent="0.25">
      <c r="A908" s="29">
        <v>38514</v>
      </c>
      <c r="B908" s="30">
        <v>69.8</v>
      </c>
      <c r="C908" s="30">
        <v>76.5</v>
      </c>
      <c r="D908" s="30"/>
      <c r="E908" s="30"/>
      <c r="F908" s="30">
        <v>74.7</v>
      </c>
      <c r="G908" s="30">
        <v>78</v>
      </c>
    </row>
    <row r="909" spans="1:7" x14ac:dyDescent="0.25">
      <c r="A909" s="29">
        <v>38515</v>
      </c>
      <c r="B909" s="30">
        <v>72.8</v>
      </c>
      <c r="C909" s="30">
        <v>80.400000000000006</v>
      </c>
      <c r="D909" s="30"/>
      <c r="E909" s="30"/>
      <c r="F909" s="30">
        <v>75.8</v>
      </c>
      <c r="G909" s="30">
        <v>80.8</v>
      </c>
    </row>
    <row r="910" spans="1:7" x14ac:dyDescent="0.25">
      <c r="A910" s="29">
        <v>38516</v>
      </c>
      <c r="B910" s="30">
        <v>75.3</v>
      </c>
      <c r="C910" s="30">
        <v>82.9</v>
      </c>
      <c r="D910" s="30"/>
      <c r="E910" s="30"/>
      <c r="F910" s="30">
        <v>79</v>
      </c>
      <c r="G910" s="30">
        <v>82.9</v>
      </c>
    </row>
    <row r="911" spans="1:7" x14ac:dyDescent="0.25">
      <c r="A911" s="29">
        <v>38517</v>
      </c>
      <c r="B911" s="30">
        <v>82.8</v>
      </c>
      <c r="C911" s="30">
        <v>85.3</v>
      </c>
      <c r="D911" s="30"/>
      <c r="E911" s="30"/>
      <c r="F911" s="30">
        <v>83.6</v>
      </c>
      <c r="G911" s="30">
        <v>86.8</v>
      </c>
    </row>
    <row r="912" spans="1:7" x14ac:dyDescent="0.25">
      <c r="A912" s="29">
        <v>38518</v>
      </c>
      <c r="B912" s="30">
        <v>73.2</v>
      </c>
      <c r="C912" s="30">
        <v>76.8</v>
      </c>
      <c r="D912" s="30"/>
      <c r="E912" s="30"/>
      <c r="F912" s="30">
        <v>84.1</v>
      </c>
      <c r="G912" s="30">
        <v>77.900000000000006</v>
      </c>
    </row>
    <row r="913" spans="1:7" x14ac:dyDescent="0.25">
      <c r="A913" s="29">
        <v>38519</v>
      </c>
      <c r="B913" s="30">
        <v>63.7</v>
      </c>
      <c r="C913" s="30">
        <v>66.2</v>
      </c>
      <c r="D913" s="30"/>
      <c r="E913" s="30"/>
      <c r="F913" s="30">
        <v>78.8</v>
      </c>
      <c r="G913" s="30">
        <v>65.5</v>
      </c>
    </row>
    <row r="914" spans="1:7" x14ac:dyDescent="0.25">
      <c r="A914" s="29">
        <v>38520</v>
      </c>
      <c r="B914" s="30">
        <v>67.900000000000006</v>
      </c>
      <c r="C914" s="30">
        <v>67.599999999999994</v>
      </c>
      <c r="D914" s="30"/>
      <c r="E914" s="30"/>
      <c r="F914" s="30">
        <v>68.400000000000006</v>
      </c>
      <c r="G914" s="30">
        <v>67.3</v>
      </c>
    </row>
    <row r="915" spans="1:7" x14ac:dyDescent="0.25">
      <c r="A915" s="29">
        <v>38521</v>
      </c>
      <c r="B915" s="30">
        <v>69</v>
      </c>
      <c r="C915" s="30">
        <v>69.3</v>
      </c>
      <c r="D915" s="30"/>
      <c r="E915" s="30"/>
      <c r="F915" s="30">
        <v>68.5</v>
      </c>
      <c r="G915" s="30">
        <v>68.8</v>
      </c>
    </row>
    <row r="916" spans="1:7" x14ac:dyDescent="0.25">
      <c r="A916" s="29">
        <v>38522</v>
      </c>
      <c r="B916" s="30">
        <v>66.2</v>
      </c>
      <c r="C916" s="30">
        <v>66.8</v>
      </c>
      <c r="D916" s="30"/>
      <c r="E916" s="30"/>
      <c r="F916" s="30">
        <v>65.3</v>
      </c>
      <c r="G916" s="30">
        <v>67</v>
      </c>
    </row>
    <row r="917" spans="1:7" x14ac:dyDescent="0.25">
      <c r="A917" s="29">
        <v>38523</v>
      </c>
      <c r="B917" s="30">
        <v>64.2</v>
      </c>
      <c r="C917" s="30">
        <v>65.8</v>
      </c>
      <c r="D917" s="30"/>
      <c r="E917" s="30"/>
      <c r="F917" s="30">
        <v>61.3</v>
      </c>
      <c r="G917" s="30">
        <v>65.900000000000006</v>
      </c>
    </row>
    <row r="918" spans="1:7" x14ac:dyDescent="0.25">
      <c r="A918" s="29">
        <v>38524</v>
      </c>
      <c r="B918" s="30">
        <v>66</v>
      </c>
      <c r="C918" s="30">
        <v>70.400000000000006</v>
      </c>
      <c r="D918" s="30"/>
      <c r="E918" s="30"/>
      <c r="F918" s="30">
        <v>63.8</v>
      </c>
      <c r="G918" s="30">
        <v>70.599999999999994</v>
      </c>
    </row>
    <row r="919" spans="1:7" x14ac:dyDescent="0.25">
      <c r="A919" s="29">
        <v>38525</v>
      </c>
      <c r="B919" s="30">
        <v>72.3</v>
      </c>
      <c r="C919" s="30">
        <v>73.900000000000006</v>
      </c>
      <c r="D919" s="30"/>
      <c r="E919" s="30"/>
      <c r="F919" s="30">
        <v>73.7</v>
      </c>
      <c r="G919" s="30">
        <v>74.8</v>
      </c>
    </row>
    <row r="920" spans="1:7" x14ac:dyDescent="0.25">
      <c r="A920" s="29">
        <v>38526</v>
      </c>
      <c r="B920" s="30">
        <v>67.5</v>
      </c>
      <c r="C920" s="30">
        <v>69.3</v>
      </c>
      <c r="D920" s="30"/>
      <c r="E920" s="30"/>
      <c r="F920" s="30">
        <v>67.400000000000006</v>
      </c>
      <c r="G920" s="30">
        <v>68.8</v>
      </c>
    </row>
    <row r="921" spans="1:7" x14ac:dyDescent="0.25">
      <c r="A921" s="29">
        <v>38527</v>
      </c>
      <c r="B921" s="30">
        <v>68.099999999999994</v>
      </c>
      <c r="C921" s="30">
        <v>72.900000000000006</v>
      </c>
      <c r="D921" s="30"/>
      <c r="E921" s="30"/>
      <c r="F921" s="30">
        <v>70.900000000000006</v>
      </c>
      <c r="G921" s="30">
        <v>73.3</v>
      </c>
    </row>
    <row r="922" spans="1:7" x14ac:dyDescent="0.25">
      <c r="A922" s="29">
        <v>38528</v>
      </c>
      <c r="B922" s="30">
        <v>73.599999999999994</v>
      </c>
      <c r="C922" s="30">
        <v>79.099999999999994</v>
      </c>
      <c r="D922" s="30"/>
      <c r="E922" s="30"/>
      <c r="F922" s="30">
        <v>75.2</v>
      </c>
      <c r="G922" s="30">
        <v>80.2</v>
      </c>
    </row>
    <row r="923" spans="1:7" x14ac:dyDescent="0.25">
      <c r="A923" s="29">
        <v>38529</v>
      </c>
      <c r="B923" s="30">
        <v>75.3</v>
      </c>
      <c r="C923" s="30">
        <v>82</v>
      </c>
      <c r="D923" s="30"/>
      <c r="E923" s="30"/>
      <c r="F923" s="30">
        <v>76.400000000000006</v>
      </c>
      <c r="G923" s="30">
        <v>82.6</v>
      </c>
    </row>
    <row r="924" spans="1:7" x14ac:dyDescent="0.25">
      <c r="A924" s="29">
        <v>38530</v>
      </c>
      <c r="B924" s="30">
        <v>71.8</v>
      </c>
      <c r="C924" s="30">
        <v>73.8</v>
      </c>
      <c r="D924" s="30"/>
      <c r="E924" s="30"/>
      <c r="F924" s="30">
        <v>73.599999999999994</v>
      </c>
      <c r="G924" s="30">
        <v>76.2</v>
      </c>
    </row>
    <row r="925" spans="1:7" x14ac:dyDescent="0.25">
      <c r="A925" s="29">
        <v>38531</v>
      </c>
      <c r="B925" s="30">
        <v>74.099999999999994</v>
      </c>
      <c r="C925" s="30">
        <v>76</v>
      </c>
      <c r="D925" s="30"/>
      <c r="E925" s="30"/>
      <c r="F925" s="30">
        <v>76.5</v>
      </c>
      <c r="G925" s="30">
        <v>78.2</v>
      </c>
    </row>
    <row r="926" spans="1:7" x14ac:dyDescent="0.25">
      <c r="A926" s="29">
        <v>38532</v>
      </c>
      <c r="B926" s="30">
        <v>72.900000000000006</v>
      </c>
      <c r="C926" s="30">
        <v>80.2</v>
      </c>
      <c r="D926" s="30"/>
      <c r="E926" s="30"/>
      <c r="F926" s="30">
        <v>75.3</v>
      </c>
      <c r="G926" s="30">
        <v>79.599999999999994</v>
      </c>
    </row>
    <row r="927" spans="1:7" x14ac:dyDescent="0.25">
      <c r="A927" s="29">
        <v>38533</v>
      </c>
      <c r="B927" s="30">
        <v>70.599999999999994</v>
      </c>
      <c r="C927" s="30">
        <v>74.8</v>
      </c>
      <c r="D927" s="30"/>
      <c r="E927" s="30"/>
      <c r="F927" s="30">
        <v>74</v>
      </c>
      <c r="G927" s="30">
        <v>75.8</v>
      </c>
    </row>
    <row r="928" spans="1:7" x14ac:dyDescent="0.25">
      <c r="A928" s="29">
        <v>38534</v>
      </c>
      <c r="B928" s="30">
        <v>72.7</v>
      </c>
      <c r="C928" s="30">
        <v>73.8</v>
      </c>
      <c r="D928" s="30"/>
      <c r="E928" s="30"/>
      <c r="F928" s="30">
        <v>73.099999999999994</v>
      </c>
      <c r="G928" s="30">
        <v>75.2</v>
      </c>
    </row>
    <row r="929" spans="1:7" x14ac:dyDescent="0.25">
      <c r="A929" s="29">
        <v>38535</v>
      </c>
      <c r="B929" s="30">
        <v>75.2</v>
      </c>
      <c r="C929" s="30">
        <v>76.3</v>
      </c>
      <c r="D929" s="30"/>
      <c r="E929" s="30"/>
      <c r="F929" s="30">
        <v>75.3</v>
      </c>
      <c r="G929" s="30">
        <v>75.900000000000006</v>
      </c>
    </row>
    <row r="930" spans="1:7" x14ac:dyDescent="0.25">
      <c r="A930" s="29">
        <v>38536</v>
      </c>
      <c r="B930" s="30">
        <v>72.3</v>
      </c>
      <c r="C930" s="30">
        <v>71.900000000000006</v>
      </c>
      <c r="D930" s="30"/>
      <c r="E930" s="30"/>
      <c r="F930" s="30">
        <v>70.900000000000006</v>
      </c>
      <c r="G930" s="30">
        <v>72.7</v>
      </c>
    </row>
    <row r="931" spans="1:7" x14ac:dyDescent="0.25">
      <c r="A931" s="29">
        <v>38537</v>
      </c>
      <c r="B931" s="30">
        <v>69.8</v>
      </c>
      <c r="C931" s="30">
        <v>71.5</v>
      </c>
      <c r="D931" s="30"/>
      <c r="E931" s="30"/>
      <c r="F931" s="30">
        <v>70.900000000000006</v>
      </c>
      <c r="G931" s="30">
        <v>72</v>
      </c>
    </row>
    <row r="932" spans="1:7" x14ac:dyDescent="0.25">
      <c r="A932" s="29">
        <v>38538</v>
      </c>
      <c r="B932" s="30">
        <v>71.5</v>
      </c>
      <c r="C932" s="30">
        <v>73.8</v>
      </c>
      <c r="D932" s="30"/>
      <c r="E932" s="30"/>
      <c r="F932" s="30">
        <v>73.7</v>
      </c>
      <c r="G932" s="30">
        <v>73.599999999999994</v>
      </c>
    </row>
    <row r="933" spans="1:7" x14ac:dyDescent="0.25">
      <c r="A933" s="29">
        <v>38539</v>
      </c>
      <c r="B933" s="30">
        <v>73.5</v>
      </c>
      <c r="C933" s="30">
        <v>75.2</v>
      </c>
      <c r="D933" s="30"/>
      <c r="E933" s="30"/>
      <c r="F933" s="30">
        <v>76.599999999999994</v>
      </c>
      <c r="G933" s="30">
        <v>76.3</v>
      </c>
    </row>
    <row r="934" spans="1:7" x14ac:dyDescent="0.25">
      <c r="A934" s="29">
        <v>38540</v>
      </c>
      <c r="B934" s="30">
        <v>69.5</v>
      </c>
      <c r="C934" s="30">
        <v>70.599999999999994</v>
      </c>
      <c r="D934" s="30"/>
      <c r="E934" s="30"/>
      <c r="F934" s="30">
        <v>71.599999999999994</v>
      </c>
      <c r="G934" s="30">
        <v>71.599999999999994</v>
      </c>
    </row>
    <row r="935" spans="1:7" x14ac:dyDescent="0.25">
      <c r="A935" s="29">
        <v>38541</v>
      </c>
      <c r="B935" s="30">
        <v>64.400000000000006</v>
      </c>
      <c r="C935" s="30">
        <v>65.7</v>
      </c>
      <c r="D935" s="30"/>
      <c r="E935" s="30"/>
      <c r="F935" s="30">
        <v>67.599999999999994</v>
      </c>
      <c r="G935" s="30">
        <v>65.7</v>
      </c>
    </row>
    <row r="936" spans="1:7" x14ac:dyDescent="0.25">
      <c r="A936" s="29">
        <v>38542</v>
      </c>
      <c r="B936" s="30">
        <v>69.3</v>
      </c>
      <c r="C936" s="30">
        <v>70</v>
      </c>
      <c r="D936" s="30"/>
      <c r="E936" s="30"/>
      <c r="F936" s="30">
        <v>72.2</v>
      </c>
      <c r="G936" s="30">
        <v>69.900000000000006</v>
      </c>
    </row>
    <row r="937" spans="1:7" x14ac:dyDescent="0.25">
      <c r="A937" s="29">
        <v>38543</v>
      </c>
      <c r="B937" s="30">
        <v>79</v>
      </c>
      <c r="C937" s="30">
        <v>78.8</v>
      </c>
      <c r="D937" s="30"/>
      <c r="E937" s="30"/>
      <c r="F937" s="30">
        <v>77.7</v>
      </c>
      <c r="G937" s="30">
        <v>78.8</v>
      </c>
    </row>
    <row r="938" spans="1:7" x14ac:dyDescent="0.25">
      <c r="A938" s="29">
        <v>38544</v>
      </c>
      <c r="B938" s="30">
        <v>82.1</v>
      </c>
      <c r="C938" s="30">
        <v>83.2</v>
      </c>
      <c r="D938" s="30"/>
      <c r="E938" s="30"/>
      <c r="F938" s="30">
        <v>79.7</v>
      </c>
      <c r="G938" s="30">
        <v>82</v>
      </c>
    </row>
    <row r="939" spans="1:7" x14ac:dyDescent="0.25">
      <c r="A939" s="29">
        <v>38545</v>
      </c>
      <c r="B939" s="30">
        <v>79.599999999999994</v>
      </c>
      <c r="C939" s="30">
        <v>79.900000000000006</v>
      </c>
      <c r="D939" s="30"/>
      <c r="E939" s="30"/>
      <c r="F939" s="30">
        <v>79.2</v>
      </c>
      <c r="G939" s="30">
        <v>80.5</v>
      </c>
    </row>
    <row r="940" spans="1:7" x14ac:dyDescent="0.25">
      <c r="A940" s="29">
        <v>38546</v>
      </c>
      <c r="B940" s="30">
        <v>69.7</v>
      </c>
      <c r="C940" s="30">
        <v>72</v>
      </c>
      <c r="D940" s="30"/>
      <c r="E940" s="30"/>
      <c r="F940" s="30">
        <v>75</v>
      </c>
      <c r="G940" s="30">
        <v>72.400000000000006</v>
      </c>
    </row>
    <row r="941" spans="1:7" x14ac:dyDescent="0.25">
      <c r="A941" s="29">
        <v>38547</v>
      </c>
      <c r="B941" s="30">
        <v>73.2</v>
      </c>
      <c r="C941" s="30">
        <v>76.5</v>
      </c>
      <c r="D941" s="30"/>
      <c r="E941" s="30"/>
      <c r="F941" s="30">
        <v>77</v>
      </c>
      <c r="G941" s="30">
        <v>76.599999999999994</v>
      </c>
    </row>
    <row r="942" spans="1:7" x14ac:dyDescent="0.25">
      <c r="A942" s="29">
        <v>38548</v>
      </c>
      <c r="B942" s="30">
        <v>75.3</v>
      </c>
      <c r="C942" s="30">
        <v>78.3</v>
      </c>
      <c r="D942" s="30"/>
      <c r="E942" s="30"/>
      <c r="F942" s="30">
        <v>78.900000000000006</v>
      </c>
      <c r="G942" s="30">
        <v>78.2</v>
      </c>
    </row>
    <row r="943" spans="1:7" x14ac:dyDescent="0.25">
      <c r="A943" s="29">
        <v>38549</v>
      </c>
      <c r="B943" s="30">
        <v>74.900000000000006</v>
      </c>
      <c r="C943" s="30">
        <v>76.7</v>
      </c>
      <c r="D943" s="30"/>
      <c r="E943" s="30"/>
      <c r="F943" s="30">
        <v>78.400000000000006</v>
      </c>
      <c r="G943" s="30">
        <v>76.7</v>
      </c>
    </row>
    <row r="944" spans="1:7" x14ac:dyDescent="0.25">
      <c r="A944" s="29">
        <v>38550</v>
      </c>
      <c r="B944" s="30">
        <v>74.3</v>
      </c>
      <c r="C944" s="30">
        <v>77</v>
      </c>
      <c r="D944" s="30"/>
      <c r="E944" s="30"/>
      <c r="F944" s="30">
        <v>79.3</v>
      </c>
      <c r="G944" s="30">
        <v>76.2</v>
      </c>
    </row>
    <row r="945" spans="1:7" x14ac:dyDescent="0.25">
      <c r="A945" s="29">
        <v>38551</v>
      </c>
      <c r="B945" s="30">
        <v>77.900000000000006</v>
      </c>
      <c r="C945" s="30">
        <v>80.599999999999994</v>
      </c>
      <c r="D945" s="30"/>
      <c r="E945" s="30"/>
      <c r="F945" s="30">
        <v>82.3</v>
      </c>
      <c r="G945" s="30">
        <v>80.599999999999994</v>
      </c>
    </row>
    <row r="946" spans="1:7" x14ac:dyDescent="0.25">
      <c r="A946" s="29">
        <v>38552</v>
      </c>
      <c r="B946" s="30">
        <v>81.900000000000006</v>
      </c>
      <c r="C946" s="30">
        <v>84.8</v>
      </c>
      <c r="D946" s="30"/>
      <c r="E946" s="30"/>
      <c r="F946" s="30">
        <v>84.3</v>
      </c>
      <c r="G946" s="30">
        <v>84.6</v>
      </c>
    </row>
    <row r="947" spans="1:7" x14ac:dyDescent="0.25">
      <c r="A947" s="29">
        <v>38553</v>
      </c>
      <c r="B947" s="30">
        <v>85.4</v>
      </c>
      <c r="C947" s="30">
        <v>84.9</v>
      </c>
      <c r="D947" s="30"/>
      <c r="E947" s="30"/>
      <c r="F947" s="30">
        <v>83.6</v>
      </c>
      <c r="G947" s="30">
        <v>85.6</v>
      </c>
    </row>
    <row r="948" spans="1:7" x14ac:dyDescent="0.25">
      <c r="A948" s="29">
        <v>38554</v>
      </c>
      <c r="B948" s="30">
        <v>81.7</v>
      </c>
      <c r="C948" s="30">
        <v>83.6</v>
      </c>
      <c r="D948" s="30"/>
      <c r="E948" s="30"/>
      <c r="F948" s="30">
        <v>82</v>
      </c>
      <c r="G948" s="30">
        <v>84.4</v>
      </c>
    </row>
    <row r="949" spans="1:7" x14ac:dyDescent="0.25">
      <c r="A949" s="29">
        <v>38555</v>
      </c>
      <c r="B949" s="30">
        <v>82</v>
      </c>
      <c r="C949" s="30">
        <v>84.8</v>
      </c>
      <c r="D949" s="30"/>
      <c r="E949" s="30"/>
      <c r="F949" s="30">
        <v>82.1</v>
      </c>
      <c r="G949" s="30">
        <v>85.3</v>
      </c>
    </row>
    <row r="950" spans="1:7" x14ac:dyDescent="0.25">
      <c r="A950" s="29">
        <v>38556</v>
      </c>
      <c r="B950" s="30">
        <v>79.7</v>
      </c>
      <c r="C950" s="30">
        <v>80.5</v>
      </c>
      <c r="D950" s="30"/>
      <c r="E950" s="30"/>
      <c r="F950" s="30">
        <v>80.400000000000006</v>
      </c>
      <c r="G950" s="30">
        <v>82.2</v>
      </c>
    </row>
    <row r="951" spans="1:7" x14ac:dyDescent="0.25">
      <c r="A951" s="29">
        <v>38557</v>
      </c>
      <c r="B951" s="30">
        <v>77.5</v>
      </c>
      <c r="C951" s="30">
        <v>80.5</v>
      </c>
      <c r="D951" s="30"/>
      <c r="E951" s="30"/>
      <c r="F951" s="30">
        <v>74.099999999999994</v>
      </c>
      <c r="G951" s="30">
        <v>80.099999999999994</v>
      </c>
    </row>
    <row r="952" spans="1:7" x14ac:dyDescent="0.25">
      <c r="A952" s="29">
        <v>38558</v>
      </c>
      <c r="B952" s="30">
        <v>75.599999999999994</v>
      </c>
      <c r="C952" s="30">
        <v>81.099999999999994</v>
      </c>
      <c r="D952" s="30"/>
      <c r="E952" s="30"/>
      <c r="F952" s="30">
        <v>77.5</v>
      </c>
      <c r="G952" s="30">
        <v>79.8</v>
      </c>
    </row>
    <row r="953" spans="1:7" x14ac:dyDescent="0.25">
      <c r="A953" s="29">
        <v>38559</v>
      </c>
      <c r="B953" s="30">
        <v>79</v>
      </c>
      <c r="C953" s="30">
        <v>86.1</v>
      </c>
      <c r="D953" s="30"/>
      <c r="E953" s="30"/>
      <c r="F953" s="30">
        <v>83.6</v>
      </c>
      <c r="G953" s="30">
        <v>87.4</v>
      </c>
    </row>
    <row r="954" spans="1:7" x14ac:dyDescent="0.25">
      <c r="A954" s="29">
        <v>38560</v>
      </c>
      <c r="B954" s="30">
        <v>80.400000000000006</v>
      </c>
      <c r="C954" s="30">
        <v>88.8</v>
      </c>
      <c r="D954" s="30"/>
      <c r="E954" s="30"/>
      <c r="F954" s="30">
        <v>87.1</v>
      </c>
      <c r="G954" s="30">
        <v>89.4</v>
      </c>
    </row>
    <row r="955" spans="1:7" x14ac:dyDescent="0.25">
      <c r="A955" s="29">
        <v>38561</v>
      </c>
      <c r="B955" s="30">
        <v>74.599999999999994</v>
      </c>
      <c r="C955" s="30">
        <v>75.3</v>
      </c>
      <c r="D955" s="30"/>
      <c r="E955" s="30"/>
      <c r="F955" s="30">
        <v>74.3</v>
      </c>
      <c r="G955" s="30">
        <v>75.2</v>
      </c>
    </row>
    <row r="956" spans="1:7" x14ac:dyDescent="0.25">
      <c r="A956" s="29">
        <v>38562</v>
      </c>
      <c r="B956" s="30">
        <v>73.5</v>
      </c>
      <c r="C956" s="30">
        <v>76.900000000000006</v>
      </c>
      <c r="D956" s="30"/>
      <c r="E956" s="30"/>
      <c r="F956" s="30">
        <v>72.5</v>
      </c>
      <c r="G956" s="30">
        <v>76.2</v>
      </c>
    </row>
    <row r="957" spans="1:7" x14ac:dyDescent="0.25">
      <c r="A957" s="29">
        <v>38563</v>
      </c>
      <c r="B957" s="30">
        <v>74.8</v>
      </c>
      <c r="C957" s="30">
        <v>77.900000000000006</v>
      </c>
      <c r="D957" s="30"/>
      <c r="E957" s="30"/>
      <c r="F957" s="30">
        <v>73.8</v>
      </c>
      <c r="G957" s="30">
        <v>78.3</v>
      </c>
    </row>
    <row r="958" spans="1:7" x14ac:dyDescent="0.25">
      <c r="A958" s="29">
        <v>38564</v>
      </c>
      <c r="B958" s="30">
        <v>72.900000000000006</v>
      </c>
      <c r="C958" s="30">
        <v>76.3</v>
      </c>
      <c r="D958" s="30"/>
      <c r="E958" s="30"/>
      <c r="F958" s="30">
        <v>73</v>
      </c>
      <c r="G958" s="30">
        <v>75.599999999999994</v>
      </c>
    </row>
    <row r="959" spans="1:7" x14ac:dyDescent="0.25">
      <c r="A959" s="29">
        <v>38565</v>
      </c>
      <c r="B959" s="30">
        <v>73</v>
      </c>
      <c r="C959" s="30">
        <v>76.3</v>
      </c>
      <c r="D959" s="30"/>
      <c r="E959" s="30"/>
      <c r="F959" s="30">
        <v>74.3</v>
      </c>
      <c r="G959" s="30">
        <v>76.900000000000006</v>
      </c>
    </row>
    <row r="960" spans="1:7" x14ac:dyDescent="0.25">
      <c r="A960" s="29">
        <v>38566</v>
      </c>
      <c r="B960" s="30">
        <v>80.5</v>
      </c>
      <c r="C960" s="30">
        <v>83.1</v>
      </c>
      <c r="D960" s="30"/>
      <c r="E960" s="30"/>
      <c r="F960" s="30">
        <v>79</v>
      </c>
      <c r="G960" s="30">
        <v>83.8</v>
      </c>
    </row>
    <row r="961" spans="1:7" x14ac:dyDescent="0.25">
      <c r="A961" s="29">
        <v>38567</v>
      </c>
      <c r="B961" s="30">
        <v>81.900000000000006</v>
      </c>
      <c r="C961" s="30">
        <v>85.7</v>
      </c>
      <c r="D961" s="30"/>
      <c r="E961" s="30"/>
      <c r="F961" s="30">
        <v>81.099999999999994</v>
      </c>
      <c r="G961" s="30">
        <v>87.2</v>
      </c>
    </row>
    <row r="962" spans="1:7" x14ac:dyDescent="0.25">
      <c r="A962" s="29">
        <v>38568</v>
      </c>
      <c r="B962" s="30">
        <v>81.599999999999994</v>
      </c>
      <c r="C962" s="30">
        <v>83.7</v>
      </c>
      <c r="D962" s="30"/>
      <c r="E962" s="30"/>
      <c r="F962" s="30">
        <v>80.7</v>
      </c>
      <c r="G962" s="30">
        <v>85.7</v>
      </c>
    </row>
    <row r="963" spans="1:7" x14ac:dyDescent="0.25">
      <c r="A963" s="29">
        <v>38569</v>
      </c>
      <c r="B963" s="30">
        <v>83.5</v>
      </c>
      <c r="C963" s="30">
        <v>87</v>
      </c>
      <c r="D963" s="30"/>
      <c r="E963" s="30"/>
      <c r="F963" s="30">
        <v>83.1</v>
      </c>
      <c r="G963" s="30">
        <v>86.5</v>
      </c>
    </row>
    <row r="964" spans="1:7" x14ac:dyDescent="0.25">
      <c r="A964" s="29">
        <v>38570</v>
      </c>
      <c r="B964" s="30">
        <v>80.099999999999994</v>
      </c>
      <c r="C964" s="30">
        <v>80.099999999999994</v>
      </c>
      <c r="D964" s="30"/>
      <c r="E964" s="30"/>
      <c r="F964" s="30">
        <v>78</v>
      </c>
      <c r="G964" s="30">
        <v>80.099999999999994</v>
      </c>
    </row>
    <row r="965" spans="1:7" x14ac:dyDescent="0.25">
      <c r="A965" s="29">
        <v>38571</v>
      </c>
      <c r="B965" s="30">
        <v>77</v>
      </c>
      <c r="C965" s="30">
        <v>79.5</v>
      </c>
      <c r="D965" s="30"/>
      <c r="E965" s="30"/>
      <c r="F965" s="30">
        <v>74.8</v>
      </c>
      <c r="G965" s="30">
        <v>78.2</v>
      </c>
    </row>
    <row r="966" spans="1:7" x14ac:dyDescent="0.25">
      <c r="A966" s="29">
        <v>38572</v>
      </c>
      <c r="B966" s="30">
        <v>76.5</v>
      </c>
      <c r="C966" s="30">
        <v>79.7</v>
      </c>
      <c r="D966" s="30"/>
      <c r="E966" s="30"/>
      <c r="F966" s="30">
        <v>75.8</v>
      </c>
      <c r="G966" s="30">
        <v>77.900000000000006</v>
      </c>
    </row>
    <row r="967" spans="1:7" x14ac:dyDescent="0.25">
      <c r="A967" s="29">
        <v>38573</v>
      </c>
      <c r="B967" s="30">
        <v>75.3</v>
      </c>
      <c r="C967" s="30">
        <v>79.099999999999994</v>
      </c>
      <c r="D967" s="30"/>
      <c r="E967" s="30"/>
      <c r="F967" s="30">
        <v>73</v>
      </c>
      <c r="G967" s="30">
        <v>76.900000000000006</v>
      </c>
    </row>
    <row r="968" spans="1:7" x14ac:dyDescent="0.25">
      <c r="A968" s="29">
        <v>38574</v>
      </c>
      <c r="B968" s="30">
        <v>77.900000000000006</v>
      </c>
      <c r="C968" s="30">
        <v>80.900000000000006</v>
      </c>
      <c r="D968" s="30"/>
      <c r="E968" s="30"/>
      <c r="F968" s="30">
        <v>76.3</v>
      </c>
      <c r="G968" s="30">
        <v>79.2</v>
      </c>
    </row>
    <row r="969" spans="1:7" x14ac:dyDescent="0.25">
      <c r="A969" s="29">
        <v>38575</v>
      </c>
      <c r="B969" s="30">
        <v>80.900000000000006</v>
      </c>
      <c r="C969" s="30">
        <v>84.6</v>
      </c>
      <c r="D969" s="30"/>
      <c r="E969" s="30"/>
      <c r="F969" s="30">
        <v>81.099999999999994</v>
      </c>
      <c r="G969" s="30">
        <v>84.1</v>
      </c>
    </row>
    <row r="970" spans="1:7" x14ac:dyDescent="0.25">
      <c r="A970" s="29">
        <v>38576</v>
      </c>
      <c r="B970" s="30">
        <v>82.5</v>
      </c>
      <c r="C970" s="30">
        <v>85.5</v>
      </c>
      <c r="D970" s="30"/>
      <c r="E970" s="30"/>
      <c r="F970" s="30">
        <v>84.4</v>
      </c>
      <c r="G970" s="30">
        <v>86.5</v>
      </c>
    </row>
    <row r="971" spans="1:7" x14ac:dyDescent="0.25">
      <c r="A971" s="29">
        <v>38577</v>
      </c>
      <c r="B971" s="30">
        <v>82.8</v>
      </c>
      <c r="C971" s="30">
        <v>88.1</v>
      </c>
      <c r="D971" s="30"/>
      <c r="E971" s="30"/>
      <c r="F971" s="30">
        <v>84.5</v>
      </c>
      <c r="G971" s="30">
        <v>88.9</v>
      </c>
    </row>
    <row r="972" spans="1:7" x14ac:dyDescent="0.25">
      <c r="A972" s="29">
        <v>38578</v>
      </c>
      <c r="B972" s="30">
        <v>81.599999999999994</v>
      </c>
      <c r="C972" s="30">
        <v>87.1</v>
      </c>
      <c r="D972" s="30"/>
      <c r="E972" s="30"/>
      <c r="F972" s="30">
        <v>83.4</v>
      </c>
      <c r="G972" s="30">
        <v>87.4</v>
      </c>
    </row>
    <row r="973" spans="1:7" x14ac:dyDescent="0.25">
      <c r="A973" s="29">
        <v>38579</v>
      </c>
      <c r="B973" s="30">
        <v>74.599999999999994</v>
      </c>
      <c r="C973" s="30">
        <v>75.8</v>
      </c>
      <c r="D973" s="30"/>
      <c r="E973" s="30"/>
      <c r="F973" s="30">
        <v>77.599999999999994</v>
      </c>
      <c r="G973" s="30">
        <v>75.7</v>
      </c>
    </row>
    <row r="974" spans="1:7" x14ac:dyDescent="0.25">
      <c r="A974" s="29">
        <v>38580</v>
      </c>
      <c r="B974" s="30">
        <v>71.7</v>
      </c>
      <c r="C974" s="30">
        <v>73.2</v>
      </c>
      <c r="D974" s="30"/>
      <c r="E974" s="30"/>
      <c r="F974" s="30">
        <v>72.599999999999994</v>
      </c>
      <c r="G974" s="30">
        <v>73.8</v>
      </c>
    </row>
    <row r="975" spans="1:7" x14ac:dyDescent="0.25">
      <c r="A975" s="29">
        <v>38581</v>
      </c>
      <c r="B975" s="30">
        <v>77.099999999999994</v>
      </c>
      <c r="C975" s="30">
        <v>78</v>
      </c>
      <c r="D975" s="30"/>
      <c r="E975" s="30"/>
      <c r="F975" s="30">
        <v>74.8</v>
      </c>
      <c r="G975" s="30">
        <v>78</v>
      </c>
    </row>
    <row r="976" spans="1:7" x14ac:dyDescent="0.25">
      <c r="A976" s="29">
        <v>38582</v>
      </c>
      <c r="B976" s="30">
        <v>75.400000000000006</v>
      </c>
      <c r="C976" s="30">
        <v>76.2</v>
      </c>
      <c r="D976" s="30"/>
      <c r="E976" s="30"/>
      <c r="F976" s="30">
        <v>74.5</v>
      </c>
      <c r="G976" s="30">
        <v>75.900000000000006</v>
      </c>
    </row>
    <row r="977" spans="1:7" x14ac:dyDescent="0.25">
      <c r="A977" s="29">
        <v>38583</v>
      </c>
      <c r="B977" s="30">
        <v>72.599999999999994</v>
      </c>
      <c r="C977" s="30">
        <v>74.7</v>
      </c>
      <c r="D977" s="30"/>
      <c r="E977" s="30"/>
      <c r="F977" s="30">
        <v>74.099999999999994</v>
      </c>
      <c r="G977" s="30">
        <v>74.7</v>
      </c>
    </row>
    <row r="978" spans="1:7" x14ac:dyDescent="0.25">
      <c r="A978" s="29">
        <v>38584</v>
      </c>
      <c r="B978" s="30">
        <v>75.7</v>
      </c>
      <c r="C978" s="30">
        <v>77.400000000000006</v>
      </c>
      <c r="D978" s="30"/>
      <c r="E978" s="30"/>
      <c r="F978" s="30">
        <v>77.2</v>
      </c>
      <c r="G978" s="30">
        <v>76.8</v>
      </c>
    </row>
    <row r="979" spans="1:7" x14ac:dyDescent="0.25">
      <c r="A979" s="29">
        <v>38585</v>
      </c>
      <c r="B979" s="30">
        <v>80.099999999999994</v>
      </c>
      <c r="C979" s="30">
        <v>83.8</v>
      </c>
      <c r="D979" s="30"/>
      <c r="E979" s="30"/>
      <c r="F979" s="30">
        <v>82.4</v>
      </c>
      <c r="G979" s="30">
        <v>83.7</v>
      </c>
    </row>
    <row r="980" spans="1:7" x14ac:dyDescent="0.25">
      <c r="A980" s="29">
        <v>38586</v>
      </c>
      <c r="B980" s="30">
        <v>82.1</v>
      </c>
      <c r="C980" s="30">
        <v>83.6</v>
      </c>
      <c r="D980" s="30"/>
      <c r="E980" s="30"/>
      <c r="F980" s="30">
        <v>79.2</v>
      </c>
      <c r="G980" s="30">
        <v>82.6</v>
      </c>
    </row>
    <row r="981" spans="1:7" x14ac:dyDescent="0.25">
      <c r="A981" s="29">
        <v>38587</v>
      </c>
      <c r="B981" s="30">
        <v>75.2</v>
      </c>
      <c r="C981" s="30">
        <v>76.099999999999994</v>
      </c>
      <c r="D981" s="30"/>
      <c r="E981" s="30"/>
      <c r="F981" s="30">
        <v>72</v>
      </c>
      <c r="G981" s="30">
        <v>76.3</v>
      </c>
    </row>
    <row r="982" spans="1:7" x14ac:dyDescent="0.25">
      <c r="A982" s="29">
        <v>38588</v>
      </c>
      <c r="B982" s="30">
        <v>74</v>
      </c>
      <c r="C982" s="30">
        <v>75.099999999999994</v>
      </c>
      <c r="D982" s="30"/>
      <c r="E982" s="30"/>
      <c r="F982" s="30">
        <v>72.3</v>
      </c>
      <c r="G982" s="30">
        <v>75.599999999999994</v>
      </c>
    </row>
    <row r="983" spans="1:7" x14ac:dyDescent="0.25">
      <c r="A983" s="29">
        <v>38589</v>
      </c>
      <c r="B983" s="30">
        <v>71.8</v>
      </c>
      <c r="C983" s="30">
        <v>74</v>
      </c>
      <c r="D983" s="30"/>
      <c r="E983" s="30"/>
      <c r="F983" s="30">
        <v>67.8</v>
      </c>
      <c r="G983" s="30">
        <v>73.5</v>
      </c>
    </row>
    <row r="984" spans="1:7" x14ac:dyDescent="0.25">
      <c r="A984" s="29">
        <v>38590</v>
      </c>
      <c r="B984" s="30">
        <v>73.099999999999994</v>
      </c>
      <c r="C984" s="30">
        <v>76.2</v>
      </c>
      <c r="D984" s="30"/>
      <c r="E984" s="30"/>
      <c r="F984" s="30">
        <v>70</v>
      </c>
      <c r="G984" s="30">
        <v>73.7</v>
      </c>
    </row>
    <row r="985" spans="1:7" x14ac:dyDescent="0.25">
      <c r="A985" s="29">
        <v>38591</v>
      </c>
      <c r="B985" s="30">
        <v>74.099999999999994</v>
      </c>
      <c r="C985" s="30">
        <v>76.8</v>
      </c>
      <c r="D985" s="30"/>
      <c r="E985" s="30"/>
      <c r="F985" s="30">
        <v>74.400000000000006</v>
      </c>
      <c r="G985" s="30">
        <v>75.400000000000006</v>
      </c>
    </row>
    <row r="986" spans="1:7" x14ac:dyDescent="0.25">
      <c r="A986" s="29">
        <v>38592</v>
      </c>
      <c r="B986" s="30">
        <v>75.8</v>
      </c>
      <c r="C986" s="30">
        <v>77.8</v>
      </c>
      <c r="D986" s="30"/>
      <c r="E986" s="30"/>
      <c r="F986" s="30">
        <v>77.900000000000006</v>
      </c>
      <c r="G986" s="30">
        <v>76.3</v>
      </c>
    </row>
    <row r="987" spans="1:7" x14ac:dyDescent="0.25">
      <c r="A987" s="29">
        <v>38593</v>
      </c>
      <c r="B987" s="30">
        <v>76.8</v>
      </c>
      <c r="C987" s="30">
        <v>79.900000000000006</v>
      </c>
      <c r="D987" s="30"/>
      <c r="E987" s="30"/>
      <c r="F987" s="30">
        <v>77.900000000000006</v>
      </c>
      <c r="G987" s="30">
        <v>78</v>
      </c>
    </row>
    <row r="988" spans="1:7" x14ac:dyDescent="0.25">
      <c r="A988" s="29">
        <v>38594</v>
      </c>
      <c r="B988" s="30">
        <v>77.8</v>
      </c>
      <c r="C988" s="30">
        <v>80.3</v>
      </c>
      <c r="D988" s="30"/>
      <c r="E988" s="30"/>
      <c r="F988" s="30">
        <v>79.5</v>
      </c>
      <c r="G988" s="30">
        <v>79.099999999999994</v>
      </c>
    </row>
    <row r="989" spans="1:7" x14ac:dyDescent="0.25">
      <c r="A989" s="29">
        <v>38595</v>
      </c>
      <c r="B989" s="30">
        <v>78.7</v>
      </c>
      <c r="C989" s="30">
        <v>81.5</v>
      </c>
      <c r="D989" s="30"/>
      <c r="E989" s="30"/>
      <c r="F989" s="30">
        <v>82.4</v>
      </c>
      <c r="G989" s="30">
        <v>83.2</v>
      </c>
    </row>
    <row r="990" spans="1:7" x14ac:dyDescent="0.25">
      <c r="A990" s="29">
        <v>38596</v>
      </c>
      <c r="B990" s="30">
        <v>77.8</v>
      </c>
      <c r="C990" s="30">
        <v>78.2</v>
      </c>
      <c r="D990" s="30"/>
      <c r="E990" s="30"/>
      <c r="F990" s="30">
        <v>78</v>
      </c>
      <c r="G990" s="30">
        <v>77.8</v>
      </c>
    </row>
    <row r="991" spans="1:7" x14ac:dyDescent="0.25">
      <c r="A991" s="29">
        <v>38597</v>
      </c>
      <c r="B991" s="30">
        <v>77.900000000000006</v>
      </c>
      <c r="C991" s="30">
        <v>80.3</v>
      </c>
      <c r="D991" s="30"/>
      <c r="E991" s="30"/>
      <c r="F991" s="30">
        <v>75.599999999999994</v>
      </c>
      <c r="G991" s="30">
        <v>79.099999999999994</v>
      </c>
    </row>
    <row r="992" spans="1:7" x14ac:dyDescent="0.25">
      <c r="A992" s="29">
        <v>38598</v>
      </c>
      <c r="B992" s="30">
        <v>77.5</v>
      </c>
      <c r="C992" s="30">
        <v>77.599999999999994</v>
      </c>
      <c r="D992" s="30"/>
      <c r="E992" s="30"/>
      <c r="F992" s="30">
        <v>74.8</v>
      </c>
      <c r="G992" s="30">
        <v>76.900000000000006</v>
      </c>
    </row>
    <row r="993" spans="1:7" x14ac:dyDescent="0.25">
      <c r="A993" s="29">
        <v>38599</v>
      </c>
      <c r="B993" s="30">
        <v>74.5</v>
      </c>
      <c r="C993" s="30">
        <v>76.099999999999994</v>
      </c>
      <c r="D993" s="30"/>
      <c r="E993" s="30"/>
      <c r="F993" s="30">
        <v>70.3</v>
      </c>
      <c r="G993" s="30">
        <v>75</v>
      </c>
    </row>
    <row r="994" spans="1:7" x14ac:dyDescent="0.25">
      <c r="A994" s="29">
        <v>38600</v>
      </c>
      <c r="B994" s="30">
        <v>72.2</v>
      </c>
      <c r="C994" s="30">
        <v>73.3</v>
      </c>
      <c r="D994" s="30"/>
      <c r="E994" s="30"/>
      <c r="F994" s="30">
        <v>69.400000000000006</v>
      </c>
      <c r="G994" s="30">
        <v>72.8</v>
      </c>
    </row>
    <row r="995" spans="1:7" x14ac:dyDescent="0.25">
      <c r="A995" s="29">
        <v>38601</v>
      </c>
      <c r="B995" s="30">
        <v>69.599999999999994</v>
      </c>
      <c r="C995" s="30">
        <v>72.900000000000006</v>
      </c>
      <c r="D995" s="30"/>
      <c r="E995" s="30"/>
      <c r="F995" s="30">
        <v>66.599999999999994</v>
      </c>
      <c r="G995" s="30">
        <v>71.3</v>
      </c>
    </row>
    <row r="996" spans="1:7" x14ac:dyDescent="0.25">
      <c r="A996" s="29">
        <v>38602</v>
      </c>
      <c r="B996" s="30">
        <v>68.2</v>
      </c>
      <c r="C996" s="30">
        <v>72</v>
      </c>
      <c r="D996" s="30"/>
      <c r="E996" s="30"/>
      <c r="F996" s="30">
        <v>65</v>
      </c>
      <c r="G996" s="30">
        <v>71.599999999999994</v>
      </c>
    </row>
    <row r="997" spans="1:7" x14ac:dyDescent="0.25">
      <c r="A997" s="29">
        <v>38603</v>
      </c>
      <c r="B997" s="30">
        <v>70.599999999999994</v>
      </c>
      <c r="C997" s="30">
        <v>75</v>
      </c>
      <c r="D997" s="30"/>
      <c r="E997" s="30"/>
      <c r="F997" s="30">
        <v>67.7</v>
      </c>
      <c r="G997" s="30">
        <v>73.400000000000006</v>
      </c>
    </row>
    <row r="998" spans="1:7" x14ac:dyDescent="0.25">
      <c r="A998" s="29">
        <v>38604</v>
      </c>
      <c r="B998" s="30">
        <v>73.3</v>
      </c>
      <c r="C998" s="30">
        <v>75.599999999999994</v>
      </c>
      <c r="D998" s="30"/>
      <c r="E998" s="30"/>
      <c r="F998" s="30">
        <v>70.8</v>
      </c>
      <c r="G998" s="30">
        <v>74.5</v>
      </c>
    </row>
    <row r="999" spans="1:7" x14ac:dyDescent="0.25">
      <c r="A999" s="29">
        <v>38605</v>
      </c>
      <c r="B999" s="30">
        <v>70.099999999999994</v>
      </c>
      <c r="C999" s="30">
        <v>74</v>
      </c>
      <c r="D999" s="30"/>
      <c r="E999" s="30"/>
      <c r="F999" s="30">
        <v>67.599999999999994</v>
      </c>
      <c r="G999" s="30">
        <v>72.2</v>
      </c>
    </row>
    <row r="1000" spans="1:7" x14ac:dyDescent="0.25">
      <c r="A1000" s="29">
        <v>38606</v>
      </c>
      <c r="B1000" s="30">
        <v>68.400000000000006</v>
      </c>
      <c r="C1000" s="30">
        <v>70.2</v>
      </c>
      <c r="D1000" s="30"/>
      <c r="E1000" s="30"/>
      <c r="F1000" s="30">
        <v>67.400000000000006</v>
      </c>
      <c r="G1000" s="30">
        <v>69.8</v>
      </c>
    </row>
    <row r="1001" spans="1:7" x14ac:dyDescent="0.25">
      <c r="A1001" s="29">
        <v>38607</v>
      </c>
      <c r="B1001" s="30">
        <v>74.7</v>
      </c>
      <c r="C1001" s="30">
        <v>77.099999999999994</v>
      </c>
      <c r="D1001" s="30"/>
      <c r="E1001" s="30"/>
      <c r="F1001" s="30">
        <v>71.400000000000006</v>
      </c>
      <c r="G1001" s="30">
        <v>75.599999999999994</v>
      </c>
    </row>
    <row r="1002" spans="1:7" x14ac:dyDescent="0.25">
      <c r="A1002" s="29">
        <v>38608</v>
      </c>
      <c r="B1002" s="30">
        <v>78.400000000000006</v>
      </c>
      <c r="C1002" s="30">
        <v>83.1</v>
      </c>
      <c r="D1002" s="30"/>
      <c r="E1002" s="30"/>
      <c r="F1002" s="30">
        <v>75.400000000000006</v>
      </c>
      <c r="G1002" s="30">
        <v>80.3</v>
      </c>
    </row>
    <row r="1003" spans="1:7" x14ac:dyDescent="0.25">
      <c r="A1003" s="29">
        <v>38609</v>
      </c>
      <c r="B1003" s="30">
        <v>73.5</v>
      </c>
      <c r="C1003" s="30">
        <v>77.900000000000006</v>
      </c>
      <c r="D1003" s="30"/>
      <c r="E1003" s="30"/>
      <c r="F1003" s="30">
        <v>74.7</v>
      </c>
      <c r="G1003" s="30">
        <v>76</v>
      </c>
    </row>
    <row r="1004" spans="1:7" x14ac:dyDescent="0.25">
      <c r="A1004" s="29">
        <v>38610</v>
      </c>
      <c r="B1004" s="30">
        <v>75.5</v>
      </c>
      <c r="C1004" s="30">
        <v>79.400000000000006</v>
      </c>
      <c r="D1004" s="30"/>
      <c r="E1004" s="30"/>
      <c r="F1004" s="30">
        <v>80.3</v>
      </c>
      <c r="G1004" s="30">
        <v>78.7</v>
      </c>
    </row>
    <row r="1005" spans="1:7" x14ac:dyDescent="0.25">
      <c r="A1005" s="29">
        <v>38611</v>
      </c>
      <c r="B1005" s="30">
        <v>76.2</v>
      </c>
      <c r="C1005" s="30">
        <v>76.8</v>
      </c>
      <c r="D1005" s="30"/>
      <c r="E1005" s="30"/>
      <c r="F1005" s="30">
        <v>78.7</v>
      </c>
      <c r="G1005" s="30">
        <v>78.3</v>
      </c>
    </row>
    <row r="1006" spans="1:7" x14ac:dyDescent="0.25">
      <c r="A1006" s="29">
        <v>38612</v>
      </c>
      <c r="B1006" s="30">
        <v>75.099999999999994</v>
      </c>
      <c r="C1006" s="30">
        <v>77.2</v>
      </c>
      <c r="D1006" s="30"/>
      <c r="E1006" s="30"/>
      <c r="F1006" s="30">
        <v>78</v>
      </c>
      <c r="G1006" s="30">
        <v>78</v>
      </c>
    </row>
    <row r="1007" spans="1:7" x14ac:dyDescent="0.25">
      <c r="A1007" s="29">
        <v>38613</v>
      </c>
      <c r="B1007" s="30">
        <v>74.8</v>
      </c>
      <c r="C1007" s="30">
        <v>75</v>
      </c>
      <c r="D1007" s="30"/>
      <c r="E1007" s="30"/>
      <c r="F1007" s="30">
        <v>74.7</v>
      </c>
      <c r="G1007" s="30">
        <v>75.099999999999994</v>
      </c>
    </row>
    <row r="1008" spans="1:7" x14ac:dyDescent="0.25">
      <c r="A1008" s="29">
        <v>38614</v>
      </c>
      <c r="B1008" s="30">
        <v>74.099999999999994</v>
      </c>
      <c r="C1008" s="30">
        <v>77.400000000000006</v>
      </c>
      <c r="D1008" s="30"/>
      <c r="E1008" s="30"/>
      <c r="F1008" s="30">
        <v>73.8</v>
      </c>
      <c r="G1008" s="30">
        <v>76.3</v>
      </c>
    </row>
    <row r="1009" spans="1:7" x14ac:dyDescent="0.25">
      <c r="A1009" s="29">
        <v>38615</v>
      </c>
      <c r="B1009" s="30">
        <v>75.3</v>
      </c>
      <c r="C1009" s="30">
        <v>78.2</v>
      </c>
      <c r="D1009" s="30"/>
      <c r="E1009" s="30"/>
      <c r="F1009" s="30">
        <v>76.8</v>
      </c>
      <c r="G1009" s="30">
        <v>76.7</v>
      </c>
    </row>
    <row r="1010" spans="1:7" x14ac:dyDescent="0.25">
      <c r="A1010" s="29">
        <v>38616</v>
      </c>
      <c r="B1010" s="30">
        <v>73.900000000000006</v>
      </c>
      <c r="C1010" s="30">
        <v>76.599999999999994</v>
      </c>
      <c r="D1010" s="30"/>
      <c r="E1010" s="30"/>
      <c r="F1010" s="30">
        <v>72.7</v>
      </c>
      <c r="G1010" s="30">
        <v>75.599999999999994</v>
      </c>
    </row>
    <row r="1011" spans="1:7" x14ac:dyDescent="0.25">
      <c r="A1011" s="29">
        <v>38617</v>
      </c>
      <c r="B1011" s="30">
        <v>72</v>
      </c>
      <c r="C1011" s="30">
        <v>77.2</v>
      </c>
      <c r="D1011" s="30"/>
      <c r="E1011" s="30"/>
      <c r="F1011" s="30">
        <v>69</v>
      </c>
      <c r="G1011" s="30">
        <v>74.900000000000006</v>
      </c>
    </row>
    <row r="1012" spans="1:7" x14ac:dyDescent="0.25">
      <c r="A1012" s="29">
        <v>38618</v>
      </c>
      <c r="B1012" s="30">
        <v>76</v>
      </c>
      <c r="C1012" s="30">
        <v>77.5</v>
      </c>
      <c r="D1012" s="30"/>
      <c r="E1012" s="30"/>
      <c r="F1012" s="30">
        <v>77.5</v>
      </c>
      <c r="G1012" s="30">
        <v>75.900000000000006</v>
      </c>
    </row>
    <row r="1013" spans="1:7" x14ac:dyDescent="0.25">
      <c r="A1013" s="29">
        <v>38619</v>
      </c>
      <c r="B1013" s="30">
        <v>67.3</v>
      </c>
      <c r="C1013" s="30">
        <v>68.5</v>
      </c>
      <c r="D1013" s="30"/>
      <c r="E1013" s="30"/>
      <c r="F1013" s="30">
        <v>71</v>
      </c>
      <c r="G1013" s="30">
        <v>67.599999999999994</v>
      </c>
    </row>
    <row r="1014" spans="1:7" x14ac:dyDescent="0.25">
      <c r="A1014" s="29">
        <v>38620</v>
      </c>
      <c r="B1014" s="30">
        <v>63.1</v>
      </c>
      <c r="C1014" s="30">
        <v>66.900000000000006</v>
      </c>
      <c r="D1014" s="30"/>
      <c r="E1014" s="30"/>
      <c r="F1014" s="30">
        <v>63.5</v>
      </c>
      <c r="G1014" s="30">
        <v>66.400000000000006</v>
      </c>
    </row>
    <row r="1015" spans="1:7" x14ac:dyDescent="0.25">
      <c r="A1015" s="29">
        <v>38621</v>
      </c>
      <c r="B1015" s="30">
        <v>70.400000000000006</v>
      </c>
      <c r="C1015" s="30">
        <v>72.3</v>
      </c>
      <c r="D1015" s="30"/>
      <c r="E1015" s="30"/>
      <c r="F1015" s="30">
        <v>72.900000000000006</v>
      </c>
      <c r="G1015" s="30">
        <v>71.5</v>
      </c>
    </row>
    <row r="1016" spans="1:7" x14ac:dyDescent="0.25">
      <c r="A1016" s="29">
        <v>38622</v>
      </c>
      <c r="B1016" s="30">
        <v>71.3</v>
      </c>
      <c r="C1016" s="30">
        <v>72.3</v>
      </c>
      <c r="D1016" s="30"/>
      <c r="E1016" s="30"/>
      <c r="F1016" s="30">
        <v>71.8</v>
      </c>
      <c r="G1016" s="30">
        <v>70.900000000000006</v>
      </c>
    </row>
    <row r="1017" spans="1:7" x14ac:dyDescent="0.25">
      <c r="A1017" s="29">
        <v>38623</v>
      </c>
      <c r="B1017" s="30">
        <v>64.3</v>
      </c>
      <c r="C1017" s="30">
        <v>66.900000000000006</v>
      </c>
      <c r="D1017" s="30"/>
      <c r="E1017" s="30"/>
      <c r="F1017" s="30">
        <v>62.6</v>
      </c>
      <c r="G1017" s="30">
        <v>63.9</v>
      </c>
    </row>
    <row r="1018" spans="1:7" x14ac:dyDescent="0.25">
      <c r="A1018" s="29">
        <v>38624</v>
      </c>
      <c r="B1018" s="30">
        <v>68.400000000000006</v>
      </c>
      <c r="C1018" s="30">
        <v>69.8</v>
      </c>
      <c r="D1018" s="30"/>
      <c r="E1018" s="30"/>
      <c r="F1018" s="30">
        <v>69.599999999999994</v>
      </c>
      <c r="G1018" s="30">
        <v>68.5</v>
      </c>
    </row>
    <row r="1019" spans="1:7" x14ac:dyDescent="0.25">
      <c r="A1019" s="29">
        <v>38625</v>
      </c>
      <c r="B1019" s="30">
        <v>57.6</v>
      </c>
      <c r="C1019" s="30">
        <v>59.8</v>
      </c>
      <c r="D1019" s="30"/>
      <c r="E1019" s="30"/>
      <c r="F1019" s="30">
        <v>56.1</v>
      </c>
      <c r="G1019" s="30">
        <v>57.8</v>
      </c>
    </row>
    <row r="1020" spans="1:7" x14ac:dyDescent="0.25">
      <c r="A1020" s="29">
        <v>38626</v>
      </c>
      <c r="B1020" s="30">
        <v>59.7</v>
      </c>
      <c r="C1020" s="30">
        <v>63.7</v>
      </c>
      <c r="D1020" s="30"/>
      <c r="E1020" s="30"/>
      <c r="F1020" s="30">
        <v>56.5</v>
      </c>
      <c r="G1020" s="30">
        <v>60.8</v>
      </c>
    </row>
    <row r="1021" spans="1:7" x14ac:dyDescent="0.25">
      <c r="A1021" s="29">
        <v>38627</v>
      </c>
      <c r="B1021" s="30">
        <v>64.2</v>
      </c>
      <c r="C1021" s="30">
        <v>67.900000000000006</v>
      </c>
      <c r="D1021" s="30"/>
      <c r="E1021" s="30"/>
      <c r="F1021" s="30">
        <v>60</v>
      </c>
      <c r="G1021" s="30">
        <v>64.900000000000006</v>
      </c>
    </row>
    <row r="1022" spans="1:7" x14ac:dyDescent="0.25">
      <c r="A1022" s="29">
        <v>38628</v>
      </c>
      <c r="B1022" s="30">
        <v>64</v>
      </c>
      <c r="C1022" s="30">
        <v>67.7</v>
      </c>
      <c r="D1022" s="30"/>
      <c r="E1022" s="30"/>
      <c r="F1022" s="30">
        <v>60.8</v>
      </c>
      <c r="G1022" s="30">
        <v>65.2</v>
      </c>
    </row>
    <row r="1023" spans="1:7" x14ac:dyDescent="0.25">
      <c r="A1023" s="29">
        <v>38629</v>
      </c>
      <c r="B1023" s="30">
        <v>66.900000000000006</v>
      </c>
      <c r="C1023" s="30">
        <v>69.2</v>
      </c>
      <c r="D1023" s="30"/>
      <c r="E1023" s="30"/>
      <c r="F1023" s="30">
        <v>67.5</v>
      </c>
      <c r="G1023" s="30">
        <v>68.8</v>
      </c>
    </row>
    <row r="1024" spans="1:7" x14ac:dyDescent="0.25">
      <c r="A1024" s="29">
        <v>38630</v>
      </c>
      <c r="B1024" s="30">
        <v>66.5</v>
      </c>
      <c r="C1024" s="30">
        <v>69.400000000000006</v>
      </c>
      <c r="D1024" s="30"/>
      <c r="E1024" s="30"/>
      <c r="F1024" s="30">
        <v>64.8</v>
      </c>
      <c r="G1024" s="30">
        <v>69.7</v>
      </c>
    </row>
    <row r="1025" spans="1:7" x14ac:dyDescent="0.25">
      <c r="A1025" s="29">
        <v>38631</v>
      </c>
      <c r="B1025" s="30">
        <v>67.400000000000006</v>
      </c>
      <c r="C1025" s="30">
        <v>69.599999999999994</v>
      </c>
      <c r="D1025" s="30"/>
      <c r="E1025" s="30"/>
      <c r="F1025" s="30">
        <v>69.900000000000006</v>
      </c>
      <c r="G1025" s="30">
        <v>68</v>
      </c>
    </row>
    <row r="1026" spans="1:7" x14ac:dyDescent="0.25">
      <c r="A1026" s="29">
        <v>38632</v>
      </c>
      <c r="B1026" s="30">
        <v>71.2</v>
      </c>
      <c r="C1026" s="30">
        <v>73.599999999999994</v>
      </c>
      <c r="D1026" s="30"/>
      <c r="E1026" s="30"/>
      <c r="F1026" s="30">
        <v>73.5</v>
      </c>
      <c r="G1026" s="30">
        <v>72.2</v>
      </c>
    </row>
    <row r="1027" spans="1:7" x14ac:dyDescent="0.25">
      <c r="A1027" s="29">
        <v>38633</v>
      </c>
      <c r="B1027" s="30">
        <v>72.099999999999994</v>
      </c>
      <c r="C1027" s="30">
        <v>73.900000000000006</v>
      </c>
      <c r="D1027" s="30"/>
      <c r="E1027" s="30"/>
      <c r="F1027" s="30">
        <v>74</v>
      </c>
      <c r="G1027" s="30">
        <v>73.5</v>
      </c>
    </row>
    <row r="1028" spans="1:7" x14ac:dyDescent="0.25">
      <c r="A1028" s="29">
        <v>38634</v>
      </c>
      <c r="B1028" s="30">
        <v>59.8</v>
      </c>
      <c r="C1028" s="30">
        <v>59.4</v>
      </c>
      <c r="D1028" s="30"/>
      <c r="E1028" s="30"/>
      <c r="F1028" s="30">
        <v>62.7</v>
      </c>
      <c r="G1028" s="30">
        <v>57.4</v>
      </c>
    </row>
    <row r="1029" spans="1:7" x14ac:dyDescent="0.25">
      <c r="A1029" s="29">
        <v>38635</v>
      </c>
      <c r="B1029" s="30">
        <v>58.9</v>
      </c>
      <c r="C1029" s="30">
        <v>59.8</v>
      </c>
      <c r="D1029" s="30"/>
      <c r="E1029" s="30"/>
      <c r="F1029" s="30">
        <v>61.2</v>
      </c>
      <c r="G1029" s="30">
        <v>58.2</v>
      </c>
    </row>
    <row r="1030" spans="1:7" x14ac:dyDescent="0.25">
      <c r="A1030" s="29">
        <v>38636</v>
      </c>
      <c r="B1030" s="30">
        <v>59.9</v>
      </c>
      <c r="C1030" s="30">
        <v>61.9</v>
      </c>
      <c r="D1030" s="30"/>
      <c r="E1030" s="30"/>
      <c r="F1030" s="30">
        <v>61.4</v>
      </c>
      <c r="G1030" s="30">
        <v>60.3</v>
      </c>
    </row>
    <row r="1031" spans="1:7" x14ac:dyDescent="0.25">
      <c r="A1031" s="29">
        <v>38637</v>
      </c>
      <c r="B1031" s="30">
        <v>56.5</v>
      </c>
      <c r="C1031" s="30">
        <v>56.9</v>
      </c>
      <c r="D1031" s="30"/>
      <c r="E1031" s="30"/>
      <c r="F1031" s="30">
        <v>59.7</v>
      </c>
      <c r="G1031" s="30">
        <v>55.7</v>
      </c>
    </row>
    <row r="1032" spans="1:7" x14ac:dyDescent="0.25">
      <c r="A1032" s="29">
        <v>38638</v>
      </c>
      <c r="B1032" s="30">
        <v>59.5</v>
      </c>
      <c r="C1032" s="30">
        <v>60.6</v>
      </c>
      <c r="D1032" s="30"/>
      <c r="E1032" s="30"/>
      <c r="F1032" s="30">
        <v>63.8</v>
      </c>
      <c r="G1032" s="30">
        <v>57.5</v>
      </c>
    </row>
    <row r="1033" spans="1:7" x14ac:dyDescent="0.25">
      <c r="A1033" s="29">
        <v>38639</v>
      </c>
      <c r="B1033" s="30">
        <v>61.6</v>
      </c>
      <c r="C1033" s="30">
        <v>62.2</v>
      </c>
      <c r="D1033" s="30"/>
      <c r="E1033" s="30"/>
      <c r="F1033" s="30">
        <v>63.5</v>
      </c>
      <c r="G1033" s="30">
        <v>60</v>
      </c>
    </row>
    <row r="1034" spans="1:7" x14ac:dyDescent="0.25">
      <c r="A1034" s="29">
        <v>38640</v>
      </c>
      <c r="B1034" s="30">
        <v>64.3</v>
      </c>
      <c r="C1034" s="30">
        <v>65.2</v>
      </c>
      <c r="D1034" s="30"/>
      <c r="E1034" s="30"/>
      <c r="F1034" s="30">
        <v>65.8</v>
      </c>
      <c r="G1034" s="30">
        <v>64.900000000000006</v>
      </c>
    </row>
    <row r="1035" spans="1:7" x14ac:dyDescent="0.25">
      <c r="A1035" s="29">
        <v>38641</v>
      </c>
      <c r="B1035" s="30">
        <v>59.5</v>
      </c>
      <c r="C1035" s="30">
        <v>60.7</v>
      </c>
      <c r="D1035" s="30"/>
      <c r="E1035" s="30"/>
      <c r="F1035" s="30">
        <v>60.2</v>
      </c>
      <c r="G1035" s="30">
        <v>59.1</v>
      </c>
    </row>
    <row r="1036" spans="1:7" x14ac:dyDescent="0.25">
      <c r="A1036" s="29">
        <v>38642</v>
      </c>
      <c r="B1036" s="30">
        <v>58.7</v>
      </c>
      <c r="C1036" s="30">
        <v>59.4</v>
      </c>
      <c r="D1036" s="30"/>
      <c r="E1036" s="30"/>
      <c r="F1036" s="30">
        <v>57.2</v>
      </c>
      <c r="G1036" s="30">
        <v>58.6</v>
      </c>
    </row>
    <row r="1037" spans="1:7" x14ac:dyDescent="0.25">
      <c r="A1037" s="29">
        <v>38643</v>
      </c>
      <c r="B1037" s="30">
        <v>60.2</v>
      </c>
      <c r="C1037" s="30">
        <v>62.1</v>
      </c>
      <c r="D1037" s="30"/>
      <c r="E1037" s="30"/>
      <c r="F1037" s="30">
        <v>61</v>
      </c>
      <c r="G1037" s="30">
        <v>59.5</v>
      </c>
    </row>
    <row r="1038" spans="1:7" x14ac:dyDescent="0.25">
      <c r="A1038" s="29">
        <v>38644</v>
      </c>
      <c r="B1038" s="30">
        <v>60</v>
      </c>
      <c r="C1038" s="30">
        <v>62.9</v>
      </c>
      <c r="D1038" s="30"/>
      <c r="E1038" s="30"/>
      <c r="F1038" s="30">
        <v>58.6</v>
      </c>
      <c r="G1038" s="30">
        <v>60.5</v>
      </c>
    </row>
    <row r="1039" spans="1:7" x14ac:dyDescent="0.25">
      <c r="A1039" s="29">
        <v>38645</v>
      </c>
      <c r="B1039" s="30">
        <v>57.2</v>
      </c>
      <c r="C1039" s="30">
        <v>58.7</v>
      </c>
      <c r="D1039" s="30"/>
      <c r="E1039" s="30"/>
      <c r="F1039" s="30">
        <v>57</v>
      </c>
      <c r="G1039" s="30">
        <v>57.5</v>
      </c>
    </row>
    <row r="1040" spans="1:7" x14ac:dyDescent="0.25">
      <c r="A1040" s="29">
        <v>38646</v>
      </c>
      <c r="B1040" s="30">
        <v>53.5</v>
      </c>
      <c r="C1040" s="30">
        <v>55.9</v>
      </c>
      <c r="D1040" s="30"/>
      <c r="E1040" s="30"/>
      <c r="F1040" s="30">
        <v>51.6</v>
      </c>
      <c r="G1040" s="30">
        <v>53.6</v>
      </c>
    </row>
    <row r="1041" spans="1:7" x14ac:dyDescent="0.25">
      <c r="A1041" s="29">
        <v>38647</v>
      </c>
      <c r="B1041" s="30">
        <v>51.5</v>
      </c>
      <c r="C1041" s="30">
        <v>53.7</v>
      </c>
      <c r="D1041" s="30"/>
      <c r="E1041" s="30"/>
      <c r="F1041" s="30">
        <v>56.5</v>
      </c>
      <c r="G1041" s="30">
        <v>51.5</v>
      </c>
    </row>
    <row r="1042" spans="1:7" x14ac:dyDescent="0.25">
      <c r="A1042" s="29">
        <v>38648</v>
      </c>
      <c r="B1042" s="30">
        <v>50.9</v>
      </c>
      <c r="C1042" s="30">
        <v>51.8</v>
      </c>
      <c r="D1042" s="30"/>
      <c r="E1042" s="30"/>
      <c r="F1042" s="30">
        <v>54.5</v>
      </c>
      <c r="G1042" s="30">
        <v>50.8</v>
      </c>
    </row>
    <row r="1043" spans="1:7" x14ac:dyDescent="0.25">
      <c r="A1043" s="29">
        <v>38649</v>
      </c>
      <c r="B1043" s="30">
        <v>47.4</v>
      </c>
      <c r="C1043" s="30">
        <v>50.3</v>
      </c>
      <c r="D1043" s="30"/>
      <c r="E1043" s="30"/>
      <c r="F1043" s="30">
        <v>46.8</v>
      </c>
      <c r="G1043" s="30">
        <v>47.9</v>
      </c>
    </row>
    <row r="1044" spans="1:7" x14ac:dyDescent="0.25">
      <c r="A1044" s="29">
        <v>38650</v>
      </c>
      <c r="B1044" s="30">
        <v>49.2</v>
      </c>
      <c r="C1044" s="30">
        <v>50.4</v>
      </c>
      <c r="D1044" s="30"/>
      <c r="E1044" s="30"/>
      <c r="F1044" s="30">
        <v>52.5</v>
      </c>
      <c r="G1044" s="30">
        <v>48</v>
      </c>
    </row>
    <row r="1045" spans="1:7" x14ac:dyDescent="0.25">
      <c r="A1045" s="29">
        <v>38651</v>
      </c>
      <c r="B1045" s="30">
        <v>44.4</v>
      </c>
      <c r="C1045" s="30">
        <v>45.7</v>
      </c>
      <c r="D1045" s="30"/>
      <c r="E1045" s="30"/>
      <c r="F1045" s="30">
        <v>46.4</v>
      </c>
      <c r="G1045" s="30">
        <v>44.6</v>
      </c>
    </row>
    <row r="1046" spans="1:7" x14ac:dyDescent="0.25">
      <c r="A1046" s="29">
        <v>38652</v>
      </c>
      <c r="B1046" s="30">
        <v>45.5</v>
      </c>
      <c r="C1046" s="30">
        <v>46.6</v>
      </c>
      <c r="D1046" s="30"/>
      <c r="E1046" s="30"/>
      <c r="F1046" s="30">
        <v>44.9</v>
      </c>
      <c r="G1046" s="30">
        <v>44.5</v>
      </c>
    </row>
    <row r="1047" spans="1:7" x14ac:dyDescent="0.25">
      <c r="A1047" s="29">
        <v>38653</v>
      </c>
      <c r="B1047" s="30">
        <v>44.8</v>
      </c>
      <c r="C1047" s="30">
        <v>46.7</v>
      </c>
      <c r="D1047" s="30"/>
      <c r="E1047" s="30"/>
      <c r="F1047" s="30">
        <v>43.1</v>
      </c>
      <c r="G1047" s="30">
        <v>45.5</v>
      </c>
    </row>
    <row r="1048" spans="1:7" x14ac:dyDescent="0.25">
      <c r="A1048" s="29">
        <v>38654</v>
      </c>
      <c r="B1048" s="30">
        <v>43.3</v>
      </c>
      <c r="C1048" s="30">
        <v>45.1</v>
      </c>
      <c r="D1048" s="30"/>
      <c r="E1048" s="30"/>
      <c r="F1048" s="30">
        <v>43.7</v>
      </c>
      <c r="G1048" s="30">
        <v>44.7</v>
      </c>
    </row>
    <row r="1049" spans="1:7" x14ac:dyDescent="0.25">
      <c r="A1049" s="29">
        <v>38655</v>
      </c>
      <c r="B1049" s="30">
        <v>53.5</v>
      </c>
      <c r="C1049" s="30">
        <v>54.9</v>
      </c>
      <c r="D1049" s="30"/>
      <c r="E1049" s="30"/>
      <c r="F1049" s="30">
        <v>49.4</v>
      </c>
      <c r="G1049" s="30">
        <v>53.9</v>
      </c>
    </row>
    <row r="1050" spans="1:7" x14ac:dyDescent="0.25">
      <c r="A1050" s="29">
        <v>38656</v>
      </c>
      <c r="B1050" s="30">
        <v>54.8</v>
      </c>
      <c r="C1050" s="30">
        <v>59.6</v>
      </c>
      <c r="D1050" s="30"/>
      <c r="E1050" s="30"/>
      <c r="F1050" s="30">
        <v>54.3</v>
      </c>
      <c r="G1050" s="30">
        <v>55.7</v>
      </c>
    </row>
    <row r="1051" spans="1:7" x14ac:dyDescent="0.25">
      <c r="A1051" s="29">
        <v>38657</v>
      </c>
      <c r="B1051" s="30">
        <v>54.9</v>
      </c>
      <c r="C1051" s="30">
        <v>60.4</v>
      </c>
      <c r="D1051" s="30"/>
      <c r="E1051" s="30"/>
      <c r="F1051" s="30">
        <v>55.2</v>
      </c>
      <c r="G1051" s="30">
        <v>56.8</v>
      </c>
    </row>
    <row r="1052" spans="1:7" x14ac:dyDescent="0.25">
      <c r="A1052" s="29">
        <v>38658</v>
      </c>
      <c r="B1052" s="30">
        <v>55</v>
      </c>
      <c r="C1052" s="30">
        <v>56.4</v>
      </c>
      <c r="D1052" s="30"/>
      <c r="E1052" s="30"/>
      <c r="F1052" s="30">
        <v>55.6</v>
      </c>
      <c r="G1052" s="30">
        <v>55.2</v>
      </c>
    </row>
    <row r="1053" spans="1:7" x14ac:dyDescent="0.25">
      <c r="A1053" s="29">
        <v>38659</v>
      </c>
      <c r="B1053" s="30">
        <v>53</v>
      </c>
      <c r="C1053" s="30">
        <v>55.6</v>
      </c>
      <c r="D1053" s="30"/>
      <c r="E1053" s="30"/>
      <c r="F1053" s="30">
        <v>50.2</v>
      </c>
      <c r="G1053" s="30">
        <v>52.5</v>
      </c>
    </row>
    <row r="1054" spans="1:7" x14ac:dyDescent="0.25">
      <c r="A1054" s="29">
        <v>38660</v>
      </c>
      <c r="B1054" s="30">
        <v>55.9</v>
      </c>
      <c r="C1054" s="30">
        <v>60.6</v>
      </c>
      <c r="D1054" s="30"/>
      <c r="E1054" s="30"/>
      <c r="F1054" s="30">
        <v>58.3</v>
      </c>
      <c r="G1054" s="30">
        <v>58.3</v>
      </c>
    </row>
    <row r="1055" spans="1:7" x14ac:dyDescent="0.25">
      <c r="A1055" s="29">
        <v>38661</v>
      </c>
      <c r="B1055" s="30">
        <v>57.2</v>
      </c>
      <c r="C1055" s="30">
        <v>62.9</v>
      </c>
      <c r="D1055" s="30"/>
      <c r="E1055" s="30"/>
      <c r="F1055" s="30">
        <v>59.8</v>
      </c>
      <c r="G1055" s="30">
        <v>60.2</v>
      </c>
    </row>
    <row r="1056" spans="1:7" x14ac:dyDescent="0.25">
      <c r="A1056" s="29">
        <v>38662</v>
      </c>
      <c r="B1056" s="30">
        <v>55.3</v>
      </c>
      <c r="C1056" s="30">
        <v>59</v>
      </c>
      <c r="D1056" s="30"/>
      <c r="E1056" s="30"/>
      <c r="F1056" s="30">
        <v>57.1</v>
      </c>
      <c r="G1056" s="30">
        <v>58.7</v>
      </c>
    </row>
    <row r="1057" spans="1:7" x14ac:dyDescent="0.25">
      <c r="A1057" s="29">
        <v>38663</v>
      </c>
      <c r="B1057" s="30">
        <v>58.7</v>
      </c>
      <c r="C1057" s="30">
        <v>61.1</v>
      </c>
      <c r="D1057" s="30"/>
      <c r="E1057" s="30"/>
      <c r="F1057" s="30">
        <v>59.3</v>
      </c>
      <c r="G1057" s="30">
        <v>58.5</v>
      </c>
    </row>
    <row r="1058" spans="1:7" x14ac:dyDescent="0.25">
      <c r="A1058" s="29">
        <v>38664</v>
      </c>
      <c r="B1058" s="30">
        <v>55.5</v>
      </c>
      <c r="C1058" s="30">
        <v>58.1</v>
      </c>
      <c r="D1058" s="30"/>
      <c r="E1058" s="30"/>
      <c r="F1058" s="30">
        <v>54.3</v>
      </c>
      <c r="G1058" s="30">
        <v>54</v>
      </c>
    </row>
    <row r="1059" spans="1:7" x14ac:dyDescent="0.25">
      <c r="A1059" s="29">
        <v>38665</v>
      </c>
      <c r="B1059" s="30">
        <v>51.5</v>
      </c>
      <c r="C1059" s="30">
        <v>54.2</v>
      </c>
      <c r="D1059" s="30"/>
      <c r="E1059" s="30"/>
      <c r="F1059" s="30">
        <v>57.3</v>
      </c>
      <c r="G1059" s="30">
        <v>52.7</v>
      </c>
    </row>
    <row r="1060" spans="1:7" x14ac:dyDescent="0.25">
      <c r="A1060" s="29">
        <v>38666</v>
      </c>
      <c r="B1060" s="30">
        <v>55.3</v>
      </c>
      <c r="C1060" s="30">
        <v>56.8</v>
      </c>
      <c r="D1060" s="30"/>
      <c r="E1060" s="30"/>
      <c r="F1060" s="30">
        <v>59</v>
      </c>
      <c r="G1060" s="30">
        <v>55.6</v>
      </c>
    </row>
    <row r="1061" spans="1:7" x14ac:dyDescent="0.25">
      <c r="A1061" s="29">
        <v>38667</v>
      </c>
      <c r="B1061" s="30">
        <v>43.6</v>
      </c>
      <c r="C1061" s="30">
        <v>44.9</v>
      </c>
      <c r="D1061" s="30"/>
      <c r="E1061" s="30"/>
      <c r="F1061" s="30">
        <v>43.7</v>
      </c>
      <c r="G1061" s="30">
        <v>44.1</v>
      </c>
    </row>
    <row r="1062" spans="1:7" x14ac:dyDescent="0.25">
      <c r="A1062" s="29">
        <v>38668</v>
      </c>
      <c r="B1062" s="30">
        <v>45.6</v>
      </c>
      <c r="C1062" s="30">
        <v>48.2</v>
      </c>
      <c r="D1062" s="30"/>
      <c r="E1062" s="30"/>
      <c r="F1062" s="30">
        <v>41.2</v>
      </c>
      <c r="G1062" s="30">
        <v>44.1</v>
      </c>
    </row>
    <row r="1063" spans="1:7" x14ac:dyDescent="0.25">
      <c r="A1063" s="29">
        <v>38669</v>
      </c>
      <c r="B1063" s="30">
        <v>52.8</v>
      </c>
      <c r="C1063" s="30">
        <v>54.7</v>
      </c>
      <c r="D1063" s="30"/>
      <c r="E1063" s="30"/>
      <c r="F1063" s="30">
        <v>51.7</v>
      </c>
      <c r="G1063" s="30">
        <v>52.3</v>
      </c>
    </row>
    <row r="1064" spans="1:7" x14ac:dyDescent="0.25">
      <c r="A1064" s="29">
        <v>38670</v>
      </c>
      <c r="B1064" s="30">
        <v>58.9</v>
      </c>
      <c r="C1064" s="30">
        <v>61.3</v>
      </c>
      <c r="D1064" s="30"/>
      <c r="E1064" s="30"/>
      <c r="F1064" s="30">
        <v>61.8</v>
      </c>
      <c r="G1064" s="30">
        <v>60.2</v>
      </c>
    </row>
    <row r="1065" spans="1:7" x14ac:dyDescent="0.25">
      <c r="A1065" s="29">
        <v>38671</v>
      </c>
      <c r="B1065" s="30">
        <v>55</v>
      </c>
      <c r="C1065" s="30">
        <v>55.3</v>
      </c>
      <c r="D1065" s="30"/>
      <c r="E1065" s="30"/>
      <c r="F1065" s="30">
        <v>59.1</v>
      </c>
      <c r="G1065" s="30">
        <v>55.5</v>
      </c>
    </row>
    <row r="1066" spans="1:7" x14ac:dyDescent="0.25">
      <c r="A1066" s="29">
        <v>38672</v>
      </c>
      <c r="B1066" s="30">
        <v>61.3</v>
      </c>
      <c r="C1066" s="30">
        <v>63.3</v>
      </c>
      <c r="D1066" s="30"/>
      <c r="E1066" s="30"/>
      <c r="F1066" s="30">
        <v>64.8</v>
      </c>
      <c r="G1066" s="30">
        <v>66.599999999999994</v>
      </c>
    </row>
    <row r="1067" spans="1:7" x14ac:dyDescent="0.25">
      <c r="A1067" s="29">
        <v>38673</v>
      </c>
      <c r="B1067" s="30">
        <v>46.1</v>
      </c>
      <c r="C1067" s="30">
        <v>46.8</v>
      </c>
      <c r="D1067" s="30"/>
      <c r="E1067" s="30"/>
      <c r="F1067" s="30">
        <v>44</v>
      </c>
      <c r="G1067" s="30">
        <v>45.1</v>
      </c>
    </row>
    <row r="1068" spans="1:7" x14ac:dyDescent="0.25">
      <c r="A1068" s="29">
        <v>38674</v>
      </c>
      <c r="B1068" s="30">
        <v>37.299999999999997</v>
      </c>
      <c r="C1068" s="30">
        <v>38.700000000000003</v>
      </c>
      <c r="D1068" s="30"/>
      <c r="E1068" s="30"/>
      <c r="F1068" s="30">
        <v>33.5</v>
      </c>
      <c r="G1068" s="30">
        <v>36.4</v>
      </c>
    </row>
    <row r="1069" spans="1:7" x14ac:dyDescent="0.25">
      <c r="A1069" s="29">
        <v>38675</v>
      </c>
      <c r="B1069" s="30">
        <v>37.6</v>
      </c>
      <c r="C1069" s="30">
        <v>40.5</v>
      </c>
      <c r="D1069" s="30"/>
      <c r="E1069" s="30"/>
      <c r="F1069" s="30">
        <v>34</v>
      </c>
      <c r="G1069" s="30">
        <v>36.799999999999997</v>
      </c>
    </row>
    <row r="1070" spans="1:7" x14ac:dyDescent="0.25">
      <c r="A1070" s="29">
        <v>38676</v>
      </c>
      <c r="B1070" s="30">
        <v>46.1</v>
      </c>
      <c r="C1070" s="30">
        <v>48.1</v>
      </c>
      <c r="D1070" s="30"/>
      <c r="E1070" s="30"/>
      <c r="F1070" s="30">
        <v>44.2</v>
      </c>
      <c r="G1070" s="30">
        <v>44.2</v>
      </c>
    </row>
    <row r="1071" spans="1:7" x14ac:dyDescent="0.25">
      <c r="A1071" s="29">
        <v>38677</v>
      </c>
      <c r="B1071" s="30">
        <v>47.2</v>
      </c>
      <c r="C1071" s="30">
        <v>50.8</v>
      </c>
      <c r="D1071" s="30"/>
      <c r="E1071" s="30"/>
      <c r="F1071" s="30">
        <v>46.9</v>
      </c>
      <c r="G1071" s="30">
        <v>45.9</v>
      </c>
    </row>
    <row r="1072" spans="1:7" x14ac:dyDescent="0.25">
      <c r="A1072" s="29">
        <v>38678</v>
      </c>
      <c r="B1072" s="30">
        <v>45.9</v>
      </c>
      <c r="C1072" s="30">
        <v>47</v>
      </c>
      <c r="D1072" s="30"/>
      <c r="E1072" s="30"/>
      <c r="F1072" s="30">
        <v>47</v>
      </c>
      <c r="G1072" s="30">
        <v>45.2</v>
      </c>
    </row>
    <row r="1073" spans="1:7" x14ac:dyDescent="0.25">
      <c r="A1073" s="29">
        <v>38679</v>
      </c>
      <c r="B1073" s="30">
        <v>33.4</v>
      </c>
      <c r="C1073" s="30">
        <v>34.799999999999997</v>
      </c>
      <c r="D1073" s="30"/>
      <c r="E1073" s="30"/>
      <c r="F1073" s="30">
        <v>35.200000000000003</v>
      </c>
      <c r="G1073" s="30">
        <v>33.200000000000003</v>
      </c>
    </row>
    <row r="1074" spans="1:7" x14ac:dyDescent="0.25">
      <c r="A1074" s="29">
        <v>38680</v>
      </c>
      <c r="B1074" s="30">
        <v>41.2</v>
      </c>
      <c r="C1074" s="30">
        <v>41.1</v>
      </c>
      <c r="D1074" s="30"/>
      <c r="E1074" s="30"/>
      <c r="F1074" s="30">
        <v>43.3</v>
      </c>
      <c r="G1074" s="30">
        <v>38.700000000000003</v>
      </c>
    </row>
    <row r="1075" spans="1:7" x14ac:dyDescent="0.25">
      <c r="A1075" s="29">
        <v>38681</v>
      </c>
      <c r="B1075" s="30">
        <v>27.9</v>
      </c>
      <c r="C1075" s="30">
        <v>29</v>
      </c>
      <c r="D1075" s="30"/>
      <c r="E1075" s="30"/>
      <c r="F1075" s="30">
        <v>28.8</v>
      </c>
      <c r="G1075" s="30">
        <v>27.1</v>
      </c>
    </row>
    <row r="1076" spans="1:7" x14ac:dyDescent="0.25">
      <c r="A1076" s="29">
        <v>38682</v>
      </c>
      <c r="B1076" s="30">
        <v>32.4</v>
      </c>
      <c r="C1076" s="30">
        <v>34.799999999999997</v>
      </c>
      <c r="D1076" s="30"/>
      <c r="E1076" s="30"/>
      <c r="F1076" s="30">
        <v>29.2</v>
      </c>
      <c r="G1076" s="30">
        <v>31.6</v>
      </c>
    </row>
    <row r="1077" spans="1:7" x14ac:dyDescent="0.25">
      <c r="A1077" s="29">
        <v>38683</v>
      </c>
      <c r="B1077" s="30">
        <v>42.3</v>
      </c>
      <c r="C1077" s="30">
        <v>45.1</v>
      </c>
      <c r="D1077" s="30"/>
      <c r="E1077" s="30"/>
      <c r="F1077" s="30">
        <v>37.5</v>
      </c>
      <c r="G1077" s="30">
        <v>42.7</v>
      </c>
    </row>
    <row r="1078" spans="1:7" x14ac:dyDescent="0.25">
      <c r="A1078" s="29">
        <v>38684</v>
      </c>
      <c r="B1078" s="30">
        <v>52.7</v>
      </c>
      <c r="C1078" s="30">
        <v>52.2</v>
      </c>
      <c r="D1078" s="30"/>
      <c r="E1078" s="30"/>
      <c r="F1078" s="30">
        <v>55.7</v>
      </c>
      <c r="G1078" s="30">
        <v>52.8</v>
      </c>
    </row>
    <row r="1079" spans="1:7" x14ac:dyDescent="0.25">
      <c r="A1079" s="29">
        <v>38685</v>
      </c>
      <c r="B1079" s="30">
        <v>58.1</v>
      </c>
      <c r="C1079" s="30">
        <v>62.2</v>
      </c>
      <c r="D1079" s="30"/>
      <c r="E1079" s="30"/>
      <c r="F1079" s="30">
        <v>60.8</v>
      </c>
      <c r="G1079" s="30">
        <v>58.7</v>
      </c>
    </row>
    <row r="1080" spans="1:7" x14ac:dyDescent="0.25">
      <c r="A1080" s="29">
        <v>38686</v>
      </c>
      <c r="B1080" s="30">
        <v>58.3</v>
      </c>
      <c r="C1080" s="30">
        <v>60</v>
      </c>
      <c r="D1080" s="30"/>
      <c r="E1080" s="30"/>
      <c r="F1080" s="30">
        <v>58.5</v>
      </c>
      <c r="G1080" s="30">
        <v>59.2</v>
      </c>
    </row>
    <row r="1081" spans="1:7" x14ac:dyDescent="0.25">
      <c r="A1081" s="29">
        <v>38687</v>
      </c>
      <c r="B1081" s="30">
        <v>44.1</v>
      </c>
      <c r="C1081" s="30">
        <v>45.4</v>
      </c>
      <c r="D1081" s="30"/>
      <c r="E1081" s="30"/>
      <c r="F1081" s="30">
        <v>41.8</v>
      </c>
      <c r="G1081" s="30">
        <v>43.3</v>
      </c>
    </row>
    <row r="1082" spans="1:7" x14ac:dyDescent="0.25">
      <c r="A1082" s="29">
        <v>38688</v>
      </c>
      <c r="B1082" s="30">
        <v>40.799999999999997</v>
      </c>
      <c r="C1082" s="30">
        <v>41.7</v>
      </c>
      <c r="D1082" s="30"/>
      <c r="E1082" s="30"/>
      <c r="F1082" s="30">
        <v>39.6</v>
      </c>
      <c r="G1082" s="30">
        <v>40.200000000000003</v>
      </c>
    </row>
    <row r="1083" spans="1:7" x14ac:dyDescent="0.25">
      <c r="A1083" s="29">
        <v>38689</v>
      </c>
      <c r="B1083" s="30">
        <v>33.299999999999997</v>
      </c>
      <c r="C1083" s="30">
        <v>34.6</v>
      </c>
      <c r="D1083" s="30"/>
      <c r="E1083" s="30"/>
      <c r="F1083" s="30">
        <v>31.2</v>
      </c>
      <c r="G1083" s="30">
        <v>32.799999999999997</v>
      </c>
    </row>
    <row r="1084" spans="1:7" x14ac:dyDescent="0.25">
      <c r="A1084" s="29">
        <v>38690</v>
      </c>
      <c r="B1084" s="30">
        <v>31.4</v>
      </c>
      <c r="C1084" s="30">
        <v>32.9</v>
      </c>
      <c r="D1084" s="30"/>
      <c r="E1084" s="30"/>
      <c r="F1084" s="30">
        <v>37.299999999999997</v>
      </c>
      <c r="G1084" s="30">
        <v>30.7</v>
      </c>
    </row>
    <row r="1085" spans="1:7" x14ac:dyDescent="0.25">
      <c r="A1085" s="29">
        <v>38691</v>
      </c>
      <c r="B1085" s="30">
        <v>33.4</v>
      </c>
      <c r="C1085" s="30">
        <v>35</v>
      </c>
      <c r="D1085" s="30"/>
      <c r="E1085" s="30"/>
      <c r="F1085" s="30">
        <v>33.799999999999997</v>
      </c>
      <c r="G1085" s="30">
        <v>31.3</v>
      </c>
    </row>
    <row r="1086" spans="1:7" x14ac:dyDescent="0.25">
      <c r="A1086" s="29">
        <v>38692</v>
      </c>
      <c r="B1086" s="30">
        <v>32.299999999999997</v>
      </c>
      <c r="C1086" s="30">
        <v>34.799999999999997</v>
      </c>
      <c r="D1086" s="30"/>
      <c r="E1086" s="30"/>
      <c r="F1086" s="30">
        <v>31.5</v>
      </c>
      <c r="G1086" s="30">
        <v>32.700000000000003</v>
      </c>
    </row>
    <row r="1087" spans="1:7" x14ac:dyDescent="0.25">
      <c r="A1087" s="29">
        <v>38693</v>
      </c>
      <c r="B1087" s="30">
        <v>29.3</v>
      </c>
      <c r="C1087" s="30">
        <v>31</v>
      </c>
      <c r="D1087" s="30"/>
      <c r="E1087" s="30"/>
      <c r="F1087" s="30">
        <v>26.9</v>
      </c>
      <c r="G1087" s="30">
        <v>28.5</v>
      </c>
    </row>
    <row r="1088" spans="1:7" x14ac:dyDescent="0.25">
      <c r="A1088" s="29">
        <v>38694</v>
      </c>
      <c r="B1088" s="30">
        <v>26.2</v>
      </c>
      <c r="C1088" s="30">
        <v>28.7</v>
      </c>
      <c r="D1088" s="30"/>
      <c r="E1088" s="30"/>
      <c r="F1088" s="30">
        <v>24.9</v>
      </c>
      <c r="G1088" s="30">
        <v>26.8</v>
      </c>
    </row>
    <row r="1089" spans="1:7" x14ac:dyDescent="0.25">
      <c r="A1089" s="29">
        <v>38695</v>
      </c>
      <c r="B1089" s="30">
        <v>32.4</v>
      </c>
      <c r="C1089" s="30">
        <v>33.799999999999997</v>
      </c>
      <c r="D1089" s="30"/>
      <c r="E1089" s="30"/>
      <c r="F1089" s="30">
        <v>31.4</v>
      </c>
      <c r="G1089" s="30">
        <v>31</v>
      </c>
    </row>
    <row r="1090" spans="1:7" x14ac:dyDescent="0.25">
      <c r="A1090" s="29">
        <v>38696</v>
      </c>
      <c r="B1090" s="30">
        <v>31.7</v>
      </c>
      <c r="C1090" s="30">
        <v>33.4</v>
      </c>
      <c r="D1090" s="30"/>
      <c r="E1090" s="30"/>
      <c r="F1090" s="30">
        <v>30.6</v>
      </c>
      <c r="G1090" s="30">
        <v>29.4</v>
      </c>
    </row>
    <row r="1091" spans="1:7" x14ac:dyDescent="0.25">
      <c r="A1091" s="29">
        <v>38697</v>
      </c>
      <c r="B1091" s="30">
        <v>35.700000000000003</v>
      </c>
      <c r="C1091" s="30">
        <v>36.5</v>
      </c>
      <c r="D1091" s="30"/>
      <c r="E1091" s="30"/>
      <c r="F1091" s="30">
        <v>35.200000000000003</v>
      </c>
      <c r="G1091" s="30">
        <v>30.4</v>
      </c>
    </row>
    <row r="1092" spans="1:7" x14ac:dyDescent="0.25">
      <c r="A1092" s="29">
        <v>38698</v>
      </c>
      <c r="B1092" s="30">
        <v>35.4</v>
      </c>
      <c r="C1092" s="30">
        <v>36.9</v>
      </c>
      <c r="D1092" s="30"/>
      <c r="E1092" s="30"/>
      <c r="F1092" s="30">
        <v>35.1</v>
      </c>
      <c r="G1092" s="30">
        <v>32.4</v>
      </c>
    </row>
    <row r="1093" spans="1:7" x14ac:dyDescent="0.25">
      <c r="A1093" s="29">
        <v>38699</v>
      </c>
      <c r="B1093" s="30">
        <v>23.3</v>
      </c>
      <c r="C1093" s="30">
        <v>24.3</v>
      </c>
      <c r="D1093" s="30"/>
      <c r="E1093" s="30"/>
      <c r="F1093" s="30">
        <v>23.9</v>
      </c>
      <c r="G1093" s="30">
        <v>21.7</v>
      </c>
    </row>
    <row r="1094" spans="1:7" x14ac:dyDescent="0.25">
      <c r="A1094" s="29">
        <v>38700</v>
      </c>
      <c r="B1094" s="30">
        <v>19.399999999999999</v>
      </c>
      <c r="C1094" s="30">
        <v>20.2</v>
      </c>
      <c r="D1094" s="30"/>
      <c r="E1094" s="30"/>
      <c r="F1094" s="30">
        <v>19.399999999999999</v>
      </c>
      <c r="G1094" s="30">
        <v>17.100000000000001</v>
      </c>
    </row>
    <row r="1095" spans="1:7" x14ac:dyDescent="0.25">
      <c r="A1095" s="29">
        <v>38701</v>
      </c>
      <c r="B1095" s="30">
        <v>23.1</v>
      </c>
      <c r="C1095" s="30">
        <v>23.4</v>
      </c>
      <c r="D1095" s="30"/>
      <c r="E1095" s="30"/>
      <c r="F1095" s="30">
        <v>24.7</v>
      </c>
      <c r="G1095" s="30">
        <v>19.8</v>
      </c>
    </row>
    <row r="1096" spans="1:7" x14ac:dyDescent="0.25">
      <c r="A1096" s="29">
        <v>38702</v>
      </c>
      <c r="B1096" s="30">
        <v>44.8</v>
      </c>
      <c r="C1096" s="30">
        <v>44.7</v>
      </c>
      <c r="D1096" s="30"/>
      <c r="E1096" s="30"/>
      <c r="F1096" s="30">
        <v>47.4</v>
      </c>
      <c r="G1096" s="30">
        <v>43.8</v>
      </c>
    </row>
    <row r="1097" spans="1:7" x14ac:dyDescent="0.25">
      <c r="A1097" s="29">
        <v>38703</v>
      </c>
      <c r="B1097" s="30">
        <v>37.1</v>
      </c>
      <c r="C1097" s="30">
        <v>38.700000000000003</v>
      </c>
      <c r="D1097" s="30"/>
      <c r="E1097" s="30"/>
      <c r="F1097" s="30">
        <v>36</v>
      </c>
      <c r="G1097" s="30">
        <v>36.1</v>
      </c>
    </row>
    <row r="1098" spans="1:7" x14ac:dyDescent="0.25">
      <c r="A1098" s="29">
        <v>38704</v>
      </c>
      <c r="B1098" s="30">
        <v>34.5</v>
      </c>
      <c r="C1098" s="30">
        <v>36.5</v>
      </c>
      <c r="D1098" s="30"/>
      <c r="E1098" s="30"/>
      <c r="F1098" s="30">
        <v>32.700000000000003</v>
      </c>
      <c r="G1098" s="30">
        <v>34.4</v>
      </c>
    </row>
    <row r="1099" spans="1:7" x14ac:dyDescent="0.25">
      <c r="A1099" s="29">
        <v>38705</v>
      </c>
      <c r="B1099" s="30">
        <v>35</v>
      </c>
      <c r="C1099" s="30">
        <v>36.4</v>
      </c>
      <c r="D1099" s="30"/>
      <c r="E1099" s="30"/>
      <c r="F1099" s="30">
        <v>32.1</v>
      </c>
      <c r="G1099" s="30">
        <v>33.9</v>
      </c>
    </row>
    <row r="1100" spans="1:7" x14ac:dyDescent="0.25">
      <c r="A1100" s="29">
        <v>38706</v>
      </c>
      <c r="B1100" s="30">
        <v>27.5</v>
      </c>
      <c r="C1100" s="30">
        <v>28.8</v>
      </c>
      <c r="D1100" s="30"/>
      <c r="E1100" s="30"/>
      <c r="F1100" s="30">
        <v>26.8</v>
      </c>
      <c r="G1100" s="30">
        <v>27</v>
      </c>
    </row>
    <row r="1101" spans="1:7" x14ac:dyDescent="0.25">
      <c r="A1101" s="29">
        <v>38707</v>
      </c>
      <c r="B1101" s="30">
        <v>28.5</v>
      </c>
      <c r="C1101" s="30">
        <v>29.9</v>
      </c>
      <c r="D1101" s="30"/>
      <c r="E1101" s="30"/>
      <c r="F1101" s="30">
        <v>26.9</v>
      </c>
      <c r="G1101" s="30">
        <v>27.3</v>
      </c>
    </row>
    <row r="1102" spans="1:7" x14ac:dyDescent="0.25">
      <c r="A1102" s="29">
        <v>38708</v>
      </c>
      <c r="B1102" s="30">
        <v>31.3</v>
      </c>
      <c r="C1102" s="30">
        <v>33</v>
      </c>
      <c r="D1102" s="30"/>
      <c r="E1102" s="30"/>
      <c r="F1102" s="30">
        <v>30.3</v>
      </c>
      <c r="G1102" s="30">
        <v>30.3</v>
      </c>
    </row>
    <row r="1103" spans="1:7" x14ac:dyDescent="0.25">
      <c r="A1103" s="29">
        <v>38709</v>
      </c>
      <c r="B1103" s="30">
        <v>37.5</v>
      </c>
      <c r="C1103" s="30">
        <v>40.700000000000003</v>
      </c>
      <c r="D1103" s="30"/>
      <c r="E1103" s="30"/>
      <c r="F1103" s="30">
        <v>37.700000000000003</v>
      </c>
      <c r="G1103" s="30">
        <v>38.4</v>
      </c>
    </row>
    <row r="1104" spans="1:7" x14ac:dyDescent="0.25">
      <c r="A1104" s="29">
        <v>38710</v>
      </c>
      <c r="B1104" s="30">
        <v>41.6</v>
      </c>
      <c r="C1104" s="30">
        <v>47.4</v>
      </c>
      <c r="D1104" s="30"/>
      <c r="E1104" s="30"/>
      <c r="F1104" s="30">
        <v>42</v>
      </c>
      <c r="G1104" s="30">
        <v>44</v>
      </c>
    </row>
    <row r="1105" spans="1:7" x14ac:dyDescent="0.25">
      <c r="A1105" s="29">
        <v>38711</v>
      </c>
      <c r="B1105" s="30">
        <v>37.799999999999997</v>
      </c>
      <c r="C1105" s="30">
        <v>41.3</v>
      </c>
      <c r="D1105" s="30"/>
      <c r="E1105" s="30"/>
      <c r="F1105" s="30">
        <v>35.4</v>
      </c>
      <c r="G1105" s="30">
        <v>40.6</v>
      </c>
    </row>
    <row r="1106" spans="1:7" x14ac:dyDescent="0.25">
      <c r="A1106" s="29">
        <v>38712</v>
      </c>
      <c r="B1106" s="30">
        <v>47.5</v>
      </c>
      <c r="C1106" s="30">
        <v>48.6</v>
      </c>
      <c r="D1106" s="30"/>
      <c r="E1106" s="30"/>
      <c r="F1106" s="30">
        <v>48.6</v>
      </c>
      <c r="G1106" s="30">
        <v>46.7</v>
      </c>
    </row>
    <row r="1107" spans="1:7" x14ac:dyDescent="0.25">
      <c r="A1107" s="29">
        <v>38713</v>
      </c>
      <c r="B1107" s="30">
        <v>40.5</v>
      </c>
      <c r="C1107" s="30">
        <v>41.2</v>
      </c>
      <c r="D1107" s="30"/>
      <c r="E1107" s="30"/>
      <c r="F1107" s="30">
        <v>42.5</v>
      </c>
      <c r="G1107" s="30">
        <v>40.200000000000003</v>
      </c>
    </row>
    <row r="1108" spans="1:7" x14ac:dyDescent="0.25">
      <c r="A1108" s="29">
        <v>38714</v>
      </c>
      <c r="B1108" s="30">
        <v>39.1</v>
      </c>
      <c r="C1108" s="30">
        <v>41.2</v>
      </c>
      <c r="D1108" s="30"/>
      <c r="E1108" s="30"/>
      <c r="F1108" s="30">
        <v>39.6</v>
      </c>
      <c r="G1108" s="30">
        <v>39.1</v>
      </c>
    </row>
    <row r="1109" spans="1:7" x14ac:dyDescent="0.25">
      <c r="A1109" s="29">
        <v>38715</v>
      </c>
      <c r="B1109" s="30">
        <v>46.9</v>
      </c>
      <c r="C1109" s="30">
        <v>48.1</v>
      </c>
      <c r="D1109" s="30"/>
      <c r="E1109" s="30"/>
      <c r="F1109" s="30">
        <v>49.6</v>
      </c>
      <c r="G1109" s="30">
        <v>47.1</v>
      </c>
    </row>
    <row r="1110" spans="1:7" x14ac:dyDescent="0.25">
      <c r="A1110" s="29">
        <v>38716</v>
      </c>
      <c r="B1110" s="30">
        <v>43.9</v>
      </c>
      <c r="C1110" s="30">
        <v>44.1</v>
      </c>
      <c r="D1110" s="30"/>
      <c r="E1110" s="30"/>
      <c r="F1110" s="30">
        <v>44.9</v>
      </c>
      <c r="G1110" s="30">
        <v>43.3</v>
      </c>
    </row>
    <row r="1111" spans="1:7" x14ac:dyDescent="0.25">
      <c r="A1111" s="29">
        <v>38717</v>
      </c>
      <c r="B1111" s="30">
        <v>33.200000000000003</v>
      </c>
      <c r="C1111" s="30">
        <v>34.200000000000003</v>
      </c>
      <c r="D1111" s="30"/>
      <c r="E1111" s="30"/>
      <c r="F1111" s="30">
        <v>37.9</v>
      </c>
      <c r="G1111" s="30">
        <v>32.9</v>
      </c>
    </row>
    <row r="1112" spans="1:7" x14ac:dyDescent="0.25">
      <c r="A1112" s="29">
        <v>38718</v>
      </c>
      <c r="B1112" s="30">
        <v>34.799999999999997</v>
      </c>
      <c r="C1112" s="30">
        <v>35.9</v>
      </c>
      <c r="D1112" s="30"/>
      <c r="E1112" s="30"/>
      <c r="F1112" s="30">
        <v>38.9</v>
      </c>
      <c r="G1112" s="30">
        <v>35.5</v>
      </c>
    </row>
    <row r="1113" spans="1:7" x14ac:dyDescent="0.25">
      <c r="A1113" s="29">
        <v>38719</v>
      </c>
      <c r="B1113" s="30">
        <v>39.9</v>
      </c>
      <c r="C1113" s="30">
        <v>42.6</v>
      </c>
      <c r="D1113" s="30"/>
      <c r="E1113" s="30"/>
      <c r="F1113" s="30">
        <v>35.299999999999997</v>
      </c>
      <c r="G1113" s="30">
        <v>39</v>
      </c>
    </row>
    <row r="1114" spans="1:7" x14ac:dyDescent="0.25">
      <c r="A1114" s="29">
        <v>38720</v>
      </c>
      <c r="B1114" s="30">
        <v>38.9</v>
      </c>
      <c r="C1114" s="30">
        <v>39.200000000000003</v>
      </c>
      <c r="D1114" s="30"/>
      <c r="E1114" s="30"/>
      <c r="F1114" s="30">
        <v>45.1</v>
      </c>
      <c r="G1114" s="30">
        <v>37.4</v>
      </c>
    </row>
    <row r="1115" spans="1:7" x14ac:dyDescent="0.25">
      <c r="A1115" s="29">
        <v>38721</v>
      </c>
      <c r="B1115" s="30">
        <v>33.299999999999997</v>
      </c>
      <c r="C1115" s="30">
        <v>33.799999999999997</v>
      </c>
      <c r="D1115" s="30"/>
      <c r="E1115" s="30"/>
      <c r="F1115" s="30">
        <v>36.299999999999997</v>
      </c>
      <c r="G1115" s="30">
        <v>33.700000000000003</v>
      </c>
    </row>
    <row r="1116" spans="1:7" x14ac:dyDescent="0.25">
      <c r="A1116" s="29">
        <v>38722</v>
      </c>
      <c r="B1116" s="30">
        <v>40.299999999999997</v>
      </c>
      <c r="C1116" s="30">
        <v>41.6</v>
      </c>
      <c r="D1116" s="30"/>
      <c r="E1116" s="30"/>
      <c r="F1116" s="30">
        <v>43.9</v>
      </c>
      <c r="G1116" s="30">
        <v>40.4</v>
      </c>
    </row>
    <row r="1117" spans="1:7" x14ac:dyDescent="0.25">
      <c r="A1117" s="29">
        <v>38723</v>
      </c>
      <c r="B1117" s="30">
        <v>39</v>
      </c>
      <c r="C1117" s="30">
        <v>40.6</v>
      </c>
      <c r="D1117" s="30"/>
      <c r="E1117" s="30"/>
      <c r="F1117" s="30">
        <v>38.1</v>
      </c>
      <c r="G1117" s="30">
        <v>38.700000000000003</v>
      </c>
    </row>
    <row r="1118" spans="1:7" x14ac:dyDescent="0.25">
      <c r="A1118" s="29">
        <v>38724</v>
      </c>
      <c r="B1118" s="30">
        <v>29.4</v>
      </c>
      <c r="C1118" s="30">
        <v>30.5</v>
      </c>
      <c r="D1118" s="30"/>
      <c r="E1118" s="30"/>
      <c r="F1118" s="30">
        <v>31.2</v>
      </c>
      <c r="G1118" s="30">
        <v>29.6</v>
      </c>
    </row>
    <row r="1119" spans="1:7" x14ac:dyDescent="0.25">
      <c r="A1119" s="29">
        <v>38725</v>
      </c>
      <c r="B1119" s="30">
        <v>37.4</v>
      </c>
      <c r="C1119" s="30">
        <v>38.6</v>
      </c>
      <c r="D1119" s="30"/>
      <c r="E1119" s="30"/>
      <c r="F1119" s="30">
        <v>38.799999999999997</v>
      </c>
      <c r="G1119" s="30">
        <v>37.299999999999997</v>
      </c>
    </row>
    <row r="1120" spans="1:7" x14ac:dyDescent="0.25">
      <c r="A1120" s="29">
        <v>38726</v>
      </c>
      <c r="B1120" s="30">
        <v>46.1</v>
      </c>
      <c r="C1120" s="30">
        <v>48.2</v>
      </c>
      <c r="D1120" s="30"/>
      <c r="E1120" s="30"/>
      <c r="F1120" s="30">
        <v>50</v>
      </c>
      <c r="G1120" s="30">
        <v>47.8</v>
      </c>
    </row>
    <row r="1121" spans="1:7" x14ac:dyDescent="0.25">
      <c r="A1121" s="29">
        <v>38727</v>
      </c>
      <c r="B1121" s="30">
        <v>44.7</v>
      </c>
      <c r="C1121" s="30">
        <v>46.3</v>
      </c>
      <c r="D1121" s="30"/>
      <c r="E1121" s="30"/>
      <c r="F1121" s="30">
        <v>43</v>
      </c>
      <c r="G1121" s="30">
        <v>45.1</v>
      </c>
    </row>
    <row r="1122" spans="1:7" x14ac:dyDescent="0.25">
      <c r="A1122" s="29">
        <v>38728</v>
      </c>
      <c r="B1122" s="30">
        <v>42.1</v>
      </c>
      <c r="C1122" s="30">
        <v>42.9</v>
      </c>
      <c r="D1122" s="30"/>
      <c r="E1122" s="30"/>
      <c r="F1122" s="30">
        <v>42.7</v>
      </c>
      <c r="G1122" s="30">
        <v>40.9</v>
      </c>
    </row>
    <row r="1123" spans="1:7" x14ac:dyDescent="0.25">
      <c r="A1123" s="29">
        <v>38729</v>
      </c>
      <c r="B1123" s="30">
        <v>48</v>
      </c>
      <c r="C1123" s="30">
        <v>51.6</v>
      </c>
      <c r="D1123" s="30"/>
      <c r="E1123" s="30"/>
      <c r="F1123" s="30">
        <v>52.5</v>
      </c>
      <c r="G1123" s="30">
        <v>49.5</v>
      </c>
    </row>
    <row r="1124" spans="1:7" x14ac:dyDescent="0.25">
      <c r="A1124" s="29">
        <v>38730</v>
      </c>
      <c r="B1124" s="30">
        <v>42.4</v>
      </c>
      <c r="C1124" s="30">
        <v>47.5</v>
      </c>
      <c r="D1124" s="30"/>
      <c r="E1124" s="30"/>
      <c r="F1124" s="30">
        <v>47.6</v>
      </c>
      <c r="G1124" s="30">
        <v>43.9</v>
      </c>
    </row>
    <row r="1125" spans="1:7" x14ac:dyDescent="0.25">
      <c r="A1125" s="29">
        <v>38731</v>
      </c>
      <c r="B1125" s="30">
        <v>51</v>
      </c>
      <c r="C1125" s="30">
        <v>52.3</v>
      </c>
      <c r="D1125" s="30"/>
      <c r="E1125" s="30"/>
      <c r="F1125" s="30">
        <v>54</v>
      </c>
      <c r="G1125" s="30">
        <v>52</v>
      </c>
    </row>
    <row r="1126" spans="1:7" x14ac:dyDescent="0.25">
      <c r="A1126" s="29">
        <v>38732</v>
      </c>
      <c r="B1126" s="30">
        <v>28.2</v>
      </c>
      <c r="C1126" s="30">
        <v>29.7</v>
      </c>
      <c r="D1126" s="30"/>
      <c r="E1126" s="30"/>
      <c r="F1126" s="30">
        <v>29.6</v>
      </c>
      <c r="G1126" s="30">
        <v>27.6</v>
      </c>
    </row>
    <row r="1127" spans="1:7" x14ac:dyDescent="0.25">
      <c r="A1127" s="29">
        <v>38733</v>
      </c>
      <c r="B1127" s="30">
        <v>20.2</v>
      </c>
      <c r="C1127" s="30">
        <v>21.9</v>
      </c>
      <c r="D1127" s="30"/>
      <c r="E1127" s="30"/>
      <c r="F1127" s="30">
        <v>22.2</v>
      </c>
      <c r="G1127" s="30">
        <v>20.2</v>
      </c>
    </row>
    <row r="1128" spans="1:7" x14ac:dyDescent="0.25">
      <c r="A1128" s="29">
        <v>38734</v>
      </c>
      <c r="B1128" s="30">
        <v>30.3</v>
      </c>
      <c r="C1128" s="30">
        <v>32.1</v>
      </c>
      <c r="D1128" s="30"/>
      <c r="E1128" s="30"/>
      <c r="F1128" s="30">
        <v>28.5</v>
      </c>
      <c r="G1128" s="30">
        <v>29.4</v>
      </c>
    </row>
    <row r="1129" spans="1:7" x14ac:dyDescent="0.25">
      <c r="A1129" s="29">
        <v>38735</v>
      </c>
      <c r="B1129" s="30">
        <v>47.8</v>
      </c>
      <c r="C1129" s="30">
        <v>49.4</v>
      </c>
      <c r="D1129" s="30"/>
      <c r="E1129" s="30"/>
      <c r="F1129" s="30">
        <v>51.8</v>
      </c>
      <c r="G1129" s="30">
        <v>48.4</v>
      </c>
    </row>
    <row r="1130" spans="1:7" x14ac:dyDescent="0.25">
      <c r="A1130" s="29">
        <v>38736</v>
      </c>
      <c r="B1130" s="30">
        <v>37.9</v>
      </c>
      <c r="C1130" s="30">
        <v>39.799999999999997</v>
      </c>
      <c r="D1130" s="30"/>
      <c r="E1130" s="30"/>
      <c r="F1130" s="30">
        <v>39.5</v>
      </c>
      <c r="G1130" s="30">
        <v>38.4</v>
      </c>
    </row>
    <row r="1131" spans="1:7" x14ac:dyDescent="0.25">
      <c r="A1131" s="29">
        <v>38737</v>
      </c>
      <c r="B1131" s="30">
        <v>43.5</v>
      </c>
      <c r="C1131" s="30">
        <v>48.3</v>
      </c>
      <c r="D1131" s="30"/>
      <c r="E1131" s="30"/>
      <c r="F1131" s="30">
        <v>47.8</v>
      </c>
      <c r="G1131" s="30">
        <v>45.6</v>
      </c>
    </row>
    <row r="1132" spans="1:7" x14ac:dyDescent="0.25">
      <c r="A1132" s="29">
        <v>38738</v>
      </c>
      <c r="B1132" s="30">
        <v>46.9</v>
      </c>
      <c r="C1132" s="30">
        <v>51.8</v>
      </c>
      <c r="D1132" s="30"/>
      <c r="E1132" s="30"/>
      <c r="F1132" s="30">
        <v>51</v>
      </c>
      <c r="G1132" s="30">
        <v>49.9</v>
      </c>
    </row>
    <row r="1133" spans="1:7" x14ac:dyDescent="0.25">
      <c r="A1133" s="29">
        <v>38739</v>
      </c>
      <c r="B1133" s="30">
        <v>37.5</v>
      </c>
      <c r="C1133" s="30">
        <v>39</v>
      </c>
      <c r="D1133" s="30"/>
      <c r="E1133" s="30"/>
      <c r="F1133" s="30">
        <v>38.799999999999997</v>
      </c>
      <c r="G1133" s="30">
        <v>37.9</v>
      </c>
    </row>
    <row r="1134" spans="1:7" x14ac:dyDescent="0.25">
      <c r="A1134" s="29">
        <v>38740</v>
      </c>
      <c r="B1134" s="30">
        <v>39.1</v>
      </c>
      <c r="C1134" s="30">
        <v>39.200000000000003</v>
      </c>
      <c r="D1134" s="30"/>
      <c r="E1134" s="30"/>
      <c r="F1134" s="30">
        <v>43.2</v>
      </c>
      <c r="G1134" s="30">
        <v>38.4</v>
      </c>
    </row>
    <row r="1135" spans="1:7" x14ac:dyDescent="0.25">
      <c r="A1135" s="29">
        <v>38741</v>
      </c>
      <c r="B1135" s="30">
        <v>38.299999999999997</v>
      </c>
      <c r="C1135" s="30">
        <v>40.9</v>
      </c>
      <c r="D1135" s="30"/>
      <c r="E1135" s="30"/>
      <c r="F1135" s="30">
        <v>39.9</v>
      </c>
      <c r="G1135" s="30">
        <v>38.200000000000003</v>
      </c>
    </row>
    <row r="1136" spans="1:7" x14ac:dyDescent="0.25">
      <c r="A1136" s="29">
        <v>38742</v>
      </c>
      <c r="B1136" s="30">
        <v>39.4</v>
      </c>
      <c r="C1136" s="30">
        <v>41.3</v>
      </c>
      <c r="D1136" s="30"/>
      <c r="E1136" s="30"/>
      <c r="F1136" s="30">
        <v>38.5</v>
      </c>
      <c r="G1136" s="30">
        <v>39.6</v>
      </c>
    </row>
    <row r="1137" spans="1:7" x14ac:dyDescent="0.25">
      <c r="A1137" s="29">
        <v>38743</v>
      </c>
      <c r="B1137" s="30">
        <v>33.4</v>
      </c>
      <c r="C1137" s="30">
        <v>34.299999999999997</v>
      </c>
      <c r="D1137" s="30"/>
      <c r="E1137" s="30"/>
      <c r="F1137" s="30">
        <v>33.5</v>
      </c>
      <c r="G1137" s="30">
        <v>33.200000000000003</v>
      </c>
    </row>
    <row r="1138" spans="1:7" x14ac:dyDescent="0.25">
      <c r="A1138" s="29">
        <v>38744</v>
      </c>
      <c r="B1138" s="30">
        <v>29.4</v>
      </c>
      <c r="C1138" s="30">
        <v>31</v>
      </c>
      <c r="D1138" s="30"/>
      <c r="E1138" s="30"/>
      <c r="F1138" s="30">
        <v>31.1</v>
      </c>
      <c r="G1138" s="30">
        <v>29.8</v>
      </c>
    </row>
    <row r="1139" spans="1:7" x14ac:dyDescent="0.25">
      <c r="A1139" s="29">
        <v>38745</v>
      </c>
      <c r="B1139" s="30">
        <v>40.799999999999997</v>
      </c>
      <c r="C1139" s="30">
        <v>45.2</v>
      </c>
      <c r="D1139" s="30"/>
      <c r="E1139" s="30"/>
      <c r="F1139" s="30">
        <v>42.2</v>
      </c>
      <c r="G1139" s="30">
        <v>42</v>
      </c>
    </row>
    <row r="1140" spans="1:7" x14ac:dyDescent="0.25">
      <c r="A1140" s="29">
        <v>38746</v>
      </c>
      <c r="B1140" s="30">
        <v>42.1</v>
      </c>
      <c r="C1140" s="30">
        <v>46.7</v>
      </c>
      <c r="D1140" s="30"/>
      <c r="E1140" s="30"/>
      <c r="F1140" s="30">
        <v>43.3</v>
      </c>
      <c r="G1140" s="30">
        <v>44.9</v>
      </c>
    </row>
    <row r="1141" spans="1:7" x14ac:dyDescent="0.25">
      <c r="A1141" s="29">
        <v>38747</v>
      </c>
      <c r="B1141" s="30">
        <v>47.2</v>
      </c>
      <c r="C1141" s="30">
        <v>51.1</v>
      </c>
      <c r="D1141" s="30"/>
      <c r="E1141" s="30"/>
      <c r="F1141" s="30">
        <v>50.7</v>
      </c>
      <c r="G1141" s="30">
        <v>49.9</v>
      </c>
    </row>
    <row r="1142" spans="1:7" x14ac:dyDescent="0.25">
      <c r="A1142" s="29">
        <v>38748</v>
      </c>
      <c r="B1142" s="30">
        <v>40.9</v>
      </c>
      <c r="C1142" s="30">
        <v>41.2</v>
      </c>
      <c r="D1142" s="30"/>
      <c r="E1142" s="30"/>
      <c r="F1142" s="30">
        <v>44.2</v>
      </c>
      <c r="G1142" s="30">
        <v>41.8</v>
      </c>
    </row>
    <row r="1143" spans="1:7" x14ac:dyDescent="0.25">
      <c r="A1143" s="29">
        <v>38749</v>
      </c>
      <c r="B1143" s="30">
        <v>38.700000000000003</v>
      </c>
      <c r="C1143" s="30">
        <v>39.799999999999997</v>
      </c>
      <c r="D1143" s="30"/>
      <c r="E1143" s="30"/>
      <c r="F1143" s="30">
        <v>40.9</v>
      </c>
      <c r="G1143" s="30">
        <v>39.4</v>
      </c>
    </row>
    <row r="1144" spans="1:7" x14ac:dyDescent="0.25">
      <c r="A1144" s="29">
        <v>38750</v>
      </c>
      <c r="B1144" s="30">
        <v>40.1</v>
      </c>
      <c r="C1144" s="30">
        <v>42.9</v>
      </c>
      <c r="D1144" s="30"/>
      <c r="E1144" s="30"/>
      <c r="F1144" s="30">
        <v>40.1</v>
      </c>
      <c r="G1144" s="30">
        <v>40.9</v>
      </c>
    </row>
    <row r="1145" spans="1:7" x14ac:dyDescent="0.25">
      <c r="A1145" s="29">
        <v>38751</v>
      </c>
      <c r="B1145" s="30">
        <v>49.9</v>
      </c>
      <c r="C1145" s="30">
        <v>52.8</v>
      </c>
      <c r="D1145" s="30"/>
      <c r="E1145" s="30"/>
      <c r="F1145" s="30">
        <v>53.1</v>
      </c>
      <c r="G1145" s="30">
        <v>52.5</v>
      </c>
    </row>
    <row r="1146" spans="1:7" x14ac:dyDescent="0.25">
      <c r="A1146" s="29">
        <v>38752</v>
      </c>
      <c r="B1146" s="30">
        <v>46.4</v>
      </c>
      <c r="C1146" s="30">
        <v>47</v>
      </c>
      <c r="D1146" s="30"/>
      <c r="E1146" s="30"/>
      <c r="F1146" s="30">
        <v>45.8</v>
      </c>
      <c r="G1146" s="30">
        <v>47.3</v>
      </c>
    </row>
    <row r="1147" spans="1:7" x14ac:dyDescent="0.25">
      <c r="A1147" s="29">
        <v>38753</v>
      </c>
      <c r="B1147" s="30">
        <v>47.4</v>
      </c>
      <c r="C1147" s="30">
        <v>47.5</v>
      </c>
      <c r="D1147" s="30"/>
      <c r="E1147" s="30"/>
      <c r="F1147" s="30">
        <v>47.8</v>
      </c>
      <c r="G1147" s="30">
        <v>47.6</v>
      </c>
    </row>
    <row r="1148" spans="1:7" x14ac:dyDescent="0.25">
      <c r="A1148" s="29">
        <v>38754</v>
      </c>
      <c r="B1148" s="30">
        <v>37.200000000000003</v>
      </c>
      <c r="C1148" s="30">
        <v>38.4</v>
      </c>
      <c r="D1148" s="30"/>
      <c r="E1148" s="30"/>
      <c r="F1148" s="30">
        <v>38.1</v>
      </c>
      <c r="G1148" s="30">
        <v>37.4</v>
      </c>
    </row>
    <row r="1149" spans="1:7" x14ac:dyDescent="0.25">
      <c r="A1149" s="29">
        <v>38755</v>
      </c>
      <c r="B1149" s="30">
        <v>37.1</v>
      </c>
      <c r="C1149" s="30">
        <v>38.5</v>
      </c>
      <c r="D1149" s="30"/>
      <c r="E1149" s="30"/>
      <c r="F1149" s="30">
        <v>35.9</v>
      </c>
      <c r="G1149" s="30">
        <v>37.200000000000003</v>
      </c>
    </row>
    <row r="1150" spans="1:7" x14ac:dyDescent="0.25">
      <c r="A1150" s="29">
        <v>38756</v>
      </c>
      <c r="B1150" s="30">
        <v>32.5</v>
      </c>
      <c r="C1150" s="30">
        <v>33.799999999999997</v>
      </c>
      <c r="D1150" s="30"/>
      <c r="E1150" s="30"/>
      <c r="F1150" s="30">
        <v>31</v>
      </c>
      <c r="G1150" s="30">
        <v>33</v>
      </c>
    </row>
    <row r="1151" spans="1:7" x14ac:dyDescent="0.25">
      <c r="A1151" s="29">
        <v>38757</v>
      </c>
      <c r="B1151" s="30">
        <v>29.7</v>
      </c>
      <c r="C1151" s="30">
        <v>30.7</v>
      </c>
      <c r="D1151" s="30"/>
      <c r="E1151" s="30"/>
      <c r="F1151" s="30">
        <v>29.5</v>
      </c>
      <c r="G1151" s="30">
        <v>29.9</v>
      </c>
    </row>
    <row r="1152" spans="1:7" x14ac:dyDescent="0.25">
      <c r="A1152" s="29">
        <v>38758</v>
      </c>
      <c r="B1152" s="30">
        <v>30.9</v>
      </c>
      <c r="C1152" s="30">
        <v>32.4</v>
      </c>
      <c r="D1152" s="30"/>
      <c r="E1152" s="30"/>
      <c r="F1152" s="30">
        <v>31.2</v>
      </c>
      <c r="G1152" s="30">
        <v>30.8</v>
      </c>
    </row>
    <row r="1153" spans="1:7" x14ac:dyDescent="0.25">
      <c r="A1153" s="29">
        <v>38759</v>
      </c>
      <c r="B1153" s="30">
        <v>34</v>
      </c>
      <c r="C1153" s="30">
        <v>35.5</v>
      </c>
      <c r="D1153" s="30"/>
      <c r="E1153" s="30"/>
      <c r="F1153" s="30">
        <v>35.299999999999997</v>
      </c>
      <c r="G1153" s="30">
        <v>33.799999999999997</v>
      </c>
    </row>
    <row r="1154" spans="1:7" x14ac:dyDescent="0.25">
      <c r="A1154" s="29">
        <v>38760</v>
      </c>
      <c r="B1154" s="30">
        <v>26.1</v>
      </c>
      <c r="C1154" s="30">
        <v>27.3</v>
      </c>
      <c r="D1154" s="30"/>
      <c r="E1154" s="30"/>
      <c r="F1154" s="30">
        <v>30.2</v>
      </c>
      <c r="G1154" s="30">
        <v>26.4</v>
      </c>
    </row>
    <row r="1155" spans="1:7" x14ac:dyDescent="0.25">
      <c r="A1155" s="29">
        <v>38761</v>
      </c>
      <c r="B1155" s="30">
        <v>26.3</v>
      </c>
      <c r="C1155" s="30">
        <v>28.6</v>
      </c>
      <c r="D1155" s="30"/>
      <c r="E1155" s="30"/>
      <c r="F1155" s="30">
        <v>26.3</v>
      </c>
      <c r="G1155" s="30">
        <v>26</v>
      </c>
    </row>
    <row r="1156" spans="1:7" x14ac:dyDescent="0.25">
      <c r="A1156" s="29">
        <v>38762</v>
      </c>
      <c r="B1156" s="30">
        <v>32.299999999999997</v>
      </c>
      <c r="C1156" s="30">
        <v>35</v>
      </c>
      <c r="D1156" s="30"/>
      <c r="E1156" s="30"/>
      <c r="F1156" s="30">
        <v>34.1</v>
      </c>
      <c r="G1156" s="30">
        <v>31.1</v>
      </c>
    </row>
    <row r="1157" spans="1:7" x14ac:dyDescent="0.25">
      <c r="A1157" s="29">
        <v>38763</v>
      </c>
      <c r="B1157" s="30">
        <v>37.200000000000003</v>
      </c>
      <c r="C1157" s="30">
        <v>41.9</v>
      </c>
      <c r="D1157" s="30"/>
      <c r="E1157" s="30"/>
      <c r="F1157" s="30">
        <v>42.2</v>
      </c>
      <c r="G1157" s="30">
        <v>38.700000000000003</v>
      </c>
    </row>
    <row r="1158" spans="1:7" x14ac:dyDescent="0.25">
      <c r="A1158" s="29">
        <v>38764</v>
      </c>
      <c r="B1158" s="30">
        <v>41.9</v>
      </c>
      <c r="C1158" s="30">
        <v>46.8</v>
      </c>
      <c r="D1158" s="30"/>
      <c r="E1158" s="30"/>
      <c r="F1158" s="30">
        <v>44.9</v>
      </c>
      <c r="G1158" s="30">
        <v>46.3</v>
      </c>
    </row>
    <row r="1159" spans="1:7" x14ac:dyDescent="0.25">
      <c r="A1159" s="29">
        <v>38765</v>
      </c>
      <c r="B1159" s="30">
        <v>47.6</v>
      </c>
      <c r="C1159" s="30">
        <v>50.1</v>
      </c>
      <c r="D1159" s="30"/>
      <c r="E1159" s="30"/>
      <c r="F1159" s="30">
        <v>52.5</v>
      </c>
      <c r="G1159" s="30">
        <v>51</v>
      </c>
    </row>
    <row r="1160" spans="1:7" x14ac:dyDescent="0.25">
      <c r="A1160" s="29">
        <v>38766</v>
      </c>
      <c r="B1160" s="30">
        <v>31.6</v>
      </c>
      <c r="C1160" s="30">
        <v>32.4</v>
      </c>
      <c r="D1160" s="30"/>
      <c r="E1160" s="30"/>
      <c r="F1160" s="30">
        <v>34.700000000000003</v>
      </c>
      <c r="G1160" s="30">
        <v>31.3</v>
      </c>
    </row>
    <row r="1161" spans="1:7" x14ac:dyDescent="0.25">
      <c r="A1161" s="29">
        <v>38767</v>
      </c>
      <c r="B1161" s="30">
        <v>19.8</v>
      </c>
      <c r="C1161" s="30">
        <v>21.1</v>
      </c>
      <c r="D1161" s="30"/>
      <c r="E1161" s="30"/>
      <c r="F1161" s="30">
        <v>20.8</v>
      </c>
      <c r="G1161" s="30">
        <v>20.2</v>
      </c>
    </row>
    <row r="1162" spans="1:7" x14ac:dyDescent="0.25">
      <c r="A1162" s="29">
        <v>38768</v>
      </c>
      <c r="B1162" s="30">
        <v>27.5</v>
      </c>
      <c r="C1162" s="30">
        <v>29.1</v>
      </c>
      <c r="D1162" s="30"/>
      <c r="E1162" s="30"/>
      <c r="F1162" s="30">
        <v>28.5</v>
      </c>
      <c r="G1162" s="30">
        <v>27</v>
      </c>
    </row>
    <row r="1163" spans="1:7" x14ac:dyDescent="0.25">
      <c r="A1163" s="29">
        <v>38769</v>
      </c>
      <c r="B1163" s="30">
        <v>34.1</v>
      </c>
      <c r="C1163" s="30">
        <v>36.4</v>
      </c>
      <c r="D1163" s="30"/>
      <c r="E1163" s="30"/>
      <c r="F1163" s="30">
        <v>34.5</v>
      </c>
      <c r="G1163" s="30">
        <v>33.700000000000003</v>
      </c>
    </row>
    <row r="1164" spans="1:7" x14ac:dyDescent="0.25">
      <c r="A1164" s="29">
        <v>38770</v>
      </c>
      <c r="B1164" s="30">
        <v>35.4</v>
      </c>
      <c r="C1164" s="30">
        <v>38.700000000000003</v>
      </c>
      <c r="D1164" s="30"/>
      <c r="E1164" s="30"/>
      <c r="F1164" s="30">
        <v>30.3</v>
      </c>
      <c r="G1164" s="30">
        <v>36.6</v>
      </c>
    </row>
    <row r="1165" spans="1:7" x14ac:dyDescent="0.25">
      <c r="A1165" s="29">
        <v>38771</v>
      </c>
      <c r="B1165" s="30">
        <v>39.5</v>
      </c>
      <c r="C1165" s="30">
        <v>41</v>
      </c>
      <c r="D1165" s="30"/>
      <c r="E1165" s="30"/>
      <c r="F1165" s="30">
        <v>38.299999999999997</v>
      </c>
      <c r="G1165" s="30">
        <v>40.1</v>
      </c>
    </row>
    <row r="1166" spans="1:7" x14ac:dyDescent="0.25">
      <c r="A1166" s="29">
        <v>38772</v>
      </c>
      <c r="B1166" s="30">
        <v>37.299999999999997</v>
      </c>
      <c r="C1166" s="30">
        <v>38.299999999999997</v>
      </c>
      <c r="D1166" s="30"/>
      <c r="E1166" s="30"/>
      <c r="F1166" s="30">
        <v>37.1</v>
      </c>
      <c r="G1166" s="30">
        <v>37.299999999999997</v>
      </c>
    </row>
    <row r="1167" spans="1:7" x14ac:dyDescent="0.25">
      <c r="A1167" s="29">
        <v>38773</v>
      </c>
      <c r="B1167" s="30">
        <v>33.6</v>
      </c>
      <c r="C1167" s="30">
        <v>35.4</v>
      </c>
      <c r="D1167" s="30"/>
      <c r="E1167" s="30"/>
      <c r="F1167" s="30">
        <v>33.9</v>
      </c>
      <c r="G1167" s="30">
        <v>35.1</v>
      </c>
    </row>
    <row r="1168" spans="1:7" x14ac:dyDescent="0.25">
      <c r="A1168" s="29">
        <v>38774</v>
      </c>
      <c r="B1168" s="30">
        <v>27.8</v>
      </c>
      <c r="C1168" s="30">
        <v>28.5</v>
      </c>
      <c r="D1168" s="30"/>
      <c r="E1168" s="30"/>
      <c r="F1168" s="30">
        <v>32.799999999999997</v>
      </c>
      <c r="G1168" s="30">
        <v>28</v>
      </c>
    </row>
    <row r="1169" spans="1:7" x14ac:dyDescent="0.25">
      <c r="A1169" s="29">
        <v>38775</v>
      </c>
      <c r="B1169" s="30">
        <v>22.5</v>
      </c>
      <c r="C1169" s="30">
        <v>23.8</v>
      </c>
      <c r="D1169" s="30"/>
      <c r="E1169" s="30"/>
      <c r="F1169" s="30">
        <v>23.8</v>
      </c>
      <c r="G1169" s="30">
        <v>22.9</v>
      </c>
    </row>
    <row r="1170" spans="1:7" x14ac:dyDescent="0.25">
      <c r="A1170" s="29">
        <v>38776</v>
      </c>
      <c r="B1170" s="30">
        <v>27.5</v>
      </c>
      <c r="C1170" s="30">
        <v>28.7</v>
      </c>
      <c r="D1170" s="30"/>
      <c r="E1170" s="30"/>
      <c r="F1170" s="30">
        <v>30.3</v>
      </c>
      <c r="G1170" s="30">
        <v>27.5</v>
      </c>
    </row>
    <row r="1171" spans="1:7" x14ac:dyDescent="0.25">
      <c r="A1171" s="29">
        <v>38777</v>
      </c>
      <c r="B1171" s="30">
        <v>32.700000000000003</v>
      </c>
      <c r="C1171" s="30">
        <v>33.6</v>
      </c>
      <c r="D1171" s="30"/>
      <c r="E1171" s="30"/>
      <c r="F1171" s="30">
        <v>35.5</v>
      </c>
      <c r="G1171" s="30">
        <v>33.4</v>
      </c>
    </row>
    <row r="1172" spans="1:7" x14ac:dyDescent="0.25">
      <c r="A1172" s="29">
        <v>38778</v>
      </c>
      <c r="B1172" s="30">
        <v>31.6</v>
      </c>
      <c r="C1172" s="30">
        <v>34.1</v>
      </c>
      <c r="D1172" s="30"/>
      <c r="E1172" s="30"/>
      <c r="F1172" s="30">
        <v>33.9</v>
      </c>
      <c r="G1172" s="30">
        <v>32.700000000000003</v>
      </c>
    </row>
    <row r="1173" spans="1:7" x14ac:dyDescent="0.25">
      <c r="A1173" s="29">
        <v>38779</v>
      </c>
      <c r="B1173" s="30">
        <v>28.5</v>
      </c>
      <c r="C1173" s="30">
        <v>29.6</v>
      </c>
      <c r="D1173" s="30"/>
      <c r="E1173" s="30"/>
      <c r="F1173" s="30">
        <v>32.4</v>
      </c>
      <c r="G1173" s="30">
        <v>28.3</v>
      </c>
    </row>
    <row r="1174" spans="1:7" x14ac:dyDescent="0.25">
      <c r="A1174" s="29">
        <v>38780</v>
      </c>
      <c r="B1174" s="30">
        <v>29.8</v>
      </c>
      <c r="C1174" s="30">
        <v>31</v>
      </c>
      <c r="D1174" s="30"/>
      <c r="E1174" s="30"/>
      <c r="F1174" s="30">
        <v>33.5</v>
      </c>
      <c r="G1174" s="30">
        <v>30.2</v>
      </c>
    </row>
    <row r="1175" spans="1:7" x14ac:dyDescent="0.25">
      <c r="A1175" s="29">
        <v>38781</v>
      </c>
      <c r="B1175" s="30">
        <v>37.5</v>
      </c>
      <c r="C1175" s="30">
        <v>37.700000000000003</v>
      </c>
      <c r="D1175" s="30"/>
      <c r="E1175" s="30"/>
      <c r="F1175" s="30">
        <v>38.9</v>
      </c>
      <c r="G1175" s="30">
        <v>37.700000000000003</v>
      </c>
    </row>
    <row r="1176" spans="1:7" x14ac:dyDescent="0.25">
      <c r="A1176" s="29">
        <v>38782</v>
      </c>
      <c r="B1176" s="30">
        <v>36.799999999999997</v>
      </c>
      <c r="C1176" s="30">
        <v>37.9</v>
      </c>
      <c r="D1176" s="30"/>
      <c r="E1176" s="30"/>
      <c r="F1176" s="30">
        <v>35.200000000000003</v>
      </c>
      <c r="G1176" s="30">
        <v>37.5</v>
      </c>
    </row>
    <row r="1177" spans="1:7" x14ac:dyDescent="0.25">
      <c r="A1177" s="29">
        <v>38783</v>
      </c>
      <c r="B1177" s="30">
        <v>36.4</v>
      </c>
      <c r="C1177" s="30">
        <v>38.4</v>
      </c>
      <c r="D1177" s="30"/>
      <c r="E1177" s="30"/>
      <c r="F1177" s="30">
        <v>35.700000000000003</v>
      </c>
      <c r="G1177" s="30">
        <v>37.6</v>
      </c>
    </row>
    <row r="1178" spans="1:7" x14ac:dyDescent="0.25">
      <c r="A1178" s="29">
        <v>38784</v>
      </c>
      <c r="B1178" s="30">
        <v>35.9</v>
      </c>
      <c r="C1178" s="30">
        <v>38.4</v>
      </c>
      <c r="D1178" s="30"/>
      <c r="E1178" s="30"/>
      <c r="F1178" s="30">
        <v>34</v>
      </c>
      <c r="G1178" s="30">
        <v>37.299999999999997</v>
      </c>
    </row>
    <row r="1179" spans="1:7" x14ac:dyDescent="0.25">
      <c r="A1179" s="29">
        <v>38785</v>
      </c>
      <c r="B1179" s="30">
        <v>42.8</v>
      </c>
      <c r="C1179" s="30">
        <v>45.1</v>
      </c>
      <c r="D1179" s="30"/>
      <c r="E1179" s="30"/>
      <c r="F1179" s="30">
        <v>46.3</v>
      </c>
      <c r="G1179" s="30">
        <v>44.2</v>
      </c>
    </row>
    <row r="1180" spans="1:7" x14ac:dyDescent="0.25">
      <c r="A1180" s="29">
        <v>38786</v>
      </c>
      <c r="B1180" s="30">
        <v>52.2</v>
      </c>
      <c r="C1180" s="30">
        <v>56.8</v>
      </c>
      <c r="D1180" s="30"/>
      <c r="E1180" s="30"/>
      <c r="F1180" s="30">
        <v>60.1</v>
      </c>
      <c r="G1180" s="30">
        <v>57.7</v>
      </c>
    </row>
    <row r="1181" spans="1:7" x14ac:dyDescent="0.25">
      <c r="A1181" s="29">
        <v>38787</v>
      </c>
      <c r="B1181" s="30">
        <v>56.2</v>
      </c>
      <c r="C1181" s="30">
        <v>56.5</v>
      </c>
      <c r="D1181" s="30"/>
      <c r="E1181" s="30"/>
      <c r="F1181" s="30">
        <v>55.8</v>
      </c>
      <c r="G1181" s="30">
        <v>57.7</v>
      </c>
    </row>
    <row r="1182" spans="1:7" x14ac:dyDescent="0.25">
      <c r="A1182" s="29">
        <v>38788</v>
      </c>
      <c r="B1182" s="30">
        <v>47.2</v>
      </c>
      <c r="C1182" s="30">
        <v>52.8</v>
      </c>
      <c r="D1182" s="30"/>
      <c r="E1182" s="30"/>
      <c r="F1182" s="30">
        <v>53.6</v>
      </c>
      <c r="G1182" s="30">
        <v>52.3</v>
      </c>
    </row>
    <row r="1183" spans="1:7" x14ac:dyDescent="0.25">
      <c r="A1183" s="29">
        <v>38789</v>
      </c>
      <c r="B1183" s="30">
        <v>49.1</v>
      </c>
      <c r="C1183" s="30">
        <v>53.8</v>
      </c>
      <c r="D1183" s="30"/>
      <c r="E1183" s="30"/>
      <c r="F1183" s="30">
        <v>60.7</v>
      </c>
      <c r="G1183" s="30">
        <v>53.1</v>
      </c>
    </row>
    <row r="1184" spans="1:7" x14ac:dyDescent="0.25">
      <c r="A1184" s="29">
        <v>38790</v>
      </c>
      <c r="B1184" s="30">
        <v>52.2</v>
      </c>
      <c r="C1184" s="30">
        <v>53.5</v>
      </c>
      <c r="D1184" s="30"/>
      <c r="E1184" s="30"/>
      <c r="F1184" s="30">
        <v>58.9</v>
      </c>
      <c r="G1184" s="30">
        <v>55.3</v>
      </c>
    </row>
    <row r="1185" spans="1:7" x14ac:dyDescent="0.25">
      <c r="A1185" s="29">
        <v>38791</v>
      </c>
      <c r="B1185" s="30">
        <v>41.3</v>
      </c>
      <c r="C1185" s="30">
        <v>42.5</v>
      </c>
      <c r="D1185" s="30"/>
      <c r="E1185" s="30"/>
      <c r="F1185" s="30">
        <v>42.7</v>
      </c>
      <c r="G1185" s="30">
        <v>41.6</v>
      </c>
    </row>
    <row r="1186" spans="1:7" x14ac:dyDescent="0.25">
      <c r="A1186" s="29">
        <v>38792</v>
      </c>
      <c r="B1186" s="30">
        <v>41.2</v>
      </c>
      <c r="C1186" s="30">
        <v>41.7</v>
      </c>
      <c r="D1186" s="30"/>
      <c r="E1186" s="30"/>
      <c r="F1186" s="30">
        <v>42.5</v>
      </c>
      <c r="G1186" s="30">
        <v>41.9</v>
      </c>
    </row>
    <row r="1187" spans="1:7" x14ac:dyDescent="0.25">
      <c r="A1187" s="29">
        <v>38793</v>
      </c>
      <c r="B1187" s="30">
        <v>38.9</v>
      </c>
      <c r="C1187" s="30">
        <v>39.799999999999997</v>
      </c>
      <c r="D1187" s="30"/>
      <c r="E1187" s="30"/>
      <c r="F1187" s="30">
        <v>41.9</v>
      </c>
      <c r="G1187" s="30">
        <v>39.9</v>
      </c>
    </row>
    <row r="1188" spans="1:7" x14ac:dyDescent="0.25">
      <c r="A1188" s="29">
        <v>38794</v>
      </c>
      <c r="B1188" s="30">
        <v>35.299999999999997</v>
      </c>
      <c r="C1188" s="30">
        <v>36.299999999999997</v>
      </c>
      <c r="D1188" s="30"/>
      <c r="E1188" s="30"/>
      <c r="F1188" s="30">
        <v>36.200000000000003</v>
      </c>
      <c r="G1188" s="30">
        <v>36.1</v>
      </c>
    </row>
    <row r="1189" spans="1:7" x14ac:dyDescent="0.25">
      <c r="A1189" s="29">
        <v>38795</v>
      </c>
      <c r="B1189" s="30">
        <v>35.4</v>
      </c>
      <c r="C1189" s="30">
        <v>36.4</v>
      </c>
      <c r="D1189" s="30"/>
      <c r="E1189" s="30"/>
      <c r="F1189" s="30">
        <v>36.799999999999997</v>
      </c>
      <c r="G1189" s="30">
        <v>36.6</v>
      </c>
    </row>
    <row r="1190" spans="1:7" x14ac:dyDescent="0.25">
      <c r="A1190" s="29">
        <v>38796</v>
      </c>
      <c r="B1190" s="30">
        <v>35.6</v>
      </c>
      <c r="C1190" s="30">
        <v>36.700000000000003</v>
      </c>
      <c r="D1190" s="30"/>
      <c r="E1190" s="30"/>
      <c r="F1190" s="30">
        <v>36.299999999999997</v>
      </c>
      <c r="G1190" s="30">
        <v>36.4</v>
      </c>
    </row>
    <row r="1191" spans="1:7" x14ac:dyDescent="0.25">
      <c r="A1191" s="29">
        <v>38797</v>
      </c>
      <c r="B1191" s="30">
        <v>31.7</v>
      </c>
      <c r="C1191" s="30">
        <v>33.9</v>
      </c>
      <c r="D1191" s="30"/>
      <c r="E1191" s="30"/>
      <c r="F1191" s="30">
        <v>33.1</v>
      </c>
      <c r="G1191" s="30">
        <v>32.9</v>
      </c>
    </row>
    <row r="1192" spans="1:7" x14ac:dyDescent="0.25">
      <c r="A1192" s="29">
        <v>38798</v>
      </c>
      <c r="B1192" s="30">
        <v>38.700000000000003</v>
      </c>
      <c r="C1192" s="30">
        <v>39.700000000000003</v>
      </c>
      <c r="D1192" s="30"/>
      <c r="E1192" s="30"/>
      <c r="F1192" s="30">
        <v>39</v>
      </c>
      <c r="G1192" s="30">
        <v>38.9</v>
      </c>
    </row>
    <row r="1193" spans="1:7" x14ac:dyDescent="0.25">
      <c r="A1193" s="29">
        <v>38799</v>
      </c>
      <c r="B1193" s="30">
        <v>41.3</v>
      </c>
      <c r="C1193" s="30">
        <v>42.1</v>
      </c>
      <c r="D1193" s="30"/>
      <c r="E1193" s="30"/>
      <c r="F1193" s="30">
        <v>42.9</v>
      </c>
      <c r="G1193" s="30">
        <v>42.3</v>
      </c>
    </row>
    <row r="1194" spans="1:7" x14ac:dyDescent="0.25">
      <c r="A1194" s="29">
        <v>38800</v>
      </c>
      <c r="B1194" s="30">
        <v>44.1</v>
      </c>
      <c r="C1194" s="30">
        <v>45.5</v>
      </c>
      <c r="D1194" s="30"/>
      <c r="E1194" s="30"/>
      <c r="F1194" s="30">
        <v>40.5</v>
      </c>
      <c r="G1194" s="30">
        <v>43.5</v>
      </c>
    </row>
    <row r="1195" spans="1:7" x14ac:dyDescent="0.25">
      <c r="A1195" s="29">
        <v>38801</v>
      </c>
      <c r="B1195" s="30">
        <v>40.9</v>
      </c>
      <c r="C1195" s="30">
        <v>42.7</v>
      </c>
      <c r="D1195" s="30"/>
      <c r="E1195" s="30"/>
      <c r="F1195" s="30">
        <v>40.9</v>
      </c>
      <c r="G1195" s="30">
        <v>43.3</v>
      </c>
    </row>
    <row r="1196" spans="1:7" x14ac:dyDescent="0.25">
      <c r="A1196" s="29">
        <v>38802</v>
      </c>
      <c r="B1196" s="30">
        <v>44.2</v>
      </c>
      <c r="C1196" s="30">
        <v>44.9</v>
      </c>
      <c r="D1196" s="30"/>
      <c r="E1196" s="30"/>
      <c r="F1196" s="30">
        <v>39.700000000000003</v>
      </c>
      <c r="G1196" s="30">
        <v>44.1</v>
      </c>
    </row>
    <row r="1197" spans="1:7" x14ac:dyDescent="0.25">
      <c r="A1197" s="29">
        <v>38803</v>
      </c>
      <c r="B1197" s="30">
        <v>48</v>
      </c>
      <c r="C1197" s="30">
        <v>48.2</v>
      </c>
      <c r="D1197" s="30"/>
      <c r="E1197" s="30"/>
      <c r="F1197" s="30">
        <v>45.5</v>
      </c>
      <c r="G1197" s="30">
        <v>47.5</v>
      </c>
    </row>
    <row r="1198" spans="1:7" x14ac:dyDescent="0.25">
      <c r="A1198" s="29">
        <v>38804</v>
      </c>
      <c r="B1198" s="30">
        <v>47</v>
      </c>
      <c r="C1198" s="30">
        <v>49.1</v>
      </c>
      <c r="D1198" s="30"/>
      <c r="E1198" s="30"/>
      <c r="F1198" s="30">
        <v>43.3</v>
      </c>
      <c r="G1198" s="30">
        <v>47.5</v>
      </c>
    </row>
    <row r="1199" spans="1:7" x14ac:dyDescent="0.25">
      <c r="A1199" s="29">
        <v>38805</v>
      </c>
      <c r="B1199" s="30">
        <v>46.1</v>
      </c>
      <c r="C1199" s="30">
        <v>49.7</v>
      </c>
      <c r="D1199" s="30"/>
      <c r="E1199" s="30"/>
      <c r="F1199" s="30">
        <v>48</v>
      </c>
      <c r="G1199" s="30">
        <v>49.3</v>
      </c>
    </row>
    <row r="1200" spans="1:7" x14ac:dyDescent="0.25">
      <c r="A1200" s="29">
        <v>38806</v>
      </c>
      <c r="B1200" s="30">
        <v>48.8</v>
      </c>
      <c r="C1200" s="30">
        <v>54.7</v>
      </c>
      <c r="D1200" s="30"/>
      <c r="E1200" s="30"/>
      <c r="F1200" s="30">
        <v>49.8</v>
      </c>
      <c r="G1200" s="30">
        <v>53.4</v>
      </c>
    </row>
    <row r="1201" spans="1:7" x14ac:dyDescent="0.25">
      <c r="A1201" s="29">
        <v>38807</v>
      </c>
      <c r="B1201" s="30">
        <v>50.1</v>
      </c>
      <c r="C1201" s="30">
        <v>58.3</v>
      </c>
      <c r="D1201" s="30"/>
      <c r="E1201" s="30"/>
      <c r="F1201" s="30">
        <v>55.3</v>
      </c>
      <c r="G1201" s="30">
        <v>58.2</v>
      </c>
    </row>
    <row r="1202" spans="1:7" x14ac:dyDescent="0.25">
      <c r="A1202" s="29">
        <v>38808</v>
      </c>
      <c r="B1202" s="30">
        <v>54.1</v>
      </c>
      <c r="C1202" s="30">
        <v>60.9</v>
      </c>
      <c r="D1202" s="30"/>
      <c r="E1202" s="30"/>
      <c r="F1202" s="30">
        <v>61.4</v>
      </c>
      <c r="G1202" s="30">
        <v>64.400000000000006</v>
      </c>
    </row>
    <row r="1203" spans="1:7" x14ac:dyDescent="0.25">
      <c r="A1203" s="29">
        <v>38809</v>
      </c>
      <c r="B1203" s="30">
        <v>57.8</v>
      </c>
      <c r="C1203" s="30">
        <v>57.9</v>
      </c>
      <c r="D1203" s="30"/>
      <c r="E1203" s="30"/>
      <c r="F1203" s="30">
        <v>56.9</v>
      </c>
      <c r="G1203" s="30">
        <v>58.2</v>
      </c>
    </row>
    <row r="1204" spans="1:7" x14ac:dyDescent="0.25">
      <c r="A1204" s="29">
        <v>38810</v>
      </c>
      <c r="B1204" s="30">
        <v>49</v>
      </c>
      <c r="C1204" s="30">
        <v>54</v>
      </c>
      <c r="D1204" s="30"/>
      <c r="E1204" s="30"/>
      <c r="F1204" s="30">
        <v>48.5</v>
      </c>
      <c r="G1204" s="30">
        <v>53.6</v>
      </c>
    </row>
    <row r="1205" spans="1:7" x14ac:dyDescent="0.25">
      <c r="A1205" s="29">
        <v>38811</v>
      </c>
      <c r="B1205" s="30">
        <v>49.1</v>
      </c>
      <c r="C1205" s="30">
        <v>50.1</v>
      </c>
      <c r="D1205" s="30"/>
      <c r="E1205" s="30"/>
      <c r="F1205" s="30">
        <v>51.6</v>
      </c>
      <c r="G1205" s="30">
        <v>49.5</v>
      </c>
    </row>
    <row r="1206" spans="1:7" x14ac:dyDescent="0.25">
      <c r="A1206" s="29">
        <v>38812</v>
      </c>
      <c r="B1206" s="30">
        <v>41.4</v>
      </c>
      <c r="C1206" s="30">
        <v>43.3</v>
      </c>
      <c r="D1206" s="30"/>
      <c r="E1206" s="30"/>
      <c r="F1206" s="30">
        <v>44.9</v>
      </c>
      <c r="G1206" s="30">
        <v>42.8</v>
      </c>
    </row>
    <row r="1207" spans="1:7" x14ac:dyDescent="0.25">
      <c r="A1207" s="29">
        <v>38813</v>
      </c>
      <c r="B1207" s="30">
        <v>44.9</v>
      </c>
      <c r="C1207" s="30">
        <v>45.9</v>
      </c>
      <c r="D1207" s="30"/>
      <c r="E1207" s="30"/>
      <c r="F1207" s="30">
        <v>46.5</v>
      </c>
      <c r="G1207" s="30">
        <v>45.1</v>
      </c>
    </row>
    <row r="1208" spans="1:7" x14ac:dyDescent="0.25">
      <c r="A1208" s="29">
        <v>38814</v>
      </c>
      <c r="B1208" s="30">
        <v>47.9</v>
      </c>
      <c r="C1208" s="30">
        <v>51.8</v>
      </c>
      <c r="D1208" s="30"/>
      <c r="E1208" s="30"/>
      <c r="F1208" s="30">
        <v>51.2</v>
      </c>
      <c r="G1208" s="30">
        <v>51.3</v>
      </c>
    </row>
    <row r="1209" spans="1:7" x14ac:dyDescent="0.25">
      <c r="A1209" s="29">
        <v>38815</v>
      </c>
      <c r="B1209" s="30">
        <v>47.6</v>
      </c>
      <c r="C1209" s="30">
        <v>51.3</v>
      </c>
      <c r="D1209" s="30"/>
      <c r="E1209" s="30"/>
      <c r="F1209" s="30">
        <v>55.6</v>
      </c>
      <c r="G1209" s="30">
        <v>51</v>
      </c>
    </row>
    <row r="1210" spans="1:7" x14ac:dyDescent="0.25">
      <c r="A1210" s="29">
        <v>38816</v>
      </c>
      <c r="B1210" s="30">
        <v>43.6</v>
      </c>
      <c r="C1210" s="30">
        <v>45.6</v>
      </c>
      <c r="D1210" s="30"/>
      <c r="E1210" s="30"/>
      <c r="F1210" s="30">
        <v>42.8</v>
      </c>
      <c r="G1210" s="30">
        <v>45</v>
      </c>
    </row>
    <row r="1211" spans="1:7" x14ac:dyDescent="0.25">
      <c r="A1211" s="29">
        <v>38817</v>
      </c>
      <c r="B1211" s="30">
        <v>47.4</v>
      </c>
      <c r="C1211" s="30">
        <v>52.2</v>
      </c>
      <c r="D1211" s="30"/>
      <c r="E1211" s="30"/>
      <c r="F1211" s="30">
        <v>45</v>
      </c>
      <c r="G1211" s="30">
        <v>51</v>
      </c>
    </row>
    <row r="1212" spans="1:7" x14ac:dyDescent="0.25">
      <c r="A1212" s="29">
        <v>38818</v>
      </c>
      <c r="B1212" s="30">
        <v>48.4</v>
      </c>
      <c r="C1212" s="30">
        <v>54.5</v>
      </c>
      <c r="D1212" s="30"/>
      <c r="E1212" s="30"/>
      <c r="F1212" s="30">
        <v>49.2</v>
      </c>
      <c r="G1212" s="30">
        <v>53.2</v>
      </c>
    </row>
    <row r="1213" spans="1:7" x14ac:dyDescent="0.25">
      <c r="A1213" s="29">
        <v>38819</v>
      </c>
      <c r="B1213" s="30">
        <v>50.5</v>
      </c>
      <c r="C1213" s="30">
        <v>55</v>
      </c>
      <c r="D1213" s="30"/>
      <c r="E1213" s="30"/>
      <c r="F1213" s="30">
        <v>54.4</v>
      </c>
      <c r="G1213" s="30">
        <v>56.5</v>
      </c>
    </row>
    <row r="1214" spans="1:7" x14ac:dyDescent="0.25">
      <c r="A1214" s="29">
        <v>38820</v>
      </c>
      <c r="B1214" s="30">
        <v>57.4</v>
      </c>
      <c r="C1214" s="30">
        <v>62.9</v>
      </c>
      <c r="D1214" s="30"/>
      <c r="E1214" s="30"/>
      <c r="F1214" s="30">
        <v>62.5</v>
      </c>
      <c r="G1214" s="30">
        <v>64.599999999999994</v>
      </c>
    </row>
    <row r="1215" spans="1:7" x14ac:dyDescent="0.25">
      <c r="A1215" s="29">
        <v>38821</v>
      </c>
      <c r="B1215" s="30">
        <v>55.2</v>
      </c>
      <c r="C1215" s="30">
        <v>61.3</v>
      </c>
      <c r="D1215" s="30"/>
      <c r="E1215" s="30"/>
      <c r="F1215" s="30">
        <v>58.5</v>
      </c>
      <c r="G1215" s="30">
        <v>59.4</v>
      </c>
    </row>
    <row r="1216" spans="1:7" x14ac:dyDescent="0.25">
      <c r="A1216" s="29">
        <v>38822</v>
      </c>
      <c r="B1216" s="30">
        <v>59.7</v>
      </c>
      <c r="C1216" s="30">
        <v>61.8</v>
      </c>
      <c r="D1216" s="30"/>
      <c r="E1216" s="30"/>
      <c r="F1216" s="30">
        <v>66.5</v>
      </c>
      <c r="G1216" s="30">
        <v>62.4</v>
      </c>
    </row>
    <row r="1217" spans="1:7" x14ac:dyDescent="0.25">
      <c r="A1217" s="29">
        <v>38823</v>
      </c>
      <c r="B1217" s="30">
        <v>61</v>
      </c>
      <c r="C1217" s="30">
        <v>60.9</v>
      </c>
      <c r="D1217" s="30"/>
      <c r="E1217" s="30"/>
      <c r="F1217" s="30">
        <v>63.2</v>
      </c>
      <c r="G1217" s="30">
        <v>61.8</v>
      </c>
    </row>
    <row r="1218" spans="1:7" x14ac:dyDescent="0.25">
      <c r="A1218" s="29">
        <v>38824</v>
      </c>
      <c r="B1218" s="30">
        <v>54.9</v>
      </c>
      <c r="C1218" s="30">
        <v>55.9</v>
      </c>
      <c r="D1218" s="30"/>
      <c r="E1218" s="30"/>
      <c r="F1218" s="30">
        <v>53.1</v>
      </c>
      <c r="G1218" s="30">
        <v>55.5</v>
      </c>
    </row>
    <row r="1219" spans="1:7" x14ac:dyDescent="0.25">
      <c r="A1219" s="29">
        <v>38825</v>
      </c>
      <c r="B1219" s="30">
        <v>56.7</v>
      </c>
      <c r="C1219" s="30">
        <v>57.2</v>
      </c>
      <c r="D1219" s="30"/>
      <c r="E1219" s="30"/>
      <c r="F1219" s="30">
        <v>52.4</v>
      </c>
      <c r="G1219" s="30">
        <v>58</v>
      </c>
    </row>
    <row r="1220" spans="1:7" x14ac:dyDescent="0.25">
      <c r="A1220" s="29">
        <v>38826</v>
      </c>
      <c r="B1220" s="30">
        <v>59.8</v>
      </c>
      <c r="C1220" s="30">
        <v>61.1</v>
      </c>
      <c r="D1220" s="30"/>
      <c r="E1220" s="30"/>
      <c r="F1220" s="30">
        <v>58.6</v>
      </c>
      <c r="G1220" s="30">
        <v>64.5</v>
      </c>
    </row>
    <row r="1221" spans="1:7" x14ac:dyDescent="0.25">
      <c r="A1221" s="29">
        <v>38827</v>
      </c>
      <c r="B1221" s="30">
        <v>67.2</v>
      </c>
      <c r="C1221" s="30">
        <v>69.400000000000006</v>
      </c>
      <c r="D1221" s="30"/>
      <c r="E1221" s="30"/>
      <c r="F1221" s="30">
        <v>62.2</v>
      </c>
      <c r="G1221" s="30">
        <v>70.599999999999994</v>
      </c>
    </row>
    <row r="1222" spans="1:7" x14ac:dyDescent="0.25">
      <c r="A1222" s="29">
        <v>38828</v>
      </c>
      <c r="B1222" s="30">
        <v>53.3</v>
      </c>
      <c r="C1222" s="30">
        <v>57.1</v>
      </c>
      <c r="D1222" s="30"/>
      <c r="E1222" s="30"/>
      <c r="F1222" s="30">
        <v>54.5</v>
      </c>
      <c r="G1222" s="30">
        <v>57.1</v>
      </c>
    </row>
    <row r="1223" spans="1:7" x14ac:dyDescent="0.25">
      <c r="A1223" s="29">
        <v>38829</v>
      </c>
      <c r="B1223" s="30">
        <v>45.8</v>
      </c>
      <c r="C1223" s="30">
        <v>47.7</v>
      </c>
      <c r="D1223" s="30"/>
      <c r="E1223" s="30"/>
      <c r="F1223" s="30">
        <v>51.2</v>
      </c>
      <c r="G1223" s="30">
        <v>47</v>
      </c>
    </row>
    <row r="1224" spans="1:7" x14ac:dyDescent="0.25">
      <c r="A1224" s="29">
        <v>38830</v>
      </c>
      <c r="B1224" s="30">
        <v>52.1</v>
      </c>
      <c r="C1224" s="30">
        <v>50.6</v>
      </c>
      <c r="D1224" s="30"/>
      <c r="E1224" s="30"/>
      <c r="F1224" s="30">
        <v>59.1</v>
      </c>
      <c r="G1224" s="30">
        <v>52.3</v>
      </c>
    </row>
    <row r="1225" spans="1:7" x14ac:dyDescent="0.25">
      <c r="A1225" s="29">
        <v>38831</v>
      </c>
      <c r="B1225" s="30">
        <v>51.2</v>
      </c>
      <c r="C1225" s="30">
        <v>52.8</v>
      </c>
      <c r="D1225" s="30"/>
      <c r="E1225" s="30"/>
      <c r="F1225" s="30">
        <v>56.8</v>
      </c>
      <c r="G1225" s="30">
        <v>54.7</v>
      </c>
    </row>
    <row r="1226" spans="1:7" x14ac:dyDescent="0.25">
      <c r="A1226" s="29">
        <v>38832</v>
      </c>
      <c r="B1226" s="30">
        <v>55.5</v>
      </c>
      <c r="C1226" s="30">
        <v>60.9</v>
      </c>
      <c r="D1226" s="30"/>
      <c r="E1226" s="30"/>
      <c r="F1226" s="30">
        <v>58.9</v>
      </c>
      <c r="G1226" s="30">
        <v>61.5</v>
      </c>
    </row>
    <row r="1227" spans="1:7" x14ac:dyDescent="0.25">
      <c r="A1227" s="29">
        <v>38833</v>
      </c>
      <c r="B1227" s="30">
        <v>48.8</v>
      </c>
      <c r="C1227" s="30">
        <v>50.8</v>
      </c>
      <c r="D1227" s="30"/>
      <c r="E1227" s="30"/>
      <c r="F1227" s="30">
        <v>50.7</v>
      </c>
      <c r="G1227" s="30">
        <v>50.1</v>
      </c>
    </row>
    <row r="1228" spans="1:7" x14ac:dyDescent="0.25">
      <c r="A1228" s="29">
        <v>38834</v>
      </c>
      <c r="B1228" s="30">
        <v>54.3</v>
      </c>
      <c r="C1228" s="30">
        <v>58.9</v>
      </c>
      <c r="D1228" s="30"/>
      <c r="E1228" s="30"/>
      <c r="F1228" s="30">
        <v>53.5</v>
      </c>
      <c r="G1228" s="30">
        <v>57.6</v>
      </c>
    </row>
    <row r="1229" spans="1:7" x14ac:dyDescent="0.25">
      <c r="A1229" s="29">
        <v>38835</v>
      </c>
      <c r="B1229" s="30">
        <v>54.5</v>
      </c>
      <c r="C1229" s="30">
        <v>57.5</v>
      </c>
      <c r="D1229" s="30"/>
      <c r="E1229" s="30"/>
      <c r="F1229" s="30">
        <v>54.3</v>
      </c>
      <c r="G1229" s="30">
        <v>57.2</v>
      </c>
    </row>
    <row r="1230" spans="1:7" x14ac:dyDescent="0.25">
      <c r="A1230" s="29">
        <v>38836</v>
      </c>
      <c r="B1230" s="30">
        <v>50.6</v>
      </c>
      <c r="C1230" s="30">
        <v>53.6</v>
      </c>
      <c r="D1230" s="30"/>
      <c r="E1230" s="30"/>
      <c r="F1230" s="30">
        <v>47.8</v>
      </c>
      <c r="G1230" s="30">
        <v>52.5</v>
      </c>
    </row>
    <row r="1231" spans="1:7" x14ac:dyDescent="0.25">
      <c r="A1231" s="29">
        <v>38837</v>
      </c>
      <c r="B1231" s="30">
        <v>53.5</v>
      </c>
      <c r="C1231" s="30">
        <v>56.8</v>
      </c>
      <c r="D1231" s="30"/>
      <c r="E1231" s="30"/>
      <c r="F1231" s="30">
        <v>49.4</v>
      </c>
      <c r="G1231" s="30">
        <v>54.9</v>
      </c>
    </row>
    <row r="1232" spans="1:7" x14ac:dyDescent="0.25">
      <c r="A1232" s="29">
        <v>38838</v>
      </c>
      <c r="B1232" s="30">
        <v>56.4</v>
      </c>
      <c r="C1232" s="30">
        <v>60.4</v>
      </c>
      <c r="D1232" s="30"/>
      <c r="E1232" s="30"/>
      <c r="F1232" s="30">
        <v>51.6</v>
      </c>
      <c r="G1232" s="30">
        <v>58.1</v>
      </c>
    </row>
    <row r="1233" spans="1:7" x14ac:dyDescent="0.25">
      <c r="A1233" s="29">
        <v>38839</v>
      </c>
      <c r="B1233" s="30">
        <v>55.3</v>
      </c>
      <c r="C1233" s="30">
        <v>57.6</v>
      </c>
      <c r="D1233" s="30"/>
      <c r="E1233" s="30"/>
      <c r="F1233" s="30">
        <v>51.1</v>
      </c>
      <c r="G1233" s="30">
        <v>56.9</v>
      </c>
    </row>
    <row r="1234" spans="1:7" x14ac:dyDescent="0.25">
      <c r="A1234" s="29">
        <v>38840</v>
      </c>
      <c r="B1234" s="30">
        <v>57</v>
      </c>
      <c r="C1234" s="30">
        <v>58.1</v>
      </c>
      <c r="D1234" s="30"/>
      <c r="E1234" s="30"/>
      <c r="F1234" s="30">
        <v>55.6</v>
      </c>
      <c r="G1234" s="30">
        <v>59.6</v>
      </c>
    </row>
    <row r="1235" spans="1:7" x14ac:dyDescent="0.25">
      <c r="A1235" s="29">
        <v>38841</v>
      </c>
      <c r="B1235" s="30">
        <v>61.4</v>
      </c>
      <c r="C1235" s="30">
        <v>64.8</v>
      </c>
      <c r="D1235" s="30"/>
      <c r="E1235" s="30"/>
      <c r="F1235" s="30">
        <v>64.599999999999994</v>
      </c>
      <c r="G1235" s="30">
        <v>66.7</v>
      </c>
    </row>
    <row r="1236" spans="1:7" x14ac:dyDescent="0.25">
      <c r="A1236" s="29">
        <v>38842</v>
      </c>
      <c r="B1236" s="30">
        <v>65.900000000000006</v>
      </c>
      <c r="C1236" s="30">
        <v>72.099999999999994</v>
      </c>
      <c r="D1236" s="30"/>
      <c r="E1236" s="30"/>
      <c r="F1236" s="30">
        <v>69.099999999999994</v>
      </c>
      <c r="G1236" s="30">
        <v>71.7</v>
      </c>
    </row>
    <row r="1237" spans="1:7" x14ac:dyDescent="0.25">
      <c r="A1237" s="29">
        <v>38843</v>
      </c>
      <c r="B1237" s="30">
        <v>63.6</v>
      </c>
      <c r="C1237" s="30">
        <v>68.099999999999994</v>
      </c>
      <c r="D1237" s="30"/>
      <c r="E1237" s="30"/>
      <c r="F1237" s="30">
        <v>66.8</v>
      </c>
      <c r="G1237" s="30">
        <v>68.3</v>
      </c>
    </row>
    <row r="1238" spans="1:7" x14ac:dyDescent="0.25">
      <c r="A1238" s="29">
        <v>38844</v>
      </c>
      <c r="B1238" s="30">
        <v>54.6</v>
      </c>
      <c r="C1238" s="30">
        <v>56.9</v>
      </c>
      <c r="D1238" s="30"/>
      <c r="E1238" s="30"/>
      <c r="F1238" s="30">
        <v>56.2</v>
      </c>
      <c r="G1238" s="30">
        <v>56.1</v>
      </c>
    </row>
    <row r="1239" spans="1:7" x14ac:dyDescent="0.25">
      <c r="A1239" s="29">
        <v>38845</v>
      </c>
      <c r="B1239" s="30">
        <v>55.8</v>
      </c>
      <c r="C1239" s="30">
        <v>57</v>
      </c>
      <c r="D1239" s="30"/>
      <c r="E1239" s="30"/>
      <c r="F1239" s="30">
        <v>54.2</v>
      </c>
      <c r="G1239" s="30">
        <v>59.1</v>
      </c>
    </row>
    <row r="1240" spans="1:7" x14ac:dyDescent="0.25">
      <c r="A1240" s="29">
        <v>38846</v>
      </c>
      <c r="B1240" s="30">
        <v>57</v>
      </c>
      <c r="C1240" s="30">
        <v>59.3</v>
      </c>
      <c r="D1240" s="30"/>
      <c r="E1240" s="30"/>
      <c r="F1240" s="30">
        <v>55.5</v>
      </c>
      <c r="G1240" s="30">
        <v>60.1</v>
      </c>
    </row>
    <row r="1241" spans="1:7" x14ac:dyDescent="0.25">
      <c r="A1241" s="29">
        <v>38847</v>
      </c>
      <c r="B1241" s="30">
        <v>57.5</v>
      </c>
      <c r="C1241" s="30">
        <v>59.2</v>
      </c>
      <c r="D1241" s="30"/>
      <c r="E1241" s="30"/>
      <c r="F1241" s="30">
        <v>59.8</v>
      </c>
      <c r="G1241" s="30">
        <v>60.8</v>
      </c>
    </row>
    <row r="1242" spans="1:7" x14ac:dyDescent="0.25">
      <c r="A1242" s="29">
        <v>38848</v>
      </c>
      <c r="B1242" s="30">
        <v>57.1</v>
      </c>
      <c r="C1242" s="30">
        <v>58.7</v>
      </c>
      <c r="D1242" s="30"/>
      <c r="E1242" s="30"/>
      <c r="F1242" s="30">
        <v>58.4</v>
      </c>
      <c r="G1242" s="30">
        <v>58.6</v>
      </c>
    </row>
    <row r="1243" spans="1:7" x14ac:dyDescent="0.25">
      <c r="A1243" s="29">
        <v>38849</v>
      </c>
      <c r="B1243" s="30">
        <v>59.7</v>
      </c>
      <c r="C1243" s="30">
        <v>63.3</v>
      </c>
      <c r="D1243" s="30"/>
      <c r="E1243" s="30"/>
      <c r="F1243" s="30">
        <v>65.3</v>
      </c>
      <c r="G1243" s="30">
        <v>63.4</v>
      </c>
    </row>
    <row r="1244" spans="1:7" x14ac:dyDescent="0.25">
      <c r="A1244" s="29">
        <v>38850</v>
      </c>
      <c r="B1244" s="30">
        <v>60.4</v>
      </c>
      <c r="C1244" s="30">
        <v>59.2</v>
      </c>
      <c r="D1244" s="30"/>
      <c r="E1244" s="30"/>
      <c r="F1244" s="30">
        <v>60.7</v>
      </c>
      <c r="G1244" s="30">
        <v>63</v>
      </c>
    </row>
    <row r="1245" spans="1:7" x14ac:dyDescent="0.25">
      <c r="A1245" s="29">
        <v>38851</v>
      </c>
      <c r="B1245" s="30">
        <v>54.7</v>
      </c>
      <c r="C1245" s="30">
        <v>55.9</v>
      </c>
      <c r="D1245" s="30"/>
      <c r="E1245" s="30"/>
      <c r="F1245" s="30">
        <v>55.9</v>
      </c>
      <c r="G1245" s="30">
        <v>56.3</v>
      </c>
    </row>
    <row r="1246" spans="1:7" x14ac:dyDescent="0.25">
      <c r="A1246" s="29">
        <v>38852</v>
      </c>
      <c r="B1246" s="30">
        <v>54.5</v>
      </c>
      <c r="C1246" s="30">
        <v>55.4</v>
      </c>
      <c r="D1246" s="30"/>
      <c r="E1246" s="30"/>
      <c r="F1246" s="30">
        <v>58.2</v>
      </c>
      <c r="G1246" s="30">
        <v>56.2</v>
      </c>
    </row>
    <row r="1247" spans="1:7" x14ac:dyDescent="0.25">
      <c r="A1247" s="29">
        <v>38853</v>
      </c>
      <c r="B1247" s="30">
        <v>56.6</v>
      </c>
      <c r="C1247" s="30">
        <v>57.8</v>
      </c>
      <c r="D1247" s="30"/>
      <c r="E1247" s="30"/>
      <c r="F1247" s="30">
        <v>60.8</v>
      </c>
      <c r="G1247" s="30">
        <v>58.3</v>
      </c>
    </row>
    <row r="1248" spans="1:7" x14ac:dyDescent="0.25">
      <c r="A1248" s="29">
        <v>38854</v>
      </c>
      <c r="B1248" s="30">
        <v>59.6</v>
      </c>
      <c r="C1248" s="30">
        <v>63.6</v>
      </c>
      <c r="D1248" s="30"/>
      <c r="E1248" s="30"/>
      <c r="F1248" s="30">
        <v>61.6</v>
      </c>
      <c r="G1248" s="30">
        <v>61.1</v>
      </c>
    </row>
    <row r="1249" spans="1:7" x14ac:dyDescent="0.25">
      <c r="A1249" s="29">
        <v>38855</v>
      </c>
      <c r="B1249" s="30">
        <v>61.3</v>
      </c>
      <c r="C1249" s="30">
        <v>66.900000000000006</v>
      </c>
      <c r="D1249" s="30"/>
      <c r="E1249" s="30"/>
      <c r="F1249" s="30">
        <v>64.7</v>
      </c>
      <c r="G1249" s="30">
        <v>64.5</v>
      </c>
    </row>
    <row r="1250" spans="1:7" x14ac:dyDescent="0.25">
      <c r="A1250" s="29">
        <v>38856</v>
      </c>
      <c r="B1250" s="30">
        <v>57.4</v>
      </c>
      <c r="C1250" s="30">
        <v>60.1</v>
      </c>
      <c r="D1250" s="30"/>
      <c r="E1250" s="30"/>
      <c r="F1250" s="30">
        <v>60.4</v>
      </c>
      <c r="G1250" s="30">
        <v>58.5</v>
      </c>
    </row>
    <row r="1251" spans="1:7" x14ac:dyDescent="0.25">
      <c r="A1251" s="29">
        <v>38857</v>
      </c>
      <c r="B1251" s="30">
        <v>59.1</v>
      </c>
      <c r="C1251" s="30">
        <v>60.6</v>
      </c>
      <c r="D1251" s="30"/>
      <c r="E1251" s="30"/>
      <c r="F1251" s="30">
        <v>60.2</v>
      </c>
      <c r="G1251" s="30">
        <v>58.1</v>
      </c>
    </row>
    <row r="1252" spans="1:7" x14ac:dyDescent="0.25">
      <c r="A1252" s="29">
        <v>38858</v>
      </c>
      <c r="B1252" s="30">
        <v>59.6</v>
      </c>
      <c r="C1252" s="30">
        <v>62.5</v>
      </c>
      <c r="D1252" s="30"/>
      <c r="E1252" s="30"/>
      <c r="F1252" s="30">
        <v>60.4</v>
      </c>
      <c r="G1252" s="30">
        <v>60</v>
      </c>
    </row>
    <row r="1253" spans="1:7" x14ac:dyDescent="0.25">
      <c r="A1253" s="29">
        <v>38859</v>
      </c>
      <c r="B1253" s="30">
        <v>55.2</v>
      </c>
      <c r="C1253" s="30">
        <v>55.9</v>
      </c>
      <c r="D1253" s="30"/>
      <c r="E1253" s="30"/>
      <c r="F1253" s="30">
        <v>57.3</v>
      </c>
      <c r="G1253" s="30">
        <v>56.1</v>
      </c>
    </row>
    <row r="1254" spans="1:7" x14ac:dyDescent="0.25">
      <c r="A1254" s="29">
        <v>38860</v>
      </c>
      <c r="B1254" s="30">
        <v>55.5</v>
      </c>
      <c r="C1254" s="30">
        <v>56.2</v>
      </c>
      <c r="D1254" s="30"/>
      <c r="E1254" s="30"/>
      <c r="F1254" s="30">
        <v>55.1</v>
      </c>
      <c r="G1254" s="30">
        <v>56.1</v>
      </c>
    </row>
    <row r="1255" spans="1:7" x14ac:dyDescent="0.25">
      <c r="A1255" s="29">
        <v>38861</v>
      </c>
      <c r="B1255" s="30">
        <v>61.3</v>
      </c>
      <c r="C1255" s="30">
        <v>63.6</v>
      </c>
      <c r="D1255" s="30"/>
      <c r="E1255" s="30"/>
      <c r="F1255" s="30">
        <v>60.9</v>
      </c>
      <c r="G1255" s="30">
        <v>63.1</v>
      </c>
    </row>
    <row r="1256" spans="1:7" x14ac:dyDescent="0.25">
      <c r="A1256" s="29">
        <v>38862</v>
      </c>
      <c r="B1256" s="30">
        <v>61.8</v>
      </c>
      <c r="C1256" s="30">
        <v>69.7</v>
      </c>
      <c r="D1256" s="30"/>
      <c r="E1256" s="30"/>
      <c r="F1256" s="30">
        <v>64.900000000000006</v>
      </c>
      <c r="G1256" s="30">
        <v>68</v>
      </c>
    </row>
    <row r="1257" spans="1:7" x14ac:dyDescent="0.25">
      <c r="A1257" s="29">
        <v>38863</v>
      </c>
      <c r="B1257" s="30">
        <v>61.6</v>
      </c>
      <c r="C1257" s="30">
        <v>65.099999999999994</v>
      </c>
      <c r="D1257" s="30"/>
      <c r="E1257" s="30"/>
      <c r="F1257" s="30">
        <v>70.3</v>
      </c>
      <c r="G1257" s="30">
        <v>67.900000000000006</v>
      </c>
    </row>
    <row r="1258" spans="1:7" x14ac:dyDescent="0.25">
      <c r="A1258" s="29">
        <v>38864</v>
      </c>
      <c r="B1258" s="30">
        <v>69.8</v>
      </c>
      <c r="C1258" s="30">
        <v>70.599999999999994</v>
      </c>
      <c r="D1258" s="30"/>
      <c r="E1258" s="30"/>
      <c r="F1258" s="30">
        <v>73.400000000000006</v>
      </c>
      <c r="G1258" s="30">
        <v>73.8</v>
      </c>
    </row>
    <row r="1259" spans="1:7" x14ac:dyDescent="0.25">
      <c r="A1259" s="29">
        <v>38865</v>
      </c>
      <c r="B1259" s="30">
        <v>72.3</v>
      </c>
      <c r="C1259" s="30">
        <v>73.8</v>
      </c>
      <c r="D1259" s="30"/>
      <c r="E1259" s="30"/>
      <c r="F1259" s="30">
        <v>71.099999999999994</v>
      </c>
      <c r="G1259" s="30">
        <v>74.5</v>
      </c>
    </row>
    <row r="1260" spans="1:7" x14ac:dyDescent="0.25">
      <c r="A1260" s="29">
        <v>38866</v>
      </c>
      <c r="B1260" s="30">
        <v>66.7</v>
      </c>
      <c r="C1260" s="30">
        <v>75</v>
      </c>
      <c r="D1260" s="30"/>
      <c r="E1260" s="30"/>
      <c r="F1260" s="30">
        <v>70.3</v>
      </c>
      <c r="G1260" s="30">
        <v>77.2</v>
      </c>
    </row>
    <row r="1261" spans="1:7" x14ac:dyDescent="0.25">
      <c r="A1261" s="29">
        <v>38867</v>
      </c>
      <c r="B1261" s="30">
        <v>71.8</v>
      </c>
      <c r="C1261" s="30">
        <v>74.3</v>
      </c>
      <c r="D1261" s="30"/>
      <c r="E1261" s="30"/>
      <c r="F1261" s="30">
        <v>74.7</v>
      </c>
      <c r="G1261" s="30">
        <v>78.2</v>
      </c>
    </row>
    <row r="1262" spans="1:7" x14ac:dyDescent="0.25">
      <c r="A1262" s="29">
        <v>38868</v>
      </c>
      <c r="B1262" s="30">
        <v>64.599999999999994</v>
      </c>
      <c r="C1262" s="30">
        <v>69.8</v>
      </c>
      <c r="D1262" s="30"/>
      <c r="E1262" s="30"/>
      <c r="F1262" s="30">
        <v>67.099999999999994</v>
      </c>
      <c r="G1262" s="30">
        <v>68.3</v>
      </c>
    </row>
    <row r="1263" spans="1:7" x14ac:dyDescent="0.25">
      <c r="A1263" s="29">
        <v>38869</v>
      </c>
      <c r="B1263" s="30">
        <v>67.3</v>
      </c>
      <c r="C1263" s="30">
        <v>73.099999999999994</v>
      </c>
      <c r="D1263" s="30"/>
      <c r="E1263" s="30"/>
      <c r="F1263" s="30">
        <v>73.8</v>
      </c>
      <c r="G1263" s="30">
        <v>74.5</v>
      </c>
    </row>
    <row r="1264" spans="1:7" x14ac:dyDescent="0.25">
      <c r="A1264" s="29">
        <v>38870</v>
      </c>
      <c r="B1264" s="30">
        <v>70.8</v>
      </c>
      <c r="C1264" s="30">
        <v>74.099999999999994</v>
      </c>
      <c r="D1264" s="30"/>
      <c r="E1264" s="30"/>
      <c r="F1264" s="30">
        <v>74.2</v>
      </c>
      <c r="G1264" s="30">
        <v>73.900000000000006</v>
      </c>
    </row>
    <row r="1265" spans="1:7" x14ac:dyDescent="0.25">
      <c r="A1265" s="29">
        <v>38871</v>
      </c>
      <c r="B1265" s="30">
        <v>66</v>
      </c>
      <c r="C1265" s="30">
        <v>64.8</v>
      </c>
      <c r="D1265" s="30"/>
      <c r="E1265" s="30"/>
      <c r="F1265" s="30">
        <v>70.2</v>
      </c>
      <c r="G1265" s="30">
        <v>66</v>
      </c>
    </row>
    <row r="1266" spans="1:7" x14ac:dyDescent="0.25">
      <c r="A1266" s="29">
        <v>38872</v>
      </c>
      <c r="B1266" s="30">
        <v>61.1</v>
      </c>
      <c r="C1266" s="30">
        <v>63.2</v>
      </c>
      <c r="D1266" s="30"/>
      <c r="E1266" s="30"/>
      <c r="F1266" s="30">
        <v>63</v>
      </c>
      <c r="G1266" s="30">
        <v>63.4</v>
      </c>
    </row>
    <row r="1267" spans="1:7" x14ac:dyDescent="0.25">
      <c r="A1267" s="29">
        <v>38873</v>
      </c>
      <c r="B1267" s="30">
        <v>63.7</v>
      </c>
      <c r="C1267" s="30">
        <v>65.7</v>
      </c>
      <c r="D1267" s="30"/>
      <c r="E1267" s="30"/>
      <c r="F1267" s="30">
        <v>63.7</v>
      </c>
      <c r="G1267" s="30">
        <v>64.7</v>
      </c>
    </row>
    <row r="1268" spans="1:7" x14ac:dyDescent="0.25">
      <c r="A1268" s="29">
        <v>38874</v>
      </c>
      <c r="B1268" s="30">
        <v>64.2</v>
      </c>
      <c r="C1268" s="30">
        <v>65.599999999999994</v>
      </c>
      <c r="D1268" s="30"/>
      <c r="E1268" s="30"/>
      <c r="F1268" s="30">
        <v>64.5</v>
      </c>
      <c r="G1268" s="30">
        <v>66.400000000000006</v>
      </c>
    </row>
    <row r="1269" spans="1:7" x14ac:dyDescent="0.25">
      <c r="A1269" s="29">
        <v>38875</v>
      </c>
      <c r="B1269" s="30">
        <v>61.2</v>
      </c>
      <c r="C1269" s="30">
        <v>63</v>
      </c>
      <c r="D1269" s="30"/>
      <c r="E1269" s="30"/>
      <c r="F1269" s="30">
        <v>62</v>
      </c>
      <c r="G1269" s="30">
        <v>62.9</v>
      </c>
    </row>
    <row r="1270" spans="1:7" x14ac:dyDescent="0.25">
      <c r="A1270" s="29">
        <v>38876</v>
      </c>
      <c r="B1270" s="30">
        <v>60.2</v>
      </c>
      <c r="C1270" s="30">
        <v>61.9</v>
      </c>
      <c r="D1270" s="30"/>
      <c r="E1270" s="30"/>
      <c r="F1270" s="30">
        <v>64.5</v>
      </c>
      <c r="G1270" s="30">
        <v>61.1</v>
      </c>
    </row>
    <row r="1271" spans="1:7" x14ac:dyDescent="0.25">
      <c r="A1271" s="29">
        <v>38877</v>
      </c>
      <c r="B1271" s="30">
        <v>65.099999999999994</v>
      </c>
      <c r="C1271" s="30">
        <v>67.5</v>
      </c>
      <c r="D1271" s="30"/>
      <c r="E1271" s="30"/>
      <c r="F1271" s="30">
        <v>67</v>
      </c>
      <c r="G1271" s="30">
        <v>67.7</v>
      </c>
    </row>
    <row r="1272" spans="1:7" x14ac:dyDescent="0.25">
      <c r="A1272" s="29">
        <v>38878</v>
      </c>
      <c r="B1272" s="30">
        <v>62.6</v>
      </c>
      <c r="C1272" s="30">
        <v>63.5</v>
      </c>
      <c r="D1272" s="30"/>
      <c r="E1272" s="30"/>
      <c r="F1272" s="30">
        <v>63.8</v>
      </c>
      <c r="G1272" s="30">
        <v>63.8</v>
      </c>
    </row>
    <row r="1273" spans="1:7" x14ac:dyDescent="0.25">
      <c r="A1273" s="29">
        <v>38879</v>
      </c>
      <c r="B1273" s="30">
        <v>61.5</v>
      </c>
      <c r="C1273" s="30">
        <v>62.4</v>
      </c>
      <c r="D1273" s="30"/>
      <c r="E1273" s="30"/>
      <c r="F1273" s="30">
        <v>60.7</v>
      </c>
      <c r="G1273" s="30">
        <v>62.3</v>
      </c>
    </row>
    <row r="1274" spans="1:7" x14ac:dyDescent="0.25">
      <c r="A1274" s="29">
        <v>38880</v>
      </c>
      <c r="B1274" s="30">
        <v>63.9</v>
      </c>
      <c r="C1274" s="30">
        <v>66.099999999999994</v>
      </c>
      <c r="D1274" s="30"/>
      <c r="E1274" s="30"/>
      <c r="F1274" s="30">
        <v>60.3</v>
      </c>
      <c r="G1274" s="30">
        <v>65.5</v>
      </c>
    </row>
    <row r="1275" spans="1:7" x14ac:dyDescent="0.25">
      <c r="A1275" s="29">
        <v>38881</v>
      </c>
      <c r="B1275" s="30">
        <v>69.599999999999994</v>
      </c>
      <c r="C1275" s="30">
        <v>73.099999999999994</v>
      </c>
      <c r="D1275" s="30"/>
      <c r="E1275" s="30"/>
      <c r="F1275" s="30">
        <v>67.400000000000006</v>
      </c>
      <c r="G1275" s="30">
        <v>71.7</v>
      </c>
    </row>
    <row r="1276" spans="1:7" x14ac:dyDescent="0.25">
      <c r="A1276" s="29">
        <v>38882</v>
      </c>
      <c r="B1276" s="30">
        <v>66.900000000000006</v>
      </c>
      <c r="C1276" s="30">
        <v>73.599999999999994</v>
      </c>
      <c r="D1276" s="30"/>
      <c r="E1276" s="30"/>
      <c r="F1276" s="30">
        <v>65.900000000000006</v>
      </c>
      <c r="G1276" s="30">
        <v>72.7</v>
      </c>
    </row>
    <row r="1277" spans="1:7" x14ac:dyDescent="0.25">
      <c r="A1277" s="29">
        <v>38883</v>
      </c>
      <c r="B1277" s="30">
        <v>70</v>
      </c>
      <c r="C1277" s="30">
        <v>71.599999999999994</v>
      </c>
      <c r="D1277" s="30"/>
      <c r="E1277" s="30"/>
      <c r="F1277" s="30">
        <v>67.7</v>
      </c>
      <c r="G1277" s="30">
        <v>71.400000000000006</v>
      </c>
    </row>
    <row r="1278" spans="1:7" x14ac:dyDescent="0.25">
      <c r="A1278" s="29">
        <v>38884</v>
      </c>
      <c r="B1278" s="30">
        <v>73.5</v>
      </c>
      <c r="C1278" s="30">
        <v>75.7</v>
      </c>
      <c r="D1278" s="30"/>
      <c r="E1278" s="30"/>
      <c r="F1278" s="30">
        <v>70.2</v>
      </c>
      <c r="G1278" s="30">
        <v>75.3</v>
      </c>
    </row>
    <row r="1279" spans="1:7" x14ac:dyDescent="0.25">
      <c r="A1279" s="29">
        <v>38885</v>
      </c>
      <c r="B1279" s="30">
        <v>70.5</v>
      </c>
      <c r="C1279" s="30">
        <v>79.900000000000006</v>
      </c>
      <c r="D1279" s="30"/>
      <c r="E1279" s="30"/>
      <c r="F1279" s="30">
        <v>74.3</v>
      </c>
      <c r="G1279" s="30">
        <v>75.3</v>
      </c>
    </row>
    <row r="1280" spans="1:7" x14ac:dyDescent="0.25">
      <c r="A1280" s="29">
        <v>38886</v>
      </c>
      <c r="B1280" s="30">
        <v>72.900000000000006</v>
      </c>
      <c r="C1280" s="30">
        <v>82.9</v>
      </c>
      <c r="D1280" s="30"/>
      <c r="E1280" s="30"/>
      <c r="F1280" s="30">
        <v>76.7</v>
      </c>
      <c r="G1280" s="30">
        <v>81.3</v>
      </c>
    </row>
    <row r="1281" spans="1:7" x14ac:dyDescent="0.25">
      <c r="A1281" s="29">
        <v>38887</v>
      </c>
      <c r="B1281" s="30">
        <v>72.5</v>
      </c>
      <c r="C1281" s="30">
        <v>84.8</v>
      </c>
      <c r="D1281" s="30"/>
      <c r="E1281" s="30"/>
      <c r="F1281" s="30">
        <v>77.5</v>
      </c>
      <c r="G1281" s="30">
        <v>83.4</v>
      </c>
    </row>
    <row r="1282" spans="1:7" x14ac:dyDescent="0.25">
      <c r="A1282" s="29">
        <v>38888</v>
      </c>
      <c r="B1282" s="30">
        <v>74.400000000000006</v>
      </c>
      <c r="C1282" s="30">
        <v>80.099999999999994</v>
      </c>
      <c r="D1282" s="30"/>
      <c r="E1282" s="30"/>
      <c r="F1282" s="30">
        <v>76</v>
      </c>
      <c r="G1282" s="30">
        <v>78.400000000000006</v>
      </c>
    </row>
    <row r="1283" spans="1:7" x14ac:dyDescent="0.25">
      <c r="A1283" s="29">
        <v>38889</v>
      </c>
      <c r="B1283" s="30">
        <v>74.900000000000006</v>
      </c>
      <c r="C1283" s="30">
        <v>77.8</v>
      </c>
      <c r="D1283" s="30"/>
      <c r="E1283" s="30"/>
      <c r="F1283" s="30">
        <v>76</v>
      </c>
      <c r="G1283" s="30">
        <v>77.2</v>
      </c>
    </row>
    <row r="1284" spans="1:7" x14ac:dyDescent="0.25">
      <c r="A1284" s="29">
        <v>38890</v>
      </c>
      <c r="B1284" s="30">
        <v>71.3</v>
      </c>
      <c r="C1284" s="30">
        <v>78.5</v>
      </c>
      <c r="D1284" s="30"/>
      <c r="E1284" s="30"/>
      <c r="F1284" s="30">
        <v>78.8</v>
      </c>
      <c r="G1284" s="30">
        <v>77.900000000000006</v>
      </c>
    </row>
    <row r="1285" spans="1:7" x14ac:dyDescent="0.25">
      <c r="A1285" s="29">
        <v>38891</v>
      </c>
      <c r="B1285" s="30">
        <v>74.7</v>
      </c>
      <c r="C1285" s="30">
        <v>82.6</v>
      </c>
      <c r="D1285" s="30"/>
      <c r="E1285" s="30"/>
      <c r="F1285" s="30">
        <v>78.900000000000006</v>
      </c>
      <c r="G1285" s="30">
        <v>81.3</v>
      </c>
    </row>
    <row r="1286" spans="1:7" x14ac:dyDescent="0.25">
      <c r="A1286" s="29">
        <v>38892</v>
      </c>
      <c r="B1286" s="30">
        <v>70</v>
      </c>
      <c r="C1286" s="30">
        <v>75</v>
      </c>
      <c r="D1286" s="30"/>
      <c r="E1286" s="30"/>
      <c r="F1286" s="30">
        <v>74.3</v>
      </c>
      <c r="G1286" s="30">
        <v>74.099999999999994</v>
      </c>
    </row>
    <row r="1287" spans="1:7" x14ac:dyDescent="0.25">
      <c r="A1287" s="29">
        <v>38893</v>
      </c>
      <c r="B1287" s="30">
        <v>69.7</v>
      </c>
      <c r="C1287" s="30">
        <v>72.900000000000006</v>
      </c>
      <c r="D1287" s="30"/>
      <c r="E1287" s="30"/>
      <c r="F1287" s="30">
        <v>71.8</v>
      </c>
      <c r="G1287" s="30">
        <v>72.7</v>
      </c>
    </row>
    <row r="1288" spans="1:7" x14ac:dyDescent="0.25">
      <c r="A1288" s="29">
        <v>38894</v>
      </c>
      <c r="B1288" s="30">
        <v>71.400000000000006</v>
      </c>
      <c r="C1288" s="30">
        <v>73.900000000000006</v>
      </c>
      <c r="D1288" s="30"/>
      <c r="E1288" s="30"/>
      <c r="F1288" s="30">
        <v>74.3</v>
      </c>
      <c r="G1288" s="30">
        <v>73.2</v>
      </c>
    </row>
    <row r="1289" spans="1:7" x14ac:dyDescent="0.25">
      <c r="A1289" s="29">
        <v>38895</v>
      </c>
      <c r="B1289" s="30">
        <v>72.900000000000006</v>
      </c>
      <c r="C1289" s="30">
        <v>76.599999999999994</v>
      </c>
      <c r="D1289" s="30"/>
      <c r="E1289" s="30"/>
      <c r="F1289" s="30">
        <v>75.3</v>
      </c>
      <c r="G1289" s="30">
        <v>75.599999999999994</v>
      </c>
    </row>
    <row r="1290" spans="1:7" x14ac:dyDescent="0.25">
      <c r="A1290" s="29">
        <v>38896</v>
      </c>
      <c r="B1290" s="30">
        <v>72.8</v>
      </c>
      <c r="C1290" s="30">
        <v>78.099999999999994</v>
      </c>
      <c r="D1290" s="30"/>
      <c r="E1290" s="30"/>
      <c r="F1290" s="30">
        <v>76.900000000000006</v>
      </c>
      <c r="G1290" s="30">
        <v>77.3</v>
      </c>
    </row>
    <row r="1291" spans="1:7" x14ac:dyDescent="0.25">
      <c r="A1291" s="29">
        <v>38897</v>
      </c>
      <c r="B1291" s="30">
        <v>71.2</v>
      </c>
      <c r="C1291" s="30">
        <v>77.900000000000006</v>
      </c>
      <c r="D1291" s="30"/>
      <c r="E1291" s="30"/>
      <c r="F1291" s="30">
        <v>74.099999999999994</v>
      </c>
      <c r="G1291" s="30">
        <v>79.599999999999994</v>
      </c>
    </row>
    <row r="1292" spans="1:7" x14ac:dyDescent="0.25">
      <c r="A1292" s="29">
        <v>38898</v>
      </c>
      <c r="B1292" s="30">
        <v>73.599999999999994</v>
      </c>
      <c r="C1292" s="30">
        <v>74.8</v>
      </c>
      <c r="D1292" s="30"/>
      <c r="E1292" s="30"/>
      <c r="F1292" s="30">
        <v>72.400000000000006</v>
      </c>
      <c r="G1292" s="30">
        <v>73.2</v>
      </c>
    </row>
    <row r="1293" spans="1:7" x14ac:dyDescent="0.25">
      <c r="A1293" s="29">
        <v>38899</v>
      </c>
      <c r="B1293" s="30">
        <v>72.900000000000006</v>
      </c>
      <c r="C1293" s="30">
        <v>76.7</v>
      </c>
      <c r="D1293" s="30"/>
      <c r="E1293" s="30"/>
      <c r="F1293" s="30">
        <v>74.8</v>
      </c>
      <c r="G1293" s="30">
        <v>74.099999999999994</v>
      </c>
    </row>
    <row r="1294" spans="1:7" x14ac:dyDescent="0.25">
      <c r="A1294" s="29">
        <v>38900</v>
      </c>
      <c r="B1294" s="30">
        <v>77.8</v>
      </c>
      <c r="C1294" s="30">
        <v>82.2</v>
      </c>
      <c r="D1294" s="30"/>
      <c r="E1294" s="30"/>
      <c r="F1294" s="30">
        <v>79.7</v>
      </c>
      <c r="G1294" s="30">
        <v>80.3</v>
      </c>
    </row>
    <row r="1295" spans="1:7" x14ac:dyDescent="0.25">
      <c r="A1295" s="29">
        <v>38901</v>
      </c>
      <c r="B1295" s="30">
        <v>76.7</v>
      </c>
      <c r="C1295" s="30">
        <v>81.5</v>
      </c>
      <c r="D1295" s="30"/>
      <c r="E1295" s="30"/>
      <c r="F1295" s="30">
        <v>80.3</v>
      </c>
      <c r="G1295" s="30">
        <v>78.400000000000006</v>
      </c>
    </row>
    <row r="1296" spans="1:7" x14ac:dyDescent="0.25">
      <c r="A1296" s="29">
        <v>38902</v>
      </c>
      <c r="B1296" s="30">
        <v>77.3</v>
      </c>
      <c r="C1296" s="30">
        <v>85.6</v>
      </c>
      <c r="D1296" s="30"/>
      <c r="E1296" s="30"/>
      <c r="F1296" s="30">
        <v>82</v>
      </c>
      <c r="G1296" s="30">
        <v>82.4</v>
      </c>
    </row>
    <row r="1297" spans="1:7" x14ac:dyDescent="0.25">
      <c r="A1297" s="29">
        <v>38903</v>
      </c>
      <c r="B1297" s="30">
        <v>74.099999999999994</v>
      </c>
      <c r="C1297" s="30">
        <v>78.900000000000006</v>
      </c>
      <c r="D1297" s="30"/>
      <c r="E1297" s="30"/>
      <c r="F1297" s="30">
        <v>76</v>
      </c>
      <c r="G1297" s="30">
        <v>76.5</v>
      </c>
    </row>
    <row r="1298" spans="1:7" x14ac:dyDescent="0.25">
      <c r="A1298" s="29">
        <v>38904</v>
      </c>
      <c r="B1298" s="30">
        <v>69.900000000000006</v>
      </c>
      <c r="C1298" s="30">
        <v>72.5</v>
      </c>
      <c r="D1298" s="30"/>
      <c r="E1298" s="30"/>
      <c r="F1298" s="30">
        <v>70.8</v>
      </c>
      <c r="G1298" s="30">
        <v>72.099999999999994</v>
      </c>
    </row>
    <row r="1299" spans="1:7" x14ac:dyDescent="0.25">
      <c r="A1299" s="29">
        <v>38905</v>
      </c>
      <c r="B1299" s="30">
        <v>71.8</v>
      </c>
      <c r="C1299" s="30">
        <v>74.099999999999994</v>
      </c>
      <c r="D1299" s="30"/>
      <c r="E1299" s="30"/>
      <c r="F1299" s="30">
        <v>69.3</v>
      </c>
      <c r="G1299" s="30">
        <v>73.599999999999994</v>
      </c>
    </row>
    <row r="1300" spans="1:7" x14ac:dyDescent="0.25">
      <c r="A1300" s="29">
        <v>38906</v>
      </c>
      <c r="B1300" s="30">
        <v>73.400000000000006</v>
      </c>
      <c r="C1300" s="30">
        <v>76.5</v>
      </c>
      <c r="D1300" s="30"/>
      <c r="E1300" s="30"/>
      <c r="F1300" s="30">
        <v>69.8</v>
      </c>
      <c r="G1300" s="30">
        <v>75.900000000000006</v>
      </c>
    </row>
    <row r="1301" spans="1:7" x14ac:dyDescent="0.25">
      <c r="A1301" s="29">
        <v>38907</v>
      </c>
      <c r="B1301" s="30">
        <v>75.900000000000006</v>
      </c>
      <c r="C1301" s="30">
        <v>79.7</v>
      </c>
      <c r="D1301" s="30"/>
      <c r="E1301" s="30"/>
      <c r="F1301" s="30">
        <v>73.5</v>
      </c>
      <c r="G1301" s="30">
        <v>77.8</v>
      </c>
    </row>
    <row r="1302" spans="1:7" x14ac:dyDescent="0.25">
      <c r="A1302" s="29">
        <v>38908</v>
      </c>
      <c r="B1302" s="30">
        <v>72.5</v>
      </c>
      <c r="C1302" s="30">
        <v>77.7</v>
      </c>
      <c r="D1302" s="30"/>
      <c r="E1302" s="30"/>
      <c r="F1302" s="30">
        <v>75.2</v>
      </c>
      <c r="G1302" s="30">
        <v>75.2</v>
      </c>
    </row>
    <row r="1303" spans="1:7" x14ac:dyDescent="0.25">
      <c r="A1303" s="29">
        <v>38909</v>
      </c>
      <c r="B1303" s="30">
        <v>73.599999999999994</v>
      </c>
      <c r="C1303" s="30">
        <v>82</v>
      </c>
      <c r="D1303" s="30"/>
      <c r="E1303" s="30"/>
      <c r="F1303" s="30">
        <v>78.5</v>
      </c>
      <c r="G1303" s="30">
        <v>81.099999999999994</v>
      </c>
    </row>
    <row r="1304" spans="1:7" x14ac:dyDescent="0.25">
      <c r="A1304" s="29">
        <v>38910</v>
      </c>
      <c r="B1304" s="30">
        <v>74.599999999999994</v>
      </c>
      <c r="C1304" s="30">
        <v>82.8</v>
      </c>
      <c r="D1304" s="30"/>
      <c r="E1304" s="30"/>
      <c r="F1304" s="30">
        <v>80</v>
      </c>
      <c r="G1304" s="30">
        <v>82.2</v>
      </c>
    </row>
    <row r="1305" spans="1:7" x14ac:dyDescent="0.25">
      <c r="A1305" s="29">
        <v>38911</v>
      </c>
      <c r="B1305" s="30">
        <v>77.3</v>
      </c>
      <c r="C1305" s="30">
        <v>79.3</v>
      </c>
      <c r="D1305" s="30"/>
      <c r="E1305" s="30"/>
      <c r="F1305" s="30">
        <v>79.8</v>
      </c>
      <c r="G1305" s="30">
        <v>78.8</v>
      </c>
    </row>
    <row r="1306" spans="1:7" x14ac:dyDescent="0.25">
      <c r="A1306" s="29">
        <v>38912</v>
      </c>
      <c r="B1306" s="30">
        <v>73.400000000000006</v>
      </c>
      <c r="C1306" s="30">
        <v>78.400000000000006</v>
      </c>
      <c r="D1306" s="30"/>
      <c r="E1306" s="30"/>
      <c r="F1306" s="30">
        <v>75.5</v>
      </c>
      <c r="G1306" s="30">
        <v>77.900000000000006</v>
      </c>
    </row>
    <row r="1307" spans="1:7" x14ac:dyDescent="0.25">
      <c r="A1307" s="29">
        <v>38913</v>
      </c>
      <c r="B1307" s="30">
        <v>72.2</v>
      </c>
      <c r="C1307" s="30">
        <v>78</v>
      </c>
      <c r="D1307" s="30"/>
      <c r="E1307" s="30"/>
      <c r="F1307" s="30">
        <v>73.7</v>
      </c>
      <c r="G1307" s="30">
        <v>76.900000000000006</v>
      </c>
    </row>
    <row r="1308" spans="1:7" x14ac:dyDescent="0.25">
      <c r="A1308" s="29">
        <v>38914</v>
      </c>
      <c r="B1308" s="30">
        <v>80</v>
      </c>
      <c r="C1308" s="30">
        <v>82</v>
      </c>
      <c r="D1308" s="30"/>
      <c r="E1308" s="30"/>
      <c r="F1308" s="30">
        <v>80.400000000000006</v>
      </c>
      <c r="G1308" s="30">
        <v>82.9</v>
      </c>
    </row>
    <row r="1309" spans="1:7" x14ac:dyDescent="0.25">
      <c r="A1309" s="29">
        <v>38915</v>
      </c>
      <c r="B1309" s="30">
        <v>84.7</v>
      </c>
      <c r="C1309" s="30">
        <v>88.1</v>
      </c>
      <c r="D1309" s="30"/>
      <c r="E1309" s="30"/>
      <c r="F1309" s="30">
        <v>84.4</v>
      </c>
      <c r="G1309" s="30">
        <v>88.2</v>
      </c>
    </row>
    <row r="1310" spans="1:7" x14ac:dyDescent="0.25">
      <c r="A1310" s="29">
        <v>38916</v>
      </c>
      <c r="B1310" s="30">
        <v>85.1</v>
      </c>
      <c r="C1310" s="30">
        <v>92</v>
      </c>
      <c r="D1310" s="30"/>
      <c r="E1310" s="30"/>
      <c r="F1310" s="30">
        <v>86.3</v>
      </c>
      <c r="G1310" s="30">
        <v>89.1</v>
      </c>
    </row>
    <row r="1311" spans="1:7" x14ac:dyDescent="0.25">
      <c r="A1311" s="29">
        <v>38917</v>
      </c>
      <c r="B1311" s="30">
        <v>78.7</v>
      </c>
      <c r="C1311" s="30">
        <v>80.400000000000006</v>
      </c>
      <c r="D1311" s="30"/>
      <c r="E1311" s="30"/>
      <c r="F1311" s="30">
        <v>79.099999999999994</v>
      </c>
      <c r="G1311" s="30">
        <v>78.900000000000006</v>
      </c>
    </row>
    <row r="1312" spans="1:7" x14ac:dyDescent="0.25">
      <c r="A1312" s="29">
        <v>38918</v>
      </c>
      <c r="B1312" s="30">
        <v>75</v>
      </c>
      <c r="C1312" s="30">
        <v>76.599999999999994</v>
      </c>
      <c r="D1312" s="30"/>
      <c r="E1312" s="30"/>
      <c r="F1312" s="30">
        <v>77.3</v>
      </c>
      <c r="G1312" s="30">
        <v>77.599999999999994</v>
      </c>
    </row>
    <row r="1313" spans="1:7" x14ac:dyDescent="0.25">
      <c r="A1313" s="29">
        <v>38919</v>
      </c>
      <c r="B1313" s="30">
        <v>76.900000000000006</v>
      </c>
      <c r="C1313" s="30">
        <v>79.7</v>
      </c>
      <c r="D1313" s="30"/>
      <c r="E1313" s="30"/>
      <c r="F1313" s="30">
        <v>80.900000000000006</v>
      </c>
      <c r="G1313" s="30">
        <v>79.400000000000006</v>
      </c>
    </row>
    <row r="1314" spans="1:7" x14ac:dyDescent="0.25">
      <c r="A1314" s="29">
        <v>38920</v>
      </c>
      <c r="B1314" s="30">
        <v>74.900000000000006</v>
      </c>
      <c r="C1314" s="30">
        <v>78.3</v>
      </c>
      <c r="D1314" s="30"/>
      <c r="E1314" s="30"/>
      <c r="F1314" s="30">
        <v>77.2</v>
      </c>
      <c r="G1314" s="30">
        <v>76.099999999999994</v>
      </c>
    </row>
    <row r="1315" spans="1:7" x14ac:dyDescent="0.25">
      <c r="A1315" s="29">
        <v>38921</v>
      </c>
      <c r="B1315" s="30">
        <v>73.5</v>
      </c>
      <c r="C1315" s="30">
        <v>75.2</v>
      </c>
      <c r="D1315" s="30"/>
      <c r="E1315" s="30"/>
      <c r="F1315" s="30">
        <v>74.099999999999994</v>
      </c>
      <c r="G1315" s="30">
        <v>73.7</v>
      </c>
    </row>
    <row r="1316" spans="1:7" x14ac:dyDescent="0.25">
      <c r="A1316" s="29">
        <v>38922</v>
      </c>
      <c r="B1316" s="30">
        <v>74.2</v>
      </c>
      <c r="C1316" s="30">
        <v>77.900000000000006</v>
      </c>
      <c r="D1316" s="30"/>
      <c r="E1316" s="30"/>
      <c r="F1316" s="30">
        <v>74.3</v>
      </c>
      <c r="G1316" s="30">
        <v>76.2</v>
      </c>
    </row>
    <row r="1317" spans="1:7" x14ac:dyDescent="0.25">
      <c r="A1317" s="29">
        <v>38923</v>
      </c>
      <c r="B1317" s="30">
        <v>74.599999999999994</v>
      </c>
      <c r="C1317" s="30">
        <v>79.400000000000006</v>
      </c>
      <c r="D1317" s="30"/>
      <c r="E1317" s="30"/>
      <c r="F1317" s="30">
        <v>75.400000000000006</v>
      </c>
      <c r="G1317" s="30">
        <v>77.7</v>
      </c>
    </row>
    <row r="1318" spans="1:7" x14ac:dyDescent="0.25">
      <c r="A1318" s="29">
        <v>38924</v>
      </c>
      <c r="B1318" s="30">
        <v>74.8</v>
      </c>
      <c r="C1318" s="30">
        <v>79.900000000000006</v>
      </c>
      <c r="D1318" s="30"/>
      <c r="E1318" s="30"/>
      <c r="F1318" s="30">
        <v>77</v>
      </c>
      <c r="G1318" s="30">
        <v>78.3</v>
      </c>
    </row>
    <row r="1319" spans="1:7" x14ac:dyDescent="0.25">
      <c r="A1319" s="29">
        <v>38925</v>
      </c>
      <c r="B1319" s="30">
        <v>76.400000000000006</v>
      </c>
      <c r="C1319" s="30">
        <v>82</v>
      </c>
      <c r="D1319" s="30"/>
      <c r="E1319" s="30"/>
      <c r="F1319" s="30">
        <v>79.2</v>
      </c>
      <c r="G1319" s="30">
        <v>81.5</v>
      </c>
    </row>
    <row r="1320" spans="1:7" x14ac:dyDescent="0.25">
      <c r="A1320" s="29">
        <v>38926</v>
      </c>
      <c r="B1320" s="30">
        <v>77.2</v>
      </c>
      <c r="C1320" s="30">
        <v>83</v>
      </c>
      <c r="D1320" s="30"/>
      <c r="E1320" s="30"/>
      <c r="F1320" s="30">
        <v>80.7</v>
      </c>
      <c r="G1320" s="30">
        <v>81.099999999999994</v>
      </c>
    </row>
    <row r="1321" spans="1:7" x14ac:dyDescent="0.25">
      <c r="A1321" s="29">
        <v>38927</v>
      </c>
      <c r="B1321" s="30">
        <v>81.5</v>
      </c>
      <c r="C1321" s="30">
        <v>83.3</v>
      </c>
      <c r="D1321" s="30"/>
      <c r="E1321" s="30"/>
      <c r="F1321" s="30">
        <v>81.7</v>
      </c>
      <c r="G1321" s="30">
        <v>82.1</v>
      </c>
    </row>
    <row r="1322" spans="1:7" x14ac:dyDescent="0.25">
      <c r="A1322" s="29">
        <v>38928</v>
      </c>
      <c r="B1322" s="30">
        <v>84.7</v>
      </c>
      <c r="C1322" s="30">
        <v>85.3</v>
      </c>
      <c r="D1322" s="30"/>
      <c r="E1322" s="30"/>
      <c r="F1322" s="30">
        <v>83.4</v>
      </c>
      <c r="G1322" s="30">
        <v>84.9</v>
      </c>
    </row>
    <row r="1323" spans="1:7" x14ac:dyDescent="0.25">
      <c r="A1323" s="29">
        <v>38929</v>
      </c>
      <c r="B1323" s="30">
        <v>81.8</v>
      </c>
      <c r="C1323" s="30">
        <v>83.7</v>
      </c>
      <c r="D1323" s="30"/>
      <c r="E1323" s="30"/>
      <c r="F1323" s="30">
        <v>81.900000000000006</v>
      </c>
      <c r="G1323" s="30">
        <v>84.6</v>
      </c>
    </row>
    <row r="1324" spans="1:7" x14ac:dyDescent="0.25">
      <c r="A1324" s="29">
        <v>38930</v>
      </c>
      <c r="B1324" s="30">
        <v>84.6</v>
      </c>
      <c r="C1324" s="30">
        <v>89</v>
      </c>
      <c r="D1324" s="30"/>
      <c r="E1324" s="30"/>
      <c r="F1324" s="30">
        <v>85.9</v>
      </c>
      <c r="G1324" s="30">
        <v>88.3</v>
      </c>
    </row>
    <row r="1325" spans="1:7" x14ac:dyDescent="0.25">
      <c r="A1325" s="29">
        <v>38931</v>
      </c>
      <c r="B1325" s="30">
        <v>89.3</v>
      </c>
      <c r="C1325" s="30">
        <v>93.1</v>
      </c>
      <c r="D1325" s="30"/>
      <c r="E1325" s="30"/>
      <c r="F1325" s="30">
        <v>88.7</v>
      </c>
      <c r="G1325" s="30">
        <v>91.6</v>
      </c>
    </row>
    <row r="1326" spans="1:7" x14ac:dyDescent="0.25">
      <c r="A1326" s="29">
        <v>38932</v>
      </c>
      <c r="B1326" s="30">
        <v>88.8</v>
      </c>
      <c r="C1326" s="30">
        <v>92.3</v>
      </c>
      <c r="D1326" s="30"/>
      <c r="E1326" s="30"/>
      <c r="F1326" s="30">
        <v>89.4</v>
      </c>
      <c r="G1326" s="30">
        <v>90.8</v>
      </c>
    </row>
    <row r="1327" spans="1:7" x14ac:dyDescent="0.25">
      <c r="A1327" s="29">
        <v>38933</v>
      </c>
      <c r="B1327" s="30">
        <v>84.2</v>
      </c>
      <c r="C1327" s="30">
        <v>84.7</v>
      </c>
      <c r="D1327" s="30"/>
      <c r="E1327" s="30"/>
      <c r="F1327" s="30">
        <v>86.8</v>
      </c>
      <c r="G1327" s="30">
        <v>83.8</v>
      </c>
    </row>
    <row r="1328" spans="1:7" x14ac:dyDescent="0.25">
      <c r="A1328" s="29">
        <v>38934</v>
      </c>
      <c r="B1328" s="30">
        <v>82.1</v>
      </c>
      <c r="C1328" s="30">
        <v>83</v>
      </c>
      <c r="D1328" s="30"/>
      <c r="E1328" s="30"/>
      <c r="F1328" s="30">
        <v>78</v>
      </c>
      <c r="G1328" s="30">
        <v>82.8</v>
      </c>
    </row>
    <row r="1329" spans="1:7" x14ac:dyDescent="0.25">
      <c r="A1329" s="29">
        <v>38935</v>
      </c>
      <c r="B1329" s="30">
        <v>77.7</v>
      </c>
      <c r="C1329" s="30">
        <v>78.7</v>
      </c>
      <c r="D1329" s="30"/>
      <c r="E1329" s="30"/>
      <c r="F1329" s="30">
        <v>75.900000000000006</v>
      </c>
      <c r="G1329" s="30">
        <v>78.7</v>
      </c>
    </row>
    <row r="1330" spans="1:7" x14ac:dyDescent="0.25">
      <c r="A1330" s="29">
        <v>38936</v>
      </c>
      <c r="B1330" s="30">
        <v>78.3</v>
      </c>
      <c r="C1330" s="30">
        <v>81.400000000000006</v>
      </c>
      <c r="D1330" s="30"/>
      <c r="E1330" s="30"/>
      <c r="F1330" s="30">
        <v>79.2</v>
      </c>
      <c r="G1330" s="30">
        <v>80.3</v>
      </c>
    </row>
    <row r="1331" spans="1:7" x14ac:dyDescent="0.25">
      <c r="A1331" s="29">
        <v>38937</v>
      </c>
      <c r="B1331" s="30">
        <v>81.3</v>
      </c>
      <c r="C1331" s="30">
        <v>82</v>
      </c>
      <c r="D1331" s="30"/>
      <c r="E1331" s="30"/>
      <c r="F1331" s="30">
        <v>81</v>
      </c>
      <c r="G1331" s="30">
        <v>82.4</v>
      </c>
    </row>
    <row r="1332" spans="1:7" x14ac:dyDescent="0.25">
      <c r="A1332" s="29">
        <v>38938</v>
      </c>
      <c r="B1332" s="30">
        <v>74.7</v>
      </c>
      <c r="C1332" s="30">
        <v>77.2</v>
      </c>
      <c r="D1332" s="30"/>
      <c r="E1332" s="30"/>
      <c r="F1332" s="30">
        <v>74.099999999999994</v>
      </c>
      <c r="G1332" s="30">
        <v>76.400000000000006</v>
      </c>
    </row>
    <row r="1333" spans="1:7" x14ac:dyDescent="0.25">
      <c r="A1333" s="29">
        <v>38939</v>
      </c>
      <c r="B1333" s="30">
        <v>75.2</v>
      </c>
      <c r="C1333" s="30">
        <v>78.400000000000006</v>
      </c>
      <c r="D1333" s="30"/>
      <c r="E1333" s="30"/>
      <c r="F1333" s="30">
        <v>75.3</v>
      </c>
      <c r="G1333" s="30">
        <v>76.099999999999994</v>
      </c>
    </row>
    <row r="1334" spans="1:7" x14ac:dyDescent="0.25">
      <c r="A1334" s="29">
        <v>38940</v>
      </c>
      <c r="B1334" s="30">
        <v>72.2</v>
      </c>
      <c r="C1334" s="30">
        <v>72.8</v>
      </c>
      <c r="D1334" s="30"/>
      <c r="E1334" s="30"/>
      <c r="F1334" s="30">
        <v>74.400000000000006</v>
      </c>
      <c r="G1334" s="30">
        <v>72.900000000000006</v>
      </c>
    </row>
    <row r="1335" spans="1:7" x14ac:dyDescent="0.25">
      <c r="A1335" s="29">
        <v>38941</v>
      </c>
      <c r="B1335" s="30">
        <v>71.2</v>
      </c>
      <c r="C1335" s="30">
        <v>72.3</v>
      </c>
      <c r="D1335" s="30"/>
      <c r="E1335" s="30"/>
      <c r="F1335" s="30">
        <v>67.5</v>
      </c>
      <c r="G1335" s="30">
        <v>71.8</v>
      </c>
    </row>
    <row r="1336" spans="1:7" x14ac:dyDescent="0.25">
      <c r="A1336" s="29">
        <v>38942</v>
      </c>
      <c r="B1336" s="30">
        <v>71.7</v>
      </c>
      <c r="C1336" s="30">
        <v>73.7</v>
      </c>
      <c r="D1336" s="30"/>
      <c r="E1336" s="30"/>
      <c r="F1336" s="30">
        <v>68.7</v>
      </c>
      <c r="G1336" s="30">
        <v>72.7</v>
      </c>
    </row>
    <row r="1337" spans="1:7" x14ac:dyDescent="0.25">
      <c r="A1337" s="29">
        <v>38943</v>
      </c>
      <c r="B1337" s="30">
        <v>73.2</v>
      </c>
      <c r="C1337" s="30">
        <v>79.2</v>
      </c>
      <c r="D1337" s="30"/>
      <c r="E1337" s="30"/>
      <c r="F1337" s="30">
        <v>74.599999999999994</v>
      </c>
      <c r="G1337" s="30">
        <v>76.3</v>
      </c>
    </row>
    <row r="1338" spans="1:7" x14ac:dyDescent="0.25">
      <c r="A1338" s="29">
        <v>38944</v>
      </c>
      <c r="B1338" s="30">
        <v>75</v>
      </c>
      <c r="C1338" s="30">
        <v>78.599999999999994</v>
      </c>
      <c r="D1338" s="30"/>
      <c r="E1338" s="30"/>
      <c r="F1338" s="30">
        <v>78.5</v>
      </c>
      <c r="G1338" s="30">
        <v>78.3</v>
      </c>
    </row>
    <row r="1339" spans="1:7" x14ac:dyDescent="0.25">
      <c r="A1339" s="29">
        <v>38945</v>
      </c>
      <c r="B1339" s="30">
        <v>74.8</v>
      </c>
      <c r="C1339" s="30">
        <v>79</v>
      </c>
      <c r="D1339" s="30"/>
      <c r="E1339" s="30"/>
      <c r="F1339" s="30">
        <v>75.400000000000006</v>
      </c>
      <c r="G1339" s="30">
        <v>78.5</v>
      </c>
    </row>
    <row r="1340" spans="1:7" x14ac:dyDescent="0.25">
      <c r="A1340" s="29">
        <v>38946</v>
      </c>
      <c r="B1340" s="30">
        <v>74.599999999999994</v>
      </c>
      <c r="C1340" s="30">
        <v>77.7</v>
      </c>
      <c r="D1340" s="30"/>
      <c r="E1340" s="30"/>
      <c r="F1340" s="30">
        <v>73.7</v>
      </c>
      <c r="G1340" s="30">
        <v>77.900000000000006</v>
      </c>
    </row>
    <row r="1341" spans="1:7" x14ac:dyDescent="0.25">
      <c r="A1341" s="29">
        <v>38947</v>
      </c>
      <c r="B1341" s="30">
        <v>73.099999999999994</v>
      </c>
      <c r="C1341" s="30">
        <v>76.3</v>
      </c>
      <c r="D1341" s="30"/>
      <c r="E1341" s="30"/>
      <c r="F1341" s="30">
        <v>72.599999999999994</v>
      </c>
      <c r="G1341" s="30">
        <v>76</v>
      </c>
    </row>
    <row r="1342" spans="1:7" x14ac:dyDescent="0.25">
      <c r="A1342" s="29">
        <v>38948</v>
      </c>
      <c r="B1342" s="30">
        <v>73</v>
      </c>
      <c r="C1342" s="30">
        <v>75.900000000000006</v>
      </c>
      <c r="D1342" s="30"/>
      <c r="E1342" s="30"/>
      <c r="F1342" s="30">
        <v>72.7</v>
      </c>
      <c r="G1342" s="30">
        <v>74.599999999999994</v>
      </c>
    </row>
    <row r="1343" spans="1:7" x14ac:dyDescent="0.25">
      <c r="A1343" s="29">
        <v>38949</v>
      </c>
      <c r="B1343" s="30">
        <v>79.900000000000006</v>
      </c>
      <c r="C1343" s="30">
        <v>81.099999999999994</v>
      </c>
      <c r="D1343" s="30"/>
      <c r="E1343" s="30"/>
      <c r="F1343" s="30">
        <v>82.6</v>
      </c>
      <c r="G1343" s="30">
        <v>81.2</v>
      </c>
    </row>
    <row r="1344" spans="1:7" x14ac:dyDescent="0.25">
      <c r="A1344" s="29">
        <v>38950</v>
      </c>
      <c r="B1344" s="30">
        <v>78.400000000000006</v>
      </c>
      <c r="C1344" s="30">
        <v>78.599999999999994</v>
      </c>
      <c r="D1344" s="30"/>
      <c r="E1344" s="30"/>
      <c r="F1344" s="30">
        <v>78.8</v>
      </c>
      <c r="G1344" s="30">
        <v>78.5</v>
      </c>
    </row>
    <row r="1345" spans="1:7" x14ac:dyDescent="0.25">
      <c r="A1345" s="29">
        <v>38951</v>
      </c>
      <c r="B1345" s="30">
        <v>76.400000000000006</v>
      </c>
      <c r="C1345" s="30">
        <v>79</v>
      </c>
      <c r="D1345" s="30"/>
      <c r="E1345" s="30"/>
      <c r="F1345" s="30">
        <v>74.7</v>
      </c>
      <c r="G1345" s="30">
        <v>78.900000000000006</v>
      </c>
    </row>
    <row r="1346" spans="1:7" x14ac:dyDescent="0.25">
      <c r="A1346" s="29">
        <v>38952</v>
      </c>
      <c r="B1346" s="30">
        <v>77.3</v>
      </c>
      <c r="C1346" s="30">
        <v>79.3</v>
      </c>
      <c r="D1346" s="30"/>
      <c r="E1346" s="30"/>
      <c r="F1346" s="30">
        <v>77.7</v>
      </c>
      <c r="G1346" s="30">
        <v>79</v>
      </c>
    </row>
    <row r="1347" spans="1:7" x14ac:dyDescent="0.25">
      <c r="A1347" s="29">
        <v>38953</v>
      </c>
      <c r="B1347" s="30">
        <v>74.5</v>
      </c>
      <c r="C1347" s="30">
        <v>75.599999999999994</v>
      </c>
      <c r="D1347" s="30"/>
      <c r="E1347" s="30"/>
      <c r="F1347" s="30">
        <v>73.2</v>
      </c>
      <c r="G1347" s="30">
        <v>75.099999999999994</v>
      </c>
    </row>
    <row r="1348" spans="1:7" x14ac:dyDescent="0.25">
      <c r="A1348" s="29">
        <v>38954</v>
      </c>
      <c r="B1348" s="30">
        <v>72.8</v>
      </c>
      <c r="C1348" s="30">
        <v>72.8</v>
      </c>
      <c r="D1348" s="30"/>
      <c r="E1348" s="30"/>
      <c r="F1348" s="30">
        <v>76.3</v>
      </c>
      <c r="G1348" s="30">
        <v>73.7</v>
      </c>
    </row>
    <row r="1349" spans="1:7" x14ac:dyDescent="0.25">
      <c r="A1349" s="29">
        <v>38955</v>
      </c>
      <c r="B1349" s="30">
        <v>67.8</v>
      </c>
      <c r="C1349" s="30">
        <v>68.599999999999994</v>
      </c>
      <c r="D1349" s="30"/>
      <c r="E1349" s="30"/>
      <c r="F1349" s="30">
        <v>75</v>
      </c>
      <c r="G1349" s="30">
        <v>69</v>
      </c>
    </row>
    <row r="1350" spans="1:7" x14ac:dyDescent="0.25">
      <c r="A1350" s="29">
        <v>38956</v>
      </c>
      <c r="B1350" s="30">
        <v>69</v>
      </c>
      <c r="C1350" s="30">
        <v>68.599999999999994</v>
      </c>
      <c r="D1350" s="30"/>
      <c r="E1350" s="30"/>
      <c r="F1350" s="30">
        <v>74.900000000000006</v>
      </c>
      <c r="G1350" s="30">
        <v>69.3</v>
      </c>
    </row>
    <row r="1351" spans="1:7" x14ac:dyDescent="0.25">
      <c r="A1351" s="29">
        <v>38957</v>
      </c>
      <c r="B1351" s="30">
        <v>73.8</v>
      </c>
      <c r="C1351" s="30">
        <v>74.099999999999994</v>
      </c>
      <c r="D1351" s="30"/>
      <c r="E1351" s="30"/>
      <c r="F1351" s="30">
        <v>78.8</v>
      </c>
      <c r="G1351" s="30">
        <v>74.3</v>
      </c>
    </row>
    <row r="1352" spans="1:7" x14ac:dyDescent="0.25">
      <c r="A1352" s="29">
        <v>38958</v>
      </c>
      <c r="B1352" s="30">
        <v>69.7</v>
      </c>
      <c r="C1352" s="30">
        <v>70.5</v>
      </c>
      <c r="D1352" s="30"/>
      <c r="E1352" s="30"/>
      <c r="F1352" s="30">
        <v>73.7</v>
      </c>
      <c r="G1352" s="30">
        <v>71.3</v>
      </c>
    </row>
    <row r="1353" spans="1:7" x14ac:dyDescent="0.25">
      <c r="A1353" s="29">
        <v>38959</v>
      </c>
      <c r="B1353" s="30">
        <v>67</v>
      </c>
      <c r="C1353" s="30">
        <v>67.8</v>
      </c>
      <c r="D1353" s="30"/>
      <c r="E1353" s="30"/>
      <c r="F1353" s="30">
        <v>69.900000000000006</v>
      </c>
      <c r="G1353" s="30">
        <v>67</v>
      </c>
    </row>
    <row r="1354" spans="1:7" x14ac:dyDescent="0.25">
      <c r="A1354" s="29">
        <v>38960</v>
      </c>
      <c r="B1354" s="30">
        <v>67.7</v>
      </c>
      <c r="C1354" s="30">
        <v>68.8</v>
      </c>
      <c r="D1354" s="30"/>
      <c r="E1354" s="30"/>
      <c r="F1354" s="30">
        <v>67.8</v>
      </c>
      <c r="G1354" s="30">
        <v>67.8</v>
      </c>
    </row>
    <row r="1355" spans="1:7" x14ac:dyDescent="0.25">
      <c r="A1355" s="29">
        <v>38961</v>
      </c>
      <c r="B1355" s="30">
        <v>65.5</v>
      </c>
      <c r="C1355" s="30">
        <v>67.3</v>
      </c>
      <c r="D1355" s="30"/>
      <c r="E1355" s="30"/>
      <c r="F1355" s="30">
        <v>66.900000000000006</v>
      </c>
      <c r="G1355" s="30">
        <v>65.8</v>
      </c>
    </row>
    <row r="1356" spans="1:7" x14ac:dyDescent="0.25">
      <c r="A1356" s="29">
        <v>38962</v>
      </c>
      <c r="B1356" s="30">
        <v>63</v>
      </c>
      <c r="C1356" s="30">
        <v>65</v>
      </c>
      <c r="D1356" s="30"/>
      <c r="E1356" s="30"/>
      <c r="F1356" s="30">
        <v>68.2</v>
      </c>
      <c r="G1356" s="30">
        <v>64.2</v>
      </c>
    </row>
    <row r="1357" spans="1:7" x14ac:dyDescent="0.25">
      <c r="A1357" s="29">
        <v>38963</v>
      </c>
      <c r="B1357" s="30">
        <v>70.5</v>
      </c>
      <c r="C1357" s="30">
        <v>70.599999999999994</v>
      </c>
      <c r="D1357" s="30"/>
      <c r="E1357" s="30"/>
      <c r="F1357" s="30">
        <v>68.900000000000006</v>
      </c>
      <c r="G1357" s="30">
        <v>69.8</v>
      </c>
    </row>
    <row r="1358" spans="1:7" x14ac:dyDescent="0.25">
      <c r="A1358" s="29">
        <v>38964</v>
      </c>
      <c r="B1358" s="30">
        <v>69.2</v>
      </c>
      <c r="C1358" s="30">
        <v>69.599999999999994</v>
      </c>
      <c r="D1358" s="30"/>
      <c r="E1358" s="30"/>
      <c r="F1358" s="30">
        <v>69.599999999999994</v>
      </c>
      <c r="G1358" s="30">
        <v>67.7</v>
      </c>
    </row>
    <row r="1359" spans="1:7" x14ac:dyDescent="0.25">
      <c r="A1359" s="29">
        <v>38965</v>
      </c>
      <c r="B1359" s="30">
        <v>67.2</v>
      </c>
      <c r="C1359" s="30">
        <v>68.599999999999994</v>
      </c>
      <c r="D1359" s="30"/>
      <c r="E1359" s="30"/>
      <c r="F1359" s="30">
        <v>67</v>
      </c>
      <c r="G1359" s="30">
        <v>67</v>
      </c>
    </row>
    <row r="1360" spans="1:7" x14ac:dyDescent="0.25">
      <c r="A1360" s="29">
        <v>38966</v>
      </c>
      <c r="B1360" s="30">
        <v>66.5</v>
      </c>
      <c r="C1360" s="30">
        <v>67.900000000000006</v>
      </c>
      <c r="D1360" s="30"/>
      <c r="E1360" s="30"/>
      <c r="F1360" s="30">
        <v>66.900000000000006</v>
      </c>
      <c r="G1360" s="30">
        <v>66.900000000000006</v>
      </c>
    </row>
    <row r="1361" spans="1:7" x14ac:dyDescent="0.25">
      <c r="A1361" s="29">
        <v>38967</v>
      </c>
      <c r="B1361" s="30">
        <v>69.900000000000006</v>
      </c>
      <c r="C1361" s="30">
        <v>72.400000000000006</v>
      </c>
      <c r="D1361" s="30"/>
      <c r="E1361" s="30"/>
      <c r="F1361" s="30">
        <v>68.3</v>
      </c>
      <c r="G1361" s="30">
        <v>70.599999999999994</v>
      </c>
    </row>
    <row r="1362" spans="1:7" x14ac:dyDescent="0.25">
      <c r="A1362" s="29">
        <v>38968</v>
      </c>
      <c r="B1362" s="30">
        <v>70.900000000000006</v>
      </c>
      <c r="C1362" s="30">
        <v>75</v>
      </c>
      <c r="D1362" s="30"/>
      <c r="E1362" s="30"/>
      <c r="F1362" s="30">
        <v>69.3</v>
      </c>
      <c r="G1362" s="30">
        <v>72.599999999999994</v>
      </c>
    </row>
    <row r="1363" spans="1:7" x14ac:dyDescent="0.25">
      <c r="A1363" s="29">
        <v>38969</v>
      </c>
      <c r="B1363" s="30">
        <v>71.8</v>
      </c>
      <c r="C1363" s="30">
        <v>76.400000000000006</v>
      </c>
      <c r="D1363" s="30"/>
      <c r="E1363" s="30"/>
      <c r="F1363" s="30">
        <v>70.900000000000006</v>
      </c>
      <c r="G1363" s="30">
        <v>74.400000000000006</v>
      </c>
    </row>
    <row r="1364" spans="1:7" x14ac:dyDescent="0.25">
      <c r="A1364" s="29">
        <v>38970</v>
      </c>
      <c r="B1364" s="30">
        <v>69</v>
      </c>
      <c r="C1364" s="30">
        <v>71.400000000000006</v>
      </c>
      <c r="D1364" s="30"/>
      <c r="E1364" s="30"/>
      <c r="F1364" s="30">
        <v>69.099999999999994</v>
      </c>
      <c r="G1364" s="30">
        <v>69.7</v>
      </c>
    </row>
    <row r="1365" spans="1:7" x14ac:dyDescent="0.25">
      <c r="A1365" s="29">
        <v>38971</v>
      </c>
      <c r="B1365" s="30">
        <v>63.5</v>
      </c>
      <c r="C1365" s="30">
        <v>64.900000000000006</v>
      </c>
      <c r="D1365" s="30"/>
      <c r="E1365" s="30"/>
      <c r="F1365" s="30">
        <v>64</v>
      </c>
      <c r="G1365" s="30">
        <v>64.099999999999994</v>
      </c>
    </row>
    <row r="1366" spans="1:7" x14ac:dyDescent="0.25">
      <c r="A1366" s="29">
        <v>38972</v>
      </c>
      <c r="B1366" s="30">
        <v>60.1</v>
      </c>
      <c r="C1366" s="30">
        <v>62.7</v>
      </c>
      <c r="D1366" s="30"/>
      <c r="E1366" s="30"/>
      <c r="F1366" s="30">
        <v>58</v>
      </c>
      <c r="G1366" s="30">
        <v>61.4</v>
      </c>
    </row>
    <row r="1367" spans="1:7" x14ac:dyDescent="0.25">
      <c r="A1367" s="29">
        <v>38973</v>
      </c>
      <c r="B1367" s="30">
        <v>62</v>
      </c>
      <c r="C1367" s="30">
        <v>64.599999999999994</v>
      </c>
      <c r="D1367" s="30"/>
      <c r="E1367" s="30"/>
      <c r="F1367" s="30">
        <v>59</v>
      </c>
      <c r="G1367" s="30">
        <v>61.9</v>
      </c>
    </row>
    <row r="1368" spans="1:7" x14ac:dyDescent="0.25">
      <c r="A1368" s="29">
        <v>38974</v>
      </c>
      <c r="B1368" s="30">
        <v>66.5</v>
      </c>
      <c r="C1368" s="30">
        <v>67.900000000000006</v>
      </c>
      <c r="D1368" s="30"/>
      <c r="E1368" s="30"/>
      <c r="F1368" s="30">
        <v>68</v>
      </c>
      <c r="G1368" s="30">
        <v>66.599999999999994</v>
      </c>
    </row>
    <row r="1369" spans="1:7" x14ac:dyDescent="0.25">
      <c r="A1369" s="29">
        <v>38975</v>
      </c>
      <c r="B1369" s="30">
        <v>66.5</v>
      </c>
      <c r="C1369" s="30">
        <v>68.2</v>
      </c>
      <c r="D1369" s="30"/>
      <c r="E1369" s="30"/>
      <c r="F1369" s="30">
        <v>69.400000000000006</v>
      </c>
      <c r="G1369" s="30">
        <v>66.7</v>
      </c>
    </row>
    <row r="1370" spans="1:7" x14ac:dyDescent="0.25">
      <c r="A1370" s="29">
        <v>38976</v>
      </c>
      <c r="B1370" s="30">
        <v>69.5</v>
      </c>
      <c r="C1370" s="30">
        <v>70.599999999999994</v>
      </c>
      <c r="D1370" s="30"/>
      <c r="E1370" s="30"/>
      <c r="F1370" s="30">
        <v>68.8</v>
      </c>
      <c r="G1370" s="30">
        <v>70</v>
      </c>
    </row>
    <row r="1371" spans="1:7" x14ac:dyDescent="0.25">
      <c r="A1371" s="29">
        <v>38977</v>
      </c>
      <c r="B1371" s="30">
        <v>70.2</v>
      </c>
      <c r="C1371" s="30">
        <v>72.8</v>
      </c>
      <c r="D1371" s="30"/>
      <c r="E1371" s="30"/>
      <c r="F1371" s="30">
        <v>68.400000000000006</v>
      </c>
      <c r="G1371" s="30">
        <v>71.099999999999994</v>
      </c>
    </row>
    <row r="1372" spans="1:7" x14ac:dyDescent="0.25">
      <c r="A1372" s="29">
        <v>38978</v>
      </c>
      <c r="B1372" s="30">
        <v>70.099999999999994</v>
      </c>
      <c r="C1372" s="30">
        <v>75</v>
      </c>
      <c r="D1372" s="30"/>
      <c r="E1372" s="30"/>
      <c r="F1372" s="30">
        <v>69.5</v>
      </c>
      <c r="G1372" s="30">
        <v>72.5</v>
      </c>
    </row>
    <row r="1373" spans="1:7" x14ac:dyDescent="0.25">
      <c r="A1373" s="29">
        <v>38979</v>
      </c>
      <c r="B1373" s="30">
        <v>70.5</v>
      </c>
      <c r="C1373" s="30">
        <v>73.400000000000006</v>
      </c>
      <c r="D1373" s="30"/>
      <c r="E1373" s="30"/>
      <c r="F1373" s="30">
        <v>73.3</v>
      </c>
      <c r="G1373" s="30">
        <v>72.2</v>
      </c>
    </row>
    <row r="1374" spans="1:7" x14ac:dyDescent="0.25">
      <c r="A1374" s="29">
        <v>38980</v>
      </c>
      <c r="B1374" s="30">
        <v>68</v>
      </c>
      <c r="C1374" s="30">
        <v>68.7</v>
      </c>
      <c r="D1374" s="30"/>
      <c r="E1374" s="30"/>
      <c r="F1374" s="30">
        <v>66.8</v>
      </c>
      <c r="G1374" s="30">
        <v>67.7</v>
      </c>
    </row>
    <row r="1375" spans="1:7" x14ac:dyDescent="0.25">
      <c r="A1375" s="29">
        <v>38981</v>
      </c>
      <c r="B1375" s="30">
        <v>61.3</v>
      </c>
      <c r="C1375" s="30">
        <v>62.4</v>
      </c>
      <c r="D1375" s="30"/>
      <c r="E1375" s="30"/>
      <c r="F1375" s="30">
        <v>58</v>
      </c>
      <c r="G1375" s="30">
        <v>60.3</v>
      </c>
    </row>
    <row r="1376" spans="1:7" x14ac:dyDescent="0.25">
      <c r="A1376" s="29">
        <v>38982</v>
      </c>
      <c r="B1376" s="30">
        <v>61.5</v>
      </c>
      <c r="C1376" s="30">
        <v>64.8</v>
      </c>
      <c r="D1376" s="30"/>
      <c r="E1376" s="30"/>
      <c r="F1376" s="30">
        <v>57.3</v>
      </c>
      <c r="G1376" s="30">
        <v>61.2</v>
      </c>
    </row>
    <row r="1377" spans="1:7" x14ac:dyDescent="0.25">
      <c r="A1377" s="29">
        <v>38983</v>
      </c>
      <c r="B1377" s="30">
        <v>68.2</v>
      </c>
      <c r="C1377" s="30">
        <v>69.3</v>
      </c>
      <c r="D1377" s="30"/>
      <c r="E1377" s="30"/>
      <c r="F1377" s="30">
        <v>71.5</v>
      </c>
      <c r="G1377" s="30">
        <v>67.599999999999994</v>
      </c>
    </row>
    <row r="1378" spans="1:7" x14ac:dyDescent="0.25">
      <c r="A1378" s="29">
        <v>38984</v>
      </c>
      <c r="B1378" s="30">
        <v>73.2</v>
      </c>
      <c r="C1378" s="30">
        <v>76.3</v>
      </c>
      <c r="D1378" s="30"/>
      <c r="E1378" s="30"/>
      <c r="F1378" s="30">
        <v>75.900000000000006</v>
      </c>
      <c r="G1378" s="30">
        <v>74.2</v>
      </c>
    </row>
    <row r="1379" spans="1:7" x14ac:dyDescent="0.25">
      <c r="A1379" s="29">
        <v>38985</v>
      </c>
      <c r="B1379" s="30">
        <v>68.599999999999994</v>
      </c>
      <c r="C1379" s="30">
        <v>70.400000000000006</v>
      </c>
      <c r="D1379" s="30"/>
      <c r="E1379" s="30"/>
      <c r="F1379" s="30">
        <v>67.5</v>
      </c>
      <c r="G1379" s="30">
        <v>68.099999999999994</v>
      </c>
    </row>
    <row r="1380" spans="1:7" x14ac:dyDescent="0.25">
      <c r="A1380" s="29">
        <v>38986</v>
      </c>
      <c r="B1380" s="30">
        <v>65.8</v>
      </c>
      <c r="C1380" s="30">
        <v>67.7</v>
      </c>
      <c r="D1380" s="30"/>
      <c r="E1380" s="30"/>
      <c r="F1380" s="30">
        <v>63.3</v>
      </c>
      <c r="G1380" s="30">
        <v>64.3</v>
      </c>
    </row>
    <row r="1381" spans="1:7" x14ac:dyDescent="0.25">
      <c r="A1381" s="29">
        <v>38987</v>
      </c>
      <c r="B1381" s="30">
        <v>63.6</v>
      </c>
      <c r="C1381" s="30">
        <v>66</v>
      </c>
      <c r="D1381" s="30"/>
      <c r="E1381" s="30"/>
      <c r="F1381" s="30">
        <v>62.1</v>
      </c>
      <c r="G1381" s="30">
        <v>62.7</v>
      </c>
    </row>
    <row r="1382" spans="1:7" x14ac:dyDescent="0.25">
      <c r="A1382" s="29">
        <v>38988</v>
      </c>
      <c r="B1382" s="30">
        <v>66.900000000000006</v>
      </c>
      <c r="C1382" s="30">
        <v>69.2</v>
      </c>
      <c r="D1382" s="30"/>
      <c r="E1382" s="30"/>
      <c r="F1382" s="30">
        <v>61.9</v>
      </c>
      <c r="G1382" s="30">
        <v>66.400000000000006</v>
      </c>
    </row>
    <row r="1383" spans="1:7" x14ac:dyDescent="0.25">
      <c r="A1383" s="29">
        <v>38989</v>
      </c>
      <c r="B1383" s="30">
        <v>63.8</v>
      </c>
      <c r="C1383" s="30">
        <v>64.8</v>
      </c>
      <c r="D1383" s="30"/>
      <c r="E1383" s="30"/>
      <c r="F1383" s="30">
        <v>62.5</v>
      </c>
      <c r="G1383" s="30">
        <v>62.9</v>
      </c>
    </row>
    <row r="1384" spans="1:7" x14ac:dyDescent="0.25">
      <c r="A1384" s="29">
        <v>38990</v>
      </c>
      <c r="B1384" s="30">
        <v>58.4</v>
      </c>
      <c r="C1384" s="30">
        <v>60.1</v>
      </c>
      <c r="D1384" s="30"/>
      <c r="E1384" s="30"/>
      <c r="F1384" s="30">
        <v>55.5</v>
      </c>
      <c r="G1384" s="30">
        <v>56.2</v>
      </c>
    </row>
    <row r="1385" spans="1:7" x14ac:dyDescent="0.25">
      <c r="A1385" s="29">
        <v>38991</v>
      </c>
      <c r="B1385" s="30">
        <v>65.3</v>
      </c>
      <c r="C1385" s="30">
        <v>66.3</v>
      </c>
      <c r="D1385" s="30"/>
      <c r="E1385" s="30"/>
      <c r="F1385" s="30">
        <v>63.3</v>
      </c>
      <c r="G1385" s="30">
        <v>65</v>
      </c>
    </row>
    <row r="1386" spans="1:7" x14ac:dyDescent="0.25">
      <c r="A1386" s="29">
        <v>38992</v>
      </c>
      <c r="B1386" s="30">
        <v>62</v>
      </c>
      <c r="C1386" s="30">
        <v>63.2</v>
      </c>
      <c r="D1386" s="30"/>
      <c r="E1386" s="30"/>
      <c r="F1386" s="30">
        <v>59.8</v>
      </c>
      <c r="G1386" s="30">
        <v>60.7</v>
      </c>
    </row>
    <row r="1387" spans="1:7" x14ac:dyDescent="0.25">
      <c r="A1387" s="29">
        <v>38993</v>
      </c>
      <c r="B1387" s="30">
        <v>63.7</v>
      </c>
      <c r="C1387" s="30">
        <v>68.599999999999994</v>
      </c>
      <c r="D1387" s="30"/>
      <c r="E1387" s="30"/>
      <c r="F1387" s="30">
        <v>64</v>
      </c>
      <c r="G1387" s="30">
        <v>65.099999999999994</v>
      </c>
    </row>
    <row r="1388" spans="1:7" x14ac:dyDescent="0.25">
      <c r="A1388" s="29">
        <v>38994</v>
      </c>
      <c r="B1388" s="30">
        <v>67.8</v>
      </c>
      <c r="C1388" s="30">
        <v>73.900000000000006</v>
      </c>
      <c r="D1388" s="30"/>
      <c r="E1388" s="30"/>
      <c r="F1388" s="30">
        <v>70.400000000000006</v>
      </c>
      <c r="G1388" s="30">
        <v>71.7</v>
      </c>
    </row>
    <row r="1389" spans="1:7" x14ac:dyDescent="0.25">
      <c r="A1389" s="29">
        <v>38995</v>
      </c>
      <c r="B1389" s="30">
        <v>63</v>
      </c>
      <c r="C1389" s="30">
        <v>64.5</v>
      </c>
      <c r="D1389" s="30"/>
      <c r="E1389" s="30"/>
      <c r="F1389" s="30">
        <v>64.8</v>
      </c>
      <c r="G1389" s="30">
        <v>62.8</v>
      </c>
    </row>
    <row r="1390" spans="1:7" x14ac:dyDescent="0.25">
      <c r="A1390" s="29">
        <v>38996</v>
      </c>
      <c r="B1390" s="30">
        <v>55.8</v>
      </c>
      <c r="C1390" s="30">
        <v>57.6</v>
      </c>
      <c r="D1390" s="30"/>
      <c r="E1390" s="30"/>
      <c r="F1390" s="30">
        <v>54.6</v>
      </c>
      <c r="G1390" s="30">
        <v>54.5</v>
      </c>
    </row>
    <row r="1391" spans="1:7" x14ac:dyDescent="0.25">
      <c r="A1391" s="29">
        <v>38997</v>
      </c>
      <c r="B1391" s="30">
        <v>56.4</v>
      </c>
      <c r="C1391" s="30">
        <v>57.6</v>
      </c>
      <c r="D1391" s="30"/>
      <c r="E1391" s="30"/>
      <c r="F1391" s="30">
        <v>58.3</v>
      </c>
      <c r="G1391" s="30">
        <v>56</v>
      </c>
    </row>
    <row r="1392" spans="1:7" x14ac:dyDescent="0.25">
      <c r="A1392" s="29">
        <v>38998</v>
      </c>
      <c r="B1392" s="30">
        <v>57.7</v>
      </c>
      <c r="C1392" s="30">
        <v>61.2</v>
      </c>
      <c r="D1392" s="30"/>
      <c r="E1392" s="30"/>
      <c r="F1392" s="30">
        <v>60.6</v>
      </c>
      <c r="G1392" s="30">
        <v>58.9</v>
      </c>
    </row>
    <row r="1393" spans="1:7" x14ac:dyDescent="0.25">
      <c r="A1393" s="29">
        <v>38999</v>
      </c>
      <c r="B1393" s="30">
        <v>62.1</v>
      </c>
      <c r="C1393" s="30">
        <v>66.599999999999994</v>
      </c>
      <c r="D1393" s="30"/>
      <c r="E1393" s="30"/>
      <c r="F1393" s="30">
        <v>59.2</v>
      </c>
      <c r="G1393" s="30">
        <v>64</v>
      </c>
    </row>
    <row r="1394" spans="1:7" x14ac:dyDescent="0.25">
      <c r="A1394" s="29">
        <v>39000</v>
      </c>
      <c r="B1394" s="30">
        <v>65.599999999999994</v>
      </c>
      <c r="C1394" s="30">
        <v>69.400000000000006</v>
      </c>
      <c r="D1394" s="30"/>
      <c r="E1394" s="30"/>
      <c r="F1394" s="30">
        <v>63.7</v>
      </c>
      <c r="G1394" s="30">
        <v>67.7</v>
      </c>
    </row>
    <row r="1395" spans="1:7" x14ac:dyDescent="0.25">
      <c r="A1395" s="29">
        <v>39001</v>
      </c>
      <c r="B1395" s="30">
        <v>61</v>
      </c>
      <c r="C1395" s="30">
        <v>63</v>
      </c>
      <c r="D1395" s="30"/>
      <c r="E1395" s="30"/>
      <c r="F1395" s="30">
        <v>62.6</v>
      </c>
      <c r="G1395" s="30">
        <v>62.6</v>
      </c>
    </row>
    <row r="1396" spans="1:7" x14ac:dyDescent="0.25">
      <c r="A1396" s="29">
        <v>39002</v>
      </c>
      <c r="B1396" s="30">
        <v>63.5</v>
      </c>
      <c r="C1396" s="30">
        <v>64.8</v>
      </c>
      <c r="D1396" s="30"/>
      <c r="E1396" s="30"/>
      <c r="F1396" s="30">
        <v>67.3</v>
      </c>
      <c r="G1396" s="30">
        <v>63.2</v>
      </c>
    </row>
    <row r="1397" spans="1:7" x14ac:dyDescent="0.25">
      <c r="A1397" s="29">
        <v>39003</v>
      </c>
      <c r="B1397" s="30">
        <v>51.3</v>
      </c>
      <c r="C1397" s="30">
        <v>52.8</v>
      </c>
      <c r="D1397" s="30"/>
      <c r="E1397" s="30"/>
      <c r="F1397" s="30">
        <v>50.7</v>
      </c>
      <c r="G1397" s="30">
        <v>49.9</v>
      </c>
    </row>
    <row r="1398" spans="1:7" x14ac:dyDescent="0.25">
      <c r="A1398" s="29">
        <v>39004</v>
      </c>
      <c r="B1398" s="30">
        <v>52.1</v>
      </c>
      <c r="C1398" s="30">
        <v>53.4</v>
      </c>
      <c r="D1398" s="30"/>
      <c r="E1398" s="30"/>
      <c r="F1398" s="30">
        <v>46.4</v>
      </c>
      <c r="G1398" s="30">
        <v>49.2</v>
      </c>
    </row>
    <row r="1399" spans="1:7" x14ac:dyDescent="0.25">
      <c r="A1399" s="29">
        <v>39005</v>
      </c>
      <c r="B1399" s="30">
        <v>50.7</v>
      </c>
      <c r="C1399" s="30">
        <v>52.3</v>
      </c>
      <c r="D1399" s="30"/>
      <c r="E1399" s="30"/>
      <c r="F1399" s="30">
        <v>47.1</v>
      </c>
      <c r="G1399" s="30">
        <v>48.2</v>
      </c>
    </row>
    <row r="1400" spans="1:7" x14ac:dyDescent="0.25">
      <c r="A1400" s="29">
        <v>39006</v>
      </c>
      <c r="B1400" s="30">
        <v>50.8</v>
      </c>
      <c r="C1400" s="30">
        <v>54.6</v>
      </c>
      <c r="D1400" s="30"/>
      <c r="E1400" s="30"/>
      <c r="F1400" s="30">
        <v>47.7</v>
      </c>
      <c r="G1400" s="30">
        <v>50.1</v>
      </c>
    </row>
    <row r="1401" spans="1:7" x14ac:dyDescent="0.25">
      <c r="A1401" s="29">
        <v>39007</v>
      </c>
      <c r="B1401" s="30">
        <v>56.8</v>
      </c>
      <c r="C1401" s="30">
        <v>57.5</v>
      </c>
      <c r="D1401" s="30"/>
      <c r="E1401" s="30"/>
      <c r="F1401" s="30">
        <v>56.3</v>
      </c>
      <c r="G1401" s="30">
        <v>55.7</v>
      </c>
    </row>
    <row r="1402" spans="1:7" x14ac:dyDescent="0.25">
      <c r="A1402" s="29">
        <v>39008</v>
      </c>
      <c r="B1402" s="30">
        <v>65.400000000000006</v>
      </c>
      <c r="C1402" s="30">
        <v>66.5</v>
      </c>
      <c r="D1402" s="30"/>
      <c r="E1402" s="30"/>
      <c r="F1402" s="30">
        <v>66.7</v>
      </c>
      <c r="G1402" s="30">
        <v>65.8</v>
      </c>
    </row>
    <row r="1403" spans="1:7" x14ac:dyDescent="0.25">
      <c r="A1403" s="29">
        <v>39009</v>
      </c>
      <c r="B1403" s="30">
        <v>63.2</v>
      </c>
      <c r="C1403" s="30">
        <v>65.2</v>
      </c>
      <c r="D1403" s="30"/>
      <c r="E1403" s="30"/>
      <c r="F1403" s="30">
        <v>63.7</v>
      </c>
      <c r="G1403" s="30">
        <v>64.099999999999994</v>
      </c>
    </row>
    <row r="1404" spans="1:7" x14ac:dyDescent="0.25">
      <c r="A1404" s="29">
        <v>39010</v>
      </c>
      <c r="B1404" s="30">
        <v>62.2</v>
      </c>
      <c r="C1404" s="30">
        <v>63.9</v>
      </c>
      <c r="D1404" s="30"/>
      <c r="E1404" s="30"/>
      <c r="F1404" s="30">
        <v>64.7</v>
      </c>
      <c r="G1404" s="30">
        <v>62.5</v>
      </c>
    </row>
    <row r="1405" spans="1:7" x14ac:dyDescent="0.25">
      <c r="A1405" s="29">
        <v>39011</v>
      </c>
      <c r="B1405" s="30">
        <v>50.9</v>
      </c>
      <c r="C1405" s="30">
        <v>52</v>
      </c>
      <c r="D1405" s="30"/>
      <c r="E1405" s="30"/>
      <c r="F1405" s="30">
        <v>50.7</v>
      </c>
      <c r="G1405" s="30">
        <v>49.9</v>
      </c>
    </row>
    <row r="1406" spans="1:7" x14ac:dyDescent="0.25">
      <c r="A1406" s="29">
        <v>39012</v>
      </c>
      <c r="B1406" s="30">
        <v>52</v>
      </c>
      <c r="C1406" s="30">
        <v>54.9</v>
      </c>
      <c r="D1406" s="30"/>
      <c r="E1406" s="30"/>
      <c r="F1406" s="30">
        <v>49.7</v>
      </c>
      <c r="G1406" s="30">
        <v>51.3</v>
      </c>
    </row>
    <row r="1407" spans="1:7" x14ac:dyDescent="0.25">
      <c r="A1407" s="29">
        <v>39013</v>
      </c>
      <c r="B1407" s="30">
        <v>53.1</v>
      </c>
      <c r="C1407" s="30">
        <v>54.4</v>
      </c>
      <c r="D1407" s="30"/>
      <c r="E1407" s="30"/>
      <c r="F1407" s="30">
        <v>52.7</v>
      </c>
      <c r="G1407" s="30">
        <v>52.1</v>
      </c>
    </row>
    <row r="1408" spans="1:7" x14ac:dyDescent="0.25">
      <c r="A1408" s="29">
        <v>39014</v>
      </c>
      <c r="B1408" s="30">
        <v>46.9</v>
      </c>
      <c r="C1408" s="30">
        <v>48.1</v>
      </c>
      <c r="D1408" s="30"/>
      <c r="E1408" s="30"/>
      <c r="F1408" s="30">
        <v>45.5</v>
      </c>
      <c r="G1408" s="30">
        <v>45.8</v>
      </c>
    </row>
    <row r="1409" spans="1:7" x14ac:dyDescent="0.25">
      <c r="A1409" s="29">
        <v>39015</v>
      </c>
      <c r="B1409" s="30">
        <v>48.4</v>
      </c>
      <c r="C1409" s="30">
        <v>49.6</v>
      </c>
      <c r="D1409" s="30"/>
      <c r="E1409" s="30"/>
      <c r="F1409" s="30">
        <v>46.2</v>
      </c>
      <c r="G1409" s="30">
        <v>47</v>
      </c>
    </row>
    <row r="1410" spans="1:7" x14ac:dyDescent="0.25">
      <c r="A1410" s="29">
        <v>39016</v>
      </c>
      <c r="B1410" s="30">
        <v>46.8</v>
      </c>
      <c r="C1410" s="30">
        <v>48.2</v>
      </c>
      <c r="D1410" s="30"/>
      <c r="E1410" s="30"/>
      <c r="F1410" s="30">
        <v>43.6</v>
      </c>
      <c r="G1410" s="30">
        <v>45.8</v>
      </c>
    </row>
    <row r="1411" spans="1:7" x14ac:dyDescent="0.25">
      <c r="A1411" s="29">
        <v>39017</v>
      </c>
      <c r="B1411" s="30">
        <v>43.5</v>
      </c>
      <c r="C1411" s="30">
        <v>46.4</v>
      </c>
      <c r="D1411" s="30"/>
      <c r="E1411" s="30"/>
      <c r="F1411" s="30">
        <v>40.200000000000003</v>
      </c>
      <c r="G1411" s="30">
        <v>42.8</v>
      </c>
    </row>
    <row r="1412" spans="1:7" x14ac:dyDescent="0.25">
      <c r="A1412" s="29">
        <v>39018</v>
      </c>
      <c r="B1412" s="30">
        <v>56.4</v>
      </c>
      <c r="C1412" s="30">
        <v>57.6</v>
      </c>
      <c r="D1412" s="30"/>
      <c r="E1412" s="30"/>
      <c r="F1412" s="30">
        <v>59.2</v>
      </c>
      <c r="G1412" s="30">
        <v>56.6</v>
      </c>
    </row>
    <row r="1413" spans="1:7" x14ac:dyDescent="0.25">
      <c r="A1413" s="29">
        <v>39019</v>
      </c>
      <c r="B1413" s="30">
        <v>49.4</v>
      </c>
      <c r="C1413" s="30">
        <v>50.4</v>
      </c>
      <c r="D1413" s="30"/>
      <c r="E1413" s="30"/>
      <c r="F1413" s="30">
        <v>50.4</v>
      </c>
      <c r="G1413" s="30">
        <v>48.7</v>
      </c>
    </row>
    <row r="1414" spans="1:7" x14ac:dyDescent="0.25">
      <c r="A1414" s="29">
        <v>39020</v>
      </c>
      <c r="B1414" s="30">
        <v>50.6</v>
      </c>
      <c r="C1414" s="30">
        <v>53.4</v>
      </c>
      <c r="D1414" s="30"/>
      <c r="E1414" s="30"/>
      <c r="F1414" s="30">
        <v>50.9</v>
      </c>
      <c r="G1414" s="30">
        <v>49.7</v>
      </c>
    </row>
    <row r="1415" spans="1:7" x14ac:dyDescent="0.25">
      <c r="A1415" s="29">
        <v>39021</v>
      </c>
      <c r="B1415" s="30">
        <v>54.2</v>
      </c>
      <c r="C1415" s="30">
        <v>59.5</v>
      </c>
      <c r="D1415" s="30"/>
      <c r="E1415" s="30"/>
      <c r="F1415" s="30">
        <v>56</v>
      </c>
      <c r="G1415" s="30">
        <v>55.2</v>
      </c>
    </row>
    <row r="1416" spans="1:7" x14ac:dyDescent="0.25">
      <c r="A1416" s="29">
        <v>39022</v>
      </c>
      <c r="B1416" s="30">
        <v>60.5</v>
      </c>
      <c r="C1416" s="30">
        <v>64.7</v>
      </c>
      <c r="D1416" s="30"/>
      <c r="E1416" s="30"/>
      <c r="F1416" s="30">
        <v>63.1</v>
      </c>
      <c r="G1416" s="30">
        <v>63.1</v>
      </c>
    </row>
    <row r="1417" spans="1:7" x14ac:dyDescent="0.25">
      <c r="A1417" s="29">
        <v>39023</v>
      </c>
      <c r="B1417" s="30">
        <v>52.1</v>
      </c>
      <c r="C1417" s="30">
        <v>54.6</v>
      </c>
      <c r="D1417" s="30"/>
      <c r="E1417" s="30"/>
      <c r="F1417" s="30">
        <v>54.5</v>
      </c>
      <c r="G1417" s="30">
        <v>53</v>
      </c>
    </row>
    <row r="1418" spans="1:7" x14ac:dyDescent="0.25">
      <c r="A1418" s="29">
        <v>39024</v>
      </c>
      <c r="B1418" s="30">
        <v>44</v>
      </c>
      <c r="C1418" s="30">
        <v>45.2</v>
      </c>
      <c r="D1418" s="30"/>
      <c r="E1418" s="30"/>
      <c r="F1418" s="30">
        <v>40.1</v>
      </c>
      <c r="G1418" s="30">
        <v>43.3</v>
      </c>
    </row>
    <row r="1419" spans="1:7" x14ac:dyDescent="0.25">
      <c r="A1419" s="29">
        <v>39025</v>
      </c>
      <c r="B1419" s="30">
        <v>41.3</v>
      </c>
      <c r="C1419" s="30">
        <v>43</v>
      </c>
      <c r="D1419" s="30"/>
      <c r="E1419" s="30"/>
      <c r="F1419" s="30">
        <v>37.200000000000003</v>
      </c>
      <c r="G1419" s="30">
        <v>40.700000000000003</v>
      </c>
    </row>
    <row r="1420" spans="1:7" x14ac:dyDescent="0.25">
      <c r="A1420" s="29">
        <v>39026</v>
      </c>
      <c r="B1420" s="30">
        <v>41.5</v>
      </c>
      <c r="C1420" s="30">
        <v>45</v>
      </c>
      <c r="D1420" s="30"/>
      <c r="E1420" s="30"/>
      <c r="F1420" s="30">
        <v>38.4</v>
      </c>
      <c r="G1420" s="30">
        <v>42.5</v>
      </c>
    </row>
    <row r="1421" spans="1:7" x14ac:dyDescent="0.25">
      <c r="A1421" s="29">
        <v>39027</v>
      </c>
      <c r="B1421" s="30">
        <v>45.6</v>
      </c>
      <c r="C1421" s="30">
        <v>49.4</v>
      </c>
      <c r="D1421" s="30"/>
      <c r="E1421" s="30"/>
      <c r="F1421" s="30">
        <v>40.700000000000003</v>
      </c>
      <c r="G1421" s="30">
        <v>45.2</v>
      </c>
    </row>
    <row r="1422" spans="1:7" x14ac:dyDescent="0.25">
      <c r="A1422" s="29">
        <v>39028</v>
      </c>
      <c r="B1422" s="30">
        <v>51.1</v>
      </c>
      <c r="C1422" s="30">
        <v>54.4</v>
      </c>
      <c r="D1422" s="30"/>
      <c r="E1422" s="30"/>
      <c r="F1422" s="30">
        <v>47.9</v>
      </c>
      <c r="G1422" s="30">
        <v>51</v>
      </c>
    </row>
    <row r="1423" spans="1:7" x14ac:dyDescent="0.25">
      <c r="A1423" s="29">
        <v>39029</v>
      </c>
      <c r="B1423" s="30">
        <v>57.2</v>
      </c>
      <c r="C1423" s="30">
        <v>58.3</v>
      </c>
      <c r="D1423" s="30"/>
      <c r="E1423" s="30"/>
      <c r="F1423" s="30">
        <v>59.8</v>
      </c>
      <c r="G1423" s="30">
        <v>57.4</v>
      </c>
    </row>
    <row r="1424" spans="1:7" x14ac:dyDescent="0.25">
      <c r="A1424" s="29">
        <v>39030</v>
      </c>
      <c r="B1424" s="30">
        <v>61</v>
      </c>
      <c r="C1424" s="30">
        <v>62.2</v>
      </c>
      <c r="D1424" s="30"/>
      <c r="E1424" s="30"/>
      <c r="F1424" s="30">
        <v>62.1</v>
      </c>
      <c r="G1424" s="30">
        <v>61.5</v>
      </c>
    </row>
    <row r="1425" spans="1:7" x14ac:dyDescent="0.25">
      <c r="A1425" s="29">
        <v>39031</v>
      </c>
      <c r="B1425" s="30">
        <v>58.8</v>
      </c>
      <c r="C1425" s="30">
        <v>60.6</v>
      </c>
      <c r="D1425" s="30"/>
      <c r="E1425" s="30"/>
      <c r="F1425" s="30">
        <v>58.9</v>
      </c>
      <c r="G1425" s="30">
        <v>58.4</v>
      </c>
    </row>
    <row r="1426" spans="1:7" x14ac:dyDescent="0.25">
      <c r="A1426" s="29">
        <v>39032</v>
      </c>
      <c r="B1426" s="30">
        <v>54.3</v>
      </c>
      <c r="C1426" s="30">
        <v>57.2</v>
      </c>
      <c r="D1426" s="30"/>
      <c r="E1426" s="30"/>
      <c r="F1426" s="30">
        <v>58.2</v>
      </c>
      <c r="G1426" s="30">
        <v>55.5</v>
      </c>
    </row>
    <row r="1427" spans="1:7" x14ac:dyDescent="0.25">
      <c r="A1427" s="29">
        <v>39033</v>
      </c>
      <c r="B1427" s="30">
        <v>59</v>
      </c>
      <c r="C1427" s="30">
        <v>59.6</v>
      </c>
      <c r="D1427" s="30"/>
      <c r="E1427" s="30"/>
      <c r="F1427" s="30">
        <v>61.2</v>
      </c>
      <c r="G1427" s="30">
        <v>59.4</v>
      </c>
    </row>
    <row r="1428" spans="1:7" x14ac:dyDescent="0.25">
      <c r="A1428" s="29">
        <v>39034</v>
      </c>
      <c r="B1428" s="30">
        <v>57.6</v>
      </c>
      <c r="C1428" s="30">
        <v>57.9</v>
      </c>
      <c r="D1428" s="30"/>
      <c r="E1428" s="30"/>
      <c r="F1428" s="30">
        <v>60.9</v>
      </c>
      <c r="G1428" s="30">
        <v>55.6</v>
      </c>
    </row>
    <row r="1429" spans="1:7" x14ac:dyDescent="0.25">
      <c r="A1429" s="29">
        <v>39035</v>
      </c>
      <c r="B1429" s="30">
        <v>56.4</v>
      </c>
      <c r="C1429" s="30">
        <v>58.6</v>
      </c>
      <c r="D1429" s="30"/>
      <c r="E1429" s="30"/>
      <c r="F1429" s="30">
        <v>59.7</v>
      </c>
      <c r="G1429" s="30">
        <v>58.1</v>
      </c>
    </row>
    <row r="1430" spans="1:7" x14ac:dyDescent="0.25">
      <c r="A1430" s="29">
        <v>39036</v>
      </c>
      <c r="B1430" s="30">
        <v>57.9</v>
      </c>
      <c r="C1430" s="30">
        <v>60.5</v>
      </c>
      <c r="D1430" s="30"/>
      <c r="E1430" s="30"/>
      <c r="F1430" s="30">
        <v>59.9</v>
      </c>
      <c r="G1430" s="30">
        <v>59.7</v>
      </c>
    </row>
    <row r="1431" spans="1:7" x14ac:dyDescent="0.25">
      <c r="A1431" s="29">
        <v>39037</v>
      </c>
      <c r="B1431" s="30">
        <v>60.5</v>
      </c>
      <c r="C1431" s="30">
        <v>64.7</v>
      </c>
      <c r="D1431" s="30"/>
      <c r="E1431" s="30"/>
      <c r="F1431" s="30">
        <v>63.4</v>
      </c>
      <c r="G1431" s="30">
        <v>62</v>
      </c>
    </row>
    <row r="1432" spans="1:7" x14ac:dyDescent="0.25">
      <c r="A1432" s="29">
        <v>39038</v>
      </c>
      <c r="B1432" s="30">
        <v>60.4</v>
      </c>
      <c r="C1432" s="30">
        <v>62.8</v>
      </c>
      <c r="D1432" s="30"/>
      <c r="E1432" s="30"/>
      <c r="F1432" s="30">
        <v>60.8</v>
      </c>
      <c r="G1432" s="30">
        <v>62</v>
      </c>
    </row>
    <row r="1433" spans="1:7" x14ac:dyDescent="0.25">
      <c r="A1433" s="29">
        <v>39039</v>
      </c>
      <c r="B1433" s="30">
        <v>49.2</v>
      </c>
      <c r="C1433" s="30">
        <v>50.9</v>
      </c>
      <c r="D1433" s="30"/>
      <c r="E1433" s="30"/>
      <c r="F1433" s="30">
        <v>45.5</v>
      </c>
      <c r="G1433" s="30">
        <v>48.3</v>
      </c>
    </row>
    <row r="1434" spans="1:7" x14ac:dyDescent="0.25">
      <c r="A1434" s="29">
        <v>39040</v>
      </c>
      <c r="B1434" s="30">
        <v>46.5</v>
      </c>
      <c r="C1434" s="30">
        <v>47.5</v>
      </c>
      <c r="D1434" s="30"/>
      <c r="E1434" s="30"/>
      <c r="F1434" s="30">
        <v>44.9</v>
      </c>
      <c r="G1434" s="30">
        <v>46.5</v>
      </c>
    </row>
    <row r="1435" spans="1:7" x14ac:dyDescent="0.25">
      <c r="A1435" s="29">
        <v>39041</v>
      </c>
      <c r="B1435" s="30">
        <v>42.4</v>
      </c>
      <c r="C1435" s="30">
        <v>43.7</v>
      </c>
      <c r="D1435" s="30"/>
      <c r="E1435" s="30"/>
      <c r="F1435" s="30">
        <v>41.9</v>
      </c>
      <c r="G1435" s="30">
        <v>42.2</v>
      </c>
    </row>
    <row r="1436" spans="1:7" x14ac:dyDescent="0.25">
      <c r="A1436" s="29">
        <v>39042</v>
      </c>
      <c r="B1436" s="30">
        <v>40.299999999999997</v>
      </c>
      <c r="C1436" s="30">
        <v>41.7</v>
      </c>
      <c r="D1436" s="30"/>
      <c r="E1436" s="30"/>
      <c r="F1436" s="30">
        <v>39.5</v>
      </c>
      <c r="G1436" s="30">
        <v>40</v>
      </c>
    </row>
    <row r="1437" spans="1:7" x14ac:dyDescent="0.25">
      <c r="A1437" s="29">
        <v>39043</v>
      </c>
      <c r="B1437" s="30">
        <v>42.2</v>
      </c>
      <c r="C1437" s="30">
        <v>44.1</v>
      </c>
      <c r="D1437" s="30"/>
      <c r="E1437" s="30"/>
      <c r="F1437" s="30">
        <v>46.9</v>
      </c>
      <c r="G1437" s="30">
        <v>40.6</v>
      </c>
    </row>
    <row r="1438" spans="1:7" x14ac:dyDescent="0.25">
      <c r="A1438" s="29">
        <v>39044</v>
      </c>
      <c r="B1438" s="30">
        <v>43.7</v>
      </c>
      <c r="C1438" s="30">
        <v>45.1</v>
      </c>
      <c r="D1438" s="30"/>
      <c r="E1438" s="30"/>
      <c r="F1438" s="30">
        <v>47.3</v>
      </c>
      <c r="G1438" s="30">
        <v>41.3</v>
      </c>
    </row>
    <row r="1439" spans="1:7" x14ac:dyDescent="0.25">
      <c r="A1439" s="29">
        <v>39045</v>
      </c>
      <c r="B1439" s="30">
        <v>48.7</v>
      </c>
      <c r="C1439" s="30">
        <v>50.6</v>
      </c>
      <c r="D1439" s="30"/>
      <c r="E1439" s="30"/>
      <c r="F1439" s="30">
        <v>49.5</v>
      </c>
      <c r="G1439" s="30">
        <v>49.9</v>
      </c>
    </row>
    <row r="1440" spans="1:7" x14ac:dyDescent="0.25">
      <c r="A1440" s="29">
        <v>39046</v>
      </c>
      <c r="B1440" s="30">
        <v>45.2</v>
      </c>
      <c r="C1440" s="30">
        <v>47</v>
      </c>
      <c r="D1440" s="30"/>
      <c r="E1440" s="30"/>
      <c r="F1440" s="30">
        <v>42.5</v>
      </c>
      <c r="G1440" s="30">
        <v>43.8</v>
      </c>
    </row>
    <row r="1441" spans="1:7" x14ac:dyDescent="0.25">
      <c r="A1441" s="29">
        <v>39047</v>
      </c>
      <c r="B1441" s="30">
        <v>44.8</v>
      </c>
      <c r="C1441" s="30">
        <v>50.6</v>
      </c>
      <c r="D1441" s="30"/>
      <c r="E1441" s="30"/>
      <c r="F1441" s="30">
        <v>43</v>
      </c>
      <c r="G1441" s="30">
        <v>47.7</v>
      </c>
    </row>
    <row r="1442" spans="1:7" x14ac:dyDescent="0.25">
      <c r="A1442" s="29">
        <v>39048</v>
      </c>
      <c r="B1442" s="30">
        <v>48.7</v>
      </c>
      <c r="C1442" s="30">
        <v>55.4</v>
      </c>
      <c r="D1442" s="30"/>
      <c r="E1442" s="30"/>
      <c r="F1442" s="30">
        <v>46.9</v>
      </c>
      <c r="G1442" s="30">
        <v>50.9</v>
      </c>
    </row>
    <row r="1443" spans="1:7" x14ac:dyDescent="0.25">
      <c r="A1443" s="29">
        <v>39049</v>
      </c>
      <c r="B1443" s="30">
        <v>49.9</v>
      </c>
      <c r="C1443" s="30">
        <v>55</v>
      </c>
      <c r="D1443" s="30"/>
      <c r="E1443" s="30"/>
      <c r="F1443" s="30">
        <v>49.3</v>
      </c>
      <c r="G1443" s="30">
        <v>52.2</v>
      </c>
    </row>
    <row r="1444" spans="1:7" x14ac:dyDescent="0.25">
      <c r="A1444" s="29">
        <v>39050</v>
      </c>
      <c r="B1444" s="30">
        <v>52.5</v>
      </c>
      <c r="C1444" s="30">
        <v>53.4</v>
      </c>
      <c r="D1444" s="30"/>
      <c r="E1444" s="30"/>
      <c r="F1444" s="30">
        <v>52.7</v>
      </c>
      <c r="G1444" s="30">
        <v>53.8</v>
      </c>
    </row>
    <row r="1445" spans="1:7" x14ac:dyDescent="0.25">
      <c r="A1445" s="29">
        <v>39051</v>
      </c>
      <c r="B1445" s="30">
        <v>56.1</v>
      </c>
      <c r="C1445" s="30">
        <v>60.4</v>
      </c>
      <c r="D1445" s="30"/>
      <c r="E1445" s="30"/>
      <c r="F1445" s="30">
        <v>59</v>
      </c>
      <c r="G1445" s="30">
        <v>60.8</v>
      </c>
    </row>
    <row r="1446" spans="1:7" x14ac:dyDescent="0.25">
      <c r="A1446" s="29">
        <v>39052</v>
      </c>
      <c r="B1446" s="30">
        <v>58.3</v>
      </c>
      <c r="C1446" s="30">
        <v>63.3</v>
      </c>
      <c r="D1446" s="30"/>
      <c r="E1446" s="30"/>
      <c r="F1446" s="30">
        <v>62.8</v>
      </c>
      <c r="G1446" s="30">
        <v>66.599999999999994</v>
      </c>
    </row>
    <row r="1447" spans="1:7" x14ac:dyDescent="0.25">
      <c r="A1447" s="29">
        <v>39053</v>
      </c>
      <c r="B1447" s="30">
        <v>49.3</v>
      </c>
      <c r="C1447" s="30">
        <v>51.4</v>
      </c>
      <c r="D1447" s="30"/>
      <c r="E1447" s="30"/>
      <c r="F1447" s="30">
        <v>48.9</v>
      </c>
      <c r="G1447" s="30">
        <v>49.6</v>
      </c>
    </row>
    <row r="1448" spans="1:7" x14ac:dyDescent="0.25">
      <c r="A1448" s="29">
        <v>39054</v>
      </c>
      <c r="B1448" s="30">
        <v>40.5</v>
      </c>
      <c r="C1448" s="30">
        <v>42.5</v>
      </c>
      <c r="D1448" s="30"/>
      <c r="E1448" s="30"/>
      <c r="F1448" s="30">
        <v>37.200000000000003</v>
      </c>
      <c r="G1448" s="30">
        <v>39.4</v>
      </c>
    </row>
    <row r="1449" spans="1:7" x14ac:dyDescent="0.25">
      <c r="A1449" s="29">
        <v>39055</v>
      </c>
      <c r="B1449" s="30">
        <v>39.6</v>
      </c>
      <c r="C1449" s="30">
        <v>41</v>
      </c>
      <c r="D1449" s="30"/>
      <c r="E1449" s="30"/>
      <c r="F1449" s="30">
        <v>38.299999999999997</v>
      </c>
      <c r="G1449" s="30">
        <v>38.700000000000003</v>
      </c>
    </row>
    <row r="1450" spans="1:7" x14ac:dyDescent="0.25">
      <c r="A1450" s="29">
        <v>39056</v>
      </c>
      <c r="B1450" s="30">
        <v>33.4</v>
      </c>
      <c r="C1450" s="30">
        <v>35</v>
      </c>
      <c r="D1450" s="30"/>
      <c r="E1450" s="30"/>
      <c r="F1450" s="30">
        <v>31.6</v>
      </c>
      <c r="G1450" s="30">
        <v>32.5</v>
      </c>
    </row>
    <row r="1451" spans="1:7" x14ac:dyDescent="0.25">
      <c r="A1451" s="29">
        <v>39057</v>
      </c>
      <c r="B1451" s="30">
        <v>37.700000000000003</v>
      </c>
      <c r="C1451" s="30">
        <v>39.799999999999997</v>
      </c>
      <c r="D1451" s="30"/>
      <c r="E1451" s="30"/>
      <c r="F1451" s="30">
        <v>33.1</v>
      </c>
      <c r="G1451" s="30">
        <v>35.700000000000003</v>
      </c>
    </row>
    <row r="1452" spans="1:7" x14ac:dyDescent="0.25">
      <c r="A1452" s="29">
        <v>39058</v>
      </c>
      <c r="B1452" s="30">
        <v>48.8</v>
      </c>
      <c r="C1452" s="30">
        <v>49.7</v>
      </c>
      <c r="D1452" s="30"/>
      <c r="E1452" s="30"/>
      <c r="F1452" s="30">
        <v>51.1</v>
      </c>
      <c r="G1452" s="30">
        <v>46.6</v>
      </c>
    </row>
    <row r="1453" spans="1:7" x14ac:dyDescent="0.25">
      <c r="A1453" s="29">
        <v>39059</v>
      </c>
      <c r="B1453" s="30">
        <v>27</v>
      </c>
      <c r="C1453" s="30">
        <v>28.7</v>
      </c>
      <c r="D1453" s="30"/>
      <c r="E1453" s="30"/>
      <c r="F1453" s="30">
        <v>29.9</v>
      </c>
      <c r="G1453" s="30">
        <v>26.5</v>
      </c>
    </row>
    <row r="1454" spans="1:7" x14ac:dyDescent="0.25">
      <c r="A1454" s="29">
        <v>39060</v>
      </c>
      <c r="B1454" s="30">
        <v>30.1</v>
      </c>
      <c r="C1454" s="30">
        <v>31.8</v>
      </c>
      <c r="D1454" s="30"/>
      <c r="E1454" s="30"/>
      <c r="F1454" s="30">
        <v>30.1</v>
      </c>
      <c r="G1454" s="30">
        <v>29.4</v>
      </c>
    </row>
    <row r="1455" spans="1:7" x14ac:dyDescent="0.25">
      <c r="A1455" s="29">
        <v>39061</v>
      </c>
      <c r="B1455" s="30">
        <v>41.5</v>
      </c>
      <c r="C1455" s="30">
        <v>44</v>
      </c>
      <c r="D1455" s="30"/>
      <c r="E1455" s="30"/>
      <c r="F1455" s="30">
        <v>41.6</v>
      </c>
      <c r="G1455" s="30">
        <v>40.700000000000003</v>
      </c>
    </row>
    <row r="1456" spans="1:7" x14ac:dyDescent="0.25">
      <c r="A1456" s="29">
        <v>39062</v>
      </c>
      <c r="B1456" s="30">
        <v>46.9</v>
      </c>
      <c r="C1456" s="30">
        <v>51.5</v>
      </c>
      <c r="D1456" s="30"/>
      <c r="E1456" s="30"/>
      <c r="F1456" s="30">
        <v>47.2</v>
      </c>
      <c r="G1456" s="30">
        <v>46.8</v>
      </c>
    </row>
    <row r="1457" spans="1:7" x14ac:dyDescent="0.25">
      <c r="A1457" s="29">
        <v>39063</v>
      </c>
      <c r="B1457" s="30">
        <v>45.3</v>
      </c>
      <c r="C1457" s="30">
        <v>46.6</v>
      </c>
      <c r="D1457" s="30"/>
      <c r="E1457" s="30"/>
      <c r="F1457" s="30">
        <v>43.6</v>
      </c>
      <c r="G1457" s="30">
        <v>46.6</v>
      </c>
    </row>
    <row r="1458" spans="1:7" x14ac:dyDescent="0.25">
      <c r="A1458" s="29">
        <v>39064</v>
      </c>
      <c r="B1458" s="30">
        <v>50.4</v>
      </c>
      <c r="C1458" s="30">
        <v>52.4</v>
      </c>
      <c r="D1458" s="30"/>
      <c r="E1458" s="30"/>
      <c r="F1458" s="30">
        <v>51.6</v>
      </c>
      <c r="G1458" s="30">
        <v>51.4</v>
      </c>
    </row>
    <row r="1459" spans="1:7" x14ac:dyDescent="0.25">
      <c r="A1459" s="29">
        <v>39065</v>
      </c>
      <c r="B1459" s="30">
        <v>47.7</v>
      </c>
      <c r="C1459" s="30">
        <v>51.5</v>
      </c>
      <c r="D1459" s="30"/>
      <c r="E1459" s="30"/>
      <c r="F1459" s="30">
        <v>51</v>
      </c>
      <c r="G1459" s="30">
        <v>51.2</v>
      </c>
    </row>
    <row r="1460" spans="1:7" x14ac:dyDescent="0.25">
      <c r="A1460" s="29">
        <v>39066</v>
      </c>
      <c r="B1460" s="30">
        <v>45.4</v>
      </c>
      <c r="C1460" s="30">
        <v>48.3</v>
      </c>
      <c r="D1460" s="30"/>
      <c r="E1460" s="30"/>
      <c r="F1460" s="30">
        <v>50.1</v>
      </c>
      <c r="G1460" s="30">
        <v>47.4</v>
      </c>
    </row>
    <row r="1461" spans="1:7" x14ac:dyDescent="0.25">
      <c r="A1461" s="29">
        <v>39067</v>
      </c>
      <c r="B1461" s="30">
        <v>47.1</v>
      </c>
      <c r="C1461" s="30">
        <v>49.3</v>
      </c>
      <c r="D1461" s="30"/>
      <c r="E1461" s="30"/>
      <c r="F1461" s="30">
        <v>47.6</v>
      </c>
      <c r="G1461" s="30">
        <v>47.7</v>
      </c>
    </row>
    <row r="1462" spans="1:7" x14ac:dyDescent="0.25">
      <c r="A1462" s="29">
        <v>39068</v>
      </c>
      <c r="B1462" s="30">
        <v>44.1</v>
      </c>
      <c r="C1462" s="30">
        <v>48.1</v>
      </c>
      <c r="D1462" s="30"/>
      <c r="E1462" s="30"/>
      <c r="F1462" s="30">
        <v>44.6</v>
      </c>
      <c r="G1462" s="30">
        <v>44.4</v>
      </c>
    </row>
    <row r="1463" spans="1:7" x14ac:dyDescent="0.25">
      <c r="A1463" s="29">
        <v>39069</v>
      </c>
      <c r="B1463" s="30">
        <v>51.7</v>
      </c>
      <c r="C1463" s="30">
        <v>55.5</v>
      </c>
      <c r="D1463" s="30"/>
      <c r="E1463" s="30"/>
      <c r="F1463" s="30">
        <v>56.9</v>
      </c>
      <c r="G1463" s="30">
        <v>52.3</v>
      </c>
    </row>
    <row r="1464" spans="1:7" x14ac:dyDescent="0.25">
      <c r="A1464" s="29">
        <v>39070</v>
      </c>
      <c r="B1464" s="30">
        <v>43.9</v>
      </c>
      <c r="C1464" s="30">
        <v>44.9</v>
      </c>
      <c r="D1464" s="30"/>
      <c r="E1464" s="30"/>
      <c r="F1464" s="30">
        <v>44</v>
      </c>
      <c r="G1464" s="30">
        <v>44</v>
      </c>
    </row>
    <row r="1465" spans="1:7" x14ac:dyDescent="0.25">
      <c r="A1465" s="29">
        <v>39071</v>
      </c>
      <c r="B1465" s="30">
        <v>38.5</v>
      </c>
      <c r="C1465" s="30">
        <v>40.799999999999997</v>
      </c>
      <c r="D1465" s="30"/>
      <c r="E1465" s="30"/>
      <c r="F1465" s="30">
        <v>35</v>
      </c>
      <c r="G1465" s="30">
        <v>38.4</v>
      </c>
    </row>
    <row r="1466" spans="1:7" x14ac:dyDescent="0.25">
      <c r="A1466" s="29">
        <v>39072</v>
      </c>
      <c r="B1466" s="30">
        <v>42.9</v>
      </c>
      <c r="C1466" s="30">
        <v>45.7</v>
      </c>
      <c r="D1466" s="30"/>
      <c r="E1466" s="30"/>
      <c r="F1466" s="30">
        <v>41.3</v>
      </c>
      <c r="G1466" s="30">
        <v>42.1</v>
      </c>
    </row>
    <row r="1467" spans="1:7" x14ac:dyDescent="0.25">
      <c r="A1467" s="29">
        <v>39073</v>
      </c>
      <c r="B1467" s="30">
        <v>42.7</v>
      </c>
      <c r="C1467" s="30">
        <v>45.1</v>
      </c>
      <c r="D1467" s="30"/>
      <c r="E1467" s="30"/>
      <c r="F1467" s="30">
        <v>45.9</v>
      </c>
      <c r="G1467" s="30">
        <v>42.3</v>
      </c>
    </row>
    <row r="1468" spans="1:7" x14ac:dyDescent="0.25">
      <c r="A1468" s="29">
        <v>39074</v>
      </c>
      <c r="B1468" s="30">
        <v>53.3</v>
      </c>
      <c r="C1468" s="30">
        <v>54.4</v>
      </c>
      <c r="D1468" s="30"/>
      <c r="E1468" s="30"/>
      <c r="F1468" s="30">
        <v>57.4</v>
      </c>
      <c r="G1468" s="30">
        <v>53.5</v>
      </c>
    </row>
    <row r="1469" spans="1:7" x14ac:dyDescent="0.25">
      <c r="A1469" s="29">
        <v>39075</v>
      </c>
      <c r="B1469" s="30">
        <v>49</v>
      </c>
      <c r="C1469" s="30">
        <v>51</v>
      </c>
      <c r="D1469" s="30"/>
      <c r="E1469" s="30"/>
      <c r="F1469" s="30">
        <v>46.1</v>
      </c>
      <c r="G1469" s="30">
        <v>49.1</v>
      </c>
    </row>
    <row r="1470" spans="1:7" x14ac:dyDescent="0.25">
      <c r="A1470" s="29">
        <v>39076</v>
      </c>
      <c r="B1470" s="30">
        <v>42.6</v>
      </c>
      <c r="C1470" s="30">
        <v>45.3</v>
      </c>
      <c r="D1470" s="30"/>
      <c r="E1470" s="30"/>
      <c r="F1470" s="30">
        <v>39.5</v>
      </c>
      <c r="G1470" s="30">
        <v>40.9</v>
      </c>
    </row>
    <row r="1471" spans="1:7" x14ac:dyDescent="0.25">
      <c r="A1471" s="29">
        <v>39077</v>
      </c>
      <c r="B1471" s="30">
        <v>48.7</v>
      </c>
      <c r="C1471" s="30">
        <v>48.1</v>
      </c>
      <c r="D1471" s="30"/>
      <c r="E1471" s="30"/>
      <c r="F1471" s="30">
        <v>55.1</v>
      </c>
      <c r="G1471" s="30">
        <v>48.1</v>
      </c>
    </row>
    <row r="1472" spans="1:7" x14ac:dyDescent="0.25">
      <c r="A1472" s="29">
        <v>39078</v>
      </c>
      <c r="B1472" s="30">
        <v>43.6</v>
      </c>
      <c r="C1472" s="30">
        <v>44.2</v>
      </c>
      <c r="D1472" s="30"/>
      <c r="E1472" s="30"/>
      <c r="F1472" s="30">
        <v>45</v>
      </c>
      <c r="G1472" s="30">
        <v>43.5</v>
      </c>
    </row>
    <row r="1473" spans="1:7" x14ac:dyDescent="0.25">
      <c r="A1473" s="29">
        <v>39079</v>
      </c>
      <c r="B1473" s="30">
        <v>41.2</v>
      </c>
      <c r="C1473" s="30">
        <v>42.6</v>
      </c>
      <c r="D1473" s="30"/>
      <c r="E1473" s="30"/>
      <c r="F1473" s="30">
        <v>39.700000000000003</v>
      </c>
      <c r="G1473" s="30">
        <v>39.200000000000003</v>
      </c>
    </row>
    <row r="1474" spans="1:7" x14ac:dyDescent="0.25">
      <c r="A1474" s="29">
        <v>39080</v>
      </c>
      <c r="B1474" s="30">
        <v>45.6</v>
      </c>
      <c r="C1474" s="30">
        <v>46.7</v>
      </c>
      <c r="D1474" s="30"/>
      <c r="E1474" s="30"/>
      <c r="F1474" s="30">
        <v>40.299999999999997</v>
      </c>
      <c r="G1474" s="30">
        <v>45.4</v>
      </c>
    </row>
    <row r="1475" spans="1:7" x14ac:dyDescent="0.25">
      <c r="A1475" s="29">
        <v>39081</v>
      </c>
      <c r="B1475" s="30">
        <v>39.9</v>
      </c>
      <c r="C1475" s="30">
        <v>41.8</v>
      </c>
      <c r="D1475" s="30"/>
      <c r="E1475" s="30"/>
      <c r="F1475" s="30">
        <v>44.9</v>
      </c>
      <c r="G1475" s="30">
        <v>39.200000000000003</v>
      </c>
    </row>
    <row r="1476" spans="1:7" x14ac:dyDescent="0.25">
      <c r="A1476" s="29">
        <v>39082</v>
      </c>
      <c r="B1476" s="30">
        <v>39</v>
      </c>
      <c r="C1476" s="30">
        <v>41</v>
      </c>
      <c r="D1476" s="30"/>
      <c r="E1476" s="30"/>
      <c r="F1476" s="30">
        <v>39.299999999999997</v>
      </c>
      <c r="G1476" s="30">
        <v>39.299999999999997</v>
      </c>
    </row>
    <row r="1477" spans="1:7" x14ac:dyDescent="0.25">
      <c r="A1477" s="29">
        <v>39083</v>
      </c>
      <c r="B1477" s="30">
        <v>49.1</v>
      </c>
      <c r="C1477" s="30">
        <v>50.5</v>
      </c>
      <c r="D1477" s="30"/>
      <c r="E1477" s="30"/>
      <c r="F1477" s="30">
        <v>53.5</v>
      </c>
      <c r="G1477" s="30">
        <v>48.6</v>
      </c>
    </row>
    <row r="1478" spans="1:7" x14ac:dyDescent="0.25">
      <c r="A1478" s="29">
        <v>39084</v>
      </c>
      <c r="B1478" s="30">
        <v>47.7</v>
      </c>
      <c r="C1478" s="30">
        <v>48.1</v>
      </c>
      <c r="D1478" s="30"/>
      <c r="E1478" s="30"/>
      <c r="F1478" s="30">
        <v>47.2</v>
      </c>
      <c r="G1478" s="30">
        <v>47.3</v>
      </c>
    </row>
    <row r="1479" spans="1:7" x14ac:dyDescent="0.25">
      <c r="A1479" s="29">
        <v>39085</v>
      </c>
      <c r="B1479" s="30">
        <v>42.2</v>
      </c>
      <c r="C1479" s="30">
        <v>45.6</v>
      </c>
      <c r="D1479" s="30"/>
      <c r="E1479" s="30"/>
      <c r="F1479" s="30">
        <v>39.200000000000003</v>
      </c>
      <c r="G1479" s="30">
        <v>41.9</v>
      </c>
    </row>
    <row r="1480" spans="1:7" x14ac:dyDescent="0.25">
      <c r="A1480" s="29">
        <v>39086</v>
      </c>
      <c r="B1480" s="30">
        <v>45.2</v>
      </c>
      <c r="C1480" s="30">
        <v>49.2</v>
      </c>
      <c r="D1480" s="30"/>
      <c r="E1480" s="30"/>
      <c r="F1480" s="30">
        <v>48.4</v>
      </c>
      <c r="G1480" s="30">
        <v>45.3</v>
      </c>
    </row>
    <row r="1481" spans="1:7" x14ac:dyDescent="0.25">
      <c r="A1481" s="29">
        <v>39087</v>
      </c>
      <c r="B1481" s="30">
        <v>50.1</v>
      </c>
      <c r="C1481" s="30">
        <v>56.8</v>
      </c>
      <c r="D1481" s="30"/>
      <c r="E1481" s="30"/>
      <c r="F1481" s="30">
        <v>56.3</v>
      </c>
      <c r="G1481" s="30">
        <v>53.8</v>
      </c>
    </row>
    <row r="1482" spans="1:7" x14ac:dyDescent="0.25">
      <c r="A1482" s="29">
        <v>39088</v>
      </c>
      <c r="B1482" s="30">
        <v>57.9</v>
      </c>
      <c r="C1482" s="30">
        <v>62.4</v>
      </c>
      <c r="D1482" s="30"/>
      <c r="E1482" s="30"/>
      <c r="F1482" s="30">
        <v>63</v>
      </c>
      <c r="G1482" s="30">
        <v>65.7</v>
      </c>
    </row>
    <row r="1483" spans="1:7" x14ac:dyDescent="0.25">
      <c r="A1483" s="29">
        <v>39089</v>
      </c>
      <c r="B1483" s="30">
        <v>50.8</v>
      </c>
      <c r="C1483" s="30">
        <v>52</v>
      </c>
      <c r="D1483" s="30"/>
      <c r="E1483" s="30"/>
      <c r="F1483" s="30">
        <v>51.3</v>
      </c>
      <c r="G1483" s="30">
        <v>50.9</v>
      </c>
    </row>
    <row r="1484" spans="1:7" x14ac:dyDescent="0.25">
      <c r="A1484" s="29">
        <v>39090</v>
      </c>
      <c r="B1484" s="30">
        <v>50</v>
      </c>
      <c r="C1484" s="30">
        <v>50.2</v>
      </c>
      <c r="D1484" s="30"/>
      <c r="E1484" s="30"/>
      <c r="F1484" s="30">
        <v>53.8</v>
      </c>
      <c r="G1484" s="30">
        <v>50.3</v>
      </c>
    </row>
    <row r="1485" spans="1:7" x14ac:dyDescent="0.25">
      <c r="A1485" s="29">
        <v>39091</v>
      </c>
      <c r="B1485" s="30">
        <v>39.9</v>
      </c>
      <c r="C1485" s="30">
        <v>41</v>
      </c>
      <c r="D1485" s="30"/>
      <c r="E1485" s="30"/>
      <c r="F1485" s="30">
        <v>40.6</v>
      </c>
      <c r="G1485" s="30">
        <v>38.700000000000003</v>
      </c>
    </row>
    <row r="1486" spans="1:7" x14ac:dyDescent="0.25">
      <c r="A1486" s="29">
        <v>39092</v>
      </c>
      <c r="B1486" s="30">
        <v>35.200000000000003</v>
      </c>
      <c r="C1486" s="30">
        <v>36.9</v>
      </c>
      <c r="D1486" s="30"/>
      <c r="E1486" s="30"/>
      <c r="F1486" s="30">
        <v>34.9</v>
      </c>
      <c r="G1486" s="30">
        <v>34.6</v>
      </c>
    </row>
    <row r="1487" spans="1:7" x14ac:dyDescent="0.25">
      <c r="A1487" s="29">
        <v>39093</v>
      </c>
      <c r="B1487" s="30">
        <v>30.9</v>
      </c>
      <c r="C1487" s="30">
        <v>33.200000000000003</v>
      </c>
      <c r="D1487" s="30"/>
      <c r="E1487" s="30"/>
      <c r="F1487" s="30">
        <v>29.7</v>
      </c>
      <c r="G1487" s="30">
        <v>30.7</v>
      </c>
    </row>
    <row r="1488" spans="1:7" x14ac:dyDescent="0.25">
      <c r="A1488" s="29">
        <v>39094</v>
      </c>
      <c r="B1488" s="30">
        <v>41.6</v>
      </c>
      <c r="C1488" s="30">
        <v>42.8</v>
      </c>
      <c r="D1488" s="30"/>
      <c r="E1488" s="30"/>
      <c r="F1488" s="30">
        <v>43.7</v>
      </c>
      <c r="G1488" s="30">
        <v>39.700000000000003</v>
      </c>
    </row>
    <row r="1489" spans="1:7" x14ac:dyDescent="0.25">
      <c r="A1489" s="29">
        <v>39095</v>
      </c>
      <c r="B1489" s="30">
        <v>48</v>
      </c>
      <c r="C1489" s="30">
        <v>51.5</v>
      </c>
      <c r="D1489" s="30"/>
      <c r="E1489" s="30"/>
      <c r="F1489" s="30">
        <v>55.3</v>
      </c>
      <c r="G1489" s="30">
        <v>48.9</v>
      </c>
    </row>
    <row r="1490" spans="1:7" x14ac:dyDescent="0.25">
      <c r="A1490" s="29">
        <v>39096</v>
      </c>
      <c r="B1490" s="30">
        <v>46.6</v>
      </c>
      <c r="C1490" s="30">
        <v>45.7</v>
      </c>
      <c r="D1490" s="30"/>
      <c r="E1490" s="30"/>
      <c r="F1490" s="30">
        <v>56.2</v>
      </c>
      <c r="G1490" s="30">
        <v>45.3</v>
      </c>
    </row>
    <row r="1491" spans="1:7" x14ac:dyDescent="0.25">
      <c r="A1491" s="29">
        <v>39097</v>
      </c>
      <c r="B1491" s="30">
        <v>43.5</v>
      </c>
      <c r="C1491" s="30">
        <v>43.2</v>
      </c>
      <c r="D1491" s="30"/>
      <c r="E1491" s="30"/>
      <c r="F1491" s="30">
        <v>54.5</v>
      </c>
      <c r="G1491" s="30">
        <v>42.4</v>
      </c>
    </row>
    <row r="1492" spans="1:7" x14ac:dyDescent="0.25">
      <c r="A1492" s="29">
        <v>39098</v>
      </c>
      <c r="B1492" s="30">
        <v>44.9</v>
      </c>
      <c r="C1492" s="30">
        <v>45.3</v>
      </c>
      <c r="D1492" s="30"/>
      <c r="E1492" s="30"/>
      <c r="F1492" s="30">
        <v>54.4</v>
      </c>
      <c r="G1492" s="30">
        <v>44.8</v>
      </c>
    </row>
    <row r="1493" spans="1:7" x14ac:dyDescent="0.25">
      <c r="A1493" s="29">
        <v>39099</v>
      </c>
      <c r="B1493" s="30">
        <v>24.3</v>
      </c>
      <c r="C1493" s="30">
        <v>25.7</v>
      </c>
      <c r="D1493" s="30"/>
      <c r="E1493" s="30"/>
      <c r="F1493" s="30">
        <v>28.2</v>
      </c>
      <c r="G1493" s="30">
        <v>24.4</v>
      </c>
    </row>
    <row r="1494" spans="1:7" x14ac:dyDescent="0.25">
      <c r="A1494" s="29">
        <v>39100</v>
      </c>
      <c r="B1494" s="30">
        <v>28.9</v>
      </c>
      <c r="C1494" s="30">
        <v>30.7</v>
      </c>
      <c r="D1494" s="30"/>
      <c r="E1494" s="30"/>
      <c r="F1494" s="30">
        <v>27.1</v>
      </c>
      <c r="G1494" s="30">
        <v>28.6</v>
      </c>
    </row>
    <row r="1495" spans="1:7" x14ac:dyDescent="0.25">
      <c r="A1495" s="29">
        <v>39101</v>
      </c>
      <c r="B1495" s="30">
        <v>37</v>
      </c>
      <c r="C1495" s="30">
        <v>38</v>
      </c>
      <c r="D1495" s="30"/>
      <c r="E1495" s="30"/>
      <c r="F1495" s="30">
        <v>37.299999999999997</v>
      </c>
      <c r="G1495" s="30">
        <v>36.1</v>
      </c>
    </row>
    <row r="1496" spans="1:7" x14ac:dyDescent="0.25">
      <c r="A1496" s="29">
        <v>39102</v>
      </c>
      <c r="B1496" s="30">
        <v>31.5</v>
      </c>
      <c r="C1496" s="30">
        <v>32.700000000000003</v>
      </c>
      <c r="D1496" s="30"/>
      <c r="E1496" s="30"/>
      <c r="F1496" s="30">
        <v>33.1</v>
      </c>
      <c r="G1496" s="30">
        <v>30.8</v>
      </c>
    </row>
    <row r="1497" spans="1:7" x14ac:dyDescent="0.25">
      <c r="A1497" s="29">
        <v>39103</v>
      </c>
      <c r="B1497" s="30">
        <v>23.9</v>
      </c>
      <c r="C1497" s="30">
        <v>24.8</v>
      </c>
      <c r="D1497" s="30"/>
      <c r="E1497" s="30"/>
      <c r="F1497" s="30">
        <v>26.3</v>
      </c>
      <c r="G1497" s="30">
        <v>23.3</v>
      </c>
    </row>
    <row r="1498" spans="1:7" x14ac:dyDescent="0.25">
      <c r="A1498" s="29">
        <v>39104</v>
      </c>
      <c r="B1498" s="30">
        <v>29.8</v>
      </c>
      <c r="C1498" s="30">
        <v>30.8</v>
      </c>
      <c r="D1498" s="30"/>
      <c r="E1498" s="30"/>
      <c r="F1498" s="30">
        <v>30.1</v>
      </c>
      <c r="G1498" s="30">
        <v>28.9</v>
      </c>
    </row>
    <row r="1499" spans="1:7" x14ac:dyDescent="0.25">
      <c r="A1499" s="29">
        <v>39105</v>
      </c>
      <c r="B1499" s="30">
        <v>33</v>
      </c>
      <c r="C1499" s="30">
        <v>33.700000000000003</v>
      </c>
      <c r="D1499" s="30"/>
      <c r="E1499" s="30"/>
      <c r="F1499" s="30">
        <v>34.299999999999997</v>
      </c>
      <c r="G1499" s="30">
        <v>32.799999999999997</v>
      </c>
    </row>
    <row r="1500" spans="1:7" x14ac:dyDescent="0.25">
      <c r="A1500" s="29">
        <v>39106</v>
      </c>
      <c r="B1500" s="30">
        <v>35.1</v>
      </c>
      <c r="C1500" s="30">
        <v>36.6</v>
      </c>
      <c r="D1500" s="30"/>
      <c r="E1500" s="30"/>
      <c r="F1500" s="30">
        <v>31.6</v>
      </c>
      <c r="G1500" s="30">
        <v>34</v>
      </c>
    </row>
    <row r="1501" spans="1:7" x14ac:dyDescent="0.25">
      <c r="A1501" s="29">
        <v>39107</v>
      </c>
      <c r="B1501" s="30">
        <v>32.6</v>
      </c>
      <c r="C1501" s="30">
        <v>33.4</v>
      </c>
      <c r="D1501" s="30"/>
      <c r="E1501" s="30"/>
      <c r="F1501" s="30">
        <v>32.9</v>
      </c>
      <c r="G1501" s="30">
        <v>31.9</v>
      </c>
    </row>
    <row r="1502" spans="1:7" x14ac:dyDescent="0.25">
      <c r="A1502" s="29">
        <v>39108</v>
      </c>
      <c r="B1502" s="30">
        <v>16.899999999999999</v>
      </c>
      <c r="C1502" s="30">
        <v>18.2</v>
      </c>
      <c r="D1502" s="30"/>
      <c r="E1502" s="30"/>
      <c r="F1502" s="30">
        <v>19.100000000000001</v>
      </c>
      <c r="G1502" s="30">
        <v>16.899999999999999</v>
      </c>
    </row>
    <row r="1503" spans="1:7" x14ac:dyDescent="0.25">
      <c r="A1503" s="29">
        <v>39109</v>
      </c>
      <c r="B1503" s="30">
        <v>27</v>
      </c>
      <c r="C1503" s="30">
        <v>27.5</v>
      </c>
      <c r="D1503" s="30"/>
      <c r="E1503" s="30"/>
      <c r="F1503" s="30">
        <v>33.299999999999997</v>
      </c>
      <c r="G1503" s="30">
        <v>25.9</v>
      </c>
    </row>
    <row r="1504" spans="1:7" x14ac:dyDescent="0.25">
      <c r="A1504" s="29">
        <v>39110</v>
      </c>
      <c r="B1504" s="30">
        <v>38</v>
      </c>
      <c r="C1504" s="30">
        <v>39.9</v>
      </c>
      <c r="D1504" s="30"/>
      <c r="E1504" s="30"/>
      <c r="F1504" s="30">
        <v>39.700000000000003</v>
      </c>
      <c r="G1504" s="30">
        <v>37</v>
      </c>
    </row>
    <row r="1505" spans="1:7" x14ac:dyDescent="0.25">
      <c r="A1505" s="29">
        <v>39111</v>
      </c>
      <c r="B1505" s="30">
        <v>29.2</v>
      </c>
      <c r="C1505" s="30">
        <v>30.2</v>
      </c>
      <c r="D1505" s="30"/>
      <c r="E1505" s="30"/>
      <c r="F1505" s="30">
        <v>29.6</v>
      </c>
      <c r="G1505" s="30">
        <v>28.7</v>
      </c>
    </row>
    <row r="1506" spans="1:7" x14ac:dyDescent="0.25">
      <c r="A1506" s="29">
        <v>39112</v>
      </c>
      <c r="B1506" s="30">
        <v>27.2</v>
      </c>
      <c r="C1506" s="30">
        <v>28.3</v>
      </c>
      <c r="D1506" s="30"/>
      <c r="E1506" s="30"/>
      <c r="F1506" s="30">
        <v>27.1</v>
      </c>
      <c r="G1506" s="30">
        <v>25.8</v>
      </c>
    </row>
    <row r="1507" spans="1:7" x14ac:dyDescent="0.25">
      <c r="A1507" s="29">
        <v>39113</v>
      </c>
      <c r="B1507" s="30">
        <v>31.1</v>
      </c>
      <c r="C1507" s="30">
        <v>32</v>
      </c>
      <c r="D1507" s="30"/>
      <c r="E1507" s="30"/>
      <c r="F1507" s="30">
        <v>30.2</v>
      </c>
      <c r="G1507" s="30">
        <v>30.7</v>
      </c>
    </row>
    <row r="1508" spans="1:7" x14ac:dyDescent="0.25">
      <c r="A1508" s="29">
        <v>39114</v>
      </c>
      <c r="B1508" s="30">
        <v>30.7</v>
      </c>
      <c r="C1508" s="30">
        <v>31.4</v>
      </c>
      <c r="D1508" s="30"/>
      <c r="E1508" s="30"/>
      <c r="F1508" s="30">
        <v>29.7</v>
      </c>
      <c r="G1508" s="30">
        <v>29.3</v>
      </c>
    </row>
    <row r="1509" spans="1:7" x14ac:dyDescent="0.25">
      <c r="A1509" s="29">
        <v>39115</v>
      </c>
      <c r="B1509" s="30">
        <v>35.1</v>
      </c>
      <c r="C1509" s="30">
        <v>35.5</v>
      </c>
      <c r="D1509" s="30"/>
      <c r="E1509" s="30"/>
      <c r="F1509" s="30">
        <v>34.799999999999997</v>
      </c>
      <c r="G1509" s="30">
        <v>34.6</v>
      </c>
    </row>
    <row r="1510" spans="1:7" x14ac:dyDescent="0.25">
      <c r="A1510" s="29">
        <v>39116</v>
      </c>
      <c r="B1510" s="30">
        <v>30.3</v>
      </c>
      <c r="C1510" s="30">
        <v>31.1</v>
      </c>
      <c r="D1510" s="30"/>
      <c r="E1510" s="30"/>
      <c r="F1510" s="30">
        <v>31.7</v>
      </c>
      <c r="G1510" s="30">
        <v>29</v>
      </c>
    </row>
    <row r="1511" spans="1:7" x14ac:dyDescent="0.25">
      <c r="A1511" s="29">
        <v>39117</v>
      </c>
      <c r="B1511" s="30">
        <v>24.8</v>
      </c>
      <c r="C1511" s="30">
        <v>24.9</v>
      </c>
      <c r="D1511" s="30"/>
      <c r="E1511" s="30"/>
      <c r="F1511" s="30">
        <v>27.5</v>
      </c>
      <c r="G1511" s="30">
        <v>22.9</v>
      </c>
    </row>
    <row r="1512" spans="1:7" x14ac:dyDescent="0.25">
      <c r="A1512" s="29">
        <v>39118</v>
      </c>
      <c r="B1512" s="30">
        <v>16</v>
      </c>
      <c r="C1512" s="30">
        <v>16.899999999999999</v>
      </c>
      <c r="D1512" s="30"/>
      <c r="E1512" s="30"/>
      <c r="F1512" s="30">
        <v>17.5</v>
      </c>
      <c r="G1512" s="30">
        <v>15</v>
      </c>
    </row>
    <row r="1513" spans="1:7" x14ac:dyDescent="0.25">
      <c r="A1513" s="29">
        <v>39119</v>
      </c>
      <c r="B1513" s="30">
        <v>16.2</v>
      </c>
      <c r="C1513" s="30">
        <v>17.600000000000001</v>
      </c>
      <c r="D1513" s="30"/>
      <c r="E1513" s="30"/>
      <c r="F1513" s="30">
        <v>15.1</v>
      </c>
      <c r="G1513" s="30">
        <v>15.4</v>
      </c>
    </row>
    <row r="1514" spans="1:7" x14ac:dyDescent="0.25">
      <c r="A1514" s="29">
        <v>39120</v>
      </c>
      <c r="B1514" s="30">
        <v>18.8</v>
      </c>
      <c r="C1514" s="30">
        <v>19.5</v>
      </c>
      <c r="D1514" s="30"/>
      <c r="E1514" s="30"/>
      <c r="F1514" s="30">
        <v>19.3</v>
      </c>
      <c r="G1514" s="30">
        <v>18</v>
      </c>
    </row>
    <row r="1515" spans="1:7" x14ac:dyDescent="0.25">
      <c r="A1515" s="29">
        <v>39121</v>
      </c>
      <c r="B1515" s="30">
        <v>21.4</v>
      </c>
      <c r="C1515" s="30">
        <v>22.2</v>
      </c>
      <c r="D1515" s="30"/>
      <c r="E1515" s="30"/>
      <c r="F1515" s="30">
        <v>19</v>
      </c>
      <c r="G1515" s="30">
        <v>20.6</v>
      </c>
    </row>
    <row r="1516" spans="1:7" x14ac:dyDescent="0.25">
      <c r="A1516" s="29">
        <v>39122</v>
      </c>
      <c r="B1516" s="30">
        <v>24.3</v>
      </c>
      <c r="C1516" s="30">
        <v>25</v>
      </c>
      <c r="D1516" s="30"/>
      <c r="E1516" s="30"/>
      <c r="F1516" s="30">
        <v>23.3</v>
      </c>
      <c r="G1516" s="30">
        <v>23.8</v>
      </c>
    </row>
    <row r="1517" spans="1:7" x14ac:dyDescent="0.25">
      <c r="A1517" s="29">
        <v>39123</v>
      </c>
      <c r="B1517" s="30">
        <v>27.8</v>
      </c>
      <c r="C1517" s="30">
        <v>28.4</v>
      </c>
      <c r="D1517" s="30"/>
      <c r="E1517" s="30"/>
      <c r="F1517" s="30">
        <v>26.5</v>
      </c>
      <c r="G1517" s="30">
        <v>26.9</v>
      </c>
    </row>
    <row r="1518" spans="1:7" x14ac:dyDescent="0.25">
      <c r="A1518" s="29">
        <v>39124</v>
      </c>
      <c r="B1518" s="30">
        <v>25.6</v>
      </c>
      <c r="C1518" s="30">
        <v>27</v>
      </c>
      <c r="D1518" s="30"/>
      <c r="E1518" s="30"/>
      <c r="F1518" s="30">
        <v>23.4</v>
      </c>
      <c r="G1518" s="30">
        <v>24.9</v>
      </c>
    </row>
    <row r="1519" spans="1:7" x14ac:dyDescent="0.25">
      <c r="A1519" s="29">
        <v>39125</v>
      </c>
      <c r="B1519" s="30">
        <v>31.7</v>
      </c>
      <c r="C1519" s="30">
        <v>34.200000000000003</v>
      </c>
      <c r="D1519" s="30"/>
      <c r="E1519" s="30"/>
      <c r="F1519" s="30">
        <v>33</v>
      </c>
      <c r="G1519" s="30">
        <v>31.2</v>
      </c>
    </row>
    <row r="1520" spans="1:7" x14ac:dyDescent="0.25">
      <c r="A1520" s="29">
        <v>39126</v>
      </c>
      <c r="B1520" s="30">
        <v>29</v>
      </c>
      <c r="C1520" s="30">
        <v>29.6</v>
      </c>
      <c r="D1520" s="30"/>
      <c r="E1520" s="30"/>
      <c r="F1520" s="30">
        <v>31.9</v>
      </c>
      <c r="G1520" s="30">
        <v>28.5</v>
      </c>
    </row>
    <row r="1521" spans="1:7" x14ac:dyDescent="0.25">
      <c r="A1521" s="29">
        <v>39127</v>
      </c>
      <c r="B1521" s="30">
        <v>26</v>
      </c>
      <c r="C1521" s="30">
        <v>26</v>
      </c>
      <c r="D1521" s="30"/>
      <c r="E1521" s="30"/>
      <c r="F1521" s="30">
        <v>34.6</v>
      </c>
      <c r="G1521" s="30">
        <v>22.5</v>
      </c>
    </row>
    <row r="1522" spans="1:7" x14ac:dyDescent="0.25">
      <c r="A1522" s="29">
        <v>39128</v>
      </c>
      <c r="B1522" s="30">
        <v>19.899999999999999</v>
      </c>
      <c r="C1522" s="30">
        <v>21.1</v>
      </c>
      <c r="D1522" s="30"/>
      <c r="E1522" s="30"/>
      <c r="F1522" s="30">
        <v>21</v>
      </c>
      <c r="G1522" s="30">
        <v>19.399999999999999</v>
      </c>
    </row>
    <row r="1523" spans="1:7" x14ac:dyDescent="0.25">
      <c r="A1523" s="29">
        <v>39129</v>
      </c>
      <c r="B1523" s="30">
        <v>21.9</v>
      </c>
      <c r="C1523" s="30">
        <v>21.8</v>
      </c>
      <c r="D1523" s="30"/>
      <c r="E1523" s="30"/>
      <c r="F1523" s="30">
        <v>21</v>
      </c>
      <c r="G1523" s="30">
        <v>19.3</v>
      </c>
    </row>
    <row r="1524" spans="1:7" x14ac:dyDescent="0.25">
      <c r="A1524" s="29">
        <v>39130</v>
      </c>
      <c r="B1524" s="30">
        <v>27.2</v>
      </c>
      <c r="C1524" s="30">
        <v>27.7</v>
      </c>
      <c r="D1524" s="30"/>
      <c r="E1524" s="30"/>
      <c r="F1524" s="30">
        <v>27.6</v>
      </c>
      <c r="G1524" s="30">
        <v>25.2</v>
      </c>
    </row>
    <row r="1525" spans="1:7" x14ac:dyDescent="0.25">
      <c r="A1525" s="29">
        <v>39131</v>
      </c>
      <c r="B1525" s="30">
        <v>31.3</v>
      </c>
      <c r="C1525" s="30">
        <v>32.799999999999997</v>
      </c>
      <c r="D1525" s="30"/>
      <c r="E1525" s="30"/>
      <c r="F1525" s="30">
        <v>31.3</v>
      </c>
      <c r="G1525" s="30">
        <v>30.6</v>
      </c>
    </row>
    <row r="1526" spans="1:7" x14ac:dyDescent="0.25">
      <c r="A1526" s="29">
        <v>39132</v>
      </c>
      <c r="B1526" s="30">
        <v>20.8</v>
      </c>
      <c r="C1526" s="30">
        <v>21.4</v>
      </c>
      <c r="D1526" s="30"/>
      <c r="E1526" s="30"/>
      <c r="F1526" s="30">
        <v>23.6</v>
      </c>
      <c r="G1526" s="30">
        <v>19.8</v>
      </c>
    </row>
    <row r="1527" spans="1:7" x14ac:dyDescent="0.25">
      <c r="A1527" s="29">
        <v>39133</v>
      </c>
      <c r="B1527" s="30">
        <v>34.9</v>
      </c>
      <c r="C1527" s="30">
        <v>36.6</v>
      </c>
      <c r="D1527" s="30"/>
      <c r="E1527" s="30"/>
      <c r="F1527" s="30">
        <v>40.4</v>
      </c>
      <c r="G1527" s="30">
        <v>33.9</v>
      </c>
    </row>
    <row r="1528" spans="1:7" x14ac:dyDescent="0.25">
      <c r="A1528" s="29">
        <v>39134</v>
      </c>
      <c r="B1528" s="30">
        <v>42</v>
      </c>
      <c r="C1528" s="30">
        <v>43.7</v>
      </c>
      <c r="D1528" s="30"/>
      <c r="E1528" s="30"/>
      <c r="F1528" s="30">
        <v>45.3</v>
      </c>
      <c r="G1528" s="30">
        <v>43.3</v>
      </c>
    </row>
    <row r="1529" spans="1:7" x14ac:dyDescent="0.25">
      <c r="A1529" s="29">
        <v>39135</v>
      </c>
      <c r="B1529" s="30">
        <v>38.9</v>
      </c>
      <c r="C1529" s="30">
        <v>39.700000000000003</v>
      </c>
      <c r="D1529" s="30"/>
      <c r="E1529" s="30"/>
      <c r="F1529" s="30">
        <v>35.4</v>
      </c>
      <c r="G1529" s="30">
        <v>39.4</v>
      </c>
    </row>
    <row r="1530" spans="1:7" x14ac:dyDescent="0.25">
      <c r="A1530" s="29">
        <v>39136</v>
      </c>
      <c r="B1530" s="30">
        <v>36.799999999999997</v>
      </c>
      <c r="C1530" s="30">
        <v>36.5</v>
      </c>
      <c r="D1530" s="30"/>
      <c r="E1530" s="30"/>
      <c r="F1530" s="30">
        <v>37.4</v>
      </c>
      <c r="G1530" s="30">
        <v>35.299999999999997</v>
      </c>
    </row>
    <row r="1531" spans="1:7" x14ac:dyDescent="0.25">
      <c r="A1531" s="29">
        <v>39137</v>
      </c>
      <c r="B1531" s="30">
        <v>28.9</v>
      </c>
      <c r="C1531" s="30">
        <v>29.4</v>
      </c>
      <c r="D1531" s="30"/>
      <c r="E1531" s="30"/>
      <c r="F1531" s="30">
        <v>30.3</v>
      </c>
      <c r="G1531" s="30">
        <v>28.5</v>
      </c>
    </row>
    <row r="1532" spans="1:7" x14ac:dyDescent="0.25">
      <c r="A1532" s="29">
        <v>39138</v>
      </c>
      <c r="B1532" s="30">
        <v>32</v>
      </c>
      <c r="C1532" s="30">
        <v>32.799999999999997</v>
      </c>
      <c r="D1532" s="30"/>
      <c r="E1532" s="30"/>
      <c r="F1532" s="30">
        <v>31.6</v>
      </c>
      <c r="G1532" s="30">
        <v>31.1</v>
      </c>
    </row>
    <row r="1533" spans="1:7" x14ac:dyDescent="0.25">
      <c r="A1533" s="29">
        <v>39139</v>
      </c>
      <c r="B1533" s="30">
        <v>32.5</v>
      </c>
      <c r="C1533" s="30">
        <v>33.6</v>
      </c>
      <c r="D1533" s="30"/>
      <c r="E1533" s="30"/>
      <c r="F1533" s="30">
        <v>35.6</v>
      </c>
      <c r="G1533" s="30">
        <v>32.4</v>
      </c>
    </row>
    <row r="1534" spans="1:7" x14ac:dyDescent="0.25">
      <c r="A1534" s="29">
        <v>39140</v>
      </c>
      <c r="B1534" s="30">
        <v>36</v>
      </c>
      <c r="C1534" s="30">
        <v>38.1</v>
      </c>
      <c r="D1534" s="30"/>
      <c r="E1534" s="30"/>
      <c r="F1534" s="30">
        <v>38.700000000000003</v>
      </c>
      <c r="G1534" s="30">
        <v>36.5</v>
      </c>
    </row>
    <row r="1535" spans="1:7" x14ac:dyDescent="0.25">
      <c r="A1535" s="29">
        <v>39141</v>
      </c>
      <c r="B1535" s="30">
        <v>39.9</v>
      </c>
      <c r="C1535" s="30">
        <v>40.9</v>
      </c>
      <c r="D1535" s="30"/>
      <c r="E1535" s="30"/>
      <c r="F1535" s="30">
        <v>39.799999999999997</v>
      </c>
      <c r="G1535" s="30">
        <v>38.6</v>
      </c>
    </row>
    <row r="1536" spans="1:7" x14ac:dyDescent="0.25">
      <c r="A1536" s="29">
        <v>39142</v>
      </c>
      <c r="B1536" s="30">
        <v>38</v>
      </c>
      <c r="C1536" s="30">
        <v>39.4</v>
      </c>
      <c r="D1536" s="30"/>
      <c r="E1536" s="30"/>
      <c r="F1536" s="30">
        <v>36.4</v>
      </c>
      <c r="G1536" s="30">
        <v>38</v>
      </c>
    </row>
    <row r="1537" spans="1:7" x14ac:dyDescent="0.25">
      <c r="A1537" s="29">
        <v>39143</v>
      </c>
      <c r="B1537" s="30">
        <v>47.5</v>
      </c>
      <c r="C1537" s="30">
        <v>47.3</v>
      </c>
      <c r="D1537" s="30"/>
      <c r="E1537" s="30"/>
      <c r="F1537" s="30">
        <v>53.1</v>
      </c>
      <c r="G1537" s="30">
        <v>48.8</v>
      </c>
    </row>
    <row r="1538" spans="1:7" x14ac:dyDescent="0.25">
      <c r="A1538" s="29">
        <v>39144</v>
      </c>
      <c r="B1538" s="30">
        <v>43.7</v>
      </c>
      <c r="C1538" s="30">
        <v>49.5</v>
      </c>
      <c r="D1538" s="30"/>
      <c r="E1538" s="30"/>
      <c r="F1538" s="30">
        <v>46.1</v>
      </c>
      <c r="G1538" s="30">
        <v>46.8</v>
      </c>
    </row>
    <row r="1539" spans="1:7" x14ac:dyDescent="0.25">
      <c r="A1539" s="29">
        <v>39145</v>
      </c>
      <c r="B1539" s="30">
        <v>39</v>
      </c>
      <c r="C1539" s="30">
        <v>39.799999999999997</v>
      </c>
      <c r="D1539" s="30"/>
      <c r="E1539" s="30"/>
      <c r="F1539" s="30">
        <v>38.1</v>
      </c>
      <c r="G1539" s="30">
        <v>38.200000000000003</v>
      </c>
    </row>
    <row r="1540" spans="1:7" x14ac:dyDescent="0.25">
      <c r="A1540" s="29">
        <v>39146</v>
      </c>
      <c r="B1540" s="30">
        <v>35.1</v>
      </c>
      <c r="C1540" s="30">
        <v>35.5</v>
      </c>
      <c r="D1540" s="30"/>
      <c r="E1540" s="30"/>
      <c r="F1540" s="30">
        <v>36.200000000000003</v>
      </c>
      <c r="G1540" s="30">
        <v>34.6</v>
      </c>
    </row>
    <row r="1541" spans="1:7" x14ac:dyDescent="0.25">
      <c r="A1541" s="29">
        <v>39147</v>
      </c>
      <c r="B1541" s="30">
        <v>20</v>
      </c>
      <c r="C1541" s="30">
        <v>20.7</v>
      </c>
      <c r="D1541" s="30"/>
      <c r="E1541" s="30"/>
      <c r="F1541" s="30">
        <v>24.9</v>
      </c>
      <c r="G1541" s="30">
        <v>19.399999999999999</v>
      </c>
    </row>
    <row r="1542" spans="1:7" x14ac:dyDescent="0.25">
      <c r="A1542" s="29">
        <v>39148</v>
      </c>
      <c r="B1542" s="30">
        <v>16.3</v>
      </c>
      <c r="C1542" s="30">
        <v>17.100000000000001</v>
      </c>
      <c r="D1542" s="30"/>
      <c r="E1542" s="30"/>
      <c r="F1542" s="30">
        <v>19.5</v>
      </c>
      <c r="G1542" s="30">
        <v>15.8</v>
      </c>
    </row>
    <row r="1543" spans="1:7" x14ac:dyDescent="0.25">
      <c r="A1543" s="29">
        <v>39149</v>
      </c>
      <c r="B1543" s="30">
        <v>24.4</v>
      </c>
      <c r="C1543" s="30">
        <v>25.8</v>
      </c>
      <c r="D1543" s="30"/>
      <c r="E1543" s="30"/>
      <c r="F1543" s="30">
        <v>20</v>
      </c>
      <c r="G1543" s="30">
        <v>24</v>
      </c>
    </row>
    <row r="1544" spans="1:7" x14ac:dyDescent="0.25">
      <c r="A1544" s="29">
        <v>39150</v>
      </c>
      <c r="B1544" s="30">
        <v>22.1</v>
      </c>
      <c r="C1544" s="30">
        <v>23.3</v>
      </c>
      <c r="D1544" s="30"/>
      <c r="E1544" s="30"/>
      <c r="F1544" s="30">
        <v>26.6</v>
      </c>
      <c r="G1544" s="30">
        <v>22.8</v>
      </c>
    </row>
    <row r="1545" spans="1:7" x14ac:dyDescent="0.25">
      <c r="A1545" s="29">
        <v>39151</v>
      </c>
      <c r="B1545" s="30">
        <v>36.9</v>
      </c>
      <c r="C1545" s="30">
        <v>38.700000000000003</v>
      </c>
      <c r="D1545" s="30"/>
      <c r="E1545" s="30"/>
      <c r="F1545" s="30">
        <v>41.2</v>
      </c>
      <c r="G1545" s="30">
        <v>37.6</v>
      </c>
    </row>
    <row r="1546" spans="1:7" x14ac:dyDescent="0.25">
      <c r="A1546" s="29">
        <v>39152</v>
      </c>
      <c r="B1546" s="30">
        <v>46.5</v>
      </c>
      <c r="C1546" s="30">
        <v>47.7</v>
      </c>
      <c r="D1546" s="30"/>
      <c r="E1546" s="30"/>
      <c r="F1546" s="30">
        <v>50</v>
      </c>
      <c r="G1546" s="30">
        <v>48.3</v>
      </c>
    </row>
    <row r="1547" spans="1:7" x14ac:dyDescent="0.25">
      <c r="A1547" s="29">
        <v>39153</v>
      </c>
      <c r="B1547" s="30">
        <v>41</v>
      </c>
      <c r="C1547" s="30">
        <v>44.7</v>
      </c>
      <c r="D1547" s="30"/>
      <c r="E1547" s="30"/>
      <c r="F1547" s="30">
        <v>40.700000000000003</v>
      </c>
      <c r="G1547" s="30">
        <v>43.6</v>
      </c>
    </row>
    <row r="1548" spans="1:7" x14ac:dyDescent="0.25">
      <c r="A1548" s="29">
        <v>39154</v>
      </c>
      <c r="B1548" s="30">
        <v>41.9</v>
      </c>
      <c r="C1548" s="30">
        <v>49.3</v>
      </c>
      <c r="D1548" s="30"/>
      <c r="E1548" s="30"/>
      <c r="F1548" s="30">
        <v>46</v>
      </c>
      <c r="G1548" s="30">
        <v>48.4</v>
      </c>
    </row>
    <row r="1549" spans="1:7" x14ac:dyDescent="0.25">
      <c r="A1549" s="29">
        <v>39155</v>
      </c>
      <c r="B1549" s="30">
        <v>46.1</v>
      </c>
      <c r="C1549" s="30">
        <v>53.6</v>
      </c>
      <c r="D1549" s="30"/>
      <c r="E1549" s="30"/>
      <c r="F1549" s="30">
        <v>53.9</v>
      </c>
      <c r="G1549" s="30">
        <v>56.8</v>
      </c>
    </row>
    <row r="1550" spans="1:7" x14ac:dyDescent="0.25">
      <c r="A1550" s="29">
        <v>39156</v>
      </c>
      <c r="B1550" s="30">
        <v>48.8</v>
      </c>
      <c r="C1550" s="30">
        <v>56.1</v>
      </c>
      <c r="D1550" s="30"/>
      <c r="E1550" s="30"/>
      <c r="F1550" s="30">
        <v>59.9</v>
      </c>
      <c r="G1550" s="30">
        <v>58.9</v>
      </c>
    </row>
    <row r="1551" spans="1:7" x14ac:dyDescent="0.25">
      <c r="A1551" s="29">
        <v>39157</v>
      </c>
      <c r="B1551" s="30">
        <v>33.299999999999997</v>
      </c>
      <c r="C1551" s="30">
        <v>34.1</v>
      </c>
      <c r="D1551" s="30"/>
      <c r="E1551" s="30"/>
      <c r="F1551" s="30">
        <v>39.299999999999997</v>
      </c>
      <c r="G1551" s="30">
        <v>32.4</v>
      </c>
    </row>
    <row r="1552" spans="1:7" x14ac:dyDescent="0.25">
      <c r="A1552" s="29">
        <v>39158</v>
      </c>
      <c r="B1552" s="30">
        <v>30.4</v>
      </c>
      <c r="C1552" s="30">
        <v>31.2</v>
      </c>
      <c r="D1552" s="30"/>
      <c r="E1552" s="30"/>
      <c r="F1552" s="30">
        <v>32.799999999999997</v>
      </c>
      <c r="G1552" s="30">
        <v>29.8</v>
      </c>
    </row>
    <row r="1553" spans="1:7" x14ac:dyDescent="0.25">
      <c r="A1553" s="29">
        <v>39159</v>
      </c>
      <c r="B1553" s="30">
        <v>31.7</v>
      </c>
      <c r="C1553" s="30">
        <v>33.4</v>
      </c>
      <c r="D1553" s="30"/>
      <c r="E1553" s="30"/>
      <c r="F1553" s="30">
        <v>33.9</v>
      </c>
      <c r="G1553" s="30">
        <v>31.5</v>
      </c>
    </row>
    <row r="1554" spans="1:7" x14ac:dyDescent="0.25">
      <c r="A1554" s="29">
        <v>39160</v>
      </c>
      <c r="B1554" s="30">
        <v>34.200000000000003</v>
      </c>
      <c r="C1554" s="30">
        <v>37.1</v>
      </c>
      <c r="D1554" s="30"/>
      <c r="E1554" s="30"/>
      <c r="F1554" s="30">
        <v>36.6</v>
      </c>
      <c r="G1554" s="30">
        <v>34.4</v>
      </c>
    </row>
    <row r="1555" spans="1:7" x14ac:dyDescent="0.25">
      <c r="A1555" s="29">
        <v>39161</v>
      </c>
      <c r="B1555" s="30">
        <v>43.6</v>
      </c>
      <c r="C1555" s="30">
        <v>45.3</v>
      </c>
      <c r="D1555" s="30"/>
      <c r="E1555" s="30"/>
      <c r="F1555" s="30">
        <v>52.1</v>
      </c>
      <c r="G1555" s="30">
        <v>43.4</v>
      </c>
    </row>
    <row r="1556" spans="1:7" x14ac:dyDescent="0.25">
      <c r="A1556" s="29">
        <v>39162</v>
      </c>
      <c r="B1556" s="30">
        <v>33.799999999999997</v>
      </c>
      <c r="C1556" s="30">
        <v>34.5</v>
      </c>
      <c r="D1556" s="30"/>
      <c r="E1556" s="30"/>
      <c r="F1556" s="30">
        <v>37.299999999999997</v>
      </c>
      <c r="G1556" s="30">
        <v>33.299999999999997</v>
      </c>
    </row>
    <row r="1557" spans="1:7" x14ac:dyDescent="0.25">
      <c r="A1557" s="29">
        <v>39163</v>
      </c>
      <c r="B1557" s="30">
        <v>43.4</v>
      </c>
      <c r="C1557" s="30">
        <v>47.9</v>
      </c>
      <c r="D1557" s="30"/>
      <c r="E1557" s="30"/>
      <c r="F1557" s="30">
        <v>51.6</v>
      </c>
      <c r="G1557" s="30">
        <v>48</v>
      </c>
    </row>
    <row r="1558" spans="1:7" x14ac:dyDescent="0.25">
      <c r="A1558" s="29">
        <v>39164</v>
      </c>
      <c r="B1558" s="30">
        <v>51.8</v>
      </c>
      <c r="C1558" s="30">
        <v>57.1</v>
      </c>
      <c r="D1558" s="30"/>
      <c r="E1558" s="30"/>
      <c r="F1558" s="30">
        <v>60.4</v>
      </c>
      <c r="G1558" s="30">
        <v>57.6</v>
      </c>
    </row>
    <row r="1559" spans="1:7" x14ac:dyDescent="0.25">
      <c r="A1559" s="29">
        <v>39165</v>
      </c>
      <c r="B1559" s="30">
        <v>48.2</v>
      </c>
      <c r="C1559" s="30">
        <v>47.9</v>
      </c>
      <c r="D1559" s="30"/>
      <c r="E1559" s="30"/>
      <c r="F1559" s="30">
        <v>49.6</v>
      </c>
      <c r="G1559" s="30">
        <v>49.1</v>
      </c>
    </row>
    <row r="1560" spans="1:7" x14ac:dyDescent="0.25">
      <c r="A1560" s="29">
        <v>39166</v>
      </c>
      <c r="B1560" s="30">
        <v>43.4</v>
      </c>
      <c r="C1560" s="30">
        <v>44</v>
      </c>
      <c r="D1560" s="30"/>
      <c r="E1560" s="30"/>
      <c r="F1560" s="30">
        <v>46</v>
      </c>
      <c r="G1560" s="30">
        <v>45.2</v>
      </c>
    </row>
    <row r="1561" spans="1:7" x14ac:dyDescent="0.25">
      <c r="A1561" s="29">
        <v>39167</v>
      </c>
      <c r="B1561" s="30">
        <v>41.4</v>
      </c>
      <c r="C1561" s="30">
        <v>44.7</v>
      </c>
      <c r="D1561" s="30"/>
      <c r="E1561" s="30"/>
      <c r="F1561" s="30">
        <v>41.3</v>
      </c>
      <c r="G1561" s="30">
        <v>44.5</v>
      </c>
    </row>
    <row r="1562" spans="1:7" x14ac:dyDescent="0.25">
      <c r="A1562" s="29">
        <v>39168</v>
      </c>
      <c r="B1562" s="30">
        <v>57.4</v>
      </c>
      <c r="C1562" s="30">
        <v>59.7</v>
      </c>
      <c r="D1562" s="30"/>
      <c r="E1562" s="30"/>
      <c r="F1562" s="30">
        <v>64.3</v>
      </c>
      <c r="G1562" s="30">
        <v>61.6</v>
      </c>
    </row>
    <row r="1563" spans="1:7" x14ac:dyDescent="0.25">
      <c r="A1563" s="29">
        <v>39169</v>
      </c>
      <c r="B1563" s="30">
        <v>58.6</v>
      </c>
      <c r="C1563" s="30">
        <v>58.2</v>
      </c>
      <c r="D1563" s="30"/>
      <c r="E1563" s="30"/>
      <c r="F1563" s="30">
        <v>59.7</v>
      </c>
      <c r="G1563" s="30">
        <v>60</v>
      </c>
    </row>
    <row r="1564" spans="1:7" x14ac:dyDescent="0.25">
      <c r="A1564" s="29">
        <v>39170</v>
      </c>
      <c r="B1564" s="30">
        <v>48.4</v>
      </c>
      <c r="C1564" s="30">
        <v>48.6</v>
      </c>
      <c r="D1564" s="30"/>
      <c r="E1564" s="30"/>
      <c r="F1564" s="30">
        <v>48.9</v>
      </c>
      <c r="G1564" s="30">
        <v>48.7</v>
      </c>
    </row>
    <row r="1565" spans="1:7" x14ac:dyDescent="0.25">
      <c r="A1565" s="29">
        <v>39171</v>
      </c>
      <c r="B1565" s="30">
        <v>50.1</v>
      </c>
      <c r="C1565" s="30">
        <v>52.1</v>
      </c>
      <c r="D1565" s="30"/>
      <c r="E1565" s="30"/>
      <c r="F1565" s="30">
        <v>48</v>
      </c>
      <c r="G1565" s="30">
        <v>52</v>
      </c>
    </row>
    <row r="1566" spans="1:7" x14ac:dyDescent="0.25">
      <c r="A1566" s="29">
        <v>39172</v>
      </c>
      <c r="B1566" s="30">
        <v>49.7</v>
      </c>
      <c r="C1566" s="30">
        <v>51.2</v>
      </c>
      <c r="D1566" s="30"/>
      <c r="E1566" s="30"/>
      <c r="F1566" s="30">
        <v>47.2</v>
      </c>
      <c r="G1566" s="30">
        <v>50.2</v>
      </c>
    </row>
    <row r="1567" spans="1:7" x14ac:dyDescent="0.25">
      <c r="A1567" s="29">
        <v>39173</v>
      </c>
      <c r="B1567" s="30">
        <v>44.2</v>
      </c>
      <c r="C1567" s="30">
        <v>45.6</v>
      </c>
      <c r="D1567" s="30"/>
      <c r="E1567" s="30"/>
      <c r="F1567" s="30">
        <v>47.1</v>
      </c>
      <c r="G1567" s="30">
        <v>45.5</v>
      </c>
    </row>
    <row r="1568" spans="1:7" x14ac:dyDescent="0.25">
      <c r="A1568" s="29">
        <v>39174</v>
      </c>
      <c r="B1568" s="30">
        <v>45.7</v>
      </c>
      <c r="C1568" s="30">
        <v>45.5</v>
      </c>
      <c r="D1568" s="30"/>
      <c r="E1568" s="30"/>
      <c r="F1568" s="30">
        <v>52.3</v>
      </c>
      <c r="G1568" s="30">
        <v>46.2</v>
      </c>
    </row>
    <row r="1569" spans="1:7" x14ac:dyDescent="0.25">
      <c r="A1569" s="29">
        <v>39175</v>
      </c>
      <c r="B1569" s="30">
        <v>46.7</v>
      </c>
      <c r="C1569" s="30">
        <v>49.5</v>
      </c>
      <c r="D1569" s="30"/>
      <c r="E1569" s="30"/>
      <c r="F1569" s="30">
        <v>47.5</v>
      </c>
      <c r="G1569" s="30">
        <v>48.8</v>
      </c>
    </row>
    <row r="1570" spans="1:7" x14ac:dyDescent="0.25">
      <c r="A1570" s="29">
        <v>39176</v>
      </c>
      <c r="B1570" s="30">
        <v>42.1</v>
      </c>
      <c r="C1570" s="30">
        <v>43.5</v>
      </c>
      <c r="D1570" s="30"/>
      <c r="E1570" s="30"/>
      <c r="F1570" s="30">
        <v>45.1</v>
      </c>
      <c r="G1570" s="30">
        <v>42.3</v>
      </c>
    </row>
    <row r="1571" spans="1:7" x14ac:dyDescent="0.25">
      <c r="A1571" s="29">
        <v>39177</v>
      </c>
      <c r="B1571" s="30">
        <v>41.6</v>
      </c>
      <c r="C1571" s="30">
        <v>42.4</v>
      </c>
      <c r="D1571" s="30"/>
      <c r="E1571" s="30"/>
      <c r="F1571" s="30">
        <v>41.9</v>
      </c>
      <c r="G1571" s="30">
        <v>41.3</v>
      </c>
    </row>
    <row r="1572" spans="1:7" x14ac:dyDescent="0.25">
      <c r="A1572" s="29">
        <v>39178</v>
      </c>
      <c r="B1572" s="30">
        <v>37.1</v>
      </c>
      <c r="C1572" s="30">
        <v>37.6</v>
      </c>
      <c r="D1572" s="30"/>
      <c r="E1572" s="30"/>
      <c r="F1572" s="30">
        <v>37.700000000000003</v>
      </c>
      <c r="G1572" s="30">
        <v>36.6</v>
      </c>
    </row>
    <row r="1573" spans="1:7" x14ac:dyDescent="0.25">
      <c r="A1573" s="29">
        <v>39179</v>
      </c>
      <c r="B1573" s="30">
        <v>37.299999999999997</v>
      </c>
      <c r="C1573" s="30">
        <v>38.200000000000003</v>
      </c>
      <c r="D1573" s="30"/>
      <c r="E1573" s="30"/>
      <c r="F1573" s="30">
        <v>36.6</v>
      </c>
      <c r="G1573" s="30">
        <v>36.6</v>
      </c>
    </row>
    <row r="1574" spans="1:7" x14ac:dyDescent="0.25">
      <c r="A1574" s="29">
        <v>39180</v>
      </c>
      <c r="B1574" s="30">
        <v>36.6</v>
      </c>
      <c r="C1574" s="30">
        <v>37.1</v>
      </c>
      <c r="D1574" s="30"/>
      <c r="E1574" s="30"/>
      <c r="F1574" s="30">
        <v>36.1</v>
      </c>
      <c r="G1574" s="30">
        <v>35.6</v>
      </c>
    </row>
    <row r="1575" spans="1:7" x14ac:dyDescent="0.25">
      <c r="A1575" s="29">
        <v>39181</v>
      </c>
      <c r="B1575" s="30">
        <v>40.299999999999997</v>
      </c>
      <c r="C1575" s="30">
        <v>40.6</v>
      </c>
      <c r="D1575" s="30"/>
      <c r="E1575" s="30"/>
      <c r="F1575" s="30">
        <v>38.700000000000003</v>
      </c>
      <c r="G1575" s="30">
        <v>39.5</v>
      </c>
    </row>
    <row r="1576" spans="1:7" x14ac:dyDescent="0.25">
      <c r="A1576" s="29">
        <v>39182</v>
      </c>
      <c r="B1576" s="30">
        <v>41.9</v>
      </c>
      <c r="C1576" s="30">
        <v>42.5</v>
      </c>
      <c r="D1576" s="30"/>
      <c r="E1576" s="30"/>
      <c r="F1576" s="30">
        <v>41</v>
      </c>
      <c r="G1576" s="30">
        <v>41.9</v>
      </c>
    </row>
    <row r="1577" spans="1:7" x14ac:dyDescent="0.25">
      <c r="A1577" s="29">
        <v>39183</v>
      </c>
      <c r="B1577" s="30">
        <v>41.7</v>
      </c>
      <c r="C1577" s="30">
        <v>44.4</v>
      </c>
      <c r="D1577" s="30"/>
      <c r="E1577" s="30"/>
      <c r="F1577" s="30">
        <v>39.799999999999997</v>
      </c>
      <c r="G1577" s="30">
        <v>42.2</v>
      </c>
    </row>
    <row r="1578" spans="1:7" x14ac:dyDescent="0.25">
      <c r="A1578" s="29">
        <v>39184</v>
      </c>
      <c r="B1578" s="30">
        <v>42.4</v>
      </c>
      <c r="C1578" s="30">
        <v>43.4</v>
      </c>
      <c r="D1578" s="30"/>
      <c r="E1578" s="30"/>
      <c r="F1578" s="30">
        <v>48.3</v>
      </c>
      <c r="G1578" s="30">
        <v>42.6</v>
      </c>
    </row>
    <row r="1579" spans="1:7" x14ac:dyDescent="0.25">
      <c r="A1579" s="29">
        <v>39185</v>
      </c>
      <c r="B1579" s="30">
        <v>45.7</v>
      </c>
      <c r="C1579" s="30">
        <v>46.3</v>
      </c>
      <c r="D1579" s="30"/>
      <c r="E1579" s="30"/>
      <c r="F1579" s="30">
        <v>47.2</v>
      </c>
      <c r="G1579" s="30">
        <v>45.5</v>
      </c>
    </row>
    <row r="1580" spans="1:7" x14ac:dyDescent="0.25">
      <c r="A1580" s="29">
        <v>39186</v>
      </c>
      <c r="B1580" s="30">
        <v>46.9</v>
      </c>
      <c r="C1580" s="30">
        <v>47.5</v>
      </c>
      <c r="D1580" s="30"/>
      <c r="E1580" s="30"/>
      <c r="F1580" s="30">
        <v>46.2</v>
      </c>
      <c r="G1580" s="30">
        <v>47.2</v>
      </c>
    </row>
    <row r="1581" spans="1:7" x14ac:dyDescent="0.25">
      <c r="A1581" s="29">
        <v>39187</v>
      </c>
      <c r="B1581" s="30">
        <v>45.3</v>
      </c>
      <c r="C1581" s="30">
        <v>47.4</v>
      </c>
      <c r="D1581" s="30"/>
      <c r="E1581" s="30"/>
      <c r="F1581" s="30">
        <v>50.1</v>
      </c>
      <c r="G1581" s="30">
        <v>46.3</v>
      </c>
    </row>
    <row r="1582" spans="1:7" x14ac:dyDescent="0.25">
      <c r="A1582" s="29">
        <v>39188</v>
      </c>
      <c r="B1582" s="30">
        <v>47.6</v>
      </c>
      <c r="C1582" s="30">
        <v>47</v>
      </c>
      <c r="D1582" s="30"/>
      <c r="E1582" s="30"/>
      <c r="F1582" s="30">
        <v>43.3</v>
      </c>
      <c r="G1582" s="30">
        <v>43.8</v>
      </c>
    </row>
    <row r="1583" spans="1:7" x14ac:dyDescent="0.25">
      <c r="A1583" s="29">
        <v>39189</v>
      </c>
      <c r="B1583" s="30">
        <v>45.3</v>
      </c>
      <c r="C1583" s="30">
        <v>45.8</v>
      </c>
      <c r="D1583" s="30"/>
      <c r="E1583" s="30"/>
      <c r="F1583" s="30">
        <v>44.1</v>
      </c>
      <c r="G1583" s="30">
        <v>45.1</v>
      </c>
    </row>
    <row r="1584" spans="1:7" x14ac:dyDescent="0.25">
      <c r="A1584" s="29">
        <v>39190</v>
      </c>
      <c r="B1584" s="30">
        <v>46.7</v>
      </c>
      <c r="C1584" s="30">
        <v>47.4</v>
      </c>
      <c r="D1584" s="30"/>
      <c r="E1584" s="30"/>
      <c r="F1584" s="30">
        <v>45.5</v>
      </c>
      <c r="G1584" s="30">
        <v>46.9</v>
      </c>
    </row>
    <row r="1585" spans="1:7" x14ac:dyDescent="0.25">
      <c r="A1585" s="29">
        <v>39191</v>
      </c>
      <c r="B1585" s="30">
        <v>49.8</v>
      </c>
      <c r="C1585" s="30">
        <v>51.1</v>
      </c>
      <c r="D1585" s="30"/>
      <c r="E1585" s="30"/>
      <c r="F1585" s="30">
        <v>46.7</v>
      </c>
      <c r="G1585" s="30">
        <v>50.5</v>
      </c>
    </row>
    <row r="1586" spans="1:7" x14ac:dyDescent="0.25">
      <c r="A1586" s="29">
        <v>39192</v>
      </c>
      <c r="B1586" s="30">
        <v>51.8</v>
      </c>
      <c r="C1586" s="30">
        <v>55.1</v>
      </c>
      <c r="D1586" s="30"/>
      <c r="E1586" s="30"/>
      <c r="F1586" s="30">
        <v>50.1</v>
      </c>
      <c r="G1586" s="30">
        <v>54.3</v>
      </c>
    </row>
    <row r="1587" spans="1:7" x14ac:dyDescent="0.25">
      <c r="A1587" s="29">
        <v>39193</v>
      </c>
      <c r="B1587" s="30">
        <v>55.7</v>
      </c>
      <c r="C1587" s="30">
        <v>59.4</v>
      </c>
      <c r="D1587" s="30"/>
      <c r="E1587" s="30"/>
      <c r="F1587" s="30">
        <v>53.8</v>
      </c>
      <c r="G1587" s="30">
        <v>57.8</v>
      </c>
    </row>
    <row r="1588" spans="1:7" x14ac:dyDescent="0.25">
      <c r="A1588" s="29">
        <v>39194</v>
      </c>
      <c r="B1588" s="30">
        <v>60.5</v>
      </c>
      <c r="C1588" s="30">
        <v>63.7</v>
      </c>
      <c r="D1588" s="30"/>
      <c r="E1588" s="30"/>
      <c r="F1588" s="30">
        <v>62.2</v>
      </c>
      <c r="G1588" s="30">
        <v>64.8</v>
      </c>
    </row>
    <row r="1589" spans="1:7" x14ac:dyDescent="0.25">
      <c r="A1589" s="29">
        <v>39195</v>
      </c>
      <c r="B1589" s="30">
        <v>57.3</v>
      </c>
      <c r="C1589" s="30">
        <v>67.900000000000006</v>
      </c>
      <c r="D1589" s="30"/>
      <c r="E1589" s="30"/>
      <c r="F1589" s="30">
        <v>65.7</v>
      </c>
      <c r="G1589" s="30">
        <v>68</v>
      </c>
    </row>
    <row r="1590" spans="1:7" x14ac:dyDescent="0.25">
      <c r="A1590" s="29">
        <v>39196</v>
      </c>
      <c r="B1590" s="30">
        <v>66.7</v>
      </c>
      <c r="C1590" s="30">
        <v>72.099999999999994</v>
      </c>
      <c r="D1590" s="30"/>
      <c r="E1590" s="30"/>
      <c r="F1590" s="30">
        <v>71.099999999999994</v>
      </c>
      <c r="G1590" s="30">
        <v>73</v>
      </c>
    </row>
    <row r="1591" spans="1:7" x14ac:dyDescent="0.25">
      <c r="A1591" s="29">
        <v>39197</v>
      </c>
      <c r="B1591" s="30">
        <v>58.8</v>
      </c>
      <c r="C1591" s="30">
        <v>58.5</v>
      </c>
      <c r="D1591" s="30"/>
      <c r="E1591" s="30"/>
      <c r="F1591" s="30">
        <v>60.1</v>
      </c>
      <c r="G1591" s="30">
        <v>58.6</v>
      </c>
    </row>
    <row r="1592" spans="1:7" x14ac:dyDescent="0.25">
      <c r="A1592" s="29">
        <v>39198</v>
      </c>
      <c r="B1592" s="30">
        <v>50.5</v>
      </c>
      <c r="C1592" s="30">
        <v>51.9</v>
      </c>
      <c r="D1592" s="30"/>
      <c r="E1592" s="30"/>
      <c r="F1592" s="30">
        <v>51.4</v>
      </c>
      <c r="G1592" s="30">
        <v>50.8</v>
      </c>
    </row>
    <row r="1593" spans="1:7" x14ac:dyDescent="0.25">
      <c r="A1593" s="29">
        <v>39199</v>
      </c>
      <c r="B1593" s="30">
        <v>51.2</v>
      </c>
      <c r="C1593" s="30">
        <v>51.2</v>
      </c>
      <c r="D1593" s="30"/>
      <c r="E1593" s="30"/>
      <c r="F1593" s="30">
        <v>55.7</v>
      </c>
      <c r="G1593" s="30">
        <v>51.9</v>
      </c>
    </row>
    <row r="1594" spans="1:7" x14ac:dyDescent="0.25">
      <c r="A1594" s="29">
        <v>39200</v>
      </c>
      <c r="B1594" s="30">
        <v>60.1</v>
      </c>
      <c r="C1594" s="30">
        <v>60.6</v>
      </c>
      <c r="D1594" s="30"/>
      <c r="E1594" s="30"/>
      <c r="F1594" s="30">
        <v>63</v>
      </c>
      <c r="G1594" s="30">
        <v>61.1</v>
      </c>
    </row>
    <row r="1595" spans="1:7" x14ac:dyDescent="0.25">
      <c r="A1595" s="29">
        <v>39201</v>
      </c>
      <c r="B1595" s="30">
        <v>60.7</v>
      </c>
      <c r="C1595" s="30">
        <v>60.7</v>
      </c>
      <c r="D1595" s="30"/>
      <c r="E1595" s="30"/>
      <c r="F1595" s="30">
        <v>61.3</v>
      </c>
      <c r="G1595" s="30">
        <v>61</v>
      </c>
    </row>
    <row r="1596" spans="1:7" x14ac:dyDescent="0.25">
      <c r="A1596" s="29">
        <v>39202</v>
      </c>
      <c r="B1596" s="30">
        <v>62.3</v>
      </c>
      <c r="C1596" s="30">
        <v>64.599999999999994</v>
      </c>
      <c r="D1596" s="30"/>
      <c r="E1596" s="30"/>
      <c r="F1596" s="30">
        <v>63.8</v>
      </c>
      <c r="G1596" s="30">
        <v>63.7</v>
      </c>
    </row>
    <row r="1597" spans="1:7" x14ac:dyDescent="0.25">
      <c r="A1597" s="29">
        <v>39203</v>
      </c>
      <c r="B1597" s="30">
        <v>59.8</v>
      </c>
      <c r="C1597" s="30">
        <v>62.4</v>
      </c>
      <c r="D1597" s="30"/>
      <c r="E1597" s="30"/>
      <c r="F1597" s="30">
        <v>61</v>
      </c>
      <c r="G1597" s="30">
        <v>61.5</v>
      </c>
    </row>
    <row r="1598" spans="1:7" x14ac:dyDescent="0.25">
      <c r="A1598" s="29">
        <v>39204</v>
      </c>
      <c r="B1598" s="30">
        <v>55.2</v>
      </c>
      <c r="C1598" s="30">
        <v>57.6</v>
      </c>
      <c r="D1598" s="30"/>
      <c r="E1598" s="30"/>
      <c r="F1598" s="30">
        <v>60.5</v>
      </c>
      <c r="G1598" s="30">
        <v>58.1</v>
      </c>
    </row>
    <row r="1599" spans="1:7" x14ac:dyDescent="0.25">
      <c r="A1599" s="29">
        <v>39205</v>
      </c>
      <c r="B1599" s="30">
        <v>56.3</v>
      </c>
      <c r="C1599" s="30">
        <v>61.4</v>
      </c>
      <c r="D1599" s="30"/>
      <c r="E1599" s="30"/>
      <c r="F1599" s="30">
        <v>54.8</v>
      </c>
      <c r="G1599" s="30">
        <v>61.1</v>
      </c>
    </row>
    <row r="1600" spans="1:7" x14ac:dyDescent="0.25">
      <c r="A1600" s="29">
        <v>39206</v>
      </c>
      <c r="B1600" s="30">
        <v>57.2</v>
      </c>
      <c r="C1600" s="30">
        <v>60.7</v>
      </c>
      <c r="D1600" s="30"/>
      <c r="E1600" s="30"/>
      <c r="F1600" s="30">
        <v>54.9</v>
      </c>
      <c r="G1600" s="30">
        <v>60.7</v>
      </c>
    </row>
    <row r="1601" spans="1:7" x14ac:dyDescent="0.25">
      <c r="A1601" s="29">
        <v>39207</v>
      </c>
      <c r="B1601" s="30">
        <v>57.1</v>
      </c>
      <c r="C1601" s="30">
        <v>61.7</v>
      </c>
      <c r="D1601" s="30"/>
      <c r="E1601" s="30"/>
      <c r="F1601" s="30">
        <v>59.3</v>
      </c>
      <c r="G1601" s="30">
        <v>60.1</v>
      </c>
    </row>
    <row r="1602" spans="1:7" x14ac:dyDescent="0.25">
      <c r="A1602" s="29">
        <v>39208</v>
      </c>
      <c r="B1602" s="30">
        <v>55.7</v>
      </c>
      <c r="C1602" s="30">
        <v>57.1</v>
      </c>
      <c r="D1602" s="30"/>
      <c r="E1602" s="30"/>
      <c r="F1602" s="30">
        <v>54.8</v>
      </c>
      <c r="G1602" s="30">
        <v>55.4</v>
      </c>
    </row>
    <row r="1603" spans="1:7" x14ac:dyDescent="0.25">
      <c r="A1603" s="29">
        <v>39209</v>
      </c>
      <c r="B1603" s="30">
        <v>50.6</v>
      </c>
      <c r="C1603" s="30">
        <v>54.3</v>
      </c>
      <c r="D1603" s="30"/>
      <c r="E1603" s="30"/>
      <c r="F1603" s="30">
        <v>48.1</v>
      </c>
      <c r="G1603" s="30">
        <v>52.9</v>
      </c>
    </row>
    <row r="1604" spans="1:7" x14ac:dyDescent="0.25">
      <c r="A1604" s="29">
        <v>39210</v>
      </c>
      <c r="B1604" s="30">
        <v>52.8</v>
      </c>
      <c r="C1604" s="30">
        <v>57.8</v>
      </c>
      <c r="D1604" s="30"/>
      <c r="E1604" s="30"/>
      <c r="F1604" s="30">
        <v>51.1</v>
      </c>
      <c r="G1604" s="30">
        <v>55.5</v>
      </c>
    </row>
    <row r="1605" spans="1:7" x14ac:dyDescent="0.25">
      <c r="A1605" s="29">
        <v>39211</v>
      </c>
      <c r="B1605" s="30">
        <v>59.8</v>
      </c>
      <c r="C1605" s="30">
        <v>66.7</v>
      </c>
      <c r="D1605" s="30"/>
      <c r="E1605" s="30"/>
      <c r="F1605" s="30">
        <v>64.400000000000006</v>
      </c>
      <c r="G1605" s="30">
        <v>66.2</v>
      </c>
    </row>
    <row r="1606" spans="1:7" x14ac:dyDescent="0.25">
      <c r="A1606" s="29">
        <v>39212</v>
      </c>
      <c r="B1606" s="30">
        <v>63.3</v>
      </c>
      <c r="C1606" s="30">
        <v>70.3</v>
      </c>
      <c r="D1606" s="30"/>
      <c r="E1606" s="30"/>
      <c r="F1606" s="30">
        <v>67.599999999999994</v>
      </c>
      <c r="G1606" s="30">
        <v>70.3</v>
      </c>
    </row>
    <row r="1607" spans="1:7" x14ac:dyDescent="0.25">
      <c r="A1607" s="29">
        <v>39213</v>
      </c>
      <c r="B1607" s="30">
        <v>61.4</v>
      </c>
      <c r="C1607" s="30">
        <v>67</v>
      </c>
      <c r="D1607" s="30"/>
      <c r="E1607" s="30"/>
      <c r="F1607" s="30">
        <v>67.2</v>
      </c>
      <c r="G1607" s="30">
        <v>67.2</v>
      </c>
    </row>
    <row r="1608" spans="1:7" x14ac:dyDescent="0.25">
      <c r="A1608" s="29">
        <v>39214</v>
      </c>
      <c r="B1608" s="30">
        <v>63.7</v>
      </c>
      <c r="C1608" s="30">
        <v>66.599999999999994</v>
      </c>
      <c r="D1608" s="30"/>
      <c r="E1608" s="30"/>
      <c r="F1608" s="30">
        <v>67.400000000000006</v>
      </c>
      <c r="G1608" s="30">
        <v>66.8</v>
      </c>
    </row>
    <row r="1609" spans="1:7" x14ac:dyDescent="0.25">
      <c r="A1609" s="29">
        <v>39215</v>
      </c>
      <c r="B1609" s="30">
        <v>58.3</v>
      </c>
      <c r="C1609" s="30">
        <v>59.5</v>
      </c>
      <c r="D1609" s="30"/>
      <c r="E1609" s="30"/>
      <c r="F1609" s="30">
        <v>59.9</v>
      </c>
      <c r="G1609" s="30">
        <v>59.6</v>
      </c>
    </row>
    <row r="1610" spans="1:7" x14ac:dyDescent="0.25">
      <c r="A1610" s="29">
        <v>39216</v>
      </c>
      <c r="B1610" s="30">
        <v>58.1</v>
      </c>
      <c r="C1610" s="30">
        <v>61.7</v>
      </c>
      <c r="D1610" s="30"/>
      <c r="E1610" s="30"/>
      <c r="F1610" s="30">
        <v>55.3</v>
      </c>
      <c r="G1610" s="30">
        <v>60.7</v>
      </c>
    </row>
    <row r="1611" spans="1:7" x14ac:dyDescent="0.25">
      <c r="A1611" s="29">
        <v>39217</v>
      </c>
      <c r="B1611" s="30">
        <v>64.900000000000006</v>
      </c>
      <c r="C1611" s="30">
        <v>69.099999999999994</v>
      </c>
      <c r="D1611" s="30"/>
      <c r="E1611" s="30"/>
      <c r="F1611" s="30">
        <v>66.599999999999994</v>
      </c>
      <c r="G1611" s="30">
        <v>67.3</v>
      </c>
    </row>
    <row r="1612" spans="1:7" x14ac:dyDescent="0.25">
      <c r="A1612" s="29">
        <v>39218</v>
      </c>
      <c r="B1612" s="30">
        <v>68</v>
      </c>
      <c r="C1612" s="30">
        <v>77.2</v>
      </c>
      <c r="D1612" s="30"/>
      <c r="E1612" s="30"/>
      <c r="F1612" s="30">
        <v>73.599999999999994</v>
      </c>
      <c r="G1612" s="30">
        <v>75.5</v>
      </c>
    </row>
    <row r="1613" spans="1:7" x14ac:dyDescent="0.25">
      <c r="A1613" s="29">
        <v>39219</v>
      </c>
      <c r="B1613" s="30">
        <v>61.3</v>
      </c>
      <c r="C1613" s="30">
        <v>64</v>
      </c>
      <c r="D1613" s="30"/>
      <c r="E1613" s="30"/>
      <c r="F1613" s="30">
        <v>62.9</v>
      </c>
      <c r="G1613" s="30">
        <v>61.9</v>
      </c>
    </row>
    <row r="1614" spans="1:7" x14ac:dyDescent="0.25">
      <c r="A1614" s="29">
        <v>39220</v>
      </c>
      <c r="B1614" s="30">
        <v>50.3</v>
      </c>
      <c r="C1614" s="30">
        <v>53.6</v>
      </c>
      <c r="D1614" s="30"/>
      <c r="E1614" s="30"/>
      <c r="F1614" s="30">
        <v>51.7</v>
      </c>
      <c r="G1614" s="30">
        <v>53.7</v>
      </c>
    </row>
    <row r="1615" spans="1:7" x14ac:dyDescent="0.25">
      <c r="A1615" s="29">
        <v>39221</v>
      </c>
      <c r="B1615" s="30">
        <v>53.2</v>
      </c>
      <c r="C1615" s="30">
        <v>54.1</v>
      </c>
      <c r="D1615" s="30"/>
      <c r="E1615" s="30"/>
      <c r="F1615" s="30">
        <v>54</v>
      </c>
      <c r="G1615" s="30">
        <v>53.8</v>
      </c>
    </row>
    <row r="1616" spans="1:7" x14ac:dyDescent="0.25">
      <c r="A1616" s="29">
        <v>39222</v>
      </c>
      <c r="B1616" s="30">
        <v>60.7</v>
      </c>
      <c r="C1616" s="30">
        <v>61.6</v>
      </c>
      <c r="D1616" s="30"/>
      <c r="E1616" s="30"/>
      <c r="F1616" s="30">
        <v>63.7</v>
      </c>
      <c r="G1616" s="30">
        <v>60.8</v>
      </c>
    </row>
    <row r="1617" spans="1:7" x14ac:dyDescent="0.25">
      <c r="A1617" s="29">
        <v>39223</v>
      </c>
      <c r="B1617" s="30">
        <v>62.8</v>
      </c>
      <c r="C1617" s="30">
        <v>63.3</v>
      </c>
      <c r="D1617" s="30"/>
      <c r="E1617" s="30"/>
      <c r="F1617" s="30">
        <v>61.8</v>
      </c>
      <c r="G1617" s="30">
        <v>62.8</v>
      </c>
    </row>
    <row r="1618" spans="1:7" x14ac:dyDescent="0.25">
      <c r="A1618" s="29">
        <v>39224</v>
      </c>
      <c r="B1618" s="30">
        <v>59</v>
      </c>
      <c r="C1618" s="30">
        <v>63.1</v>
      </c>
      <c r="D1618" s="30"/>
      <c r="E1618" s="30"/>
      <c r="F1618" s="30">
        <v>59.7</v>
      </c>
      <c r="G1618" s="30">
        <v>63.3</v>
      </c>
    </row>
    <row r="1619" spans="1:7" x14ac:dyDescent="0.25">
      <c r="A1619" s="29">
        <v>39225</v>
      </c>
      <c r="B1619" s="30">
        <v>59.9</v>
      </c>
      <c r="C1619" s="30">
        <v>64.400000000000006</v>
      </c>
      <c r="D1619" s="30"/>
      <c r="E1619" s="30"/>
      <c r="F1619" s="30">
        <v>61.6</v>
      </c>
      <c r="G1619" s="30">
        <v>64.3</v>
      </c>
    </row>
    <row r="1620" spans="1:7" x14ac:dyDescent="0.25">
      <c r="A1620" s="29">
        <v>39226</v>
      </c>
      <c r="B1620" s="30">
        <v>64.7</v>
      </c>
      <c r="C1620" s="30">
        <v>70.599999999999994</v>
      </c>
      <c r="D1620" s="30"/>
      <c r="E1620" s="30"/>
      <c r="F1620" s="30">
        <v>65.400000000000006</v>
      </c>
      <c r="G1620" s="30">
        <v>69.099999999999994</v>
      </c>
    </row>
    <row r="1621" spans="1:7" x14ac:dyDescent="0.25">
      <c r="A1621" s="29">
        <v>39227</v>
      </c>
      <c r="B1621" s="30">
        <v>72.5</v>
      </c>
      <c r="C1621" s="30">
        <v>80.3</v>
      </c>
      <c r="D1621" s="30"/>
      <c r="E1621" s="30"/>
      <c r="F1621" s="30">
        <v>71.7</v>
      </c>
      <c r="G1621" s="30">
        <v>77.8</v>
      </c>
    </row>
    <row r="1622" spans="1:7" x14ac:dyDescent="0.25">
      <c r="A1622" s="29">
        <v>39228</v>
      </c>
      <c r="B1622" s="30">
        <v>77.5</v>
      </c>
      <c r="C1622" s="30">
        <v>80.7</v>
      </c>
      <c r="D1622" s="30"/>
      <c r="E1622" s="30"/>
      <c r="F1622" s="30">
        <v>77.5</v>
      </c>
      <c r="G1622" s="30">
        <v>79.900000000000006</v>
      </c>
    </row>
    <row r="1623" spans="1:7" x14ac:dyDescent="0.25">
      <c r="A1623" s="29">
        <v>39229</v>
      </c>
      <c r="B1623" s="30">
        <v>75.400000000000006</v>
      </c>
      <c r="C1623" s="30">
        <v>75.7</v>
      </c>
      <c r="D1623" s="30"/>
      <c r="E1623" s="30"/>
      <c r="F1623" s="30">
        <v>75.599999999999994</v>
      </c>
      <c r="G1623" s="30">
        <v>76.8</v>
      </c>
    </row>
    <row r="1624" spans="1:7" x14ac:dyDescent="0.25">
      <c r="A1624" s="29">
        <v>39230</v>
      </c>
      <c r="B1624" s="30">
        <v>72.599999999999994</v>
      </c>
      <c r="C1624" s="30">
        <v>77.400000000000006</v>
      </c>
      <c r="D1624" s="30"/>
      <c r="E1624" s="30"/>
      <c r="F1624" s="30">
        <v>75.900000000000006</v>
      </c>
      <c r="G1624" s="30">
        <v>74.8</v>
      </c>
    </row>
    <row r="1625" spans="1:7" x14ac:dyDescent="0.25">
      <c r="A1625" s="29">
        <v>39231</v>
      </c>
      <c r="B1625" s="30">
        <v>70.400000000000006</v>
      </c>
      <c r="C1625" s="30">
        <v>72.900000000000006</v>
      </c>
      <c r="D1625" s="30"/>
      <c r="E1625" s="30"/>
      <c r="F1625" s="30">
        <v>70.900000000000006</v>
      </c>
      <c r="G1625" s="30">
        <v>73.2</v>
      </c>
    </row>
    <row r="1626" spans="1:7" x14ac:dyDescent="0.25">
      <c r="A1626" s="29">
        <v>39232</v>
      </c>
      <c r="B1626" s="30">
        <v>67.7</v>
      </c>
      <c r="C1626" s="30">
        <v>73.099999999999994</v>
      </c>
      <c r="D1626" s="30"/>
      <c r="E1626" s="30"/>
      <c r="F1626" s="30">
        <v>67.900000000000006</v>
      </c>
      <c r="G1626" s="30">
        <v>72.400000000000006</v>
      </c>
    </row>
    <row r="1627" spans="1:7" x14ac:dyDescent="0.25">
      <c r="A1627" s="29">
        <v>39233</v>
      </c>
      <c r="B1627" s="30">
        <v>71.3</v>
      </c>
      <c r="C1627" s="30">
        <v>78.3</v>
      </c>
      <c r="D1627" s="30"/>
      <c r="E1627" s="30"/>
      <c r="F1627" s="30">
        <v>75.400000000000006</v>
      </c>
      <c r="G1627" s="30">
        <v>77.099999999999994</v>
      </c>
    </row>
    <row r="1628" spans="1:7" x14ac:dyDescent="0.25">
      <c r="A1628" s="29">
        <v>39234</v>
      </c>
      <c r="B1628" s="30">
        <v>69.2</v>
      </c>
      <c r="C1628" s="30">
        <v>75.8</v>
      </c>
      <c r="D1628" s="30"/>
      <c r="E1628" s="30"/>
      <c r="F1628" s="30">
        <v>75.599999999999994</v>
      </c>
      <c r="G1628" s="30">
        <v>75.599999999999994</v>
      </c>
    </row>
    <row r="1629" spans="1:7" x14ac:dyDescent="0.25">
      <c r="A1629" s="29">
        <v>39235</v>
      </c>
      <c r="B1629" s="30">
        <v>73.5</v>
      </c>
      <c r="C1629" s="30">
        <v>80.900000000000006</v>
      </c>
      <c r="D1629" s="30"/>
      <c r="E1629" s="30"/>
      <c r="F1629" s="30">
        <v>74.2</v>
      </c>
      <c r="G1629" s="30">
        <v>79.7</v>
      </c>
    </row>
    <row r="1630" spans="1:7" x14ac:dyDescent="0.25">
      <c r="A1630" s="29">
        <v>39236</v>
      </c>
      <c r="B1630" s="30">
        <v>68.3</v>
      </c>
      <c r="C1630" s="30">
        <v>75.400000000000006</v>
      </c>
      <c r="D1630" s="30"/>
      <c r="E1630" s="30"/>
      <c r="F1630" s="30">
        <v>68.8</v>
      </c>
      <c r="G1630" s="30">
        <v>73.900000000000006</v>
      </c>
    </row>
    <row r="1631" spans="1:7" x14ac:dyDescent="0.25">
      <c r="A1631" s="29">
        <v>39237</v>
      </c>
      <c r="B1631" s="30">
        <v>64.7</v>
      </c>
      <c r="C1631" s="30">
        <v>64.8</v>
      </c>
      <c r="D1631" s="30"/>
      <c r="E1631" s="30"/>
      <c r="F1631" s="30">
        <v>68.3</v>
      </c>
      <c r="G1631" s="30">
        <v>65.099999999999994</v>
      </c>
    </row>
    <row r="1632" spans="1:7" x14ac:dyDescent="0.25">
      <c r="A1632" s="29">
        <v>39238</v>
      </c>
      <c r="B1632" s="30">
        <v>70.7</v>
      </c>
      <c r="C1632" s="30">
        <v>75.5</v>
      </c>
      <c r="D1632" s="30"/>
      <c r="E1632" s="30"/>
      <c r="F1632" s="30">
        <v>74.900000000000006</v>
      </c>
      <c r="G1632" s="30">
        <v>73.8</v>
      </c>
    </row>
    <row r="1633" spans="1:7" x14ac:dyDescent="0.25">
      <c r="A1633" s="29">
        <v>39239</v>
      </c>
      <c r="B1633" s="30">
        <v>67.5</v>
      </c>
      <c r="C1633" s="30">
        <v>67.7</v>
      </c>
      <c r="D1633" s="30"/>
      <c r="E1633" s="30"/>
      <c r="F1633" s="30">
        <v>67.8</v>
      </c>
      <c r="G1633" s="30">
        <v>67.099999999999994</v>
      </c>
    </row>
    <row r="1634" spans="1:7" x14ac:dyDescent="0.25">
      <c r="A1634" s="29">
        <v>39240</v>
      </c>
      <c r="B1634" s="30">
        <v>62.5</v>
      </c>
      <c r="C1634" s="30">
        <v>66.2</v>
      </c>
      <c r="D1634" s="30"/>
      <c r="E1634" s="30"/>
      <c r="F1634" s="30">
        <v>65.2</v>
      </c>
      <c r="G1634" s="30">
        <v>64.900000000000006</v>
      </c>
    </row>
    <row r="1635" spans="1:7" x14ac:dyDescent="0.25">
      <c r="A1635" s="29">
        <v>39241</v>
      </c>
      <c r="B1635" s="30">
        <v>67.599999999999994</v>
      </c>
      <c r="C1635" s="30">
        <v>72.900000000000006</v>
      </c>
      <c r="D1635" s="30"/>
      <c r="E1635" s="30"/>
      <c r="F1635" s="30">
        <v>75.7</v>
      </c>
      <c r="G1635" s="30">
        <v>72.099999999999994</v>
      </c>
    </row>
    <row r="1636" spans="1:7" x14ac:dyDescent="0.25">
      <c r="A1636" s="29">
        <v>39242</v>
      </c>
      <c r="B1636" s="30">
        <v>70.7</v>
      </c>
      <c r="C1636" s="30">
        <v>71.8</v>
      </c>
      <c r="D1636" s="30"/>
      <c r="E1636" s="30"/>
      <c r="F1636" s="30">
        <v>77.8</v>
      </c>
      <c r="G1636" s="30">
        <v>74.599999999999994</v>
      </c>
    </row>
    <row r="1637" spans="1:7" x14ac:dyDescent="0.25">
      <c r="A1637" s="29">
        <v>39243</v>
      </c>
      <c r="B1637" s="30">
        <v>65.900000000000006</v>
      </c>
      <c r="C1637" s="30">
        <v>66.599999999999994</v>
      </c>
      <c r="D1637" s="30"/>
      <c r="E1637" s="30"/>
      <c r="F1637" s="30">
        <v>67.2</v>
      </c>
      <c r="G1637" s="30">
        <v>68</v>
      </c>
    </row>
    <row r="1638" spans="1:7" x14ac:dyDescent="0.25">
      <c r="A1638" s="29">
        <v>39244</v>
      </c>
      <c r="B1638" s="30">
        <v>71.3</v>
      </c>
      <c r="C1638" s="30">
        <v>73.099999999999994</v>
      </c>
      <c r="D1638" s="30"/>
      <c r="E1638" s="30"/>
      <c r="F1638" s="30">
        <v>69.400000000000006</v>
      </c>
      <c r="G1638" s="30">
        <v>73.400000000000006</v>
      </c>
    </row>
    <row r="1639" spans="1:7" x14ac:dyDescent="0.25">
      <c r="A1639" s="29">
        <v>39245</v>
      </c>
      <c r="B1639" s="30">
        <v>72.400000000000006</v>
      </c>
      <c r="C1639" s="30">
        <v>74.7</v>
      </c>
      <c r="D1639" s="30"/>
      <c r="E1639" s="30"/>
      <c r="F1639" s="30">
        <v>73.3</v>
      </c>
      <c r="G1639" s="30">
        <v>74.900000000000006</v>
      </c>
    </row>
    <row r="1640" spans="1:7" x14ac:dyDescent="0.25">
      <c r="A1640" s="29">
        <v>39246</v>
      </c>
      <c r="B1640" s="30">
        <v>64.8</v>
      </c>
      <c r="C1640" s="30">
        <v>67.7</v>
      </c>
      <c r="D1640" s="30"/>
      <c r="E1640" s="30"/>
      <c r="F1640" s="30">
        <v>65.2</v>
      </c>
      <c r="G1640" s="30">
        <v>66.599999999999994</v>
      </c>
    </row>
    <row r="1641" spans="1:7" x14ac:dyDescent="0.25">
      <c r="A1641" s="29">
        <v>39247</v>
      </c>
      <c r="B1641" s="30">
        <v>60</v>
      </c>
      <c r="C1641" s="30">
        <v>61.9</v>
      </c>
      <c r="D1641" s="30"/>
      <c r="E1641" s="30"/>
      <c r="F1641" s="30">
        <v>59.4</v>
      </c>
      <c r="G1641" s="30">
        <v>60.4</v>
      </c>
    </row>
    <row r="1642" spans="1:7" x14ac:dyDescent="0.25">
      <c r="A1642" s="29">
        <v>39248</v>
      </c>
      <c r="B1642" s="30">
        <v>63</v>
      </c>
      <c r="C1642" s="30">
        <v>65.400000000000006</v>
      </c>
      <c r="D1642" s="30"/>
      <c r="E1642" s="30"/>
      <c r="F1642" s="30">
        <v>61.1</v>
      </c>
      <c r="G1642" s="30">
        <v>65.599999999999994</v>
      </c>
    </row>
    <row r="1643" spans="1:7" x14ac:dyDescent="0.25">
      <c r="A1643" s="29">
        <v>39249</v>
      </c>
      <c r="B1643" s="30">
        <v>65.8</v>
      </c>
      <c r="C1643" s="30">
        <v>70</v>
      </c>
      <c r="D1643" s="30"/>
      <c r="E1643" s="30"/>
      <c r="F1643" s="30">
        <v>68.5</v>
      </c>
      <c r="G1643" s="30">
        <v>68.099999999999994</v>
      </c>
    </row>
    <row r="1644" spans="1:7" x14ac:dyDescent="0.25">
      <c r="A1644" s="29">
        <v>39250</v>
      </c>
      <c r="B1644" s="30">
        <v>75.099999999999994</v>
      </c>
      <c r="C1644" s="30">
        <v>77.7</v>
      </c>
      <c r="D1644" s="30"/>
      <c r="E1644" s="30"/>
      <c r="F1644" s="30">
        <v>76</v>
      </c>
      <c r="G1644" s="30">
        <v>75.599999999999994</v>
      </c>
    </row>
    <row r="1645" spans="1:7" x14ac:dyDescent="0.25">
      <c r="A1645" s="29">
        <v>39251</v>
      </c>
      <c r="B1645" s="30">
        <v>77</v>
      </c>
      <c r="C1645" s="30">
        <v>79.8</v>
      </c>
      <c r="D1645" s="30"/>
      <c r="E1645" s="30"/>
      <c r="F1645" s="30">
        <v>76.8</v>
      </c>
      <c r="G1645" s="30">
        <v>78.5</v>
      </c>
    </row>
    <row r="1646" spans="1:7" x14ac:dyDescent="0.25">
      <c r="A1646" s="29">
        <v>39252</v>
      </c>
      <c r="B1646" s="30">
        <v>70</v>
      </c>
      <c r="C1646" s="30">
        <v>74.8</v>
      </c>
      <c r="D1646" s="30"/>
      <c r="E1646" s="30"/>
      <c r="F1646" s="30">
        <v>72.8</v>
      </c>
      <c r="G1646" s="30">
        <v>73.900000000000006</v>
      </c>
    </row>
    <row r="1647" spans="1:7" x14ac:dyDescent="0.25">
      <c r="A1647" s="29">
        <v>39253</v>
      </c>
      <c r="B1647" s="30">
        <v>73.3</v>
      </c>
      <c r="C1647" s="30">
        <v>74.900000000000006</v>
      </c>
      <c r="D1647" s="30"/>
      <c r="E1647" s="30"/>
      <c r="F1647" s="30">
        <v>73.8</v>
      </c>
      <c r="G1647" s="30">
        <v>74.5</v>
      </c>
    </row>
    <row r="1648" spans="1:7" x14ac:dyDescent="0.25">
      <c r="A1648" s="29">
        <v>39254</v>
      </c>
      <c r="B1648" s="30">
        <v>72.599999999999994</v>
      </c>
      <c r="C1648" s="30">
        <v>73.599999999999994</v>
      </c>
      <c r="D1648" s="30"/>
      <c r="E1648" s="30"/>
      <c r="F1648" s="30">
        <v>70.400000000000006</v>
      </c>
      <c r="G1648" s="30">
        <v>71.8</v>
      </c>
    </row>
    <row r="1649" spans="1:7" x14ac:dyDescent="0.25">
      <c r="A1649" s="29">
        <v>39255</v>
      </c>
      <c r="B1649" s="30">
        <v>70.3</v>
      </c>
      <c r="C1649" s="30">
        <v>70.2</v>
      </c>
      <c r="D1649" s="30"/>
      <c r="E1649" s="30"/>
      <c r="F1649" s="30">
        <v>72.400000000000006</v>
      </c>
      <c r="G1649" s="30">
        <v>68.7</v>
      </c>
    </row>
    <row r="1650" spans="1:7" x14ac:dyDescent="0.25">
      <c r="A1650" s="29">
        <v>39256</v>
      </c>
      <c r="B1650" s="30">
        <v>68.099999999999994</v>
      </c>
      <c r="C1650" s="30">
        <v>68.400000000000006</v>
      </c>
      <c r="D1650" s="30"/>
      <c r="E1650" s="30"/>
      <c r="F1650" s="30">
        <v>65.5</v>
      </c>
      <c r="G1650" s="30">
        <v>67.2</v>
      </c>
    </row>
    <row r="1651" spans="1:7" x14ac:dyDescent="0.25">
      <c r="A1651" s="29">
        <v>39257</v>
      </c>
      <c r="B1651" s="30">
        <v>68.7</v>
      </c>
      <c r="C1651" s="30">
        <v>71.900000000000006</v>
      </c>
      <c r="D1651" s="30"/>
      <c r="E1651" s="30"/>
      <c r="F1651" s="30">
        <v>67.400000000000006</v>
      </c>
      <c r="G1651" s="30">
        <v>70.3</v>
      </c>
    </row>
    <row r="1652" spans="1:7" x14ac:dyDescent="0.25">
      <c r="A1652" s="29">
        <v>39258</v>
      </c>
      <c r="B1652" s="30">
        <v>70.599999999999994</v>
      </c>
      <c r="C1652" s="30">
        <v>77.5</v>
      </c>
      <c r="D1652" s="30"/>
      <c r="E1652" s="30"/>
      <c r="F1652" s="30">
        <v>70.599999999999994</v>
      </c>
      <c r="G1652" s="30">
        <v>74</v>
      </c>
    </row>
    <row r="1653" spans="1:7" x14ac:dyDescent="0.25">
      <c r="A1653" s="29">
        <v>39259</v>
      </c>
      <c r="B1653" s="30">
        <v>75.099999999999994</v>
      </c>
      <c r="C1653" s="30">
        <v>82.1</v>
      </c>
      <c r="D1653" s="30"/>
      <c r="E1653" s="30"/>
      <c r="F1653" s="30">
        <v>78.3</v>
      </c>
      <c r="G1653" s="30">
        <v>80.7</v>
      </c>
    </row>
    <row r="1654" spans="1:7" x14ac:dyDescent="0.25">
      <c r="A1654" s="29">
        <v>39260</v>
      </c>
      <c r="B1654" s="30">
        <v>77.5</v>
      </c>
      <c r="C1654" s="30">
        <v>85.9</v>
      </c>
      <c r="D1654" s="30"/>
      <c r="E1654" s="30"/>
      <c r="F1654" s="30">
        <v>80.3</v>
      </c>
      <c r="G1654" s="30">
        <v>85.2</v>
      </c>
    </row>
    <row r="1655" spans="1:7" x14ac:dyDescent="0.25">
      <c r="A1655" s="29">
        <v>39261</v>
      </c>
      <c r="B1655" s="30">
        <v>78.099999999999994</v>
      </c>
      <c r="C1655" s="30">
        <v>81</v>
      </c>
      <c r="D1655" s="30"/>
      <c r="E1655" s="30"/>
      <c r="F1655" s="30">
        <v>82.1</v>
      </c>
      <c r="G1655" s="30">
        <v>80.2</v>
      </c>
    </row>
    <row r="1656" spans="1:7" x14ac:dyDescent="0.25">
      <c r="A1656" s="29">
        <v>39262</v>
      </c>
      <c r="B1656" s="30">
        <v>73.2</v>
      </c>
      <c r="C1656" s="30">
        <v>74.599999999999994</v>
      </c>
      <c r="D1656" s="30"/>
      <c r="E1656" s="30"/>
      <c r="F1656" s="30">
        <v>74.3</v>
      </c>
      <c r="G1656" s="30">
        <v>73</v>
      </c>
    </row>
    <row r="1657" spans="1:7" x14ac:dyDescent="0.25">
      <c r="A1657" s="29">
        <v>39263</v>
      </c>
      <c r="B1657" s="30">
        <v>71.2</v>
      </c>
      <c r="C1657" s="30">
        <v>74.400000000000006</v>
      </c>
      <c r="D1657" s="30"/>
      <c r="E1657" s="30"/>
      <c r="F1657" s="30">
        <v>69.900000000000006</v>
      </c>
      <c r="G1657" s="30">
        <v>73.599999999999994</v>
      </c>
    </row>
    <row r="1658" spans="1:7" x14ac:dyDescent="0.25">
      <c r="A1658" s="29">
        <v>39264</v>
      </c>
      <c r="B1658" s="30">
        <v>68.900000000000006</v>
      </c>
      <c r="C1658" s="30">
        <v>70.599999999999994</v>
      </c>
      <c r="D1658" s="30"/>
      <c r="E1658" s="30"/>
      <c r="F1658" s="30">
        <v>69.3</v>
      </c>
      <c r="G1658" s="30">
        <v>70.8</v>
      </c>
    </row>
    <row r="1659" spans="1:7" x14ac:dyDescent="0.25">
      <c r="A1659" s="29">
        <v>39265</v>
      </c>
      <c r="B1659" s="30">
        <v>67.599999999999994</v>
      </c>
      <c r="C1659" s="30">
        <v>68.5</v>
      </c>
      <c r="D1659" s="30"/>
      <c r="E1659" s="30"/>
      <c r="F1659" s="30">
        <v>64.3</v>
      </c>
      <c r="G1659" s="30">
        <v>67.8</v>
      </c>
    </row>
    <row r="1660" spans="1:7" x14ac:dyDescent="0.25">
      <c r="A1660" s="29">
        <v>39266</v>
      </c>
      <c r="B1660" s="30">
        <v>69.3</v>
      </c>
      <c r="C1660" s="30">
        <v>72.599999999999994</v>
      </c>
      <c r="D1660" s="30"/>
      <c r="E1660" s="30"/>
      <c r="F1660" s="30">
        <v>66.900000000000006</v>
      </c>
      <c r="G1660" s="30">
        <v>71.7</v>
      </c>
    </row>
    <row r="1661" spans="1:7" x14ac:dyDescent="0.25">
      <c r="A1661" s="29">
        <v>39267</v>
      </c>
      <c r="B1661" s="30">
        <v>68.099999999999994</v>
      </c>
      <c r="C1661" s="30">
        <v>71.400000000000006</v>
      </c>
      <c r="D1661" s="30"/>
      <c r="E1661" s="30"/>
      <c r="F1661" s="30">
        <v>69</v>
      </c>
      <c r="G1661" s="30">
        <v>69</v>
      </c>
    </row>
    <row r="1662" spans="1:7" x14ac:dyDescent="0.25">
      <c r="A1662" s="29">
        <v>39268</v>
      </c>
      <c r="B1662" s="30">
        <v>70.400000000000006</v>
      </c>
      <c r="C1662" s="30">
        <v>74.5</v>
      </c>
      <c r="D1662" s="30"/>
      <c r="E1662" s="30"/>
      <c r="F1662" s="30">
        <v>75.7</v>
      </c>
      <c r="G1662" s="30">
        <v>73.2</v>
      </c>
    </row>
    <row r="1663" spans="1:7" x14ac:dyDescent="0.25">
      <c r="A1663" s="29">
        <v>39269</v>
      </c>
      <c r="B1663" s="30">
        <v>75.7</v>
      </c>
      <c r="C1663" s="30">
        <v>77.400000000000006</v>
      </c>
      <c r="D1663" s="30"/>
      <c r="E1663" s="30"/>
      <c r="F1663" s="30">
        <v>78.7</v>
      </c>
      <c r="G1663" s="30">
        <v>76.2</v>
      </c>
    </row>
    <row r="1664" spans="1:7" x14ac:dyDescent="0.25">
      <c r="A1664" s="29">
        <v>39270</v>
      </c>
      <c r="B1664" s="30">
        <v>75.7</v>
      </c>
      <c r="C1664" s="30">
        <v>79.099999999999994</v>
      </c>
      <c r="D1664" s="30"/>
      <c r="E1664" s="30"/>
      <c r="F1664" s="30">
        <v>77.8</v>
      </c>
      <c r="G1664" s="30">
        <v>77.400000000000006</v>
      </c>
    </row>
    <row r="1665" spans="1:7" x14ac:dyDescent="0.25">
      <c r="A1665" s="29">
        <v>39271</v>
      </c>
      <c r="B1665" s="30">
        <v>79.2</v>
      </c>
      <c r="C1665" s="30">
        <v>84.8</v>
      </c>
      <c r="D1665" s="30"/>
      <c r="E1665" s="30"/>
      <c r="F1665" s="30">
        <v>80.099999999999994</v>
      </c>
      <c r="G1665" s="30">
        <v>81.099999999999994</v>
      </c>
    </row>
    <row r="1666" spans="1:7" x14ac:dyDescent="0.25">
      <c r="A1666" s="29">
        <v>39272</v>
      </c>
      <c r="B1666" s="30">
        <v>80.2</v>
      </c>
      <c r="C1666" s="30">
        <v>84.4</v>
      </c>
      <c r="D1666" s="30"/>
      <c r="E1666" s="30"/>
      <c r="F1666" s="30">
        <v>83.3</v>
      </c>
      <c r="G1666" s="30">
        <v>85.8</v>
      </c>
    </row>
    <row r="1667" spans="1:7" x14ac:dyDescent="0.25">
      <c r="A1667" s="29">
        <v>39273</v>
      </c>
      <c r="B1667" s="30">
        <v>77.8</v>
      </c>
      <c r="C1667" s="30">
        <v>88.4</v>
      </c>
      <c r="D1667" s="30"/>
      <c r="E1667" s="30"/>
      <c r="F1667" s="30">
        <v>81.7</v>
      </c>
      <c r="G1667" s="30">
        <v>85.5</v>
      </c>
    </row>
    <row r="1668" spans="1:7" x14ac:dyDescent="0.25">
      <c r="A1668" s="29">
        <v>39274</v>
      </c>
      <c r="B1668" s="30">
        <v>74.8</v>
      </c>
      <c r="C1668" s="30">
        <v>79.599999999999994</v>
      </c>
      <c r="D1668" s="30"/>
      <c r="E1668" s="30"/>
      <c r="F1668" s="30">
        <v>78.8</v>
      </c>
      <c r="G1668" s="30">
        <v>78.7</v>
      </c>
    </row>
    <row r="1669" spans="1:7" x14ac:dyDescent="0.25">
      <c r="A1669" s="29">
        <v>39275</v>
      </c>
      <c r="B1669" s="30">
        <v>74.900000000000006</v>
      </c>
      <c r="C1669" s="30">
        <v>76</v>
      </c>
      <c r="D1669" s="30"/>
      <c r="E1669" s="30"/>
      <c r="F1669" s="30">
        <v>77.7</v>
      </c>
      <c r="G1669" s="30">
        <v>74.7</v>
      </c>
    </row>
    <row r="1670" spans="1:7" x14ac:dyDescent="0.25">
      <c r="A1670" s="29">
        <v>39276</v>
      </c>
      <c r="B1670" s="30">
        <v>75</v>
      </c>
      <c r="C1670" s="30">
        <v>80</v>
      </c>
      <c r="D1670" s="30"/>
      <c r="E1670" s="30"/>
      <c r="F1670" s="30">
        <v>77.7</v>
      </c>
      <c r="G1670" s="30">
        <v>76</v>
      </c>
    </row>
    <row r="1671" spans="1:7" x14ac:dyDescent="0.25">
      <c r="A1671" s="29">
        <v>39277</v>
      </c>
      <c r="B1671" s="30">
        <v>74.7</v>
      </c>
      <c r="C1671" s="30">
        <v>78.099999999999994</v>
      </c>
      <c r="D1671" s="30"/>
      <c r="E1671" s="30"/>
      <c r="F1671" s="30">
        <v>76.8</v>
      </c>
      <c r="G1671" s="30">
        <v>75.900000000000006</v>
      </c>
    </row>
    <row r="1672" spans="1:7" x14ac:dyDescent="0.25">
      <c r="A1672" s="29">
        <v>39278</v>
      </c>
      <c r="B1672" s="30">
        <v>75</v>
      </c>
      <c r="C1672" s="30">
        <v>81.099999999999994</v>
      </c>
      <c r="D1672" s="30"/>
      <c r="E1672" s="30"/>
      <c r="F1672" s="30">
        <v>79.099999999999994</v>
      </c>
      <c r="G1672" s="30">
        <v>79.8</v>
      </c>
    </row>
    <row r="1673" spans="1:7" x14ac:dyDescent="0.25">
      <c r="A1673" s="29">
        <v>39279</v>
      </c>
      <c r="B1673" s="30">
        <v>75.099999999999994</v>
      </c>
      <c r="C1673" s="30">
        <v>78.599999999999994</v>
      </c>
      <c r="D1673" s="30"/>
      <c r="E1673" s="30"/>
      <c r="F1673" s="30">
        <v>78.400000000000006</v>
      </c>
      <c r="G1673" s="30">
        <v>78.099999999999994</v>
      </c>
    </row>
    <row r="1674" spans="1:7" x14ac:dyDescent="0.25">
      <c r="A1674" s="29">
        <v>39280</v>
      </c>
      <c r="B1674" s="30">
        <v>75.5</v>
      </c>
      <c r="C1674" s="30">
        <v>78.7</v>
      </c>
      <c r="D1674" s="30"/>
      <c r="E1674" s="30"/>
      <c r="F1674" s="30">
        <v>76.099999999999994</v>
      </c>
      <c r="G1674" s="30">
        <v>77.400000000000006</v>
      </c>
    </row>
    <row r="1675" spans="1:7" x14ac:dyDescent="0.25">
      <c r="A1675" s="29">
        <v>39281</v>
      </c>
      <c r="B1675" s="30">
        <v>73.8</v>
      </c>
      <c r="C1675" s="30">
        <v>75.8</v>
      </c>
      <c r="D1675" s="30"/>
      <c r="E1675" s="30"/>
      <c r="F1675" s="30">
        <v>78.3</v>
      </c>
      <c r="G1675" s="30">
        <v>75.3</v>
      </c>
    </row>
    <row r="1676" spans="1:7" x14ac:dyDescent="0.25">
      <c r="A1676" s="29">
        <v>39282</v>
      </c>
      <c r="B1676" s="30">
        <v>75.2</v>
      </c>
      <c r="C1676" s="30">
        <v>78.099999999999994</v>
      </c>
      <c r="D1676" s="30"/>
      <c r="E1676" s="30"/>
      <c r="F1676" s="30">
        <v>78.599999999999994</v>
      </c>
      <c r="G1676" s="30">
        <v>77.099999999999994</v>
      </c>
    </row>
    <row r="1677" spans="1:7" x14ac:dyDescent="0.25">
      <c r="A1677" s="29">
        <v>39283</v>
      </c>
      <c r="B1677" s="30">
        <v>77.400000000000006</v>
      </c>
      <c r="C1677" s="30">
        <v>79.2</v>
      </c>
      <c r="D1677" s="30"/>
      <c r="E1677" s="30"/>
      <c r="F1677" s="30">
        <v>79.099999999999994</v>
      </c>
      <c r="G1677" s="30">
        <v>77.400000000000006</v>
      </c>
    </row>
    <row r="1678" spans="1:7" x14ac:dyDescent="0.25">
      <c r="A1678" s="29">
        <v>39284</v>
      </c>
      <c r="B1678" s="30">
        <v>73.8</v>
      </c>
      <c r="C1678" s="30">
        <v>74.099999999999994</v>
      </c>
      <c r="D1678" s="30"/>
      <c r="E1678" s="30"/>
      <c r="F1678" s="30">
        <v>71</v>
      </c>
      <c r="G1678" s="30">
        <v>73.3</v>
      </c>
    </row>
    <row r="1679" spans="1:7" x14ac:dyDescent="0.25">
      <c r="A1679" s="29">
        <v>39285</v>
      </c>
      <c r="B1679" s="30">
        <v>75.5</v>
      </c>
      <c r="C1679" s="30">
        <v>77.099999999999994</v>
      </c>
      <c r="D1679" s="30"/>
      <c r="E1679" s="30"/>
      <c r="F1679" s="30">
        <v>71.8</v>
      </c>
      <c r="G1679" s="30">
        <v>75.400000000000006</v>
      </c>
    </row>
    <row r="1680" spans="1:7" x14ac:dyDescent="0.25">
      <c r="A1680" s="29">
        <v>39286</v>
      </c>
      <c r="B1680" s="30">
        <v>69.400000000000006</v>
      </c>
      <c r="C1680" s="30">
        <v>71.2</v>
      </c>
      <c r="D1680" s="30"/>
      <c r="E1680" s="30"/>
      <c r="F1680" s="30">
        <v>67.5</v>
      </c>
      <c r="G1680" s="30">
        <v>68.5</v>
      </c>
    </row>
    <row r="1681" spans="1:7" x14ac:dyDescent="0.25">
      <c r="A1681" s="29">
        <v>39287</v>
      </c>
      <c r="B1681" s="30">
        <v>68.400000000000006</v>
      </c>
      <c r="C1681" s="30">
        <v>70.599999999999994</v>
      </c>
      <c r="D1681" s="30"/>
      <c r="E1681" s="30"/>
      <c r="F1681" s="30">
        <v>68.7</v>
      </c>
      <c r="G1681" s="30">
        <v>67.599999999999994</v>
      </c>
    </row>
    <row r="1682" spans="1:7" x14ac:dyDescent="0.25">
      <c r="A1682" s="29">
        <v>39288</v>
      </c>
      <c r="B1682" s="30">
        <v>72.5</v>
      </c>
      <c r="C1682" s="30">
        <v>77</v>
      </c>
      <c r="D1682" s="30"/>
      <c r="E1682" s="30"/>
      <c r="F1682" s="30">
        <v>72.8</v>
      </c>
      <c r="G1682" s="30">
        <v>74.8</v>
      </c>
    </row>
    <row r="1683" spans="1:7" x14ac:dyDescent="0.25">
      <c r="A1683" s="29">
        <v>39289</v>
      </c>
      <c r="B1683" s="30">
        <v>74.599999999999994</v>
      </c>
      <c r="C1683" s="30">
        <v>78.400000000000006</v>
      </c>
      <c r="D1683" s="30"/>
      <c r="E1683" s="30"/>
      <c r="F1683" s="30">
        <v>75.7</v>
      </c>
      <c r="G1683" s="30">
        <v>76.599999999999994</v>
      </c>
    </row>
    <row r="1684" spans="1:7" x14ac:dyDescent="0.25">
      <c r="A1684" s="29">
        <v>39290</v>
      </c>
      <c r="B1684" s="30">
        <v>75.3</v>
      </c>
      <c r="C1684" s="30">
        <v>79.099999999999994</v>
      </c>
      <c r="D1684" s="30"/>
      <c r="E1684" s="30"/>
      <c r="F1684" s="30">
        <v>77.599999999999994</v>
      </c>
      <c r="G1684" s="30">
        <v>77</v>
      </c>
    </row>
    <row r="1685" spans="1:7" x14ac:dyDescent="0.25">
      <c r="A1685" s="29">
        <v>39291</v>
      </c>
      <c r="B1685" s="30">
        <v>76.8</v>
      </c>
      <c r="C1685" s="30">
        <v>80.3</v>
      </c>
      <c r="D1685" s="30"/>
      <c r="E1685" s="30"/>
      <c r="F1685" s="30">
        <v>79.5</v>
      </c>
      <c r="G1685" s="30">
        <v>78.099999999999994</v>
      </c>
    </row>
    <row r="1686" spans="1:7" x14ac:dyDescent="0.25">
      <c r="A1686" s="29">
        <v>39292</v>
      </c>
      <c r="B1686" s="30">
        <v>75.599999999999994</v>
      </c>
      <c r="C1686" s="30">
        <v>77.400000000000006</v>
      </c>
      <c r="D1686" s="30"/>
      <c r="E1686" s="30"/>
      <c r="F1686" s="30">
        <v>75.5</v>
      </c>
      <c r="G1686" s="30">
        <v>77.2</v>
      </c>
    </row>
    <row r="1687" spans="1:7" x14ac:dyDescent="0.25">
      <c r="A1687" s="29">
        <v>39293</v>
      </c>
      <c r="B1687" s="30">
        <v>76</v>
      </c>
      <c r="C1687" s="30">
        <v>77.900000000000006</v>
      </c>
      <c r="D1687" s="30"/>
      <c r="E1687" s="30"/>
      <c r="F1687" s="30">
        <v>73.8</v>
      </c>
      <c r="G1687" s="30">
        <v>76.599999999999994</v>
      </c>
    </row>
    <row r="1688" spans="1:7" x14ac:dyDescent="0.25">
      <c r="A1688" s="29">
        <v>39294</v>
      </c>
      <c r="B1688" s="30">
        <v>78.400000000000006</v>
      </c>
      <c r="C1688" s="30">
        <v>81.400000000000006</v>
      </c>
      <c r="D1688" s="30"/>
      <c r="E1688" s="30"/>
      <c r="F1688" s="30">
        <v>77.2</v>
      </c>
      <c r="G1688" s="30">
        <v>80.2</v>
      </c>
    </row>
    <row r="1689" spans="1:7" x14ac:dyDescent="0.25">
      <c r="A1689" s="29">
        <v>39295</v>
      </c>
      <c r="B1689" s="30">
        <v>80</v>
      </c>
      <c r="C1689" s="30">
        <v>83.6</v>
      </c>
      <c r="D1689" s="30"/>
      <c r="E1689" s="30"/>
      <c r="F1689" s="30">
        <v>77.900000000000006</v>
      </c>
      <c r="G1689" s="30">
        <v>82</v>
      </c>
    </row>
    <row r="1690" spans="1:7" x14ac:dyDescent="0.25">
      <c r="A1690" s="29">
        <v>39296</v>
      </c>
      <c r="B1690" s="30">
        <v>80.8</v>
      </c>
      <c r="C1690" s="30">
        <v>86.5</v>
      </c>
      <c r="D1690" s="30"/>
      <c r="E1690" s="30"/>
      <c r="F1690" s="30">
        <v>81.8</v>
      </c>
      <c r="G1690" s="30">
        <v>84.1</v>
      </c>
    </row>
    <row r="1691" spans="1:7" x14ac:dyDescent="0.25">
      <c r="A1691" s="29">
        <v>39297</v>
      </c>
      <c r="B1691" s="30">
        <v>79.599999999999994</v>
      </c>
      <c r="C1691" s="30">
        <v>86.2</v>
      </c>
      <c r="D1691" s="30"/>
      <c r="E1691" s="30"/>
      <c r="F1691" s="30">
        <v>80.7</v>
      </c>
      <c r="G1691" s="30">
        <v>83.8</v>
      </c>
    </row>
    <row r="1692" spans="1:7" x14ac:dyDescent="0.25">
      <c r="A1692" s="29">
        <v>39298</v>
      </c>
      <c r="B1692" s="30">
        <v>79.3</v>
      </c>
      <c r="C1692" s="30">
        <v>82.7</v>
      </c>
      <c r="D1692" s="30"/>
      <c r="E1692" s="30"/>
      <c r="F1692" s="30">
        <v>81.8</v>
      </c>
      <c r="G1692" s="30">
        <v>82</v>
      </c>
    </row>
    <row r="1693" spans="1:7" x14ac:dyDescent="0.25">
      <c r="A1693" s="29">
        <v>39299</v>
      </c>
      <c r="B1693" s="30">
        <v>76.900000000000006</v>
      </c>
      <c r="C1693" s="30">
        <v>78.5</v>
      </c>
      <c r="D1693" s="30"/>
      <c r="E1693" s="30"/>
      <c r="F1693" s="30">
        <v>76.3</v>
      </c>
      <c r="G1693" s="30">
        <v>77.099999999999994</v>
      </c>
    </row>
    <row r="1694" spans="1:7" x14ac:dyDescent="0.25">
      <c r="A1694" s="29">
        <v>39300</v>
      </c>
      <c r="B1694" s="30">
        <v>75.2</v>
      </c>
      <c r="C1694" s="30">
        <v>78.3</v>
      </c>
      <c r="D1694" s="30"/>
      <c r="E1694" s="30"/>
      <c r="F1694" s="30">
        <v>77.099999999999994</v>
      </c>
      <c r="G1694" s="30">
        <v>77.7</v>
      </c>
    </row>
    <row r="1695" spans="1:7" x14ac:dyDescent="0.25">
      <c r="A1695" s="29">
        <v>39301</v>
      </c>
      <c r="B1695" s="30">
        <v>80.400000000000006</v>
      </c>
      <c r="C1695" s="30">
        <v>84.5</v>
      </c>
      <c r="D1695" s="30"/>
      <c r="E1695" s="30"/>
      <c r="F1695" s="30">
        <v>82.9</v>
      </c>
      <c r="G1695" s="30">
        <v>83</v>
      </c>
    </row>
    <row r="1696" spans="1:7" x14ac:dyDescent="0.25">
      <c r="A1696" s="29">
        <v>39302</v>
      </c>
      <c r="B1696" s="30">
        <v>83.1</v>
      </c>
      <c r="C1696" s="30">
        <v>85.7</v>
      </c>
      <c r="D1696" s="30"/>
      <c r="E1696" s="30"/>
      <c r="F1696" s="30">
        <v>87.3</v>
      </c>
      <c r="G1696" s="30">
        <v>84.3</v>
      </c>
    </row>
    <row r="1697" spans="1:7" x14ac:dyDescent="0.25">
      <c r="A1697" s="29">
        <v>39303</v>
      </c>
      <c r="B1697" s="30">
        <v>79.3</v>
      </c>
      <c r="C1697" s="30">
        <v>81.8</v>
      </c>
      <c r="D1697" s="30"/>
      <c r="E1697" s="30"/>
      <c r="F1697" s="30">
        <v>81.7</v>
      </c>
      <c r="G1697" s="30">
        <v>80</v>
      </c>
    </row>
    <row r="1698" spans="1:7" x14ac:dyDescent="0.25">
      <c r="A1698" s="29">
        <v>39304</v>
      </c>
      <c r="B1698" s="30">
        <v>68.8</v>
      </c>
      <c r="C1698" s="30">
        <v>69.599999999999994</v>
      </c>
      <c r="D1698" s="30"/>
      <c r="E1698" s="30"/>
      <c r="F1698" s="30">
        <v>78.099999999999994</v>
      </c>
      <c r="G1698" s="30">
        <v>68.599999999999994</v>
      </c>
    </row>
    <row r="1699" spans="1:7" x14ac:dyDescent="0.25">
      <c r="A1699" s="29">
        <v>39305</v>
      </c>
      <c r="B1699" s="30">
        <v>66</v>
      </c>
      <c r="C1699" s="30">
        <v>68.2</v>
      </c>
      <c r="D1699" s="30"/>
      <c r="E1699" s="30"/>
      <c r="F1699" s="30">
        <v>68</v>
      </c>
      <c r="G1699" s="30">
        <v>67</v>
      </c>
    </row>
    <row r="1700" spans="1:7" x14ac:dyDescent="0.25">
      <c r="A1700" s="29">
        <v>39306</v>
      </c>
      <c r="B1700" s="30">
        <v>75.2</v>
      </c>
      <c r="C1700" s="30">
        <v>79.900000000000006</v>
      </c>
      <c r="D1700" s="30"/>
      <c r="E1700" s="30"/>
      <c r="F1700" s="30">
        <v>74.7</v>
      </c>
      <c r="G1700" s="30">
        <v>77.900000000000006</v>
      </c>
    </row>
    <row r="1701" spans="1:7" x14ac:dyDescent="0.25">
      <c r="A1701" s="29">
        <v>39307</v>
      </c>
      <c r="B1701" s="30">
        <v>78.599999999999994</v>
      </c>
      <c r="C1701" s="30">
        <v>81.400000000000006</v>
      </c>
      <c r="D1701" s="30"/>
      <c r="E1701" s="30"/>
      <c r="F1701" s="30">
        <v>79.8</v>
      </c>
      <c r="G1701" s="30">
        <v>79.900000000000006</v>
      </c>
    </row>
    <row r="1702" spans="1:7" x14ac:dyDescent="0.25">
      <c r="A1702" s="29">
        <v>39308</v>
      </c>
      <c r="B1702" s="30">
        <v>75</v>
      </c>
      <c r="C1702" s="30">
        <v>77.599999999999994</v>
      </c>
      <c r="D1702" s="30"/>
      <c r="E1702" s="30"/>
      <c r="F1702" s="30">
        <v>73.900000000000006</v>
      </c>
      <c r="G1702" s="30">
        <v>76</v>
      </c>
    </row>
    <row r="1703" spans="1:7" x14ac:dyDescent="0.25">
      <c r="A1703" s="29">
        <v>39309</v>
      </c>
      <c r="B1703" s="30">
        <v>74.400000000000006</v>
      </c>
      <c r="C1703" s="30">
        <v>79.7</v>
      </c>
      <c r="D1703" s="30"/>
      <c r="E1703" s="30"/>
      <c r="F1703" s="30">
        <v>75.5</v>
      </c>
      <c r="G1703" s="30">
        <v>75.5</v>
      </c>
    </row>
    <row r="1704" spans="1:7" x14ac:dyDescent="0.25">
      <c r="A1704" s="29">
        <v>39310</v>
      </c>
      <c r="B1704" s="30">
        <v>76.8</v>
      </c>
      <c r="C1704" s="30">
        <v>82.3</v>
      </c>
      <c r="D1704" s="30"/>
      <c r="E1704" s="30"/>
      <c r="F1704" s="30">
        <v>79.3</v>
      </c>
      <c r="G1704" s="30">
        <v>80.5</v>
      </c>
    </row>
    <row r="1705" spans="1:7" x14ac:dyDescent="0.25">
      <c r="A1705" s="29">
        <v>39311</v>
      </c>
      <c r="B1705" s="30">
        <v>77.599999999999994</v>
      </c>
      <c r="C1705" s="30">
        <v>80.8</v>
      </c>
      <c r="D1705" s="30"/>
      <c r="E1705" s="30"/>
      <c r="F1705" s="30">
        <v>80.8</v>
      </c>
      <c r="G1705" s="30">
        <v>79</v>
      </c>
    </row>
    <row r="1706" spans="1:7" x14ac:dyDescent="0.25">
      <c r="A1706" s="29">
        <v>39312</v>
      </c>
      <c r="B1706" s="30">
        <v>67.8</v>
      </c>
      <c r="C1706" s="30">
        <v>69.400000000000006</v>
      </c>
      <c r="D1706" s="30"/>
      <c r="E1706" s="30"/>
      <c r="F1706" s="30">
        <v>71.7</v>
      </c>
      <c r="G1706" s="30">
        <v>67.5</v>
      </c>
    </row>
    <row r="1707" spans="1:7" x14ac:dyDescent="0.25">
      <c r="A1707" s="29">
        <v>39313</v>
      </c>
      <c r="B1707" s="30">
        <v>67.3</v>
      </c>
      <c r="C1707" s="30">
        <v>70.400000000000006</v>
      </c>
      <c r="D1707" s="30"/>
      <c r="E1707" s="30"/>
      <c r="F1707" s="30">
        <v>67</v>
      </c>
      <c r="G1707" s="30">
        <v>67.599999999999994</v>
      </c>
    </row>
    <row r="1708" spans="1:7" x14ac:dyDescent="0.25">
      <c r="A1708" s="29">
        <v>39314</v>
      </c>
      <c r="B1708" s="30">
        <v>64.5</v>
      </c>
      <c r="C1708" s="30">
        <v>67.400000000000006</v>
      </c>
      <c r="D1708" s="30"/>
      <c r="E1708" s="30"/>
      <c r="F1708" s="30">
        <v>65.900000000000006</v>
      </c>
      <c r="G1708" s="30">
        <v>64.7</v>
      </c>
    </row>
    <row r="1709" spans="1:7" x14ac:dyDescent="0.25">
      <c r="A1709" s="29">
        <v>39315</v>
      </c>
      <c r="B1709" s="30">
        <v>59.7</v>
      </c>
      <c r="C1709" s="30">
        <v>61.9</v>
      </c>
      <c r="D1709" s="30"/>
      <c r="E1709" s="30"/>
      <c r="F1709" s="30">
        <v>65</v>
      </c>
      <c r="G1709" s="30">
        <v>61</v>
      </c>
    </row>
    <row r="1710" spans="1:7" x14ac:dyDescent="0.25">
      <c r="A1710" s="29">
        <v>39316</v>
      </c>
      <c r="B1710" s="30">
        <v>61.3</v>
      </c>
      <c r="C1710" s="30">
        <v>62.7</v>
      </c>
      <c r="D1710" s="30"/>
      <c r="E1710" s="30"/>
      <c r="F1710" s="30">
        <v>64.400000000000006</v>
      </c>
      <c r="G1710" s="30">
        <v>61</v>
      </c>
    </row>
    <row r="1711" spans="1:7" x14ac:dyDescent="0.25">
      <c r="A1711" s="29">
        <v>39317</v>
      </c>
      <c r="B1711" s="30">
        <v>66.7</v>
      </c>
      <c r="C1711" s="30">
        <v>68.5</v>
      </c>
      <c r="D1711" s="30"/>
      <c r="E1711" s="30"/>
      <c r="F1711" s="30">
        <v>67.400000000000006</v>
      </c>
      <c r="G1711" s="30">
        <v>67.2</v>
      </c>
    </row>
    <row r="1712" spans="1:7" x14ac:dyDescent="0.25">
      <c r="A1712" s="29">
        <v>39318</v>
      </c>
      <c r="B1712" s="30">
        <v>68.7</v>
      </c>
      <c r="C1712" s="30">
        <v>74.099999999999994</v>
      </c>
      <c r="D1712" s="30"/>
      <c r="E1712" s="30"/>
      <c r="F1712" s="30">
        <v>71.599999999999994</v>
      </c>
      <c r="G1712" s="30">
        <v>73.5</v>
      </c>
    </row>
    <row r="1713" spans="1:7" x14ac:dyDescent="0.25">
      <c r="A1713" s="29">
        <v>39319</v>
      </c>
      <c r="B1713" s="30">
        <v>74.099999999999994</v>
      </c>
      <c r="C1713" s="30">
        <v>80.3</v>
      </c>
      <c r="D1713" s="30"/>
      <c r="E1713" s="30"/>
      <c r="F1713" s="30">
        <v>78.400000000000006</v>
      </c>
      <c r="G1713" s="30">
        <v>79.5</v>
      </c>
    </row>
    <row r="1714" spans="1:7" x14ac:dyDescent="0.25">
      <c r="A1714" s="29">
        <v>39320</v>
      </c>
      <c r="B1714" s="30">
        <v>78.2</v>
      </c>
      <c r="C1714" s="30">
        <v>81.599999999999994</v>
      </c>
      <c r="D1714" s="30"/>
      <c r="E1714" s="30"/>
      <c r="F1714" s="30">
        <v>79.099999999999994</v>
      </c>
      <c r="G1714" s="30">
        <v>80.5</v>
      </c>
    </row>
    <row r="1715" spans="1:7" x14ac:dyDescent="0.25">
      <c r="A1715" s="29">
        <v>39321</v>
      </c>
      <c r="B1715" s="30">
        <v>74.900000000000006</v>
      </c>
      <c r="C1715" s="30">
        <v>76.7</v>
      </c>
      <c r="D1715" s="30"/>
      <c r="E1715" s="30"/>
      <c r="F1715" s="30">
        <v>75.5</v>
      </c>
      <c r="G1715" s="30">
        <v>75.099999999999994</v>
      </c>
    </row>
    <row r="1716" spans="1:7" x14ac:dyDescent="0.25">
      <c r="A1716" s="29">
        <v>39322</v>
      </c>
      <c r="B1716" s="30">
        <v>72.2</v>
      </c>
      <c r="C1716" s="30">
        <v>76.5</v>
      </c>
      <c r="D1716" s="30"/>
      <c r="E1716" s="30"/>
      <c r="F1716" s="30">
        <v>71.3</v>
      </c>
      <c r="G1716" s="30">
        <v>74.400000000000006</v>
      </c>
    </row>
    <row r="1717" spans="1:7" x14ac:dyDescent="0.25">
      <c r="A1717" s="29">
        <v>39323</v>
      </c>
      <c r="B1717" s="30">
        <v>72.7</v>
      </c>
      <c r="C1717" s="30">
        <v>77.3</v>
      </c>
      <c r="D1717" s="30"/>
      <c r="E1717" s="30"/>
      <c r="F1717" s="30">
        <v>70.3</v>
      </c>
      <c r="G1717" s="30">
        <v>74.900000000000006</v>
      </c>
    </row>
    <row r="1718" spans="1:7" x14ac:dyDescent="0.25">
      <c r="A1718" s="29">
        <v>39324</v>
      </c>
      <c r="B1718" s="30">
        <v>72.599999999999994</v>
      </c>
      <c r="C1718" s="30">
        <v>78.599999999999994</v>
      </c>
      <c r="D1718" s="30"/>
      <c r="E1718" s="30"/>
      <c r="F1718" s="30">
        <v>72.400000000000006</v>
      </c>
      <c r="G1718" s="30">
        <v>75.400000000000006</v>
      </c>
    </row>
    <row r="1719" spans="1:7" x14ac:dyDescent="0.25">
      <c r="A1719" s="29">
        <v>39325</v>
      </c>
      <c r="B1719" s="30">
        <v>74.5</v>
      </c>
      <c r="C1719" s="30">
        <v>76.3</v>
      </c>
      <c r="D1719" s="30"/>
      <c r="E1719" s="30"/>
      <c r="F1719" s="30">
        <v>72.7</v>
      </c>
      <c r="G1719" s="30">
        <v>74.900000000000006</v>
      </c>
    </row>
    <row r="1720" spans="1:7" x14ac:dyDescent="0.25">
      <c r="A1720" s="29">
        <v>39326</v>
      </c>
      <c r="B1720" s="30">
        <v>72.5</v>
      </c>
      <c r="C1720" s="30">
        <v>73.400000000000006</v>
      </c>
      <c r="D1720" s="30"/>
      <c r="E1720" s="30"/>
      <c r="F1720" s="30">
        <v>71.3</v>
      </c>
      <c r="G1720" s="30">
        <v>72.5</v>
      </c>
    </row>
    <row r="1721" spans="1:7" x14ac:dyDescent="0.25">
      <c r="A1721" s="29">
        <v>39327</v>
      </c>
      <c r="B1721" s="30">
        <v>67.7</v>
      </c>
      <c r="C1721" s="30">
        <v>71.099999999999994</v>
      </c>
      <c r="D1721" s="30"/>
      <c r="E1721" s="30"/>
      <c r="F1721" s="30">
        <v>66.8</v>
      </c>
      <c r="G1721" s="30">
        <v>68.5</v>
      </c>
    </row>
    <row r="1722" spans="1:7" x14ac:dyDescent="0.25">
      <c r="A1722" s="29">
        <v>39328</v>
      </c>
      <c r="B1722" s="30">
        <v>71.099999999999994</v>
      </c>
      <c r="C1722" s="30">
        <v>75</v>
      </c>
      <c r="D1722" s="30"/>
      <c r="E1722" s="30"/>
      <c r="F1722" s="30">
        <v>69.400000000000006</v>
      </c>
      <c r="G1722" s="30">
        <v>71.3</v>
      </c>
    </row>
    <row r="1723" spans="1:7" x14ac:dyDescent="0.25">
      <c r="A1723" s="29">
        <v>39329</v>
      </c>
      <c r="B1723" s="30">
        <v>76.3</v>
      </c>
      <c r="C1723" s="30">
        <v>79.8</v>
      </c>
      <c r="D1723" s="30"/>
      <c r="E1723" s="30"/>
      <c r="F1723" s="30">
        <v>76.2</v>
      </c>
      <c r="G1723" s="30">
        <v>76.5</v>
      </c>
    </row>
    <row r="1724" spans="1:7" x14ac:dyDescent="0.25">
      <c r="A1724" s="29">
        <v>39330</v>
      </c>
      <c r="B1724" s="30">
        <v>71.400000000000006</v>
      </c>
      <c r="C1724" s="30">
        <v>74.3</v>
      </c>
      <c r="D1724" s="30"/>
      <c r="E1724" s="30"/>
      <c r="F1724" s="30">
        <v>69.8</v>
      </c>
      <c r="G1724" s="30">
        <v>72.8</v>
      </c>
    </row>
    <row r="1725" spans="1:7" x14ac:dyDescent="0.25">
      <c r="A1725" s="29">
        <v>39331</v>
      </c>
      <c r="B1725" s="30">
        <v>70.7</v>
      </c>
      <c r="C1725" s="30">
        <v>74.900000000000006</v>
      </c>
      <c r="D1725" s="30"/>
      <c r="E1725" s="30"/>
      <c r="F1725" s="30">
        <v>71.3</v>
      </c>
      <c r="G1725" s="30">
        <v>72.400000000000006</v>
      </c>
    </row>
    <row r="1726" spans="1:7" x14ac:dyDescent="0.25">
      <c r="A1726" s="29">
        <v>39332</v>
      </c>
      <c r="B1726" s="30">
        <v>73.5</v>
      </c>
      <c r="C1726" s="30">
        <v>78.5</v>
      </c>
      <c r="D1726" s="30"/>
      <c r="E1726" s="30"/>
      <c r="F1726" s="30">
        <v>76.099999999999994</v>
      </c>
      <c r="G1726" s="30">
        <v>77.099999999999994</v>
      </c>
    </row>
    <row r="1727" spans="1:7" x14ac:dyDescent="0.25">
      <c r="A1727" s="29">
        <v>39333</v>
      </c>
      <c r="B1727" s="30">
        <v>74.2</v>
      </c>
      <c r="C1727" s="30">
        <v>79.900000000000006</v>
      </c>
      <c r="D1727" s="30"/>
      <c r="E1727" s="30"/>
      <c r="F1727" s="30">
        <v>76.2</v>
      </c>
      <c r="G1727" s="30">
        <v>79.900000000000006</v>
      </c>
    </row>
    <row r="1728" spans="1:7" x14ac:dyDescent="0.25">
      <c r="A1728" s="29">
        <v>39334</v>
      </c>
      <c r="B1728" s="30">
        <v>74.3</v>
      </c>
      <c r="C1728" s="30">
        <v>79</v>
      </c>
      <c r="D1728" s="30"/>
      <c r="E1728" s="30"/>
      <c r="F1728" s="30">
        <v>74.3</v>
      </c>
      <c r="G1728" s="30">
        <v>77.7</v>
      </c>
    </row>
    <row r="1729" spans="1:7" x14ac:dyDescent="0.25">
      <c r="A1729" s="29">
        <v>39335</v>
      </c>
      <c r="B1729" s="30">
        <v>75.3</v>
      </c>
      <c r="C1729" s="30">
        <v>76.400000000000006</v>
      </c>
      <c r="D1729" s="30"/>
      <c r="E1729" s="30"/>
      <c r="F1729" s="30">
        <v>77.7</v>
      </c>
      <c r="G1729" s="30">
        <v>76.7</v>
      </c>
    </row>
    <row r="1730" spans="1:7" x14ac:dyDescent="0.25">
      <c r="A1730" s="29">
        <v>39336</v>
      </c>
      <c r="B1730" s="30">
        <v>72.5</v>
      </c>
      <c r="C1730" s="30">
        <v>75.2</v>
      </c>
      <c r="D1730" s="30"/>
      <c r="E1730" s="30"/>
      <c r="F1730" s="30">
        <v>75.599999999999994</v>
      </c>
      <c r="G1730" s="30">
        <v>73.5</v>
      </c>
    </row>
    <row r="1731" spans="1:7" x14ac:dyDescent="0.25">
      <c r="A1731" s="29">
        <v>39337</v>
      </c>
      <c r="B1731" s="30">
        <v>70.2</v>
      </c>
      <c r="C1731" s="30">
        <v>71.900000000000006</v>
      </c>
      <c r="D1731" s="30"/>
      <c r="E1731" s="30"/>
      <c r="F1731" s="30">
        <v>72</v>
      </c>
      <c r="G1731" s="30">
        <v>69.5</v>
      </c>
    </row>
    <row r="1732" spans="1:7" x14ac:dyDescent="0.25">
      <c r="A1732" s="29">
        <v>39338</v>
      </c>
      <c r="B1732" s="30">
        <v>66.5</v>
      </c>
      <c r="C1732" s="30">
        <v>70.3</v>
      </c>
      <c r="D1732" s="30"/>
      <c r="E1732" s="30"/>
      <c r="F1732" s="30">
        <v>64.599999999999994</v>
      </c>
      <c r="G1732" s="30">
        <v>66.900000000000006</v>
      </c>
    </row>
    <row r="1733" spans="1:7" x14ac:dyDescent="0.25">
      <c r="A1733" s="29">
        <v>39339</v>
      </c>
      <c r="B1733" s="30">
        <v>67</v>
      </c>
      <c r="C1733" s="30">
        <v>71.3</v>
      </c>
      <c r="D1733" s="30"/>
      <c r="E1733" s="30"/>
      <c r="F1733" s="30">
        <v>68.5</v>
      </c>
      <c r="G1733" s="30">
        <v>69.2</v>
      </c>
    </row>
    <row r="1734" spans="1:7" x14ac:dyDescent="0.25">
      <c r="A1734" s="29">
        <v>39340</v>
      </c>
      <c r="B1734" s="30">
        <v>66.5</v>
      </c>
      <c r="C1734" s="30">
        <v>68</v>
      </c>
      <c r="D1734" s="30"/>
      <c r="E1734" s="30"/>
      <c r="F1734" s="30">
        <v>67</v>
      </c>
      <c r="G1734" s="30">
        <v>66.900000000000006</v>
      </c>
    </row>
    <row r="1735" spans="1:7" x14ac:dyDescent="0.25">
      <c r="A1735" s="29">
        <v>39341</v>
      </c>
      <c r="B1735" s="30">
        <v>58.9</v>
      </c>
      <c r="C1735" s="30">
        <v>60.9</v>
      </c>
      <c r="D1735" s="30"/>
      <c r="E1735" s="30"/>
      <c r="F1735" s="30">
        <v>56.8</v>
      </c>
      <c r="G1735" s="30">
        <v>58.3</v>
      </c>
    </row>
    <row r="1736" spans="1:7" x14ac:dyDescent="0.25">
      <c r="A1736" s="29">
        <v>39342</v>
      </c>
      <c r="B1736" s="30">
        <v>58.7</v>
      </c>
      <c r="C1736" s="30">
        <v>62.6</v>
      </c>
      <c r="D1736" s="30"/>
      <c r="E1736" s="30"/>
      <c r="F1736" s="30">
        <v>57.2</v>
      </c>
      <c r="G1736" s="30">
        <v>58.9</v>
      </c>
    </row>
    <row r="1737" spans="1:7" x14ac:dyDescent="0.25">
      <c r="A1737" s="29">
        <v>39343</v>
      </c>
      <c r="B1737" s="30">
        <v>59.8</v>
      </c>
      <c r="C1737" s="30">
        <v>63.7</v>
      </c>
      <c r="D1737" s="30"/>
      <c r="E1737" s="30"/>
      <c r="F1737" s="30">
        <v>60.6</v>
      </c>
      <c r="G1737" s="30">
        <v>61.5</v>
      </c>
    </row>
    <row r="1738" spans="1:7" x14ac:dyDescent="0.25">
      <c r="A1738" s="29">
        <v>39344</v>
      </c>
      <c r="B1738" s="30">
        <v>61.3</v>
      </c>
      <c r="C1738" s="30">
        <v>65.599999999999994</v>
      </c>
      <c r="D1738" s="30"/>
      <c r="E1738" s="30"/>
      <c r="F1738" s="30">
        <v>61.7</v>
      </c>
      <c r="G1738" s="30">
        <v>63</v>
      </c>
    </row>
    <row r="1739" spans="1:7" x14ac:dyDescent="0.25">
      <c r="A1739" s="29">
        <v>39345</v>
      </c>
      <c r="B1739" s="30">
        <v>66.400000000000006</v>
      </c>
      <c r="C1739" s="30">
        <v>71.5</v>
      </c>
      <c r="D1739" s="30"/>
      <c r="E1739" s="30"/>
      <c r="F1739" s="30">
        <v>63.1</v>
      </c>
      <c r="G1739" s="30">
        <v>67.7</v>
      </c>
    </row>
    <row r="1740" spans="1:7" x14ac:dyDescent="0.25">
      <c r="A1740" s="29">
        <v>39346</v>
      </c>
      <c r="B1740" s="30">
        <v>68.400000000000006</v>
      </c>
      <c r="C1740" s="30">
        <v>74.8</v>
      </c>
      <c r="D1740" s="30"/>
      <c r="E1740" s="30"/>
      <c r="F1740" s="30">
        <v>67.8</v>
      </c>
      <c r="G1740" s="30">
        <v>71.2</v>
      </c>
    </row>
    <row r="1741" spans="1:7" x14ac:dyDescent="0.25">
      <c r="A1741" s="29">
        <v>39347</v>
      </c>
      <c r="B1741" s="30">
        <v>68</v>
      </c>
      <c r="C1741" s="30">
        <v>71.3</v>
      </c>
      <c r="D1741" s="30"/>
      <c r="E1741" s="30"/>
      <c r="F1741" s="30">
        <v>72.400000000000006</v>
      </c>
      <c r="G1741" s="30">
        <v>68.7</v>
      </c>
    </row>
    <row r="1742" spans="1:7" x14ac:dyDescent="0.25">
      <c r="A1742" s="29">
        <v>39348</v>
      </c>
      <c r="B1742" s="30">
        <v>72.3</v>
      </c>
      <c r="C1742" s="30">
        <v>73.7</v>
      </c>
      <c r="D1742" s="30"/>
      <c r="E1742" s="30"/>
      <c r="F1742" s="30">
        <v>74.5</v>
      </c>
      <c r="G1742" s="30">
        <v>72.5</v>
      </c>
    </row>
    <row r="1743" spans="1:7" x14ac:dyDescent="0.25">
      <c r="A1743" s="29">
        <v>39349</v>
      </c>
      <c r="B1743" s="30">
        <v>68.3</v>
      </c>
      <c r="C1743" s="30">
        <v>72.7</v>
      </c>
      <c r="D1743" s="30"/>
      <c r="E1743" s="30"/>
      <c r="F1743" s="30">
        <v>65.5</v>
      </c>
      <c r="G1743" s="30">
        <v>69.2</v>
      </c>
    </row>
    <row r="1744" spans="1:7" x14ac:dyDescent="0.25">
      <c r="A1744" s="29">
        <v>39350</v>
      </c>
      <c r="B1744" s="30">
        <v>68.7</v>
      </c>
      <c r="C1744" s="30">
        <v>75.2</v>
      </c>
      <c r="D1744" s="30"/>
      <c r="E1744" s="30"/>
      <c r="F1744" s="30">
        <v>67.3</v>
      </c>
      <c r="G1744" s="30">
        <v>70.7</v>
      </c>
    </row>
    <row r="1745" spans="1:7" x14ac:dyDescent="0.25">
      <c r="A1745" s="29">
        <v>39351</v>
      </c>
      <c r="B1745" s="30">
        <v>72</v>
      </c>
      <c r="C1745" s="30">
        <v>79</v>
      </c>
      <c r="D1745" s="30"/>
      <c r="E1745" s="30"/>
      <c r="F1745" s="30">
        <v>74.400000000000006</v>
      </c>
      <c r="G1745" s="30">
        <v>77.5</v>
      </c>
    </row>
    <row r="1746" spans="1:7" x14ac:dyDescent="0.25">
      <c r="A1746" s="29">
        <v>39352</v>
      </c>
      <c r="B1746" s="30">
        <v>72.2</v>
      </c>
      <c r="C1746" s="30">
        <v>78.099999999999994</v>
      </c>
      <c r="D1746" s="30"/>
      <c r="E1746" s="30"/>
      <c r="F1746" s="30">
        <v>74.8</v>
      </c>
      <c r="G1746" s="30">
        <v>76.400000000000006</v>
      </c>
    </row>
    <row r="1747" spans="1:7" x14ac:dyDescent="0.25">
      <c r="A1747" s="29">
        <v>39353</v>
      </c>
      <c r="B1747" s="30">
        <v>72.7</v>
      </c>
      <c r="C1747" s="30">
        <v>74.099999999999994</v>
      </c>
      <c r="D1747" s="30"/>
      <c r="E1747" s="30"/>
      <c r="F1747" s="30">
        <v>73.900000000000006</v>
      </c>
      <c r="G1747" s="30">
        <v>72.7</v>
      </c>
    </row>
    <row r="1748" spans="1:7" x14ac:dyDescent="0.25">
      <c r="A1748" s="29">
        <v>39354</v>
      </c>
      <c r="B1748" s="30">
        <v>66.8</v>
      </c>
      <c r="C1748" s="30">
        <v>67.900000000000006</v>
      </c>
      <c r="D1748" s="30"/>
      <c r="E1748" s="30"/>
      <c r="F1748" s="30">
        <v>65.599999999999994</v>
      </c>
      <c r="G1748" s="30">
        <v>66.400000000000006</v>
      </c>
    </row>
    <row r="1749" spans="1:7" x14ac:dyDescent="0.25">
      <c r="A1749" s="29">
        <v>39355</v>
      </c>
      <c r="B1749" s="30">
        <v>63.9</v>
      </c>
      <c r="C1749" s="30">
        <v>67.3</v>
      </c>
      <c r="D1749" s="30"/>
      <c r="E1749" s="30"/>
      <c r="F1749" s="30">
        <v>61.9</v>
      </c>
      <c r="G1749" s="30">
        <v>63.7</v>
      </c>
    </row>
    <row r="1750" spans="1:7" x14ac:dyDescent="0.25">
      <c r="A1750" s="29">
        <v>39356</v>
      </c>
      <c r="B1750" s="30">
        <v>61.2</v>
      </c>
      <c r="C1750" s="30">
        <v>66.2</v>
      </c>
      <c r="D1750" s="30"/>
      <c r="E1750" s="30"/>
      <c r="F1750" s="30">
        <v>61.3</v>
      </c>
      <c r="G1750" s="30">
        <v>65.2</v>
      </c>
    </row>
    <row r="1751" spans="1:7" x14ac:dyDescent="0.25">
      <c r="A1751" s="29">
        <v>39357</v>
      </c>
      <c r="B1751" s="30">
        <v>63</v>
      </c>
      <c r="C1751" s="30">
        <v>66.599999999999994</v>
      </c>
      <c r="D1751" s="30"/>
      <c r="E1751" s="30"/>
      <c r="F1751" s="30">
        <v>62.8</v>
      </c>
      <c r="G1751" s="30">
        <v>64.400000000000006</v>
      </c>
    </row>
    <row r="1752" spans="1:7" x14ac:dyDescent="0.25">
      <c r="A1752" s="29">
        <v>39358</v>
      </c>
      <c r="B1752" s="30">
        <v>68.5</v>
      </c>
      <c r="C1752" s="30">
        <v>70.3</v>
      </c>
      <c r="D1752" s="30"/>
      <c r="E1752" s="30"/>
      <c r="F1752" s="30">
        <v>72.400000000000006</v>
      </c>
      <c r="G1752" s="30">
        <v>70.3</v>
      </c>
    </row>
    <row r="1753" spans="1:7" x14ac:dyDescent="0.25">
      <c r="A1753" s="29">
        <v>39359</v>
      </c>
      <c r="B1753" s="30">
        <v>70.5</v>
      </c>
      <c r="C1753" s="30">
        <v>74.400000000000006</v>
      </c>
      <c r="D1753" s="30"/>
      <c r="E1753" s="30"/>
      <c r="F1753" s="30">
        <v>73.2</v>
      </c>
      <c r="G1753" s="30">
        <v>74</v>
      </c>
    </row>
    <row r="1754" spans="1:7" x14ac:dyDescent="0.25">
      <c r="A1754" s="29">
        <v>39360</v>
      </c>
      <c r="B1754" s="30">
        <v>68.099999999999994</v>
      </c>
      <c r="C1754" s="30">
        <v>72.8</v>
      </c>
      <c r="D1754" s="30"/>
      <c r="E1754" s="30"/>
      <c r="F1754" s="30">
        <v>69.900000000000006</v>
      </c>
      <c r="G1754" s="30">
        <v>73.5</v>
      </c>
    </row>
    <row r="1755" spans="1:7" x14ac:dyDescent="0.25">
      <c r="A1755" s="29">
        <v>39361</v>
      </c>
      <c r="B1755" s="30">
        <v>69.8</v>
      </c>
      <c r="C1755" s="30">
        <v>74.3</v>
      </c>
      <c r="D1755" s="30"/>
      <c r="E1755" s="30"/>
      <c r="F1755" s="30">
        <v>73.3</v>
      </c>
      <c r="G1755" s="30">
        <v>72</v>
      </c>
    </row>
    <row r="1756" spans="1:7" x14ac:dyDescent="0.25">
      <c r="A1756" s="29">
        <v>39362</v>
      </c>
      <c r="B1756" s="30">
        <v>73</v>
      </c>
      <c r="C1756" s="30">
        <v>77.099999999999994</v>
      </c>
      <c r="D1756" s="30"/>
      <c r="E1756" s="30"/>
      <c r="F1756" s="30">
        <v>74.900000000000006</v>
      </c>
      <c r="G1756" s="30">
        <v>74.8</v>
      </c>
    </row>
    <row r="1757" spans="1:7" x14ac:dyDescent="0.25">
      <c r="A1757" s="29">
        <v>39363</v>
      </c>
      <c r="B1757" s="30">
        <v>73.5</v>
      </c>
      <c r="C1757" s="30">
        <v>75</v>
      </c>
      <c r="D1757" s="30"/>
      <c r="E1757" s="30"/>
      <c r="F1757" s="30">
        <v>75.7</v>
      </c>
      <c r="G1757" s="30">
        <v>74.900000000000006</v>
      </c>
    </row>
    <row r="1758" spans="1:7" x14ac:dyDescent="0.25">
      <c r="A1758" s="29">
        <v>39364</v>
      </c>
      <c r="B1758" s="30">
        <v>72.099999999999994</v>
      </c>
      <c r="C1758" s="30">
        <v>75.900000000000006</v>
      </c>
      <c r="D1758" s="30"/>
      <c r="E1758" s="30"/>
      <c r="F1758" s="30">
        <v>75.3</v>
      </c>
      <c r="G1758" s="30">
        <v>73.2</v>
      </c>
    </row>
    <row r="1759" spans="1:7" x14ac:dyDescent="0.25">
      <c r="A1759" s="29">
        <v>39365</v>
      </c>
      <c r="B1759" s="30">
        <v>65.5</v>
      </c>
      <c r="C1759" s="30">
        <v>65.3</v>
      </c>
      <c r="D1759" s="30"/>
      <c r="E1759" s="30"/>
      <c r="F1759" s="30">
        <v>69.5</v>
      </c>
      <c r="G1759" s="30">
        <v>65</v>
      </c>
    </row>
    <row r="1760" spans="1:7" x14ac:dyDescent="0.25">
      <c r="A1760" s="29">
        <v>39366</v>
      </c>
      <c r="B1760" s="30">
        <v>63.6</v>
      </c>
      <c r="C1760" s="30">
        <v>65.3</v>
      </c>
      <c r="D1760" s="30"/>
      <c r="E1760" s="30"/>
      <c r="F1760" s="30">
        <v>64.099999999999994</v>
      </c>
      <c r="G1760" s="30">
        <v>64.900000000000006</v>
      </c>
    </row>
    <row r="1761" spans="1:7" x14ac:dyDescent="0.25">
      <c r="A1761" s="29">
        <v>39367</v>
      </c>
      <c r="B1761" s="30">
        <v>58.8</v>
      </c>
      <c r="C1761" s="30">
        <v>59.2</v>
      </c>
      <c r="D1761" s="30"/>
      <c r="E1761" s="30"/>
      <c r="F1761" s="30">
        <v>58.2</v>
      </c>
      <c r="G1761" s="30">
        <v>57.7</v>
      </c>
    </row>
    <row r="1762" spans="1:7" x14ac:dyDescent="0.25">
      <c r="A1762" s="29">
        <v>39368</v>
      </c>
      <c r="B1762" s="30">
        <v>53.2</v>
      </c>
      <c r="C1762" s="30">
        <v>54.6</v>
      </c>
      <c r="D1762" s="30"/>
      <c r="E1762" s="30"/>
      <c r="F1762" s="30">
        <v>51.8</v>
      </c>
      <c r="G1762" s="30">
        <v>52.5</v>
      </c>
    </row>
    <row r="1763" spans="1:7" x14ac:dyDescent="0.25">
      <c r="A1763" s="29">
        <v>39369</v>
      </c>
      <c r="B1763" s="30">
        <v>57.4</v>
      </c>
      <c r="C1763" s="30">
        <v>58.4</v>
      </c>
      <c r="D1763" s="30"/>
      <c r="E1763" s="30"/>
      <c r="F1763" s="30">
        <v>55.3</v>
      </c>
      <c r="G1763" s="30">
        <v>55.1</v>
      </c>
    </row>
    <row r="1764" spans="1:7" x14ac:dyDescent="0.25">
      <c r="A1764" s="29">
        <v>39370</v>
      </c>
      <c r="B1764" s="30">
        <v>58.2</v>
      </c>
      <c r="C1764" s="30">
        <v>59.6</v>
      </c>
      <c r="D1764" s="30"/>
      <c r="E1764" s="30"/>
      <c r="F1764" s="30">
        <v>55.7</v>
      </c>
      <c r="G1764" s="30">
        <v>57.7</v>
      </c>
    </row>
    <row r="1765" spans="1:7" x14ac:dyDescent="0.25">
      <c r="A1765" s="29">
        <v>39371</v>
      </c>
      <c r="B1765" s="30">
        <v>60.4</v>
      </c>
      <c r="C1765" s="30">
        <v>62.9</v>
      </c>
      <c r="D1765" s="30"/>
      <c r="E1765" s="30"/>
      <c r="F1765" s="30">
        <v>61.1</v>
      </c>
      <c r="G1765" s="30">
        <v>61.8</v>
      </c>
    </row>
    <row r="1766" spans="1:7" x14ac:dyDescent="0.25">
      <c r="A1766" s="29">
        <v>39372</v>
      </c>
      <c r="B1766" s="30">
        <v>62.4</v>
      </c>
      <c r="C1766" s="30">
        <v>65.400000000000006</v>
      </c>
      <c r="D1766" s="30"/>
      <c r="E1766" s="30"/>
      <c r="F1766" s="30">
        <v>64.8</v>
      </c>
      <c r="G1766" s="30">
        <v>64.5</v>
      </c>
    </row>
    <row r="1767" spans="1:7" x14ac:dyDescent="0.25">
      <c r="A1767" s="29">
        <v>39373</v>
      </c>
      <c r="B1767" s="30">
        <v>65.5</v>
      </c>
      <c r="C1767" s="30">
        <v>69.7</v>
      </c>
      <c r="D1767" s="30"/>
      <c r="E1767" s="30"/>
      <c r="F1767" s="30">
        <v>69.3</v>
      </c>
      <c r="G1767" s="30">
        <v>68.400000000000006</v>
      </c>
    </row>
    <row r="1768" spans="1:7" x14ac:dyDescent="0.25">
      <c r="A1768" s="29">
        <v>39374</v>
      </c>
      <c r="B1768" s="30">
        <v>68.8</v>
      </c>
      <c r="C1768" s="30">
        <v>71</v>
      </c>
      <c r="D1768" s="30"/>
      <c r="E1768" s="30"/>
      <c r="F1768" s="30">
        <v>72.8</v>
      </c>
      <c r="G1768" s="30">
        <v>71.900000000000006</v>
      </c>
    </row>
    <row r="1769" spans="1:7" x14ac:dyDescent="0.25">
      <c r="A1769" s="29">
        <v>39375</v>
      </c>
      <c r="B1769" s="30">
        <v>67</v>
      </c>
      <c r="C1769" s="30">
        <v>68.400000000000006</v>
      </c>
      <c r="D1769" s="30"/>
      <c r="E1769" s="30"/>
      <c r="F1769" s="30">
        <v>67.900000000000006</v>
      </c>
      <c r="G1769" s="30">
        <v>66.400000000000006</v>
      </c>
    </row>
    <row r="1770" spans="1:7" x14ac:dyDescent="0.25">
      <c r="A1770" s="29">
        <v>39376</v>
      </c>
      <c r="B1770" s="30">
        <v>64.2</v>
      </c>
      <c r="C1770" s="30">
        <v>67.2</v>
      </c>
      <c r="D1770" s="30"/>
      <c r="E1770" s="30"/>
      <c r="F1770" s="30">
        <v>64.099999999999994</v>
      </c>
      <c r="G1770" s="30">
        <v>62.6</v>
      </c>
    </row>
    <row r="1771" spans="1:7" x14ac:dyDescent="0.25">
      <c r="A1771" s="29">
        <v>39377</v>
      </c>
      <c r="B1771" s="30">
        <v>64.099999999999994</v>
      </c>
      <c r="C1771" s="30">
        <v>68.7</v>
      </c>
      <c r="D1771" s="30"/>
      <c r="E1771" s="30"/>
      <c r="F1771" s="30">
        <v>66.5</v>
      </c>
      <c r="G1771" s="30">
        <v>65.2</v>
      </c>
    </row>
    <row r="1772" spans="1:7" x14ac:dyDescent="0.25">
      <c r="A1772" s="29">
        <v>39378</v>
      </c>
      <c r="B1772" s="30">
        <v>67.599999999999994</v>
      </c>
      <c r="C1772" s="30">
        <v>71.5</v>
      </c>
      <c r="D1772" s="30"/>
      <c r="E1772" s="30"/>
      <c r="F1772" s="30">
        <v>72.5</v>
      </c>
      <c r="G1772" s="30">
        <v>70.599999999999994</v>
      </c>
    </row>
    <row r="1773" spans="1:7" x14ac:dyDescent="0.25">
      <c r="A1773" s="29">
        <v>39379</v>
      </c>
      <c r="B1773" s="30">
        <v>64.5</v>
      </c>
      <c r="C1773" s="30">
        <v>66.3</v>
      </c>
      <c r="D1773" s="30"/>
      <c r="E1773" s="30"/>
      <c r="F1773" s="30">
        <v>69.8</v>
      </c>
      <c r="G1773" s="30">
        <v>65.599999999999994</v>
      </c>
    </row>
    <row r="1774" spans="1:7" x14ac:dyDescent="0.25">
      <c r="A1774" s="29">
        <v>39380</v>
      </c>
      <c r="B1774" s="30">
        <v>54.2</v>
      </c>
      <c r="C1774" s="30">
        <v>55.8</v>
      </c>
      <c r="D1774" s="30"/>
      <c r="E1774" s="30"/>
      <c r="F1774" s="30">
        <v>57.9</v>
      </c>
      <c r="G1774" s="30">
        <v>54.3</v>
      </c>
    </row>
    <row r="1775" spans="1:7" x14ac:dyDescent="0.25">
      <c r="A1775" s="29">
        <v>39381</v>
      </c>
      <c r="B1775" s="30">
        <v>55.4</v>
      </c>
      <c r="C1775" s="30">
        <v>56.4</v>
      </c>
      <c r="D1775" s="30"/>
      <c r="E1775" s="30"/>
      <c r="F1775" s="30">
        <v>59.5</v>
      </c>
      <c r="G1775" s="30">
        <v>55.5</v>
      </c>
    </row>
    <row r="1776" spans="1:7" x14ac:dyDescent="0.25">
      <c r="A1776" s="29">
        <v>39382</v>
      </c>
      <c r="B1776" s="30">
        <v>63.7</v>
      </c>
      <c r="C1776" s="30">
        <v>64.400000000000006</v>
      </c>
      <c r="D1776" s="30"/>
      <c r="E1776" s="30"/>
      <c r="F1776" s="30">
        <v>68.7</v>
      </c>
      <c r="G1776" s="30">
        <v>63.5</v>
      </c>
    </row>
    <row r="1777" spans="1:7" x14ac:dyDescent="0.25">
      <c r="A1777" s="29">
        <v>39383</v>
      </c>
      <c r="B1777" s="30">
        <v>55.9</v>
      </c>
      <c r="C1777" s="30">
        <v>57.2</v>
      </c>
      <c r="D1777" s="30"/>
      <c r="E1777" s="30"/>
      <c r="F1777" s="30">
        <v>54.8</v>
      </c>
      <c r="G1777" s="30">
        <v>54.7</v>
      </c>
    </row>
    <row r="1778" spans="1:7" x14ac:dyDescent="0.25">
      <c r="A1778" s="29">
        <v>39384</v>
      </c>
      <c r="B1778" s="30">
        <v>46.8</v>
      </c>
      <c r="C1778" s="30">
        <v>48.3</v>
      </c>
      <c r="D1778" s="30"/>
      <c r="E1778" s="30"/>
      <c r="F1778" s="30">
        <v>44.8</v>
      </c>
      <c r="G1778" s="30">
        <v>46.6</v>
      </c>
    </row>
    <row r="1779" spans="1:7" x14ac:dyDescent="0.25">
      <c r="A1779" s="29">
        <v>39385</v>
      </c>
      <c r="B1779" s="30">
        <v>52.3</v>
      </c>
      <c r="C1779" s="30">
        <v>54.7</v>
      </c>
      <c r="D1779" s="30"/>
      <c r="E1779" s="30"/>
      <c r="F1779" s="30">
        <v>48.7</v>
      </c>
      <c r="G1779" s="30">
        <v>50.2</v>
      </c>
    </row>
    <row r="1780" spans="1:7" x14ac:dyDescent="0.25">
      <c r="A1780" s="29">
        <v>39386</v>
      </c>
      <c r="B1780" s="30">
        <v>54.9</v>
      </c>
      <c r="C1780" s="30">
        <v>57.4</v>
      </c>
      <c r="D1780" s="30"/>
      <c r="E1780" s="30"/>
      <c r="F1780" s="30">
        <v>51.3</v>
      </c>
      <c r="G1780" s="30">
        <v>54.2</v>
      </c>
    </row>
    <row r="1781" spans="1:7" x14ac:dyDescent="0.25">
      <c r="A1781" s="29">
        <v>39387</v>
      </c>
      <c r="B1781" s="30">
        <v>59.2</v>
      </c>
      <c r="C1781" s="30">
        <v>59.8</v>
      </c>
      <c r="D1781" s="30"/>
      <c r="E1781" s="30"/>
      <c r="F1781" s="30">
        <v>62.6</v>
      </c>
      <c r="G1781" s="30">
        <v>57.1</v>
      </c>
    </row>
    <row r="1782" spans="1:7" x14ac:dyDescent="0.25">
      <c r="A1782" s="29">
        <v>39388</v>
      </c>
      <c r="B1782" s="30">
        <v>50</v>
      </c>
      <c r="C1782" s="30">
        <v>51.7</v>
      </c>
      <c r="D1782" s="30"/>
      <c r="E1782" s="30"/>
      <c r="F1782" s="30">
        <v>50.7</v>
      </c>
      <c r="G1782" s="30">
        <v>49.8</v>
      </c>
    </row>
    <row r="1783" spans="1:7" x14ac:dyDescent="0.25">
      <c r="A1783" s="29">
        <v>39389</v>
      </c>
      <c r="B1783" s="30">
        <v>48.2</v>
      </c>
      <c r="C1783" s="30">
        <v>49.7</v>
      </c>
      <c r="D1783" s="30"/>
      <c r="E1783" s="30"/>
      <c r="F1783" s="30">
        <v>51.9</v>
      </c>
      <c r="G1783" s="30">
        <v>48.1</v>
      </c>
    </row>
    <row r="1784" spans="1:7" x14ac:dyDescent="0.25">
      <c r="A1784" s="29">
        <v>39390</v>
      </c>
      <c r="B1784" s="30">
        <v>50.8</v>
      </c>
      <c r="C1784" s="30">
        <v>52.2</v>
      </c>
      <c r="D1784" s="30"/>
      <c r="E1784" s="30"/>
      <c r="F1784" s="30">
        <v>47.7</v>
      </c>
      <c r="G1784" s="30">
        <v>50.2</v>
      </c>
    </row>
    <row r="1785" spans="1:7" x14ac:dyDescent="0.25">
      <c r="A1785" s="29">
        <v>39391</v>
      </c>
      <c r="B1785" s="30">
        <v>50.8</v>
      </c>
      <c r="C1785" s="30">
        <v>53.2</v>
      </c>
      <c r="D1785" s="30"/>
      <c r="E1785" s="30"/>
      <c r="F1785" s="30">
        <v>47.1</v>
      </c>
      <c r="G1785" s="30">
        <v>50.2</v>
      </c>
    </row>
    <row r="1786" spans="1:7" x14ac:dyDescent="0.25">
      <c r="A1786" s="29">
        <v>39392</v>
      </c>
      <c r="B1786" s="30">
        <v>52.8</v>
      </c>
      <c r="C1786" s="30">
        <v>53.5</v>
      </c>
      <c r="D1786" s="30"/>
      <c r="E1786" s="30"/>
      <c r="F1786" s="30">
        <v>53.4</v>
      </c>
      <c r="G1786" s="30">
        <v>51.5</v>
      </c>
    </row>
    <row r="1787" spans="1:7" x14ac:dyDescent="0.25">
      <c r="A1787" s="29">
        <v>39393</v>
      </c>
      <c r="B1787" s="30">
        <v>45.7</v>
      </c>
      <c r="C1787" s="30">
        <v>46.6</v>
      </c>
      <c r="D1787" s="30"/>
      <c r="E1787" s="30"/>
      <c r="F1787" s="30">
        <v>44.8</v>
      </c>
      <c r="G1787" s="30">
        <v>44.2</v>
      </c>
    </row>
    <row r="1788" spans="1:7" x14ac:dyDescent="0.25">
      <c r="A1788" s="29">
        <v>39394</v>
      </c>
      <c r="B1788" s="30">
        <v>40.6</v>
      </c>
      <c r="C1788" s="30">
        <v>42.8</v>
      </c>
      <c r="D1788" s="30"/>
      <c r="E1788" s="30"/>
      <c r="F1788" s="30">
        <v>38.6</v>
      </c>
      <c r="G1788" s="30">
        <v>40.700000000000003</v>
      </c>
    </row>
    <row r="1789" spans="1:7" x14ac:dyDescent="0.25">
      <c r="A1789" s="29">
        <v>39395</v>
      </c>
      <c r="B1789" s="30">
        <v>42</v>
      </c>
      <c r="C1789" s="30">
        <v>44.3</v>
      </c>
      <c r="D1789" s="30"/>
      <c r="E1789" s="30"/>
      <c r="F1789" s="30">
        <v>38.4</v>
      </c>
      <c r="G1789" s="30">
        <v>40.700000000000003</v>
      </c>
    </row>
    <row r="1790" spans="1:7" x14ac:dyDescent="0.25">
      <c r="A1790" s="29">
        <v>39396</v>
      </c>
      <c r="B1790" s="30">
        <v>42.9</v>
      </c>
      <c r="C1790" s="30">
        <v>43.3</v>
      </c>
      <c r="D1790" s="30"/>
      <c r="E1790" s="30"/>
      <c r="F1790" s="30">
        <v>41.9</v>
      </c>
      <c r="G1790" s="30">
        <v>40.5</v>
      </c>
    </row>
    <row r="1791" spans="1:7" x14ac:dyDescent="0.25">
      <c r="A1791" s="29">
        <v>39397</v>
      </c>
      <c r="B1791" s="30">
        <v>38.799999999999997</v>
      </c>
      <c r="C1791" s="30">
        <v>40.5</v>
      </c>
      <c r="D1791" s="30"/>
      <c r="E1791" s="30"/>
      <c r="F1791" s="30">
        <v>39.700000000000003</v>
      </c>
      <c r="G1791" s="30">
        <v>39</v>
      </c>
    </row>
    <row r="1792" spans="1:7" x14ac:dyDescent="0.25">
      <c r="A1792" s="29">
        <v>39398</v>
      </c>
      <c r="B1792" s="30">
        <v>41.3</v>
      </c>
      <c r="C1792" s="30">
        <v>45</v>
      </c>
      <c r="D1792" s="30"/>
      <c r="E1792" s="30"/>
      <c r="F1792" s="30">
        <v>45.4</v>
      </c>
      <c r="G1792" s="30">
        <v>42</v>
      </c>
    </row>
    <row r="1793" spans="1:7" x14ac:dyDescent="0.25">
      <c r="A1793" s="29">
        <v>39399</v>
      </c>
      <c r="B1793" s="30">
        <v>51.8</v>
      </c>
      <c r="C1793" s="30">
        <v>53.3</v>
      </c>
      <c r="D1793" s="30"/>
      <c r="E1793" s="30"/>
      <c r="F1793" s="30">
        <v>53.9</v>
      </c>
      <c r="G1793" s="30">
        <v>51.9</v>
      </c>
    </row>
    <row r="1794" spans="1:7" x14ac:dyDescent="0.25">
      <c r="A1794" s="29">
        <v>39400</v>
      </c>
      <c r="B1794" s="30">
        <v>47.5</v>
      </c>
      <c r="C1794" s="30">
        <v>53.2</v>
      </c>
      <c r="D1794" s="30"/>
      <c r="E1794" s="30"/>
      <c r="F1794" s="30">
        <v>47.2</v>
      </c>
      <c r="G1794" s="30">
        <v>48.7</v>
      </c>
    </row>
    <row r="1795" spans="1:7" x14ac:dyDescent="0.25">
      <c r="A1795" s="29">
        <v>39401</v>
      </c>
      <c r="B1795" s="30">
        <v>53.9</v>
      </c>
      <c r="C1795" s="30">
        <v>54.8</v>
      </c>
      <c r="D1795" s="30"/>
      <c r="E1795" s="30"/>
      <c r="F1795" s="30">
        <v>56.4</v>
      </c>
      <c r="G1795" s="30">
        <v>53.8</v>
      </c>
    </row>
    <row r="1796" spans="1:7" x14ac:dyDescent="0.25">
      <c r="A1796" s="29">
        <v>39402</v>
      </c>
      <c r="B1796" s="30">
        <v>44.4</v>
      </c>
      <c r="C1796" s="30">
        <v>45.4</v>
      </c>
      <c r="D1796" s="30"/>
      <c r="E1796" s="30"/>
      <c r="F1796" s="30">
        <v>43.9</v>
      </c>
      <c r="G1796" s="30">
        <v>43.9</v>
      </c>
    </row>
    <row r="1797" spans="1:7" x14ac:dyDescent="0.25">
      <c r="A1797" s="29">
        <v>39403</v>
      </c>
      <c r="B1797" s="30">
        <v>40.700000000000003</v>
      </c>
      <c r="C1797" s="30">
        <v>41.9</v>
      </c>
      <c r="D1797" s="30"/>
      <c r="E1797" s="30"/>
      <c r="F1797" s="30">
        <v>41.1</v>
      </c>
      <c r="G1797" s="30">
        <v>39.5</v>
      </c>
    </row>
    <row r="1798" spans="1:7" x14ac:dyDescent="0.25">
      <c r="A1798" s="29">
        <v>39404</v>
      </c>
      <c r="B1798" s="30">
        <v>42.4</v>
      </c>
      <c r="C1798" s="30">
        <v>43.3</v>
      </c>
      <c r="D1798" s="30"/>
      <c r="E1798" s="30"/>
      <c r="F1798" s="30">
        <v>45.3</v>
      </c>
      <c r="G1798" s="30">
        <v>40.6</v>
      </c>
    </row>
    <row r="1799" spans="1:7" x14ac:dyDescent="0.25">
      <c r="A1799" s="29">
        <v>39405</v>
      </c>
      <c r="B1799" s="30">
        <v>41.7</v>
      </c>
      <c r="C1799" s="30">
        <v>43.4</v>
      </c>
      <c r="D1799" s="30"/>
      <c r="E1799" s="30"/>
      <c r="F1799" s="30">
        <v>47.7</v>
      </c>
      <c r="G1799" s="30">
        <v>40</v>
      </c>
    </row>
    <row r="1800" spans="1:7" x14ac:dyDescent="0.25">
      <c r="A1800" s="29">
        <v>39406</v>
      </c>
      <c r="B1800" s="30">
        <v>43.2</v>
      </c>
      <c r="C1800" s="30">
        <v>44.2</v>
      </c>
      <c r="D1800" s="30"/>
      <c r="E1800" s="30"/>
      <c r="F1800" s="30">
        <v>48.5</v>
      </c>
      <c r="G1800" s="30">
        <v>43.9</v>
      </c>
    </row>
    <row r="1801" spans="1:7" x14ac:dyDescent="0.25">
      <c r="A1801" s="29">
        <v>39407</v>
      </c>
      <c r="B1801" s="30">
        <v>48.2</v>
      </c>
      <c r="C1801" s="30">
        <v>50.3</v>
      </c>
      <c r="D1801" s="30"/>
      <c r="E1801" s="30"/>
      <c r="F1801" s="30">
        <v>54.6</v>
      </c>
      <c r="G1801" s="30">
        <v>48.8</v>
      </c>
    </row>
    <row r="1802" spans="1:7" x14ac:dyDescent="0.25">
      <c r="A1802" s="29">
        <v>39408</v>
      </c>
      <c r="B1802" s="30">
        <v>54.1</v>
      </c>
      <c r="C1802" s="30">
        <v>57.4</v>
      </c>
      <c r="D1802" s="30"/>
      <c r="E1802" s="30"/>
      <c r="F1802" s="30">
        <v>61.9</v>
      </c>
      <c r="G1802" s="30">
        <v>55.9</v>
      </c>
    </row>
    <row r="1803" spans="1:7" x14ac:dyDescent="0.25">
      <c r="A1803" s="29">
        <v>39409</v>
      </c>
      <c r="B1803" s="30">
        <v>40.5</v>
      </c>
      <c r="C1803" s="30">
        <v>41.4</v>
      </c>
      <c r="D1803" s="30"/>
      <c r="E1803" s="30"/>
      <c r="F1803" s="30">
        <v>42.2</v>
      </c>
      <c r="G1803" s="30">
        <v>40.6</v>
      </c>
    </row>
    <row r="1804" spans="1:7" x14ac:dyDescent="0.25">
      <c r="A1804" s="29">
        <v>39410</v>
      </c>
      <c r="B1804" s="30">
        <v>31.8</v>
      </c>
      <c r="C1804" s="30">
        <v>33.299999999999997</v>
      </c>
      <c r="D1804" s="30"/>
      <c r="E1804" s="30"/>
      <c r="F1804" s="30">
        <v>30.4</v>
      </c>
      <c r="G1804" s="30">
        <v>32</v>
      </c>
    </row>
    <row r="1805" spans="1:7" x14ac:dyDescent="0.25">
      <c r="A1805" s="29">
        <v>39411</v>
      </c>
      <c r="B1805" s="30">
        <v>39.5</v>
      </c>
      <c r="C1805" s="30">
        <v>41.6</v>
      </c>
      <c r="D1805" s="30"/>
      <c r="E1805" s="30"/>
      <c r="F1805" s="30">
        <v>39.4</v>
      </c>
      <c r="G1805" s="30">
        <v>38.6</v>
      </c>
    </row>
    <row r="1806" spans="1:7" x14ac:dyDescent="0.25">
      <c r="A1806" s="29">
        <v>39412</v>
      </c>
      <c r="B1806" s="30">
        <v>45.8</v>
      </c>
      <c r="C1806" s="30">
        <v>46.8</v>
      </c>
      <c r="D1806" s="30"/>
      <c r="E1806" s="30"/>
      <c r="F1806" s="30">
        <v>49.5</v>
      </c>
      <c r="G1806" s="30">
        <v>44.3</v>
      </c>
    </row>
    <row r="1807" spans="1:7" x14ac:dyDescent="0.25">
      <c r="A1807" s="29">
        <v>39413</v>
      </c>
      <c r="B1807" s="30">
        <v>54.3</v>
      </c>
      <c r="C1807" s="30">
        <v>56.4</v>
      </c>
      <c r="D1807" s="30"/>
      <c r="E1807" s="30"/>
      <c r="F1807" s="30">
        <v>57.9</v>
      </c>
      <c r="G1807" s="30">
        <v>55.1</v>
      </c>
    </row>
    <row r="1808" spans="1:7" x14ac:dyDescent="0.25">
      <c r="A1808" s="29">
        <v>39414</v>
      </c>
      <c r="B1808" s="30">
        <v>42</v>
      </c>
      <c r="C1808" s="30">
        <v>43.4</v>
      </c>
      <c r="D1808" s="30"/>
      <c r="E1808" s="30"/>
      <c r="F1808" s="30">
        <v>41.5</v>
      </c>
      <c r="G1808" s="30">
        <v>41.2</v>
      </c>
    </row>
    <row r="1809" spans="1:7" x14ac:dyDescent="0.25">
      <c r="A1809" s="29">
        <v>39415</v>
      </c>
      <c r="B1809" s="30">
        <v>44.2</v>
      </c>
      <c r="C1809" s="30">
        <v>45.9</v>
      </c>
      <c r="D1809" s="30"/>
      <c r="E1809" s="30"/>
      <c r="F1809" s="30">
        <v>42.1</v>
      </c>
      <c r="G1809" s="30">
        <v>43.2</v>
      </c>
    </row>
    <row r="1810" spans="1:7" x14ac:dyDescent="0.25">
      <c r="A1810" s="29">
        <v>39416</v>
      </c>
      <c r="B1810" s="30">
        <v>40.5</v>
      </c>
      <c r="C1810" s="30">
        <v>41.8</v>
      </c>
      <c r="D1810" s="30"/>
      <c r="E1810" s="30"/>
      <c r="F1810" s="30">
        <v>39.9</v>
      </c>
      <c r="G1810" s="30">
        <v>39.700000000000003</v>
      </c>
    </row>
    <row r="1811" spans="1:7" x14ac:dyDescent="0.25">
      <c r="A1811" s="29">
        <v>39417</v>
      </c>
      <c r="B1811" s="30">
        <v>35.4</v>
      </c>
      <c r="C1811" s="30">
        <v>36.700000000000003</v>
      </c>
      <c r="D1811" s="30"/>
      <c r="E1811" s="30"/>
      <c r="F1811" s="30">
        <v>35.1</v>
      </c>
      <c r="G1811" s="30">
        <v>33.9</v>
      </c>
    </row>
    <row r="1812" spans="1:7" x14ac:dyDescent="0.25">
      <c r="A1812" s="29">
        <v>39418</v>
      </c>
      <c r="B1812" s="30">
        <v>25.2</v>
      </c>
      <c r="C1812" s="30">
        <v>26.3</v>
      </c>
      <c r="D1812" s="30"/>
      <c r="E1812" s="30"/>
      <c r="F1812" s="30">
        <v>34.299999999999997</v>
      </c>
      <c r="G1812" s="30">
        <v>24.8</v>
      </c>
    </row>
    <row r="1813" spans="1:7" x14ac:dyDescent="0.25">
      <c r="A1813" s="29">
        <v>39419</v>
      </c>
      <c r="B1813" s="30">
        <v>43.1</v>
      </c>
      <c r="C1813" s="30">
        <v>42.1</v>
      </c>
      <c r="D1813" s="30"/>
      <c r="E1813" s="30"/>
      <c r="F1813" s="30">
        <v>48.8</v>
      </c>
      <c r="G1813" s="30">
        <v>39</v>
      </c>
    </row>
    <row r="1814" spans="1:7" x14ac:dyDescent="0.25">
      <c r="A1814" s="29">
        <v>39420</v>
      </c>
      <c r="B1814" s="30">
        <v>33.6</v>
      </c>
      <c r="C1814" s="30">
        <v>34.299999999999997</v>
      </c>
      <c r="D1814" s="30"/>
      <c r="E1814" s="30"/>
      <c r="F1814" s="30">
        <v>35.9</v>
      </c>
      <c r="G1814" s="30">
        <v>33.200000000000003</v>
      </c>
    </row>
    <row r="1815" spans="1:7" x14ac:dyDescent="0.25">
      <c r="A1815" s="29">
        <v>39421</v>
      </c>
      <c r="B1815" s="30">
        <v>29.6</v>
      </c>
      <c r="C1815" s="30">
        <v>31</v>
      </c>
      <c r="D1815" s="30"/>
      <c r="E1815" s="30"/>
      <c r="F1815" s="30">
        <v>30.7</v>
      </c>
      <c r="G1815" s="30">
        <v>28.7</v>
      </c>
    </row>
    <row r="1816" spans="1:7" x14ac:dyDescent="0.25">
      <c r="A1816" s="29">
        <v>39422</v>
      </c>
      <c r="B1816" s="30">
        <v>27.8</v>
      </c>
      <c r="C1816" s="30">
        <v>29.2</v>
      </c>
      <c r="D1816" s="30"/>
      <c r="E1816" s="30"/>
      <c r="F1816" s="30">
        <v>26.7</v>
      </c>
      <c r="G1816" s="30">
        <v>27.8</v>
      </c>
    </row>
    <row r="1817" spans="1:7" x14ac:dyDescent="0.25">
      <c r="A1817" s="29">
        <v>39423</v>
      </c>
      <c r="B1817" s="30">
        <v>30.6</v>
      </c>
      <c r="C1817" s="30">
        <v>32.200000000000003</v>
      </c>
      <c r="D1817" s="30"/>
      <c r="E1817" s="30"/>
      <c r="F1817" s="30">
        <v>25.6</v>
      </c>
      <c r="G1817" s="30">
        <v>28.2</v>
      </c>
    </row>
    <row r="1818" spans="1:7" x14ac:dyDescent="0.25">
      <c r="A1818" s="29">
        <v>39424</v>
      </c>
      <c r="B1818" s="30">
        <v>37.5</v>
      </c>
      <c r="C1818" s="30">
        <v>38.299999999999997</v>
      </c>
      <c r="D1818" s="30"/>
      <c r="E1818" s="30"/>
      <c r="F1818" s="30">
        <v>40</v>
      </c>
      <c r="G1818" s="30">
        <v>36.799999999999997</v>
      </c>
    </row>
    <row r="1819" spans="1:7" x14ac:dyDescent="0.25">
      <c r="A1819" s="29">
        <v>39425</v>
      </c>
      <c r="B1819" s="30">
        <v>37.700000000000003</v>
      </c>
      <c r="C1819" s="30">
        <v>39</v>
      </c>
      <c r="D1819" s="30"/>
      <c r="E1819" s="30"/>
      <c r="F1819" s="30">
        <v>37.299999999999997</v>
      </c>
      <c r="G1819" s="30">
        <v>37.4</v>
      </c>
    </row>
    <row r="1820" spans="1:7" x14ac:dyDescent="0.25">
      <c r="A1820" s="29">
        <v>39426</v>
      </c>
      <c r="B1820" s="30">
        <v>38.799999999999997</v>
      </c>
      <c r="C1820" s="30">
        <v>39.1</v>
      </c>
      <c r="D1820" s="30"/>
      <c r="E1820" s="30"/>
      <c r="F1820" s="30">
        <v>45.7</v>
      </c>
      <c r="G1820" s="30">
        <v>37.6</v>
      </c>
    </row>
    <row r="1821" spans="1:7" x14ac:dyDescent="0.25">
      <c r="A1821" s="29">
        <v>39427</v>
      </c>
      <c r="B1821" s="30">
        <v>38.200000000000003</v>
      </c>
      <c r="C1821" s="30">
        <v>39</v>
      </c>
      <c r="D1821" s="30"/>
      <c r="E1821" s="30"/>
      <c r="F1821" s="30">
        <v>43.2</v>
      </c>
      <c r="G1821" s="30">
        <v>38.200000000000003</v>
      </c>
    </row>
    <row r="1822" spans="1:7" x14ac:dyDescent="0.25">
      <c r="A1822" s="29">
        <v>39428</v>
      </c>
      <c r="B1822" s="30">
        <v>46.8</v>
      </c>
      <c r="C1822" s="30">
        <v>47.1</v>
      </c>
      <c r="D1822" s="30"/>
      <c r="E1822" s="30"/>
      <c r="F1822" s="30">
        <v>53</v>
      </c>
      <c r="G1822" s="30">
        <v>46.5</v>
      </c>
    </row>
    <row r="1823" spans="1:7" x14ac:dyDescent="0.25">
      <c r="A1823" s="29">
        <v>39429</v>
      </c>
      <c r="B1823" s="30">
        <v>34.200000000000003</v>
      </c>
      <c r="C1823" s="30">
        <v>35.5</v>
      </c>
      <c r="D1823" s="30"/>
      <c r="E1823" s="30"/>
      <c r="F1823" s="30">
        <v>38.4</v>
      </c>
      <c r="G1823" s="30">
        <v>34.700000000000003</v>
      </c>
    </row>
    <row r="1824" spans="1:7" x14ac:dyDescent="0.25">
      <c r="A1824" s="29">
        <v>39430</v>
      </c>
      <c r="B1824" s="30">
        <v>35.6</v>
      </c>
      <c r="C1824" s="30">
        <v>37.1</v>
      </c>
      <c r="D1824" s="30"/>
      <c r="E1824" s="30"/>
      <c r="F1824" s="30">
        <v>37.6</v>
      </c>
      <c r="G1824" s="30">
        <v>34.700000000000003</v>
      </c>
    </row>
    <row r="1825" spans="1:7" x14ac:dyDescent="0.25">
      <c r="A1825" s="29">
        <v>39431</v>
      </c>
      <c r="B1825" s="30">
        <v>33.4</v>
      </c>
      <c r="C1825" s="30">
        <v>34.4</v>
      </c>
      <c r="D1825" s="30"/>
      <c r="E1825" s="30"/>
      <c r="F1825" s="30">
        <v>33.9</v>
      </c>
      <c r="G1825" s="30">
        <v>32.799999999999997</v>
      </c>
    </row>
    <row r="1826" spans="1:7" x14ac:dyDescent="0.25">
      <c r="A1826" s="29">
        <v>39432</v>
      </c>
      <c r="B1826" s="30">
        <v>34.299999999999997</v>
      </c>
      <c r="C1826" s="30">
        <v>34.200000000000003</v>
      </c>
      <c r="D1826" s="30"/>
      <c r="E1826" s="30"/>
      <c r="F1826" s="30">
        <v>45.4</v>
      </c>
      <c r="G1826" s="30">
        <v>33.4</v>
      </c>
    </row>
    <row r="1827" spans="1:7" x14ac:dyDescent="0.25">
      <c r="A1827" s="29">
        <v>39433</v>
      </c>
      <c r="B1827" s="30">
        <v>31.8</v>
      </c>
      <c r="C1827" s="30">
        <v>32.299999999999997</v>
      </c>
      <c r="D1827" s="30"/>
      <c r="E1827" s="30"/>
      <c r="F1827" s="30">
        <v>35.700000000000003</v>
      </c>
      <c r="G1827" s="30">
        <v>31.4</v>
      </c>
    </row>
    <row r="1828" spans="1:7" x14ac:dyDescent="0.25">
      <c r="A1828" s="29">
        <v>39434</v>
      </c>
      <c r="B1828" s="30">
        <v>32.299999999999997</v>
      </c>
      <c r="C1828" s="30">
        <v>33.4</v>
      </c>
      <c r="D1828" s="30"/>
      <c r="E1828" s="30"/>
      <c r="F1828" s="30">
        <v>32.299999999999997</v>
      </c>
      <c r="G1828" s="30">
        <v>31.5</v>
      </c>
    </row>
    <row r="1829" spans="1:7" x14ac:dyDescent="0.25">
      <c r="A1829" s="29">
        <v>39435</v>
      </c>
      <c r="B1829" s="30">
        <v>36.9</v>
      </c>
      <c r="C1829" s="30">
        <v>38.9</v>
      </c>
      <c r="D1829" s="30"/>
      <c r="E1829" s="30"/>
      <c r="F1829" s="30">
        <v>34.6</v>
      </c>
      <c r="G1829" s="30">
        <v>35.799999999999997</v>
      </c>
    </row>
    <row r="1830" spans="1:7" x14ac:dyDescent="0.25">
      <c r="A1830" s="29">
        <v>39436</v>
      </c>
      <c r="B1830" s="30">
        <v>39.299999999999997</v>
      </c>
      <c r="C1830" s="30">
        <v>39.9</v>
      </c>
      <c r="D1830" s="30"/>
      <c r="E1830" s="30"/>
      <c r="F1830" s="30">
        <v>38.200000000000003</v>
      </c>
      <c r="G1830" s="30">
        <v>39.299999999999997</v>
      </c>
    </row>
    <row r="1831" spans="1:7" x14ac:dyDescent="0.25">
      <c r="A1831" s="29">
        <v>39437</v>
      </c>
      <c r="B1831" s="30">
        <v>38.299999999999997</v>
      </c>
      <c r="C1831" s="30">
        <v>39.1</v>
      </c>
      <c r="D1831" s="30"/>
      <c r="E1831" s="30"/>
      <c r="F1831" s="30">
        <v>36</v>
      </c>
      <c r="G1831" s="30">
        <v>38.1</v>
      </c>
    </row>
    <row r="1832" spans="1:7" x14ac:dyDescent="0.25">
      <c r="A1832" s="29">
        <v>39438</v>
      </c>
      <c r="B1832" s="30">
        <v>36.9</v>
      </c>
      <c r="C1832" s="30">
        <v>37.6</v>
      </c>
      <c r="D1832" s="30"/>
      <c r="E1832" s="30"/>
      <c r="F1832" s="30">
        <v>42.3</v>
      </c>
      <c r="G1832" s="30">
        <v>37.799999999999997</v>
      </c>
    </row>
    <row r="1833" spans="1:7" x14ac:dyDescent="0.25">
      <c r="A1833" s="29">
        <v>39439</v>
      </c>
      <c r="B1833" s="30">
        <v>46.8</v>
      </c>
      <c r="C1833" s="30">
        <v>46.2</v>
      </c>
      <c r="D1833" s="30"/>
      <c r="E1833" s="30"/>
      <c r="F1833" s="30">
        <v>51.8</v>
      </c>
      <c r="G1833" s="30">
        <v>45.3</v>
      </c>
    </row>
    <row r="1834" spans="1:7" x14ac:dyDescent="0.25">
      <c r="A1834" s="29">
        <v>39440</v>
      </c>
      <c r="B1834" s="30">
        <v>44.9</v>
      </c>
      <c r="C1834" s="30">
        <v>46.6</v>
      </c>
      <c r="D1834" s="30"/>
      <c r="E1834" s="30"/>
      <c r="F1834" s="30">
        <v>47.2</v>
      </c>
      <c r="G1834" s="30">
        <v>45.5</v>
      </c>
    </row>
    <row r="1835" spans="1:7" x14ac:dyDescent="0.25">
      <c r="A1835" s="29">
        <v>39441</v>
      </c>
      <c r="B1835" s="30">
        <v>40.200000000000003</v>
      </c>
      <c r="C1835" s="30">
        <v>41.4</v>
      </c>
      <c r="D1835" s="30"/>
      <c r="E1835" s="30"/>
      <c r="F1835" s="30">
        <v>39.799999999999997</v>
      </c>
      <c r="G1835" s="30">
        <v>39.4</v>
      </c>
    </row>
    <row r="1836" spans="1:7" x14ac:dyDescent="0.25">
      <c r="A1836" s="29">
        <v>39442</v>
      </c>
      <c r="B1836" s="30">
        <v>34.700000000000003</v>
      </c>
      <c r="C1836" s="30">
        <v>37.4</v>
      </c>
      <c r="D1836" s="30"/>
      <c r="E1836" s="30"/>
      <c r="F1836" s="30">
        <v>34.200000000000003</v>
      </c>
      <c r="G1836" s="30">
        <v>34.799999999999997</v>
      </c>
    </row>
    <row r="1837" spans="1:7" x14ac:dyDescent="0.25">
      <c r="A1837" s="29">
        <v>39443</v>
      </c>
      <c r="B1837" s="30">
        <v>37.6</v>
      </c>
      <c r="C1837" s="30">
        <v>38.4</v>
      </c>
      <c r="D1837" s="30"/>
      <c r="E1837" s="30"/>
      <c r="F1837" s="30">
        <v>39.9</v>
      </c>
      <c r="G1837" s="30">
        <v>37.200000000000003</v>
      </c>
    </row>
    <row r="1838" spans="1:7" x14ac:dyDescent="0.25">
      <c r="A1838" s="29">
        <v>39444</v>
      </c>
      <c r="B1838" s="30">
        <v>42.7</v>
      </c>
      <c r="C1838" s="30">
        <v>45.1</v>
      </c>
      <c r="D1838" s="30"/>
      <c r="E1838" s="30"/>
      <c r="F1838" s="30">
        <v>37.4</v>
      </c>
      <c r="G1838" s="30">
        <v>42.7</v>
      </c>
    </row>
    <row r="1839" spans="1:7" x14ac:dyDescent="0.25">
      <c r="A1839" s="29">
        <v>39445</v>
      </c>
      <c r="B1839" s="30">
        <v>47.5</v>
      </c>
      <c r="C1839" s="30">
        <v>48.6</v>
      </c>
      <c r="D1839" s="30"/>
      <c r="E1839" s="30"/>
      <c r="F1839" s="30">
        <v>50.9</v>
      </c>
      <c r="G1839" s="30">
        <v>47.3</v>
      </c>
    </row>
    <row r="1840" spans="1:7" x14ac:dyDescent="0.25">
      <c r="A1840" s="29">
        <v>39446</v>
      </c>
      <c r="B1840" s="30">
        <v>40.6</v>
      </c>
      <c r="C1840" s="30">
        <v>41.8</v>
      </c>
      <c r="D1840" s="30"/>
      <c r="E1840" s="30"/>
      <c r="F1840" s="30">
        <v>37.700000000000003</v>
      </c>
      <c r="G1840" s="30">
        <v>39.1</v>
      </c>
    </row>
    <row r="1841" spans="1:7" x14ac:dyDescent="0.25">
      <c r="A1841" s="29">
        <v>39447</v>
      </c>
      <c r="B1841" s="30">
        <v>39.299999999999997</v>
      </c>
      <c r="C1841" s="30">
        <v>40.1</v>
      </c>
      <c r="D1841" s="30"/>
      <c r="E1841" s="30"/>
      <c r="F1841" s="30">
        <v>42.9</v>
      </c>
      <c r="G1841" s="30">
        <v>38.9</v>
      </c>
    </row>
    <row r="1842" spans="1:7" x14ac:dyDescent="0.25">
      <c r="A1842" s="29">
        <v>39448</v>
      </c>
      <c r="B1842" s="30">
        <v>39.799999999999997</v>
      </c>
      <c r="C1842" s="30">
        <v>41.9</v>
      </c>
      <c r="D1842" s="30"/>
      <c r="E1842" s="30"/>
      <c r="F1842" s="30">
        <v>42.7</v>
      </c>
      <c r="G1842" s="30">
        <v>39.9</v>
      </c>
    </row>
    <row r="1843" spans="1:7" x14ac:dyDescent="0.25">
      <c r="A1843" s="29">
        <v>39449</v>
      </c>
      <c r="B1843" s="30">
        <v>34.299999999999997</v>
      </c>
      <c r="C1843" s="30">
        <v>35.1</v>
      </c>
      <c r="D1843" s="30"/>
      <c r="E1843" s="30"/>
      <c r="F1843" s="30">
        <v>34.799999999999997</v>
      </c>
      <c r="G1843" s="30">
        <v>33.799999999999997</v>
      </c>
    </row>
    <row r="1844" spans="1:7" x14ac:dyDescent="0.25">
      <c r="A1844" s="29">
        <v>39450</v>
      </c>
      <c r="B1844" s="30">
        <v>18</v>
      </c>
      <c r="C1844" s="30">
        <v>19.100000000000001</v>
      </c>
      <c r="D1844" s="30"/>
      <c r="E1844" s="30"/>
      <c r="F1844" s="30">
        <v>21.9</v>
      </c>
      <c r="G1844" s="30">
        <v>18.2</v>
      </c>
    </row>
    <row r="1845" spans="1:7" x14ac:dyDescent="0.25">
      <c r="A1845" s="29">
        <v>39451</v>
      </c>
      <c r="B1845" s="30">
        <v>24.4</v>
      </c>
      <c r="C1845" s="30">
        <v>25.5</v>
      </c>
      <c r="D1845" s="30"/>
      <c r="E1845" s="30"/>
      <c r="F1845" s="30">
        <v>23</v>
      </c>
      <c r="G1845" s="30">
        <v>23.8</v>
      </c>
    </row>
    <row r="1846" spans="1:7" x14ac:dyDescent="0.25">
      <c r="A1846" s="29">
        <v>39452</v>
      </c>
      <c r="B1846" s="30">
        <v>33.700000000000003</v>
      </c>
      <c r="C1846" s="30">
        <v>37.4</v>
      </c>
      <c r="D1846" s="30"/>
      <c r="E1846" s="30"/>
      <c r="F1846" s="30">
        <v>35.1</v>
      </c>
      <c r="G1846" s="30">
        <v>33.9</v>
      </c>
    </row>
    <row r="1847" spans="1:7" x14ac:dyDescent="0.25">
      <c r="A1847" s="29">
        <v>39453</v>
      </c>
      <c r="B1847" s="30">
        <v>38.1</v>
      </c>
      <c r="C1847" s="30">
        <v>41</v>
      </c>
      <c r="D1847" s="30"/>
      <c r="E1847" s="30"/>
      <c r="F1847" s="30">
        <v>43</v>
      </c>
      <c r="G1847" s="30">
        <v>39</v>
      </c>
    </row>
    <row r="1848" spans="1:7" x14ac:dyDescent="0.25">
      <c r="A1848" s="29">
        <v>39454</v>
      </c>
      <c r="B1848" s="30">
        <v>44.9</v>
      </c>
      <c r="C1848" s="30">
        <v>49.7</v>
      </c>
      <c r="D1848" s="30"/>
      <c r="E1848" s="30"/>
      <c r="F1848" s="30">
        <v>51.7</v>
      </c>
      <c r="G1848" s="30">
        <v>49</v>
      </c>
    </row>
    <row r="1849" spans="1:7" x14ac:dyDescent="0.25">
      <c r="A1849" s="29">
        <v>39455</v>
      </c>
      <c r="B1849" s="30">
        <v>46.6</v>
      </c>
      <c r="C1849" s="30">
        <v>57.5</v>
      </c>
      <c r="D1849" s="30"/>
      <c r="E1849" s="30"/>
      <c r="F1849" s="30">
        <v>53</v>
      </c>
      <c r="G1849" s="30">
        <v>55</v>
      </c>
    </row>
    <row r="1850" spans="1:7" x14ac:dyDescent="0.25">
      <c r="A1850" s="29">
        <v>39456</v>
      </c>
      <c r="B1850" s="30">
        <v>51.6</v>
      </c>
      <c r="C1850" s="30">
        <v>54.7</v>
      </c>
      <c r="D1850" s="30"/>
      <c r="E1850" s="30"/>
      <c r="F1850" s="30">
        <v>57.2</v>
      </c>
      <c r="G1850" s="30">
        <v>58.8</v>
      </c>
    </row>
    <row r="1851" spans="1:7" x14ac:dyDescent="0.25">
      <c r="A1851" s="29">
        <v>39457</v>
      </c>
      <c r="B1851" s="30">
        <v>45.5</v>
      </c>
      <c r="C1851" s="30">
        <v>47.6</v>
      </c>
      <c r="D1851" s="30"/>
      <c r="E1851" s="30"/>
      <c r="F1851" s="30">
        <v>43</v>
      </c>
      <c r="G1851" s="30">
        <v>46.1</v>
      </c>
    </row>
    <row r="1852" spans="1:7" x14ac:dyDescent="0.25">
      <c r="A1852" s="29">
        <v>39458</v>
      </c>
      <c r="B1852" s="30">
        <v>46.8</v>
      </c>
      <c r="C1852" s="30">
        <v>47.7</v>
      </c>
      <c r="D1852" s="30"/>
      <c r="E1852" s="30"/>
      <c r="F1852" s="30">
        <v>50.9</v>
      </c>
      <c r="G1852" s="30">
        <v>45.9</v>
      </c>
    </row>
    <row r="1853" spans="1:7" x14ac:dyDescent="0.25">
      <c r="A1853" s="29">
        <v>39459</v>
      </c>
      <c r="B1853" s="30">
        <v>45.8</v>
      </c>
      <c r="C1853" s="30">
        <v>47.7</v>
      </c>
      <c r="D1853" s="30"/>
      <c r="E1853" s="30"/>
      <c r="F1853" s="30">
        <v>45</v>
      </c>
      <c r="G1853" s="30">
        <v>45.7</v>
      </c>
    </row>
    <row r="1854" spans="1:7" x14ac:dyDescent="0.25">
      <c r="A1854" s="29">
        <v>39460</v>
      </c>
      <c r="B1854" s="30">
        <v>39.799999999999997</v>
      </c>
      <c r="C1854" s="30">
        <v>41.7</v>
      </c>
      <c r="D1854" s="30"/>
      <c r="E1854" s="30"/>
      <c r="F1854" s="30">
        <v>38.4</v>
      </c>
      <c r="G1854" s="30">
        <v>38.799999999999997</v>
      </c>
    </row>
    <row r="1855" spans="1:7" x14ac:dyDescent="0.25">
      <c r="A1855" s="29">
        <v>39461</v>
      </c>
      <c r="B1855" s="30">
        <v>37.299999999999997</v>
      </c>
      <c r="C1855" s="30">
        <v>38.4</v>
      </c>
      <c r="D1855" s="30"/>
      <c r="E1855" s="30"/>
      <c r="F1855" s="30">
        <v>40.1</v>
      </c>
      <c r="G1855" s="30">
        <v>37.6</v>
      </c>
    </row>
    <row r="1856" spans="1:7" x14ac:dyDescent="0.25">
      <c r="A1856" s="29">
        <v>39462</v>
      </c>
      <c r="B1856" s="30">
        <v>36.1</v>
      </c>
      <c r="C1856" s="30">
        <v>37</v>
      </c>
      <c r="D1856" s="30"/>
      <c r="E1856" s="30"/>
      <c r="F1856" s="30">
        <v>33.5</v>
      </c>
      <c r="G1856" s="30">
        <v>35.4</v>
      </c>
    </row>
    <row r="1857" spans="1:7" x14ac:dyDescent="0.25">
      <c r="A1857" s="29">
        <v>39463</v>
      </c>
      <c r="B1857" s="30">
        <v>34.1</v>
      </c>
      <c r="C1857" s="30">
        <v>34.9</v>
      </c>
      <c r="D1857" s="30"/>
      <c r="E1857" s="30"/>
      <c r="F1857" s="30">
        <v>33.9</v>
      </c>
      <c r="G1857" s="30">
        <v>34.200000000000003</v>
      </c>
    </row>
    <row r="1858" spans="1:7" x14ac:dyDescent="0.25">
      <c r="A1858" s="29">
        <v>39464</v>
      </c>
      <c r="B1858" s="30">
        <v>32.200000000000003</v>
      </c>
      <c r="C1858" s="30">
        <v>34.6</v>
      </c>
      <c r="D1858" s="30"/>
      <c r="E1858" s="30"/>
      <c r="F1858" s="30">
        <v>31.8</v>
      </c>
      <c r="G1858" s="30">
        <v>32.700000000000003</v>
      </c>
    </row>
    <row r="1859" spans="1:7" x14ac:dyDescent="0.25">
      <c r="A1859" s="29">
        <v>39465</v>
      </c>
      <c r="B1859" s="30">
        <v>42</v>
      </c>
      <c r="C1859" s="30">
        <v>41.4</v>
      </c>
      <c r="D1859" s="30"/>
      <c r="E1859" s="30"/>
      <c r="F1859" s="30">
        <v>44</v>
      </c>
      <c r="G1859" s="30">
        <v>40.200000000000003</v>
      </c>
    </row>
    <row r="1860" spans="1:7" x14ac:dyDescent="0.25">
      <c r="A1860" s="29">
        <v>39466</v>
      </c>
      <c r="B1860" s="30">
        <v>36.200000000000003</v>
      </c>
      <c r="C1860" s="30">
        <v>36.799999999999997</v>
      </c>
      <c r="D1860" s="30"/>
      <c r="E1860" s="30"/>
      <c r="F1860" s="30">
        <v>35.700000000000003</v>
      </c>
      <c r="G1860" s="30">
        <v>35.299999999999997</v>
      </c>
    </row>
    <row r="1861" spans="1:7" x14ac:dyDescent="0.25">
      <c r="A1861" s="29">
        <v>39467</v>
      </c>
      <c r="B1861" s="30">
        <v>28.9</v>
      </c>
      <c r="C1861" s="30">
        <v>29.4</v>
      </c>
      <c r="D1861" s="30"/>
      <c r="E1861" s="30"/>
      <c r="F1861" s="30">
        <v>29.9</v>
      </c>
      <c r="G1861" s="30">
        <v>28.3</v>
      </c>
    </row>
    <row r="1862" spans="1:7" x14ac:dyDescent="0.25">
      <c r="A1862" s="29">
        <v>39468</v>
      </c>
      <c r="B1862" s="30">
        <v>19.899999999999999</v>
      </c>
      <c r="C1862" s="30">
        <v>20.8</v>
      </c>
      <c r="D1862" s="30"/>
      <c r="E1862" s="30"/>
      <c r="F1862" s="30">
        <v>20.5</v>
      </c>
      <c r="G1862" s="30">
        <v>19.7</v>
      </c>
    </row>
    <row r="1863" spans="1:7" x14ac:dyDescent="0.25">
      <c r="A1863" s="29">
        <v>39469</v>
      </c>
      <c r="B1863" s="30">
        <v>29.4</v>
      </c>
      <c r="C1863" s="30">
        <v>30.5</v>
      </c>
      <c r="D1863" s="30"/>
      <c r="E1863" s="30"/>
      <c r="F1863" s="30">
        <v>28</v>
      </c>
      <c r="G1863" s="30">
        <v>28.2</v>
      </c>
    </row>
    <row r="1864" spans="1:7" x14ac:dyDescent="0.25">
      <c r="A1864" s="29">
        <v>39470</v>
      </c>
      <c r="B1864" s="30">
        <v>36.200000000000003</v>
      </c>
      <c r="C1864" s="30">
        <v>37.9</v>
      </c>
      <c r="D1864" s="30"/>
      <c r="E1864" s="30"/>
      <c r="F1864" s="30">
        <v>38.9</v>
      </c>
      <c r="G1864" s="30">
        <v>35.799999999999997</v>
      </c>
    </row>
    <row r="1865" spans="1:7" x14ac:dyDescent="0.25">
      <c r="A1865" s="29">
        <v>39471</v>
      </c>
      <c r="B1865" s="30">
        <v>30.5</v>
      </c>
      <c r="C1865" s="30">
        <v>31.9</v>
      </c>
      <c r="D1865" s="30"/>
      <c r="E1865" s="30"/>
      <c r="F1865" s="30">
        <v>28.2</v>
      </c>
      <c r="G1865" s="30">
        <v>29.8</v>
      </c>
    </row>
    <row r="1866" spans="1:7" x14ac:dyDescent="0.25">
      <c r="A1866" s="29">
        <v>39472</v>
      </c>
      <c r="B1866" s="30">
        <v>27.3</v>
      </c>
      <c r="C1866" s="30">
        <v>28.1</v>
      </c>
      <c r="D1866" s="30"/>
      <c r="E1866" s="30"/>
      <c r="F1866" s="30">
        <v>24.7</v>
      </c>
      <c r="G1866" s="30">
        <v>27</v>
      </c>
    </row>
    <row r="1867" spans="1:7" x14ac:dyDescent="0.25">
      <c r="A1867" s="29">
        <v>39473</v>
      </c>
      <c r="B1867" s="30">
        <v>28.5</v>
      </c>
      <c r="C1867" s="30">
        <v>29.8</v>
      </c>
      <c r="D1867" s="30"/>
      <c r="E1867" s="30"/>
      <c r="F1867" s="30">
        <v>27.5</v>
      </c>
      <c r="G1867" s="30">
        <v>28</v>
      </c>
    </row>
    <row r="1868" spans="1:7" x14ac:dyDescent="0.25">
      <c r="A1868" s="29">
        <v>39474</v>
      </c>
      <c r="B1868" s="30">
        <v>32.5</v>
      </c>
      <c r="C1868" s="30">
        <v>33.700000000000003</v>
      </c>
      <c r="D1868" s="30"/>
      <c r="E1868" s="30"/>
      <c r="F1868" s="30">
        <v>33.700000000000003</v>
      </c>
      <c r="G1868" s="30">
        <v>32.299999999999997</v>
      </c>
    </row>
    <row r="1869" spans="1:7" x14ac:dyDescent="0.25">
      <c r="A1869" s="29">
        <v>39475</v>
      </c>
      <c r="B1869" s="30">
        <v>34</v>
      </c>
      <c r="C1869" s="30">
        <v>34.9</v>
      </c>
      <c r="D1869" s="30"/>
      <c r="E1869" s="30"/>
      <c r="F1869" s="30">
        <v>32.1</v>
      </c>
      <c r="G1869" s="30">
        <v>34</v>
      </c>
    </row>
    <row r="1870" spans="1:7" x14ac:dyDescent="0.25">
      <c r="A1870" s="29">
        <v>39476</v>
      </c>
      <c r="B1870" s="30">
        <v>34.5</v>
      </c>
      <c r="C1870" s="30">
        <v>37.299999999999997</v>
      </c>
      <c r="D1870" s="30"/>
      <c r="E1870" s="30"/>
      <c r="F1870" s="30">
        <v>34.299999999999997</v>
      </c>
      <c r="G1870" s="30">
        <v>34.6</v>
      </c>
    </row>
    <row r="1871" spans="1:7" x14ac:dyDescent="0.25">
      <c r="A1871" s="29">
        <v>39477</v>
      </c>
      <c r="B1871" s="30">
        <v>42.5</v>
      </c>
      <c r="C1871" s="30">
        <v>43</v>
      </c>
      <c r="D1871" s="30"/>
      <c r="E1871" s="30"/>
      <c r="F1871" s="30">
        <v>45.9</v>
      </c>
      <c r="G1871" s="30">
        <v>42.3</v>
      </c>
    </row>
    <row r="1872" spans="1:7" x14ac:dyDescent="0.25">
      <c r="A1872" s="29">
        <v>39478</v>
      </c>
      <c r="B1872" s="30">
        <v>33.4</v>
      </c>
      <c r="C1872" s="30">
        <v>34.299999999999997</v>
      </c>
      <c r="D1872" s="30"/>
      <c r="E1872" s="30"/>
      <c r="F1872" s="30">
        <v>32.5</v>
      </c>
      <c r="G1872" s="30">
        <v>32.9</v>
      </c>
    </row>
    <row r="1873" spans="1:7" x14ac:dyDescent="0.25">
      <c r="A1873" s="29">
        <v>39479</v>
      </c>
      <c r="B1873" s="30">
        <v>34.6</v>
      </c>
      <c r="C1873" s="30">
        <v>35.9</v>
      </c>
      <c r="D1873" s="30"/>
      <c r="E1873" s="30"/>
      <c r="F1873" s="30">
        <v>40.200000000000003</v>
      </c>
      <c r="G1873" s="30">
        <v>35.4</v>
      </c>
    </row>
    <row r="1874" spans="1:7" x14ac:dyDescent="0.25">
      <c r="A1874" s="29">
        <v>39480</v>
      </c>
      <c r="B1874" s="30">
        <v>42.6</v>
      </c>
      <c r="C1874" s="30">
        <v>43.8</v>
      </c>
      <c r="D1874" s="30"/>
      <c r="E1874" s="30"/>
      <c r="F1874" s="30">
        <v>44.4</v>
      </c>
      <c r="G1874" s="30">
        <v>41.2</v>
      </c>
    </row>
    <row r="1875" spans="1:7" x14ac:dyDescent="0.25">
      <c r="A1875" s="29">
        <v>39481</v>
      </c>
      <c r="B1875" s="30">
        <v>36.4</v>
      </c>
      <c r="C1875" s="30">
        <v>40.200000000000003</v>
      </c>
      <c r="D1875" s="30"/>
      <c r="E1875" s="30"/>
      <c r="F1875" s="30">
        <v>36.700000000000003</v>
      </c>
      <c r="G1875" s="30">
        <v>38</v>
      </c>
    </row>
    <row r="1876" spans="1:7" x14ac:dyDescent="0.25">
      <c r="A1876" s="29">
        <v>39482</v>
      </c>
      <c r="B1876" s="30">
        <v>37.5</v>
      </c>
      <c r="C1876" s="30">
        <v>39.4</v>
      </c>
      <c r="D1876" s="30"/>
      <c r="E1876" s="30"/>
      <c r="F1876" s="30">
        <v>41.5</v>
      </c>
      <c r="G1876" s="30">
        <v>38.799999999999997</v>
      </c>
    </row>
    <row r="1877" spans="1:7" x14ac:dyDescent="0.25">
      <c r="A1877" s="29">
        <v>39483</v>
      </c>
      <c r="B1877" s="30">
        <v>45.1</v>
      </c>
      <c r="C1877" s="30">
        <v>44.7</v>
      </c>
      <c r="D1877" s="30"/>
      <c r="E1877" s="30"/>
      <c r="F1877" s="30">
        <v>52.7</v>
      </c>
      <c r="G1877" s="30">
        <v>44.6</v>
      </c>
    </row>
    <row r="1878" spans="1:7" x14ac:dyDescent="0.25">
      <c r="A1878" s="29">
        <v>39484</v>
      </c>
      <c r="B1878" s="30">
        <v>51.9</v>
      </c>
      <c r="C1878" s="30">
        <v>53.7</v>
      </c>
      <c r="D1878" s="30"/>
      <c r="E1878" s="30"/>
      <c r="F1878" s="30">
        <v>60</v>
      </c>
      <c r="G1878" s="30">
        <v>54.1</v>
      </c>
    </row>
    <row r="1879" spans="1:7" x14ac:dyDescent="0.25">
      <c r="A1879" s="29">
        <v>39485</v>
      </c>
      <c r="B1879" s="30">
        <v>45.4</v>
      </c>
      <c r="C1879" s="30">
        <v>44.1</v>
      </c>
      <c r="D1879" s="30"/>
      <c r="E1879" s="30"/>
      <c r="F1879" s="30">
        <v>53.4</v>
      </c>
      <c r="G1879" s="30">
        <v>46.3</v>
      </c>
    </row>
    <row r="1880" spans="1:7" x14ac:dyDescent="0.25">
      <c r="A1880" s="29">
        <v>39486</v>
      </c>
      <c r="B1880" s="30">
        <v>39.9</v>
      </c>
      <c r="C1880" s="30">
        <v>40</v>
      </c>
      <c r="D1880" s="30"/>
      <c r="E1880" s="30"/>
      <c r="F1880" s="30">
        <v>39</v>
      </c>
      <c r="G1880" s="30">
        <v>39.799999999999997</v>
      </c>
    </row>
    <row r="1881" spans="1:7" x14ac:dyDescent="0.25">
      <c r="A1881" s="29">
        <v>39487</v>
      </c>
      <c r="B1881" s="30">
        <v>38.799999999999997</v>
      </c>
      <c r="C1881" s="30">
        <v>40.799999999999997</v>
      </c>
      <c r="D1881" s="30"/>
      <c r="E1881" s="30"/>
      <c r="F1881" s="30">
        <v>38.299999999999997</v>
      </c>
      <c r="G1881" s="30">
        <v>39</v>
      </c>
    </row>
    <row r="1882" spans="1:7" x14ac:dyDescent="0.25">
      <c r="A1882" s="29">
        <v>39488</v>
      </c>
      <c r="B1882" s="30">
        <v>38.9</v>
      </c>
      <c r="C1882" s="30">
        <v>39.799999999999997</v>
      </c>
      <c r="D1882" s="30"/>
      <c r="E1882" s="30"/>
      <c r="F1882" s="30">
        <v>41.8</v>
      </c>
      <c r="G1882" s="30">
        <v>38</v>
      </c>
    </row>
    <row r="1883" spans="1:7" x14ac:dyDescent="0.25">
      <c r="A1883" s="29">
        <v>39489</v>
      </c>
      <c r="B1883" s="30">
        <v>17.7</v>
      </c>
      <c r="C1883" s="30">
        <v>18.5</v>
      </c>
      <c r="D1883" s="30"/>
      <c r="E1883" s="30"/>
      <c r="F1883" s="30">
        <v>19.5</v>
      </c>
      <c r="G1883" s="30">
        <v>17.7</v>
      </c>
    </row>
    <row r="1884" spans="1:7" x14ac:dyDescent="0.25">
      <c r="A1884" s="29">
        <v>39490</v>
      </c>
      <c r="B1884" s="30">
        <v>21.1</v>
      </c>
      <c r="C1884" s="30">
        <v>22.1</v>
      </c>
      <c r="D1884" s="30"/>
      <c r="E1884" s="30"/>
      <c r="F1884" s="30">
        <v>23.8</v>
      </c>
      <c r="G1884" s="30">
        <v>20.399999999999999</v>
      </c>
    </row>
    <row r="1885" spans="1:7" x14ac:dyDescent="0.25">
      <c r="A1885" s="29">
        <v>39491</v>
      </c>
      <c r="B1885" s="30">
        <v>40.4</v>
      </c>
      <c r="C1885" s="30">
        <v>40.1</v>
      </c>
      <c r="D1885" s="30"/>
      <c r="E1885" s="30"/>
      <c r="F1885" s="30">
        <v>50.3</v>
      </c>
      <c r="G1885" s="30">
        <v>35.1</v>
      </c>
    </row>
    <row r="1886" spans="1:7" x14ac:dyDescent="0.25">
      <c r="A1886" s="29">
        <v>39492</v>
      </c>
      <c r="B1886" s="30">
        <v>36.4</v>
      </c>
      <c r="C1886" s="30">
        <v>36.200000000000003</v>
      </c>
      <c r="D1886" s="30"/>
      <c r="E1886" s="30"/>
      <c r="F1886" s="30">
        <v>36.799999999999997</v>
      </c>
      <c r="G1886" s="30">
        <v>35.799999999999997</v>
      </c>
    </row>
    <row r="1887" spans="1:7" x14ac:dyDescent="0.25">
      <c r="A1887" s="29">
        <v>39493</v>
      </c>
      <c r="B1887" s="30">
        <v>37.700000000000003</v>
      </c>
      <c r="C1887" s="30">
        <v>39.299999999999997</v>
      </c>
      <c r="D1887" s="30"/>
      <c r="E1887" s="30"/>
      <c r="F1887" s="30">
        <v>41.3</v>
      </c>
      <c r="G1887" s="30">
        <v>37.200000000000003</v>
      </c>
    </row>
    <row r="1888" spans="1:7" x14ac:dyDescent="0.25">
      <c r="A1888" s="29">
        <v>39494</v>
      </c>
      <c r="B1888" s="30">
        <v>31.5</v>
      </c>
      <c r="C1888" s="30">
        <v>31.5</v>
      </c>
      <c r="D1888" s="30"/>
      <c r="E1888" s="30"/>
      <c r="F1888" s="30">
        <v>37.5</v>
      </c>
      <c r="G1888" s="30">
        <v>31.3</v>
      </c>
    </row>
    <row r="1889" spans="1:7" x14ac:dyDescent="0.25">
      <c r="A1889" s="29">
        <v>39495</v>
      </c>
      <c r="B1889" s="30">
        <v>34.200000000000003</v>
      </c>
      <c r="C1889" s="30">
        <v>35.700000000000003</v>
      </c>
      <c r="D1889" s="30"/>
      <c r="E1889" s="30"/>
      <c r="F1889" s="30">
        <v>35.5</v>
      </c>
      <c r="G1889" s="30">
        <v>34.1</v>
      </c>
    </row>
    <row r="1890" spans="1:7" x14ac:dyDescent="0.25">
      <c r="A1890" s="29">
        <v>39496</v>
      </c>
      <c r="B1890" s="30">
        <v>49</v>
      </c>
      <c r="C1890" s="30">
        <v>54.2</v>
      </c>
      <c r="D1890" s="30"/>
      <c r="E1890" s="30"/>
      <c r="F1890" s="30">
        <v>55.1</v>
      </c>
      <c r="G1890" s="30">
        <v>57.1</v>
      </c>
    </row>
    <row r="1891" spans="1:7" x14ac:dyDescent="0.25">
      <c r="A1891" s="29">
        <v>39497</v>
      </c>
      <c r="B1891" s="30">
        <v>40.299999999999997</v>
      </c>
      <c r="C1891" s="30">
        <v>41.3</v>
      </c>
      <c r="D1891" s="30"/>
      <c r="E1891" s="30"/>
      <c r="F1891" s="30">
        <v>41</v>
      </c>
      <c r="G1891" s="30">
        <v>39.5</v>
      </c>
    </row>
    <row r="1892" spans="1:7" x14ac:dyDescent="0.25">
      <c r="A1892" s="29">
        <v>39498</v>
      </c>
      <c r="B1892" s="30">
        <v>29.7</v>
      </c>
      <c r="C1892" s="30">
        <v>29.9</v>
      </c>
      <c r="D1892" s="30"/>
      <c r="E1892" s="30"/>
      <c r="F1892" s="30">
        <v>31.3</v>
      </c>
      <c r="G1892" s="30">
        <v>29.4</v>
      </c>
    </row>
    <row r="1893" spans="1:7" x14ac:dyDescent="0.25">
      <c r="A1893" s="29">
        <v>39499</v>
      </c>
      <c r="B1893" s="30">
        <v>27.7</v>
      </c>
      <c r="C1893" s="30">
        <v>28.3</v>
      </c>
      <c r="D1893" s="30"/>
      <c r="E1893" s="30"/>
      <c r="F1893" s="30">
        <v>26</v>
      </c>
      <c r="G1893" s="30">
        <v>27.6</v>
      </c>
    </row>
    <row r="1894" spans="1:7" x14ac:dyDescent="0.25">
      <c r="A1894" s="29">
        <v>39500</v>
      </c>
      <c r="B1894" s="30">
        <v>30.4</v>
      </c>
      <c r="C1894" s="30">
        <v>30.5</v>
      </c>
      <c r="D1894" s="30"/>
      <c r="E1894" s="30"/>
      <c r="F1894" s="30">
        <v>32.200000000000003</v>
      </c>
      <c r="G1894" s="30">
        <v>29.8</v>
      </c>
    </row>
    <row r="1895" spans="1:7" x14ac:dyDescent="0.25">
      <c r="A1895" s="29">
        <v>39501</v>
      </c>
      <c r="B1895" s="30">
        <v>32.200000000000003</v>
      </c>
      <c r="C1895" s="30">
        <v>33</v>
      </c>
      <c r="D1895" s="30"/>
      <c r="E1895" s="30"/>
      <c r="F1895" s="30">
        <v>35.799999999999997</v>
      </c>
      <c r="G1895" s="30">
        <v>32.299999999999997</v>
      </c>
    </row>
    <row r="1896" spans="1:7" x14ac:dyDescent="0.25">
      <c r="A1896" s="29">
        <v>39502</v>
      </c>
      <c r="B1896" s="30">
        <v>29.9</v>
      </c>
      <c r="C1896" s="30">
        <v>32.4</v>
      </c>
      <c r="D1896" s="30"/>
      <c r="E1896" s="30"/>
      <c r="F1896" s="30">
        <v>32.6</v>
      </c>
      <c r="G1896" s="30">
        <v>30.4</v>
      </c>
    </row>
    <row r="1897" spans="1:7" x14ac:dyDescent="0.25">
      <c r="A1897" s="29">
        <v>39503</v>
      </c>
      <c r="B1897" s="30">
        <v>35.6</v>
      </c>
      <c r="C1897" s="30">
        <v>39</v>
      </c>
      <c r="D1897" s="30"/>
      <c r="E1897" s="30"/>
      <c r="F1897" s="30">
        <v>39.4</v>
      </c>
      <c r="G1897" s="30">
        <v>35.4</v>
      </c>
    </row>
    <row r="1898" spans="1:7" x14ac:dyDescent="0.25">
      <c r="A1898" s="29">
        <v>39504</v>
      </c>
      <c r="B1898" s="30">
        <v>38.799999999999997</v>
      </c>
      <c r="C1898" s="30">
        <v>42.9</v>
      </c>
      <c r="D1898" s="30"/>
      <c r="E1898" s="30"/>
      <c r="F1898" s="30">
        <v>42.4</v>
      </c>
      <c r="G1898" s="30">
        <v>39.299999999999997</v>
      </c>
    </row>
    <row r="1899" spans="1:7" x14ac:dyDescent="0.25">
      <c r="A1899" s="29">
        <v>39505</v>
      </c>
      <c r="B1899" s="30">
        <v>40.9</v>
      </c>
      <c r="C1899" s="30">
        <v>40.9</v>
      </c>
      <c r="D1899" s="30"/>
      <c r="E1899" s="30"/>
      <c r="F1899" s="30">
        <v>43.6</v>
      </c>
      <c r="G1899" s="30">
        <v>40.299999999999997</v>
      </c>
    </row>
    <row r="1900" spans="1:7" x14ac:dyDescent="0.25">
      <c r="A1900" s="29">
        <v>39506</v>
      </c>
      <c r="B1900" s="30">
        <v>24.4</v>
      </c>
      <c r="C1900" s="30">
        <v>24.6</v>
      </c>
      <c r="D1900" s="30"/>
      <c r="E1900" s="30"/>
      <c r="F1900" s="30">
        <v>27.9</v>
      </c>
      <c r="G1900" s="30">
        <v>24.6</v>
      </c>
    </row>
    <row r="1901" spans="1:7" x14ac:dyDescent="0.25">
      <c r="A1901" s="29">
        <v>39507</v>
      </c>
      <c r="B1901" s="30">
        <v>22.6</v>
      </c>
      <c r="C1901" s="30">
        <v>24</v>
      </c>
      <c r="D1901" s="30"/>
      <c r="E1901" s="30"/>
      <c r="F1901" s="30">
        <v>24.9</v>
      </c>
      <c r="G1901" s="30">
        <v>23.4</v>
      </c>
    </row>
    <row r="1902" spans="1:7" x14ac:dyDescent="0.25">
      <c r="A1902" s="29">
        <v>39508</v>
      </c>
      <c r="B1902" s="30">
        <v>39.4</v>
      </c>
      <c r="C1902" s="30">
        <v>39.200000000000003</v>
      </c>
      <c r="D1902" s="30"/>
      <c r="E1902" s="30"/>
      <c r="F1902" s="30">
        <v>43.6</v>
      </c>
      <c r="G1902" s="30">
        <v>38.5</v>
      </c>
    </row>
    <row r="1903" spans="1:7" x14ac:dyDescent="0.25">
      <c r="A1903" s="29">
        <v>39509</v>
      </c>
      <c r="B1903" s="30">
        <v>35.6</v>
      </c>
      <c r="C1903" s="30">
        <v>35.799999999999997</v>
      </c>
      <c r="D1903" s="30"/>
      <c r="E1903" s="30"/>
      <c r="F1903" s="30">
        <v>37.6</v>
      </c>
      <c r="G1903" s="30">
        <v>35.6</v>
      </c>
    </row>
    <row r="1904" spans="1:7" x14ac:dyDescent="0.25">
      <c r="A1904" s="29">
        <v>39510</v>
      </c>
      <c r="B1904" s="30">
        <v>39.299999999999997</v>
      </c>
      <c r="C1904" s="30">
        <v>43.5</v>
      </c>
      <c r="D1904" s="30"/>
      <c r="E1904" s="30"/>
      <c r="F1904" s="30">
        <v>40.200000000000003</v>
      </c>
      <c r="G1904" s="30">
        <v>45.1</v>
      </c>
    </row>
    <row r="1905" spans="1:7" x14ac:dyDescent="0.25">
      <c r="A1905" s="29">
        <v>39511</v>
      </c>
      <c r="B1905" s="30">
        <v>46.9</v>
      </c>
      <c r="C1905" s="30">
        <v>51</v>
      </c>
      <c r="D1905" s="30"/>
      <c r="E1905" s="30"/>
      <c r="F1905" s="30">
        <v>54.5</v>
      </c>
      <c r="G1905" s="30">
        <v>54.3</v>
      </c>
    </row>
    <row r="1906" spans="1:7" x14ac:dyDescent="0.25">
      <c r="A1906" s="29">
        <v>39512</v>
      </c>
      <c r="B1906" s="30">
        <v>49.4</v>
      </c>
      <c r="C1906" s="30">
        <v>49.9</v>
      </c>
      <c r="D1906" s="30"/>
      <c r="E1906" s="30"/>
      <c r="F1906" s="30">
        <v>55.6</v>
      </c>
      <c r="G1906" s="30">
        <v>49</v>
      </c>
    </row>
    <row r="1907" spans="1:7" x14ac:dyDescent="0.25">
      <c r="A1907" s="29">
        <v>39513</v>
      </c>
      <c r="B1907" s="30">
        <v>39.6</v>
      </c>
      <c r="C1907" s="30">
        <v>41.1</v>
      </c>
      <c r="D1907" s="30"/>
      <c r="E1907" s="30"/>
      <c r="F1907" s="30">
        <v>40.5</v>
      </c>
      <c r="G1907" s="30">
        <v>39.6</v>
      </c>
    </row>
    <row r="1908" spans="1:7" x14ac:dyDescent="0.25">
      <c r="A1908" s="29">
        <v>39514</v>
      </c>
      <c r="B1908" s="30">
        <v>38.9</v>
      </c>
      <c r="C1908" s="30">
        <v>39.6</v>
      </c>
      <c r="D1908" s="30"/>
      <c r="E1908" s="30"/>
      <c r="F1908" s="30">
        <v>39.700000000000003</v>
      </c>
      <c r="G1908" s="30">
        <v>40.4</v>
      </c>
    </row>
    <row r="1909" spans="1:7" x14ac:dyDescent="0.25">
      <c r="A1909" s="29">
        <v>39515</v>
      </c>
      <c r="B1909" s="30">
        <v>48.3</v>
      </c>
      <c r="C1909" s="30">
        <v>45.3</v>
      </c>
      <c r="D1909" s="30"/>
      <c r="E1909" s="30"/>
      <c r="F1909" s="30">
        <v>56.4</v>
      </c>
      <c r="G1909" s="30">
        <v>47.6</v>
      </c>
    </row>
    <row r="1910" spans="1:7" x14ac:dyDescent="0.25">
      <c r="A1910" s="29">
        <v>39516</v>
      </c>
      <c r="B1910" s="30">
        <v>37.700000000000003</v>
      </c>
      <c r="C1910" s="30">
        <v>38.6</v>
      </c>
      <c r="D1910" s="30"/>
      <c r="E1910" s="30"/>
      <c r="F1910" s="30">
        <v>38.299999999999997</v>
      </c>
      <c r="G1910" s="30">
        <v>38</v>
      </c>
    </row>
    <row r="1911" spans="1:7" x14ac:dyDescent="0.25">
      <c r="A1911" s="29">
        <v>39517</v>
      </c>
      <c r="B1911" s="30">
        <v>35.4</v>
      </c>
      <c r="C1911" s="30">
        <v>36.299999999999997</v>
      </c>
      <c r="D1911" s="30"/>
      <c r="E1911" s="30"/>
      <c r="F1911" s="30">
        <v>37.299999999999997</v>
      </c>
      <c r="G1911" s="30">
        <v>36</v>
      </c>
    </row>
    <row r="1912" spans="1:7" x14ac:dyDescent="0.25">
      <c r="A1912" s="29">
        <v>39518</v>
      </c>
      <c r="B1912" s="30">
        <v>38.700000000000003</v>
      </c>
      <c r="C1912" s="30">
        <v>40.4</v>
      </c>
      <c r="D1912" s="30"/>
      <c r="E1912" s="30"/>
      <c r="F1912" s="30">
        <v>43.1</v>
      </c>
      <c r="G1912" s="30">
        <v>40.1</v>
      </c>
    </row>
    <row r="1913" spans="1:7" x14ac:dyDescent="0.25">
      <c r="A1913" s="29">
        <v>39519</v>
      </c>
      <c r="B1913" s="30">
        <v>42.7</v>
      </c>
      <c r="C1913" s="30">
        <v>43.5</v>
      </c>
      <c r="D1913" s="30"/>
      <c r="E1913" s="30"/>
      <c r="F1913" s="30">
        <v>45.7</v>
      </c>
      <c r="G1913" s="30">
        <v>42.9</v>
      </c>
    </row>
    <row r="1914" spans="1:7" x14ac:dyDescent="0.25">
      <c r="A1914" s="29">
        <v>39520</v>
      </c>
      <c r="B1914" s="30">
        <v>37</v>
      </c>
      <c r="C1914" s="30">
        <v>38.5</v>
      </c>
      <c r="D1914" s="30"/>
      <c r="E1914" s="30"/>
      <c r="F1914" s="30">
        <v>37.700000000000003</v>
      </c>
      <c r="G1914" s="30">
        <v>37.6</v>
      </c>
    </row>
    <row r="1915" spans="1:7" x14ac:dyDescent="0.25">
      <c r="A1915" s="29">
        <v>39521</v>
      </c>
      <c r="B1915" s="30">
        <v>43.8</v>
      </c>
      <c r="C1915" s="30">
        <v>43.7</v>
      </c>
      <c r="D1915" s="30"/>
      <c r="E1915" s="30"/>
      <c r="F1915" s="30">
        <v>46</v>
      </c>
      <c r="G1915" s="30">
        <v>44.7</v>
      </c>
    </row>
    <row r="1916" spans="1:7" x14ac:dyDescent="0.25">
      <c r="A1916" s="29">
        <v>39522</v>
      </c>
      <c r="B1916" s="30">
        <v>46.6</v>
      </c>
      <c r="C1916" s="30">
        <v>45.5</v>
      </c>
      <c r="D1916" s="30"/>
      <c r="E1916" s="30"/>
      <c r="F1916" s="30">
        <v>48.9</v>
      </c>
      <c r="G1916" s="30">
        <v>47.7</v>
      </c>
    </row>
    <row r="1917" spans="1:7" x14ac:dyDescent="0.25">
      <c r="A1917" s="29">
        <v>39523</v>
      </c>
      <c r="B1917" s="30">
        <v>42.2</v>
      </c>
      <c r="C1917" s="30">
        <v>43.2</v>
      </c>
      <c r="D1917" s="30"/>
      <c r="E1917" s="30"/>
      <c r="F1917" s="30">
        <v>44.9</v>
      </c>
      <c r="G1917" s="30">
        <v>43.2</v>
      </c>
    </row>
    <row r="1918" spans="1:7" x14ac:dyDescent="0.25">
      <c r="A1918" s="29">
        <v>39524</v>
      </c>
      <c r="B1918" s="30">
        <v>38.9</v>
      </c>
      <c r="C1918" s="30">
        <v>39.299999999999997</v>
      </c>
      <c r="D1918" s="30"/>
      <c r="E1918" s="30"/>
      <c r="F1918" s="30">
        <v>41.2</v>
      </c>
      <c r="G1918" s="30">
        <v>39.6</v>
      </c>
    </row>
    <row r="1919" spans="1:7" x14ac:dyDescent="0.25">
      <c r="A1919" s="29">
        <v>39525</v>
      </c>
      <c r="B1919" s="30">
        <v>38.5</v>
      </c>
      <c r="C1919" s="30">
        <v>40.1</v>
      </c>
      <c r="D1919" s="30"/>
      <c r="E1919" s="30"/>
      <c r="F1919" s="30">
        <v>39.1</v>
      </c>
      <c r="G1919" s="30">
        <v>39.1</v>
      </c>
    </row>
    <row r="1920" spans="1:7" x14ac:dyDescent="0.25">
      <c r="A1920" s="29">
        <v>39526</v>
      </c>
      <c r="B1920" s="30">
        <v>43.6</v>
      </c>
      <c r="C1920" s="30">
        <v>42.7</v>
      </c>
      <c r="D1920" s="30"/>
      <c r="E1920" s="30"/>
      <c r="F1920" s="30">
        <v>50.1</v>
      </c>
      <c r="G1920" s="30">
        <v>44.6</v>
      </c>
    </row>
    <row r="1921" spans="1:7" x14ac:dyDescent="0.25">
      <c r="A1921" s="29">
        <v>39527</v>
      </c>
      <c r="B1921" s="30">
        <v>48</v>
      </c>
      <c r="C1921" s="30">
        <v>48.1</v>
      </c>
      <c r="D1921" s="30"/>
      <c r="E1921" s="30"/>
      <c r="F1921" s="30">
        <v>53.5</v>
      </c>
      <c r="G1921" s="30">
        <v>49.2</v>
      </c>
    </row>
    <row r="1922" spans="1:7" x14ac:dyDescent="0.25">
      <c r="A1922" s="29">
        <v>39528</v>
      </c>
      <c r="B1922" s="30">
        <v>39.299999999999997</v>
      </c>
      <c r="C1922" s="30">
        <v>39.5</v>
      </c>
      <c r="D1922" s="30"/>
      <c r="E1922" s="30"/>
      <c r="F1922" s="30">
        <v>42.3</v>
      </c>
      <c r="G1922" s="30">
        <v>40</v>
      </c>
    </row>
    <row r="1923" spans="1:7" x14ac:dyDescent="0.25">
      <c r="A1923" s="29">
        <v>39529</v>
      </c>
      <c r="B1923" s="30">
        <v>41.5</v>
      </c>
      <c r="C1923" s="30">
        <v>41.2</v>
      </c>
      <c r="D1923" s="30"/>
      <c r="E1923" s="30"/>
      <c r="F1923" s="30">
        <v>41.9</v>
      </c>
      <c r="G1923" s="30">
        <v>42</v>
      </c>
    </row>
    <row r="1924" spans="1:7" x14ac:dyDescent="0.25">
      <c r="A1924" s="29">
        <v>39530</v>
      </c>
      <c r="B1924" s="30">
        <v>39</v>
      </c>
      <c r="C1924" s="30">
        <v>39.6</v>
      </c>
      <c r="D1924" s="30"/>
      <c r="E1924" s="30"/>
      <c r="F1924" s="30">
        <v>37.5</v>
      </c>
      <c r="G1924" s="30">
        <v>39.4</v>
      </c>
    </row>
    <row r="1925" spans="1:7" x14ac:dyDescent="0.25">
      <c r="A1925" s="29">
        <v>39531</v>
      </c>
      <c r="B1925" s="30">
        <v>38.200000000000003</v>
      </c>
      <c r="C1925" s="30">
        <v>40.299999999999997</v>
      </c>
      <c r="D1925" s="30"/>
      <c r="E1925" s="30"/>
      <c r="F1925" s="30">
        <v>36.9</v>
      </c>
      <c r="G1925" s="30">
        <v>39.4</v>
      </c>
    </row>
    <row r="1926" spans="1:7" x14ac:dyDescent="0.25">
      <c r="A1926" s="29">
        <v>39532</v>
      </c>
      <c r="B1926" s="30">
        <v>37.799999999999997</v>
      </c>
      <c r="C1926" s="30">
        <v>39.5</v>
      </c>
      <c r="D1926" s="30"/>
      <c r="E1926" s="30"/>
      <c r="F1926" s="30">
        <v>36.5</v>
      </c>
      <c r="G1926" s="30">
        <v>38.9</v>
      </c>
    </row>
    <row r="1927" spans="1:7" x14ac:dyDescent="0.25">
      <c r="A1927" s="29">
        <v>39533</v>
      </c>
      <c r="B1927" s="30">
        <v>49.1</v>
      </c>
      <c r="C1927" s="30">
        <v>49.8</v>
      </c>
      <c r="D1927" s="30"/>
      <c r="E1927" s="30"/>
      <c r="F1927" s="30">
        <v>53.1</v>
      </c>
      <c r="G1927" s="30">
        <v>49.9</v>
      </c>
    </row>
    <row r="1928" spans="1:7" x14ac:dyDescent="0.25">
      <c r="A1928" s="29">
        <v>39534</v>
      </c>
      <c r="B1928" s="30">
        <v>46.5</v>
      </c>
      <c r="C1928" s="30">
        <v>48.5</v>
      </c>
      <c r="D1928" s="30"/>
      <c r="E1928" s="30"/>
      <c r="F1928" s="30">
        <v>48.1</v>
      </c>
      <c r="G1928" s="30">
        <v>48.4</v>
      </c>
    </row>
    <row r="1929" spans="1:7" x14ac:dyDescent="0.25">
      <c r="A1929" s="29">
        <v>39535</v>
      </c>
      <c r="B1929" s="30">
        <v>44.8</v>
      </c>
      <c r="C1929" s="30">
        <v>44.7</v>
      </c>
      <c r="D1929" s="30"/>
      <c r="E1929" s="30"/>
      <c r="F1929" s="30">
        <v>56.6</v>
      </c>
      <c r="G1929" s="30">
        <v>45.4</v>
      </c>
    </row>
    <row r="1930" spans="1:7" x14ac:dyDescent="0.25">
      <c r="A1930" s="29">
        <v>39536</v>
      </c>
      <c r="B1930" s="30">
        <v>41.1</v>
      </c>
      <c r="C1930" s="30">
        <v>40.700000000000003</v>
      </c>
      <c r="D1930" s="30"/>
      <c r="E1930" s="30"/>
      <c r="F1930" s="30">
        <v>43.3</v>
      </c>
      <c r="G1930" s="30">
        <v>40.700000000000003</v>
      </c>
    </row>
    <row r="1931" spans="1:7" x14ac:dyDescent="0.25">
      <c r="A1931" s="29">
        <v>39537</v>
      </c>
      <c r="B1931" s="30">
        <v>35.4</v>
      </c>
      <c r="C1931" s="30">
        <v>36.9</v>
      </c>
      <c r="D1931" s="30"/>
      <c r="E1931" s="30"/>
      <c r="F1931" s="30">
        <v>36.700000000000003</v>
      </c>
      <c r="G1931" s="30">
        <v>36.299999999999997</v>
      </c>
    </row>
    <row r="1932" spans="1:7" x14ac:dyDescent="0.25">
      <c r="A1932" s="29">
        <v>39538</v>
      </c>
      <c r="B1932" s="30">
        <v>42.5</v>
      </c>
      <c r="C1932" s="30">
        <v>43.7</v>
      </c>
      <c r="D1932" s="30"/>
      <c r="E1932" s="30"/>
      <c r="F1932" s="30">
        <v>47.6</v>
      </c>
      <c r="G1932" s="30">
        <v>43.6</v>
      </c>
    </row>
    <row r="1933" spans="1:7" x14ac:dyDescent="0.25">
      <c r="A1933" s="29">
        <v>39539</v>
      </c>
      <c r="B1933" s="30">
        <v>51.2</v>
      </c>
      <c r="C1933" s="30">
        <v>57.1</v>
      </c>
      <c r="D1933" s="30"/>
      <c r="E1933" s="30"/>
      <c r="F1933" s="30">
        <v>57.7</v>
      </c>
      <c r="G1933" s="30">
        <v>60.6</v>
      </c>
    </row>
    <row r="1934" spans="1:7" x14ac:dyDescent="0.25">
      <c r="A1934" s="29">
        <v>39540</v>
      </c>
      <c r="B1934" s="30">
        <v>48.5</v>
      </c>
      <c r="C1934" s="30">
        <v>49</v>
      </c>
      <c r="D1934" s="30"/>
      <c r="E1934" s="30"/>
      <c r="F1934" s="30">
        <v>53.2</v>
      </c>
      <c r="G1934" s="30">
        <v>50.5</v>
      </c>
    </row>
    <row r="1935" spans="1:7" x14ac:dyDescent="0.25">
      <c r="A1935" s="29">
        <v>39541</v>
      </c>
      <c r="B1935" s="30">
        <v>40</v>
      </c>
      <c r="C1935" s="30">
        <v>42.3</v>
      </c>
      <c r="D1935" s="30"/>
      <c r="E1935" s="30"/>
      <c r="F1935" s="30">
        <v>39.700000000000003</v>
      </c>
      <c r="G1935" s="30">
        <v>41.5</v>
      </c>
    </row>
    <row r="1936" spans="1:7" x14ac:dyDescent="0.25">
      <c r="A1936" s="29">
        <v>39542</v>
      </c>
      <c r="B1936" s="30">
        <v>47.1</v>
      </c>
      <c r="C1936" s="30">
        <v>45.1</v>
      </c>
      <c r="D1936" s="30"/>
      <c r="E1936" s="30"/>
      <c r="F1936" s="30">
        <v>51.7</v>
      </c>
      <c r="G1936" s="30">
        <v>46.2</v>
      </c>
    </row>
    <row r="1937" spans="1:7" x14ac:dyDescent="0.25">
      <c r="A1937" s="29">
        <v>39543</v>
      </c>
      <c r="B1937" s="30">
        <v>53.3</v>
      </c>
      <c r="C1937" s="30">
        <v>53.9</v>
      </c>
      <c r="D1937" s="30"/>
      <c r="E1937" s="30"/>
      <c r="F1937" s="30">
        <v>59.4</v>
      </c>
      <c r="G1937" s="30">
        <v>53.4</v>
      </c>
    </row>
    <row r="1938" spans="1:7" x14ac:dyDescent="0.25">
      <c r="A1938" s="29">
        <v>39544</v>
      </c>
      <c r="B1938" s="30">
        <v>48.7</v>
      </c>
      <c r="C1938" s="30">
        <v>48.4</v>
      </c>
      <c r="D1938" s="30"/>
      <c r="E1938" s="30"/>
      <c r="F1938" s="30">
        <v>47.5</v>
      </c>
      <c r="G1938" s="30">
        <v>49.1</v>
      </c>
    </row>
    <row r="1939" spans="1:7" x14ac:dyDescent="0.25">
      <c r="A1939" s="29">
        <v>39545</v>
      </c>
      <c r="B1939" s="30">
        <v>43.9</v>
      </c>
      <c r="C1939" s="30">
        <v>44.4</v>
      </c>
      <c r="D1939" s="30"/>
      <c r="E1939" s="30"/>
      <c r="F1939" s="30">
        <v>43.8</v>
      </c>
      <c r="G1939" s="30">
        <v>44.4</v>
      </c>
    </row>
    <row r="1940" spans="1:7" x14ac:dyDescent="0.25">
      <c r="A1940" s="29">
        <v>39546</v>
      </c>
      <c r="B1940" s="30">
        <v>45.8</v>
      </c>
      <c r="C1940" s="30">
        <v>46.1</v>
      </c>
      <c r="D1940" s="30"/>
      <c r="E1940" s="30"/>
      <c r="F1940" s="30">
        <v>44.6</v>
      </c>
      <c r="G1940" s="30">
        <v>46.9</v>
      </c>
    </row>
    <row r="1941" spans="1:7" x14ac:dyDescent="0.25">
      <c r="A1941" s="29">
        <v>39547</v>
      </c>
      <c r="B1941" s="30">
        <v>43.7</v>
      </c>
      <c r="C1941" s="30">
        <v>47</v>
      </c>
      <c r="D1941" s="30"/>
      <c r="E1941" s="30"/>
      <c r="F1941" s="30">
        <v>45.9</v>
      </c>
      <c r="G1941" s="30">
        <v>46.4</v>
      </c>
    </row>
    <row r="1942" spans="1:7" x14ac:dyDescent="0.25">
      <c r="A1942" s="29">
        <v>39548</v>
      </c>
      <c r="B1942" s="30">
        <v>53.5</v>
      </c>
      <c r="C1942" s="30">
        <v>57.5</v>
      </c>
      <c r="D1942" s="30"/>
      <c r="E1942" s="30"/>
      <c r="F1942" s="30">
        <v>55.1</v>
      </c>
      <c r="G1942" s="30">
        <v>57.3</v>
      </c>
    </row>
    <row r="1943" spans="1:7" x14ac:dyDescent="0.25">
      <c r="A1943" s="29">
        <v>39549</v>
      </c>
      <c r="B1943" s="30">
        <v>52.7</v>
      </c>
      <c r="C1943" s="30">
        <v>55.4</v>
      </c>
      <c r="D1943" s="30"/>
      <c r="E1943" s="30"/>
      <c r="F1943" s="30">
        <v>57.4</v>
      </c>
      <c r="G1943" s="30">
        <v>57.7</v>
      </c>
    </row>
    <row r="1944" spans="1:7" x14ac:dyDescent="0.25">
      <c r="A1944" s="29">
        <v>39550</v>
      </c>
      <c r="B1944" s="30">
        <v>54.6</v>
      </c>
      <c r="C1944" s="30">
        <v>57.6</v>
      </c>
      <c r="D1944" s="30"/>
      <c r="E1944" s="30"/>
      <c r="F1944" s="30">
        <v>63.7</v>
      </c>
      <c r="G1944" s="30">
        <v>60.2</v>
      </c>
    </row>
    <row r="1945" spans="1:7" x14ac:dyDescent="0.25">
      <c r="A1945" s="29">
        <v>39551</v>
      </c>
      <c r="B1945" s="30">
        <v>54.1</v>
      </c>
      <c r="C1945" s="30">
        <v>54.9</v>
      </c>
      <c r="D1945" s="30"/>
      <c r="E1945" s="30"/>
      <c r="F1945" s="30">
        <v>56.6</v>
      </c>
      <c r="G1945" s="30">
        <v>55.9</v>
      </c>
    </row>
    <row r="1946" spans="1:7" x14ac:dyDescent="0.25">
      <c r="A1946" s="29">
        <v>39552</v>
      </c>
      <c r="B1946" s="30">
        <v>46.5</v>
      </c>
      <c r="C1946" s="30">
        <v>47.6</v>
      </c>
      <c r="D1946" s="30"/>
      <c r="E1946" s="30"/>
      <c r="F1946" s="30">
        <v>47.4</v>
      </c>
      <c r="G1946" s="30">
        <v>47.7</v>
      </c>
    </row>
    <row r="1947" spans="1:7" x14ac:dyDescent="0.25">
      <c r="A1947" s="29">
        <v>39553</v>
      </c>
      <c r="B1947" s="30">
        <v>48.2</v>
      </c>
      <c r="C1947" s="30">
        <v>50.6</v>
      </c>
      <c r="D1947" s="30"/>
      <c r="E1947" s="30"/>
      <c r="F1947" s="30">
        <v>46.3</v>
      </c>
      <c r="G1947" s="30">
        <v>50.3</v>
      </c>
    </row>
    <row r="1948" spans="1:7" x14ac:dyDescent="0.25">
      <c r="A1948" s="29">
        <v>39554</v>
      </c>
      <c r="B1948" s="30">
        <v>50.7</v>
      </c>
      <c r="C1948" s="30">
        <v>54.2</v>
      </c>
      <c r="D1948" s="30"/>
      <c r="E1948" s="30"/>
      <c r="F1948" s="30">
        <v>48</v>
      </c>
      <c r="G1948" s="30">
        <v>52.9</v>
      </c>
    </row>
    <row r="1949" spans="1:7" x14ac:dyDescent="0.25">
      <c r="A1949" s="29">
        <v>39555</v>
      </c>
      <c r="B1949" s="30">
        <v>50.8</v>
      </c>
      <c r="C1949" s="30">
        <v>56.1</v>
      </c>
      <c r="D1949" s="30"/>
      <c r="E1949" s="30"/>
      <c r="F1949" s="30">
        <v>51.4</v>
      </c>
      <c r="G1949" s="30">
        <v>57</v>
      </c>
    </row>
    <row r="1950" spans="1:7" x14ac:dyDescent="0.25">
      <c r="A1950" s="29">
        <v>39556</v>
      </c>
      <c r="B1950" s="30">
        <v>56.4</v>
      </c>
      <c r="C1950" s="30">
        <v>62.5</v>
      </c>
      <c r="D1950" s="30"/>
      <c r="E1950" s="30"/>
      <c r="F1950" s="30">
        <v>58.1</v>
      </c>
      <c r="G1950" s="30">
        <v>63.4</v>
      </c>
    </row>
    <row r="1951" spans="1:7" x14ac:dyDescent="0.25">
      <c r="A1951" s="29">
        <v>39557</v>
      </c>
      <c r="B1951" s="30">
        <v>58.1</v>
      </c>
      <c r="C1951" s="30">
        <v>60.4</v>
      </c>
      <c r="D1951" s="30"/>
      <c r="E1951" s="30"/>
      <c r="F1951" s="30">
        <v>60.6</v>
      </c>
      <c r="G1951" s="30">
        <v>63.1</v>
      </c>
    </row>
    <row r="1952" spans="1:7" x14ac:dyDescent="0.25">
      <c r="A1952" s="29">
        <v>39558</v>
      </c>
      <c r="B1952" s="30">
        <v>56.4</v>
      </c>
      <c r="C1952" s="30">
        <v>52.9</v>
      </c>
      <c r="D1952" s="30"/>
      <c r="E1952" s="30"/>
      <c r="F1952" s="30">
        <v>62.4</v>
      </c>
      <c r="G1952" s="30">
        <v>57.4</v>
      </c>
    </row>
    <row r="1953" spans="1:7" x14ac:dyDescent="0.25">
      <c r="A1953" s="29">
        <v>39559</v>
      </c>
      <c r="B1953" s="30">
        <v>55.8</v>
      </c>
      <c r="C1953" s="30">
        <v>51.2</v>
      </c>
      <c r="D1953" s="30"/>
      <c r="E1953" s="30"/>
      <c r="F1953" s="30">
        <v>57.1</v>
      </c>
      <c r="G1953" s="30">
        <v>55.6</v>
      </c>
    </row>
    <row r="1954" spans="1:7" x14ac:dyDescent="0.25">
      <c r="A1954" s="29">
        <v>39560</v>
      </c>
      <c r="B1954" s="30">
        <v>56.2</v>
      </c>
      <c r="C1954" s="30">
        <v>53.9</v>
      </c>
      <c r="D1954" s="30"/>
      <c r="E1954" s="30"/>
      <c r="F1954" s="30">
        <v>57.2</v>
      </c>
      <c r="G1954" s="30">
        <v>57</v>
      </c>
    </row>
    <row r="1955" spans="1:7" x14ac:dyDescent="0.25">
      <c r="A1955" s="29">
        <v>39561</v>
      </c>
      <c r="B1955" s="30">
        <v>58.3</v>
      </c>
      <c r="C1955" s="30">
        <v>63</v>
      </c>
      <c r="D1955" s="30"/>
      <c r="E1955" s="30"/>
      <c r="F1955" s="30">
        <v>59.7</v>
      </c>
      <c r="G1955" s="30">
        <v>64</v>
      </c>
    </row>
    <row r="1956" spans="1:7" x14ac:dyDescent="0.25">
      <c r="A1956" s="29">
        <v>39562</v>
      </c>
      <c r="B1956" s="30">
        <v>67.099999999999994</v>
      </c>
      <c r="C1956" s="30">
        <v>69.599999999999994</v>
      </c>
      <c r="D1956" s="30"/>
      <c r="E1956" s="30"/>
      <c r="F1956" s="30">
        <v>66.099999999999994</v>
      </c>
      <c r="G1956" s="30">
        <v>70.8</v>
      </c>
    </row>
    <row r="1957" spans="1:7" x14ac:dyDescent="0.25">
      <c r="A1957" s="29">
        <v>39563</v>
      </c>
      <c r="B1957" s="30">
        <v>59.1</v>
      </c>
      <c r="C1957" s="30">
        <v>63</v>
      </c>
      <c r="D1957" s="30"/>
      <c r="E1957" s="30"/>
      <c r="F1957" s="30">
        <v>60.1</v>
      </c>
      <c r="G1957" s="30">
        <v>65.5</v>
      </c>
    </row>
    <row r="1958" spans="1:7" x14ac:dyDescent="0.25">
      <c r="A1958" s="29">
        <v>39564</v>
      </c>
      <c r="B1958" s="30">
        <v>55.6</v>
      </c>
      <c r="C1958" s="30">
        <v>59.2</v>
      </c>
      <c r="D1958" s="30"/>
      <c r="E1958" s="30"/>
      <c r="F1958" s="30">
        <v>59.4</v>
      </c>
      <c r="G1958" s="30">
        <v>58.4</v>
      </c>
    </row>
    <row r="1959" spans="1:7" x14ac:dyDescent="0.25">
      <c r="A1959" s="29">
        <v>39565</v>
      </c>
      <c r="B1959" s="30">
        <v>50.2</v>
      </c>
      <c r="C1959" s="30">
        <v>52</v>
      </c>
      <c r="D1959" s="30"/>
      <c r="E1959" s="30"/>
      <c r="F1959" s="30">
        <v>52</v>
      </c>
      <c r="G1959" s="30">
        <v>51.4</v>
      </c>
    </row>
    <row r="1960" spans="1:7" x14ac:dyDescent="0.25">
      <c r="A1960" s="29">
        <v>39566</v>
      </c>
      <c r="B1960" s="30">
        <v>51.2</v>
      </c>
      <c r="C1960" s="30">
        <v>51.5</v>
      </c>
      <c r="D1960" s="30"/>
      <c r="E1960" s="30"/>
      <c r="F1960" s="30">
        <v>54.5</v>
      </c>
      <c r="G1960" s="30">
        <v>52.2</v>
      </c>
    </row>
    <row r="1961" spans="1:7" x14ac:dyDescent="0.25">
      <c r="A1961" s="29">
        <v>39567</v>
      </c>
      <c r="B1961" s="30">
        <v>53.6</v>
      </c>
      <c r="C1961" s="30">
        <v>54</v>
      </c>
      <c r="D1961" s="30"/>
      <c r="E1961" s="30"/>
      <c r="F1961" s="30">
        <v>56.2</v>
      </c>
      <c r="G1961" s="30">
        <v>54.1</v>
      </c>
    </row>
    <row r="1962" spans="1:7" x14ac:dyDescent="0.25">
      <c r="A1962" s="29">
        <v>39568</v>
      </c>
      <c r="B1962" s="30">
        <v>50.3</v>
      </c>
      <c r="C1962" s="30">
        <v>50.7</v>
      </c>
      <c r="D1962" s="30"/>
      <c r="E1962" s="30"/>
      <c r="F1962" s="30">
        <v>49</v>
      </c>
      <c r="G1962" s="30">
        <v>50.4</v>
      </c>
    </row>
    <row r="1963" spans="1:7" x14ac:dyDescent="0.25">
      <c r="A1963" s="29">
        <v>39569</v>
      </c>
      <c r="B1963" s="30">
        <v>48.9</v>
      </c>
      <c r="C1963" s="30">
        <v>51.8</v>
      </c>
      <c r="D1963" s="30"/>
      <c r="E1963" s="30"/>
      <c r="F1963" s="30">
        <v>51.4</v>
      </c>
      <c r="G1963" s="30">
        <v>49.4</v>
      </c>
    </row>
    <row r="1964" spans="1:7" x14ac:dyDescent="0.25">
      <c r="A1964" s="29">
        <v>39570</v>
      </c>
      <c r="B1964" s="30">
        <v>54.1</v>
      </c>
      <c r="C1964" s="30">
        <v>52.8</v>
      </c>
      <c r="D1964" s="30"/>
      <c r="E1964" s="30"/>
      <c r="F1964" s="30">
        <v>61.5</v>
      </c>
      <c r="G1964" s="30">
        <v>54.2</v>
      </c>
    </row>
    <row r="1965" spans="1:7" x14ac:dyDescent="0.25">
      <c r="A1965" s="29">
        <v>39571</v>
      </c>
      <c r="B1965" s="30">
        <v>52.1</v>
      </c>
      <c r="C1965" s="30">
        <v>50.9</v>
      </c>
      <c r="D1965" s="30"/>
      <c r="E1965" s="30"/>
      <c r="F1965" s="30">
        <v>55.4</v>
      </c>
      <c r="G1965" s="30">
        <v>52.1</v>
      </c>
    </row>
    <row r="1966" spans="1:7" x14ac:dyDescent="0.25">
      <c r="A1966" s="29">
        <v>39572</v>
      </c>
      <c r="B1966" s="30">
        <v>55.6</v>
      </c>
      <c r="C1966" s="30">
        <v>55.5</v>
      </c>
      <c r="D1966" s="30"/>
      <c r="E1966" s="30"/>
      <c r="F1966" s="30">
        <v>59.2</v>
      </c>
      <c r="G1966" s="30">
        <v>55.5</v>
      </c>
    </row>
    <row r="1967" spans="1:7" x14ac:dyDescent="0.25">
      <c r="A1967" s="29">
        <v>39573</v>
      </c>
      <c r="B1967" s="30">
        <v>58.3</v>
      </c>
      <c r="C1967" s="30">
        <v>59.8</v>
      </c>
      <c r="D1967" s="30"/>
      <c r="E1967" s="30"/>
      <c r="F1967" s="30">
        <v>57.3</v>
      </c>
      <c r="G1967" s="30">
        <v>61</v>
      </c>
    </row>
    <row r="1968" spans="1:7" x14ac:dyDescent="0.25">
      <c r="A1968" s="29">
        <v>39574</v>
      </c>
      <c r="B1968" s="30">
        <v>59</v>
      </c>
      <c r="C1968" s="30">
        <v>62.9</v>
      </c>
      <c r="D1968" s="30"/>
      <c r="E1968" s="30"/>
      <c r="F1968" s="30">
        <v>61.2</v>
      </c>
      <c r="G1968" s="30">
        <v>63.8</v>
      </c>
    </row>
    <row r="1969" spans="1:7" x14ac:dyDescent="0.25">
      <c r="A1969" s="29">
        <v>39575</v>
      </c>
      <c r="B1969" s="30">
        <v>62.7</v>
      </c>
      <c r="C1969" s="30">
        <v>65.5</v>
      </c>
      <c r="D1969" s="30"/>
      <c r="E1969" s="30"/>
      <c r="F1969" s="30">
        <v>63.8</v>
      </c>
      <c r="G1969" s="30">
        <v>66</v>
      </c>
    </row>
    <row r="1970" spans="1:7" x14ac:dyDescent="0.25">
      <c r="A1970" s="29">
        <v>39576</v>
      </c>
      <c r="B1970" s="30">
        <v>65.2</v>
      </c>
      <c r="C1970" s="30">
        <v>68.400000000000006</v>
      </c>
      <c r="D1970" s="30"/>
      <c r="E1970" s="30"/>
      <c r="F1970" s="30">
        <v>70.900000000000006</v>
      </c>
      <c r="G1970" s="30">
        <v>69.400000000000006</v>
      </c>
    </row>
    <row r="1971" spans="1:7" x14ac:dyDescent="0.25">
      <c r="A1971" s="29">
        <v>39577</v>
      </c>
      <c r="B1971" s="30">
        <v>57.2</v>
      </c>
      <c r="C1971" s="30">
        <v>57.5</v>
      </c>
      <c r="D1971" s="30"/>
      <c r="E1971" s="30"/>
      <c r="F1971" s="30">
        <v>59.4</v>
      </c>
      <c r="G1971" s="30">
        <v>57.1</v>
      </c>
    </row>
    <row r="1972" spans="1:7" x14ac:dyDescent="0.25">
      <c r="A1972" s="29">
        <v>39578</v>
      </c>
      <c r="B1972" s="30">
        <v>54.9</v>
      </c>
      <c r="C1972" s="30">
        <v>56.4</v>
      </c>
      <c r="D1972" s="30"/>
      <c r="E1972" s="30"/>
      <c r="F1972" s="30">
        <v>52.7</v>
      </c>
      <c r="G1972" s="30">
        <v>56.1</v>
      </c>
    </row>
    <row r="1973" spans="1:7" x14ac:dyDescent="0.25">
      <c r="A1973" s="29">
        <v>39579</v>
      </c>
      <c r="B1973" s="30">
        <v>55.7</v>
      </c>
      <c r="C1973" s="30">
        <v>57.5</v>
      </c>
      <c r="D1973" s="30"/>
      <c r="E1973" s="30"/>
      <c r="F1973" s="30">
        <v>52.9</v>
      </c>
      <c r="G1973" s="30">
        <v>56</v>
      </c>
    </row>
    <row r="1974" spans="1:7" x14ac:dyDescent="0.25">
      <c r="A1974" s="29">
        <v>39580</v>
      </c>
      <c r="B1974" s="30">
        <v>49.8</v>
      </c>
      <c r="C1974" s="30">
        <v>51.5</v>
      </c>
      <c r="D1974" s="30"/>
      <c r="E1974" s="30"/>
      <c r="F1974" s="30">
        <v>49.2</v>
      </c>
      <c r="G1974" s="30">
        <v>50.7</v>
      </c>
    </row>
    <row r="1975" spans="1:7" x14ac:dyDescent="0.25">
      <c r="A1975" s="29">
        <v>39581</v>
      </c>
      <c r="B1975" s="30">
        <v>57.6</v>
      </c>
      <c r="C1975" s="30">
        <v>58.7</v>
      </c>
      <c r="D1975" s="30"/>
      <c r="E1975" s="30"/>
      <c r="F1975" s="30">
        <v>53.9</v>
      </c>
      <c r="G1975" s="30">
        <v>58.6</v>
      </c>
    </row>
    <row r="1976" spans="1:7" x14ac:dyDescent="0.25">
      <c r="A1976" s="29">
        <v>39582</v>
      </c>
      <c r="B1976" s="30">
        <v>57.2</v>
      </c>
      <c r="C1976" s="30">
        <v>59.9</v>
      </c>
      <c r="D1976" s="30"/>
      <c r="E1976" s="30"/>
      <c r="F1976" s="30">
        <v>57.3</v>
      </c>
      <c r="G1976" s="30">
        <v>58.7</v>
      </c>
    </row>
    <row r="1977" spans="1:7" x14ac:dyDescent="0.25">
      <c r="A1977" s="29">
        <v>39583</v>
      </c>
      <c r="B1977" s="30">
        <v>58.5</v>
      </c>
      <c r="C1977" s="30">
        <v>60.6</v>
      </c>
      <c r="D1977" s="30"/>
      <c r="E1977" s="30"/>
      <c r="F1977" s="30">
        <v>63.6</v>
      </c>
      <c r="G1977" s="30">
        <v>62.4</v>
      </c>
    </row>
    <row r="1978" spans="1:7" x14ac:dyDescent="0.25">
      <c r="A1978" s="29">
        <v>39584</v>
      </c>
      <c r="B1978" s="30">
        <v>57.1</v>
      </c>
      <c r="C1978" s="30">
        <v>58.2</v>
      </c>
      <c r="D1978" s="30"/>
      <c r="E1978" s="30"/>
      <c r="F1978" s="30">
        <v>59.1</v>
      </c>
      <c r="G1978" s="30">
        <v>58.6</v>
      </c>
    </row>
    <row r="1979" spans="1:7" x14ac:dyDescent="0.25">
      <c r="A1979" s="29">
        <v>39585</v>
      </c>
      <c r="B1979" s="30">
        <v>58.5</v>
      </c>
      <c r="C1979" s="30">
        <v>59.1</v>
      </c>
      <c r="D1979" s="30"/>
      <c r="E1979" s="30"/>
      <c r="F1979" s="30">
        <v>59.6</v>
      </c>
      <c r="G1979" s="30">
        <v>59.2</v>
      </c>
    </row>
    <row r="1980" spans="1:7" x14ac:dyDescent="0.25">
      <c r="A1980" s="29">
        <v>39586</v>
      </c>
      <c r="B1980" s="30">
        <v>60.5</v>
      </c>
      <c r="C1980" s="30">
        <v>61.8</v>
      </c>
      <c r="D1980" s="30"/>
      <c r="E1980" s="30"/>
      <c r="F1980" s="30">
        <v>63.8</v>
      </c>
      <c r="G1980" s="30">
        <v>60.5</v>
      </c>
    </row>
    <row r="1981" spans="1:7" x14ac:dyDescent="0.25">
      <c r="A1981" s="29">
        <v>39587</v>
      </c>
      <c r="B1981" s="30">
        <v>55.8</v>
      </c>
      <c r="C1981" s="30">
        <v>56.2</v>
      </c>
      <c r="D1981" s="30"/>
      <c r="E1981" s="30"/>
      <c r="F1981" s="30">
        <v>56.4</v>
      </c>
      <c r="G1981" s="30">
        <v>54.8</v>
      </c>
    </row>
    <row r="1982" spans="1:7" x14ac:dyDescent="0.25">
      <c r="A1982" s="29">
        <v>39588</v>
      </c>
      <c r="B1982" s="30">
        <v>52.4</v>
      </c>
      <c r="C1982" s="30">
        <v>53.5</v>
      </c>
      <c r="D1982" s="30"/>
      <c r="E1982" s="30"/>
      <c r="F1982" s="30">
        <v>49.5</v>
      </c>
      <c r="G1982" s="30">
        <v>50.7</v>
      </c>
    </row>
    <row r="1983" spans="1:7" x14ac:dyDescent="0.25">
      <c r="A1983" s="29">
        <v>39589</v>
      </c>
      <c r="B1983" s="30">
        <v>55.3</v>
      </c>
      <c r="C1983" s="30">
        <v>56.6</v>
      </c>
      <c r="D1983" s="30"/>
      <c r="E1983" s="30"/>
      <c r="F1983" s="30">
        <v>56.7</v>
      </c>
      <c r="G1983" s="30">
        <v>55.5</v>
      </c>
    </row>
    <row r="1984" spans="1:7" x14ac:dyDescent="0.25">
      <c r="A1984" s="29">
        <v>39590</v>
      </c>
      <c r="B1984" s="30">
        <v>54.9</v>
      </c>
      <c r="C1984" s="30">
        <v>55.1</v>
      </c>
      <c r="D1984" s="30"/>
      <c r="E1984" s="30"/>
      <c r="F1984" s="30">
        <v>57.1</v>
      </c>
      <c r="G1984" s="30">
        <v>54.1</v>
      </c>
    </row>
    <row r="1985" spans="1:7" x14ac:dyDescent="0.25">
      <c r="A1985" s="29">
        <v>39591</v>
      </c>
      <c r="B1985" s="30">
        <v>59.7</v>
      </c>
      <c r="C1985" s="30">
        <v>59.3</v>
      </c>
      <c r="D1985" s="30"/>
      <c r="E1985" s="30"/>
      <c r="F1985" s="30">
        <v>58.7</v>
      </c>
      <c r="G1985" s="30">
        <v>59.1</v>
      </c>
    </row>
    <row r="1986" spans="1:7" x14ac:dyDescent="0.25">
      <c r="A1986" s="29">
        <v>39592</v>
      </c>
      <c r="B1986" s="30">
        <v>63.8</v>
      </c>
      <c r="C1986" s="30">
        <v>63.2</v>
      </c>
      <c r="D1986" s="30"/>
      <c r="E1986" s="30"/>
      <c r="F1986" s="30">
        <v>62.4</v>
      </c>
      <c r="G1986" s="30">
        <v>63.5</v>
      </c>
    </row>
    <row r="1987" spans="1:7" x14ac:dyDescent="0.25">
      <c r="A1987" s="29">
        <v>39593</v>
      </c>
      <c r="B1987" s="30">
        <v>65.099999999999994</v>
      </c>
      <c r="C1987" s="30">
        <v>66.2</v>
      </c>
      <c r="D1987" s="30"/>
      <c r="E1987" s="30"/>
      <c r="F1987" s="30">
        <v>61.7</v>
      </c>
      <c r="G1987" s="30">
        <v>67</v>
      </c>
    </row>
    <row r="1988" spans="1:7" x14ac:dyDescent="0.25">
      <c r="A1988" s="29">
        <v>39594</v>
      </c>
      <c r="B1988" s="30">
        <v>61.8</v>
      </c>
      <c r="C1988" s="30">
        <v>67.900000000000006</v>
      </c>
      <c r="D1988" s="30"/>
      <c r="E1988" s="30"/>
      <c r="F1988" s="30">
        <v>65.2</v>
      </c>
      <c r="G1988" s="30">
        <v>69.2</v>
      </c>
    </row>
    <row r="1989" spans="1:7" x14ac:dyDescent="0.25">
      <c r="A1989" s="29">
        <v>39595</v>
      </c>
      <c r="B1989" s="30">
        <v>64.7</v>
      </c>
      <c r="C1989" s="30">
        <v>73.2</v>
      </c>
      <c r="D1989" s="30"/>
      <c r="E1989" s="30"/>
      <c r="F1989" s="30">
        <v>72.099999999999994</v>
      </c>
      <c r="G1989" s="30">
        <v>75</v>
      </c>
    </row>
    <row r="1990" spans="1:7" x14ac:dyDescent="0.25">
      <c r="A1990" s="29">
        <v>39596</v>
      </c>
      <c r="B1990" s="30">
        <v>61.7</v>
      </c>
      <c r="C1990" s="30">
        <v>62</v>
      </c>
      <c r="D1990" s="30"/>
      <c r="E1990" s="30"/>
      <c r="F1990" s="30">
        <v>63.4</v>
      </c>
      <c r="G1990" s="30">
        <v>63.2</v>
      </c>
    </row>
    <row r="1991" spans="1:7" x14ac:dyDescent="0.25">
      <c r="A1991" s="29">
        <v>39597</v>
      </c>
      <c r="B1991" s="30">
        <v>61.4</v>
      </c>
      <c r="C1991" s="30">
        <v>64</v>
      </c>
      <c r="D1991" s="30"/>
      <c r="E1991" s="30"/>
      <c r="F1991" s="30">
        <v>60.6</v>
      </c>
      <c r="G1991" s="30">
        <v>64.7</v>
      </c>
    </row>
    <row r="1992" spans="1:7" x14ac:dyDescent="0.25">
      <c r="A1992" s="29">
        <v>39598</v>
      </c>
      <c r="B1992" s="30">
        <v>67.099999999999994</v>
      </c>
      <c r="C1992" s="30">
        <v>71.2</v>
      </c>
      <c r="D1992" s="30"/>
      <c r="E1992" s="30"/>
      <c r="F1992" s="30">
        <v>67.099999999999994</v>
      </c>
      <c r="G1992" s="30">
        <v>69.7</v>
      </c>
    </row>
    <row r="1993" spans="1:7" x14ac:dyDescent="0.25">
      <c r="A1993" s="29">
        <v>39599</v>
      </c>
      <c r="B1993" s="30">
        <v>63.1</v>
      </c>
      <c r="C1993" s="30">
        <v>69.7</v>
      </c>
      <c r="D1993" s="30"/>
      <c r="E1993" s="30"/>
      <c r="F1993" s="30">
        <v>69.3</v>
      </c>
      <c r="G1993" s="30">
        <v>71.7</v>
      </c>
    </row>
    <row r="1994" spans="1:7" x14ac:dyDescent="0.25">
      <c r="A1994" s="29">
        <v>39600</v>
      </c>
      <c r="B1994" s="30">
        <v>71.8</v>
      </c>
      <c r="C1994" s="30">
        <v>75</v>
      </c>
      <c r="D1994" s="30"/>
      <c r="E1994" s="30"/>
      <c r="F1994" s="30">
        <v>72.8</v>
      </c>
      <c r="G1994" s="30">
        <v>74.099999999999994</v>
      </c>
    </row>
    <row r="1995" spans="1:7" x14ac:dyDescent="0.25">
      <c r="A1995" s="29">
        <v>39601</v>
      </c>
      <c r="B1995" s="30">
        <v>71.3</v>
      </c>
      <c r="C1995" s="30">
        <v>70.7</v>
      </c>
      <c r="D1995" s="30"/>
      <c r="E1995" s="30"/>
      <c r="F1995" s="30">
        <v>70.7</v>
      </c>
      <c r="G1995" s="30">
        <v>71.8</v>
      </c>
    </row>
    <row r="1996" spans="1:7" x14ac:dyDescent="0.25">
      <c r="A1996" s="29">
        <v>39602</v>
      </c>
      <c r="B1996" s="30">
        <v>68.599999999999994</v>
      </c>
      <c r="C1996" s="30">
        <v>75.3</v>
      </c>
      <c r="D1996" s="30"/>
      <c r="E1996" s="30"/>
      <c r="F1996" s="30">
        <v>71.3</v>
      </c>
      <c r="G1996" s="30">
        <v>73.7</v>
      </c>
    </row>
    <row r="1997" spans="1:7" x14ac:dyDescent="0.25">
      <c r="A1997" s="29">
        <v>39603</v>
      </c>
      <c r="B1997" s="30">
        <v>64.400000000000006</v>
      </c>
      <c r="C1997" s="30">
        <v>65.599999999999994</v>
      </c>
      <c r="D1997" s="30"/>
      <c r="E1997" s="30"/>
      <c r="F1997" s="30">
        <v>69.5</v>
      </c>
      <c r="G1997" s="30">
        <v>66.599999999999994</v>
      </c>
    </row>
    <row r="1998" spans="1:7" x14ac:dyDescent="0.25">
      <c r="A1998" s="29">
        <v>39604</v>
      </c>
      <c r="B1998" s="30">
        <v>65.8</v>
      </c>
      <c r="C1998" s="30">
        <v>65.7</v>
      </c>
      <c r="D1998" s="30"/>
      <c r="E1998" s="30"/>
      <c r="F1998" s="30">
        <v>67.2</v>
      </c>
      <c r="G1998" s="30">
        <v>67</v>
      </c>
    </row>
    <row r="1999" spans="1:7" x14ac:dyDescent="0.25">
      <c r="A1999" s="29">
        <v>39605</v>
      </c>
      <c r="B1999" s="30">
        <v>63</v>
      </c>
      <c r="C1999" s="30">
        <v>65.8</v>
      </c>
      <c r="D1999" s="30"/>
      <c r="E1999" s="30"/>
      <c r="F1999" s="30">
        <v>66.2</v>
      </c>
      <c r="G1999" s="30">
        <v>65.900000000000006</v>
      </c>
    </row>
    <row r="2000" spans="1:7" x14ac:dyDescent="0.25">
      <c r="A2000" s="29">
        <v>39606</v>
      </c>
      <c r="B2000" s="30">
        <v>69.400000000000006</v>
      </c>
      <c r="C2000" s="30">
        <v>74.599999999999994</v>
      </c>
      <c r="D2000" s="30"/>
      <c r="E2000" s="30"/>
      <c r="F2000" s="30">
        <v>75.2</v>
      </c>
      <c r="G2000" s="30">
        <v>76</v>
      </c>
    </row>
    <row r="2001" spans="1:7" x14ac:dyDescent="0.25">
      <c r="A2001" s="29">
        <v>39607</v>
      </c>
      <c r="B2001" s="30">
        <v>82.2</v>
      </c>
      <c r="C2001" s="30">
        <v>87</v>
      </c>
      <c r="D2001" s="30"/>
      <c r="E2001" s="30"/>
      <c r="F2001" s="30">
        <v>85.2</v>
      </c>
      <c r="G2001" s="30">
        <v>85.7</v>
      </c>
    </row>
    <row r="2002" spans="1:7" x14ac:dyDescent="0.25">
      <c r="A2002" s="29">
        <v>39608</v>
      </c>
      <c r="B2002" s="30">
        <v>81.900000000000006</v>
      </c>
      <c r="C2002" s="30">
        <v>86.5</v>
      </c>
      <c r="D2002" s="30"/>
      <c r="E2002" s="30"/>
      <c r="F2002" s="30">
        <v>87.4</v>
      </c>
      <c r="G2002" s="30">
        <v>87.1</v>
      </c>
    </row>
    <row r="2003" spans="1:7" x14ac:dyDescent="0.25">
      <c r="A2003" s="29">
        <v>39609</v>
      </c>
      <c r="B2003" s="30">
        <v>81.599999999999994</v>
      </c>
      <c r="C2003" s="30">
        <v>91.3</v>
      </c>
      <c r="D2003" s="30"/>
      <c r="E2003" s="30"/>
      <c r="F2003" s="30">
        <v>86.2</v>
      </c>
      <c r="G2003" s="30">
        <v>89.8</v>
      </c>
    </row>
    <row r="2004" spans="1:7" x14ac:dyDescent="0.25">
      <c r="A2004" s="29">
        <v>39610</v>
      </c>
      <c r="B2004" s="30">
        <v>79.3</v>
      </c>
      <c r="C2004" s="30">
        <v>79</v>
      </c>
      <c r="D2004" s="30"/>
      <c r="E2004" s="30"/>
      <c r="F2004" s="30">
        <v>79.7</v>
      </c>
      <c r="G2004" s="30">
        <v>79.8</v>
      </c>
    </row>
    <row r="2005" spans="1:7" x14ac:dyDescent="0.25">
      <c r="A2005" s="29">
        <v>39611</v>
      </c>
      <c r="B2005" s="30">
        <v>79.2</v>
      </c>
      <c r="C2005" s="30">
        <v>78.5</v>
      </c>
      <c r="D2005" s="30"/>
      <c r="E2005" s="30"/>
      <c r="F2005" s="30">
        <v>75.900000000000006</v>
      </c>
      <c r="G2005" s="30">
        <v>80</v>
      </c>
    </row>
    <row r="2006" spans="1:7" x14ac:dyDescent="0.25">
      <c r="A2006" s="29">
        <v>39612</v>
      </c>
      <c r="B2006" s="30">
        <v>72.400000000000006</v>
      </c>
      <c r="C2006" s="30">
        <v>74.2</v>
      </c>
      <c r="D2006" s="30"/>
      <c r="E2006" s="30"/>
      <c r="F2006" s="30">
        <v>72</v>
      </c>
      <c r="G2006" s="30">
        <v>75.099999999999994</v>
      </c>
    </row>
    <row r="2007" spans="1:7" x14ac:dyDescent="0.25">
      <c r="A2007" s="29">
        <v>39613</v>
      </c>
      <c r="B2007" s="30">
        <v>73.7</v>
      </c>
      <c r="C2007" s="30">
        <v>78.3</v>
      </c>
      <c r="D2007" s="30"/>
      <c r="E2007" s="30"/>
      <c r="F2007" s="30">
        <v>77.099999999999994</v>
      </c>
      <c r="G2007" s="30">
        <v>77.2</v>
      </c>
    </row>
    <row r="2008" spans="1:7" x14ac:dyDescent="0.25">
      <c r="A2008" s="29">
        <v>39614</v>
      </c>
      <c r="B2008" s="30">
        <v>73</v>
      </c>
      <c r="C2008" s="30">
        <v>73.599999999999994</v>
      </c>
      <c r="D2008" s="30"/>
      <c r="E2008" s="30"/>
      <c r="F2008" s="30">
        <v>76.2</v>
      </c>
      <c r="G2008" s="30">
        <v>74.099999999999994</v>
      </c>
    </row>
    <row r="2009" spans="1:7" x14ac:dyDescent="0.25">
      <c r="A2009" s="29">
        <v>39615</v>
      </c>
      <c r="B2009" s="30">
        <v>68.3</v>
      </c>
      <c r="C2009" s="30">
        <v>70.400000000000006</v>
      </c>
      <c r="D2009" s="30"/>
      <c r="E2009" s="30"/>
      <c r="F2009" s="30">
        <v>73.7</v>
      </c>
      <c r="G2009" s="30">
        <v>70.8</v>
      </c>
    </row>
    <row r="2010" spans="1:7" x14ac:dyDescent="0.25">
      <c r="A2010" s="29">
        <v>39616</v>
      </c>
      <c r="B2010" s="30">
        <v>69.400000000000006</v>
      </c>
      <c r="C2010" s="30">
        <v>70</v>
      </c>
      <c r="D2010" s="30"/>
      <c r="E2010" s="30"/>
      <c r="F2010" s="30">
        <v>71.599999999999994</v>
      </c>
      <c r="G2010" s="30">
        <v>69.400000000000006</v>
      </c>
    </row>
    <row r="2011" spans="1:7" x14ac:dyDescent="0.25">
      <c r="A2011" s="29">
        <v>39617</v>
      </c>
      <c r="B2011" s="30">
        <v>67.599999999999994</v>
      </c>
      <c r="C2011" s="30">
        <v>67.400000000000006</v>
      </c>
      <c r="D2011" s="30"/>
      <c r="E2011" s="30"/>
      <c r="F2011" s="30">
        <v>67.3</v>
      </c>
      <c r="G2011" s="30">
        <v>66.5</v>
      </c>
    </row>
    <row r="2012" spans="1:7" x14ac:dyDescent="0.25">
      <c r="A2012" s="29">
        <v>39618</v>
      </c>
      <c r="B2012" s="30">
        <v>65.099999999999994</v>
      </c>
      <c r="C2012" s="30">
        <v>65.900000000000006</v>
      </c>
      <c r="D2012" s="30"/>
      <c r="E2012" s="30"/>
      <c r="F2012" s="30">
        <v>65.5</v>
      </c>
      <c r="G2012" s="30">
        <v>65.8</v>
      </c>
    </row>
    <row r="2013" spans="1:7" x14ac:dyDescent="0.25">
      <c r="A2013" s="29">
        <v>39619</v>
      </c>
      <c r="B2013" s="30">
        <v>69.3</v>
      </c>
      <c r="C2013" s="30">
        <v>71.900000000000006</v>
      </c>
      <c r="D2013" s="30"/>
      <c r="E2013" s="30"/>
      <c r="F2013" s="30">
        <v>68.7</v>
      </c>
      <c r="G2013" s="30">
        <v>70.8</v>
      </c>
    </row>
    <row r="2014" spans="1:7" x14ac:dyDescent="0.25">
      <c r="A2014" s="29">
        <v>39620</v>
      </c>
      <c r="B2014" s="30">
        <v>70.900000000000006</v>
      </c>
      <c r="C2014" s="30">
        <v>72.8</v>
      </c>
      <c r="D2014" s="30"/>
      <c r="E2014" s="30"/>
      <c r="F2014" s="30">
        <v>74.7</v>
      </c>
      <c r="G2014" s="30">
        <v>74.2</v>
      </c>
    </row>
    <row r="2015" spans="1:7" x14ac:dyDescent="0.25">
      <c r="A2015" s="29">
        <v>39621</v>
      </c>
      <c r="B2015" s="30">
        <v>72</v>
      </c>
      <c r="C2015" s="30">
        <v>74.099999999999994</v>
      </c>
      <c r="D2015" s="30"/>
      <c r="E2015" s="30"/>
      <c r="F2015" s="30">
        <v>74.8</v>
      </c>
      <c r="G2015" s="30">
        <v>74</v>
      </c>
    </row>
    <row r="2016" spans="1:7" x14ac:dyDescent="0.25">
      <c r="A2016" s="29">
        <v>39622</v>
      </c>
      <c r="B2016" s="30">
        <v>71.400000000000006</v>
      </c>
      <c r="C2016" s="30">
        <v>74.599999999999994</v>
      </c>
      <c r="D2016" s="30"/>
      <c r="E2016" s="30"/>
      <c r="F2016" s="30">
        <v>74.2</v>
      </c>
      <c r="G2016" s="30">
        <v>74.900000000000006</v>
      </c>
    </row>
    <row r="2017" spans="1:7" x14ac:dyDescent="0.25">
      <c r="A2017" s="29">
        <v>39623</v>
      </c>
      <c r="B2017" s="30">
        <v>74</v>
      </c>
      <c r="C2017" s="30">
        <v>74.900000000000006</v>
      </c>
      <c r="D2017" s="30"/>
      <c r="E2017" s="30"/>
      <c r="F2017" s="30">
        <v>73.5</v>
      </c>
      <c r="G2017" s="30">
        <v>74.8</v>
      </c>
    </row>
    <row r="2018" spans="1:7" x14ac:dyDescent="0.25">
      <c r="A2018" s="29">
        <v>39624</v>
      </c>
      <c r="B2018" s="30">
        <v>74</v>
      </c>
      <c r="C2018" s="30">
        <v>75.099999999999994</v>
      </c>
      <c r="D2018" s="30"/>
      <c r="E2018" s="30"/>
      <c r="F2018" s="30">
        <v>73.3</v>
      </c>
      <c r="G2018" s="30">
        <v>74.8</v>
      </c>
    </row>
    <row r="2019" spans="1:7" x14ac:dyDescent="0.25">
      <c r="A2019" s="29">
        <v>39625</v>
      </c>
      <c r="B2019" s="30">
        <v>73.400000000000006</v>
      </c>
      <c r="C2019" s="30">
        <v>78.3</v>
      </c>
      <c r="D2019" s="30"/>
      <c r="E2019" s="30"/>
      <c r="F2019" s="30">
        <v>78.5</v>
      </c>
      <c r="G2019" s="30">
        <v>77.2</v>
      </c>
    </row>
    <row r="2020" spans="1:7" x14ac:dyDescent="0.25">
      <c r="A2020" s="29">
        <v>39626</v>
      </c>
      <c r="B2020" s="30">
        <v>79.3</v>
      </c>
      <c r="C2020" s="30">
        <v>80.3</v>
      </c>
      <c r="D2020" s="30"/>
      <c r="E2020" s="30"/>
      <c r="F2020" s="30">
        <v>81.7</v>
      </c>
      <c r="G2020" s="30">
        <v>79.7</v>
      </c>
    </row>
    <row r="2021" spans="1:7" x14ac:dyDescent="0.25">
      <c r="A2021" s="29">
        <v>39627</v>
      </c>
      <c r="B2021" s="30">
        <v>76.099999999999994</v>
      </c>
      <c r="C2021" s="30">
        <v>80.099999999999994</v>
      </c>
      <c r="D2021" s="30"/>
      <c r="E2021" s="30"/>
      <c r="F2021" s="30">
        <v>79</v>
      </c>
      <c r="G2021" s="30">
        <v>80.2</v>
      </c>
    </row>
    <row r="2022" spans="1:7" x14ac:dyDescent="0.25">
      <c r="A2022" s="29">
        <v>39628</v>
      </c>
      <c r="B2022" s="30">
        <v>76.400000000000006</v>
      </c>
      <c r="C2022" s="30">
        <v>79.7</v>
      </c>
      <c r="D2022" s="30"/>
      <c r="E2022" s="30"/>
      <c r="F2022" s="30">
        <v>83.2</v>
      </c>
      <c r="G2022" s="30">
        <v>78.099999999999994</v>
      </c>
    </row>
    <row r="2023" spans="1:7" x14ac:dyDescent="0.25">
      <c r="A2023" s="29">
        <v>39629</v>
      </c>
      <c r="B2023" s="30">
        <v>75.3</v>
      </c>
      <c r="C2023" s="30">
        <v>77.900000000000006</v>
      </c>
      <c r="D2023" s="30"/>
      <c r="E2023" s="30"/>
      <c r="F2023" s="30">
        <v>78.8</v>
      </c>
      <c r="G2023" s="30">
        <v>77.400000000000006</v>
      </c>
    </row>
    <row r="2024" spans="1:7" x14ac:dyDescent="0.25">
      <c r="A2024" s="29">
        <v>39630</v>
      </c>
      <c r="B2024" s="30">
        <v>75</v>
      </c>
      <c r="C2024" s="30">
        <v>78.099999999999994</v>
      </c>
      <c r="D2024" s="30"/>
      <c r="E2024" s="30"/>
      <c r="F2024" s="30">
        <v>77.2</v>
      </c>
      <c r="G2024" s="30">
        <v>77.400000000000006</v>
      </c>
    </row>
    <row r="2025" spans="1:7" x14ac:dyDescent="0.25">
      <c r="A2025" s="29">
        <v>39631</v>
      </c>
      <c r="B2025" s="30">
        <v>75.2</v>
      </c>
      <c r="C2025" s="30">
        <v>76.7</v>
      </c>
      <c r="D2025" s="30"/>
      <c r="E2025" s="30"/>
      <c r="F2025" s="30">
        <v>77.099999999999994</v>
      </c>
      <c r="G2025" s="30">
        <v>78</v>
      </c>
    </row>
    <row r="2026" spans="1:7" x14ac:dyDescent="0.25">
      <c r="A2026" s="29">
        <v>39632</v>
      </c>
      <c r="B2026" s="30">
        <v>75.2</v>
      </c>
      <c r="C2026" s="30">
        <v>81.7</v>
      </c>
      <c r="D2026" s="30"/>
      <c r="E2026" s="30"/>
      <c r="F2026" s="30">
        <v>79</v>
      </c>
      <c r="G2026" s="30">
        <v>79.900000000000006</v>
      </c>
    </row>
    <row r="2027" spans="1:7" x14ac:dyDescent="0.25">
      <c r="A2027" s="29">
        <v>39633</v>
      </c>
      <c r="B2027" s="30">
        <v>75.3</v>
      </c>
      <c r="C2027" s="30">
        <v>75.900000000000006</v>
      </c>
      <c r="D2027" s="30"/>
      <c r="E2027" s="30"/>
      <c r="F2027" s="30">
        <v>76.7</v>
      </c>
      <c r="G2027" s="30">
        <v>76.599999999999994</v>
      </c>
    </row>
    <row r="2028" spans="1:7" x14ac:dyDescent="0.25">
      <c r="A2028" s="29">
        <v>39634</v>
      </c>
      <c r="B2028" s="30">
        <v>71.900000000000006</v>
      </c>
      <c r="C2028" s="30">
        <v>71.599999999999994</v>
      </c>
      <c r="D2028" s="30"/>
      <c r="E2028" s="30"/>
      <c r="F2028" s="30">
        <v>74.2</v>
      </c>
      <c r="G2028" s="30">
        <v>71.900000000000006</v>
      </c>
    </row>
    <row r="2029" spans="1:7" x14ac:dyDescent="0.25">
      <c r="A2029" s="29">
        <v>39635</v>
      </c>
      <c r="B2029" s="30">
        <v>73.099999999999994</v>
      </c>
      <c r="C2029" s="30">
        <v>72.400000000000006</v>
      </c>
      <c r="D2029" s="30"/>
      <c r="E2029" s="30"/>
      <c r="F2029" s="30">
        <v>74.5</v>
      </c>
      <c r="G2029" s="30">
        <v>72.900000000000006</v>
      </c>
    </row>
    <row r="2030" spans="1:7" x14ac:dyDescent="0.25">
      <c r="A2030" s="29">
        <v>39636</v>
      </c>
      <c r="B2030" s="30">
        <v>74.3</v>
      </c>
      <c r="C2030" s="30">
        <v>76.2</v>
      </c>
      <c r="D2030" s="30"/>
      <c r="E2030" s="30"/>
      <c r="F2030" s="30">
        <v>76.7</v>
      </c>
      <c r="G2030" s="30">
        <v>75.8</v>
      </c>
    </row>
    <row r="2031" spans="1:7" x14ac:dyDescent="0.25">
      <c r="A2031" s="29">
        <v>39637</v>
      </c>
      <c r="B2031" s="30">
        <v>76.5</v>
      </c>
      <c r="C2031" s="30">
        <v>81.7</v>
      </c>
      <c r="D2031" s="30"/>
      <c r="E2031" s="30"/>
      <c r="F2031" s="30">
        <v>79.2</v>
      </c>
      <c r="G2031" s="30">
        <v>81</v>
      </c>
    </row>
    <row r="2032" spans="1:7" x14ac:dyDescent="0.25">
      <c r="A2032" s="29">
        <v>39638</v>
      </c>
      <c r="B2032" s="30">
        <v>77</v>
      </c>
      <c r="C2032" s="30">
        <v>81.7</v>
      </c>
      <c r="D2032" s="30"/>
      <c r="E2032" s="30"/>
      <c r="F2032" s="30">
        <v>77</v>
      </c>
      <c r="G2032" s="30">
        <v>80.3</v>
      </c>
    </row>
    <row r="2033" spans="1:7" x14ac:dyDescent="0.25">
      <c r="A2033" s="29">
        <v>39639</v>
      </c>
      <c r="B2033" s="30">
        <v>79</v>
      </c>
      <c r="C2033" s="30">
        <v>79.5</v>
      </c>
      <c r="D2033" s="30"/>
      <c r="E2033" s="30"/>
      <c r="F2033" s="30">
        <v>78.2</v>
      </c>
      <c r="G2033" s="30">
        <v>78.3</v>
      </c>
    </row>
    <row r="2034" spans="1:7" x14ac:dyDescent="0.25">
      <c r="A2034" s="29">
        <v>39640</v>
      </c>
      <c r="B2034" s="30">
        <v>77.2</v>
      </c>
      <c r="C2034" s="30">
        <v>78.099999999999994</v>
      </c>
      <c r="D2034" s="30"/>
      <c r="E2034" s="30"/>
      <c r="F2034" s="30">
        <v>75.7</v>
      </c>
      <c r="G2034" s="30">
        <v>77.7</v>
      </c>
    </row>
    <row r="2035" spans="1:7" x14ac:dyDescent="0.25">
      <c r="A2035" s="29">
        <v>39641</v>
      </c>
      <c r="B2035" s="30">
        <v>75.5</v>
      </c>
      <c r="C2035" s="30">
        <v>78.599999999999994</v>
      </c>
      <c r="D2035" s="30"/>
      <c r="E2035" s="30"/>
      <c r="F2035" s="30">
        <v>76.2</v>
      </c>
      <c r="G2035" s="30">
        <v>77.900000000000006</v>
      </c>
    </row>
    <row r="2036" spans="1:7" x14ac:dyDescent="0.25">
      <c r="A2036" s="29">
        <v>39642</v>
      </c>
      <c r="B2036" s="30">
        <v>75.599999999999994</v>
      </c>
      <c r="C2036" s="30">
        <v>77.5</v>
      </c>
      <c r="D2036" s="30"/>
      <c r="E2036" s="30"/>
      <c r="F2036" s="30">
        <v>76.7</v>
      </c>
      <c r="G2036" s="30">
        <v>76.7</v>
      </c>
    </row>
    <row r="2037" spans="1:7" x14ac:dyDescent="0.25">
      <c r="A2037" s="29">
        <v>39643</v>
      </c>
      <c r="B2037" s="30">
        <v>74.7</v>
      </c>
      <c r="C2037" s="30">
        <v>76.5</v>
      </c>
      <c r="D2037" s="30"/>
      <c r="E2037" s="30"/>
      <c r="F2037" s="30">
        <v>76.3</v>
      </c>
      <c r="G2037" s="30">
        <v>75.900000000000006</v>
      </c>
    </row>
    <row r="2038" spans="1:7" x14ac:dyDescent="0.25">
      <c r="A2038" s="29">
        <v>39644</v>
      </c>
      <c r="B2038" s="30">
        <v>77.7</v>
      </c>
      <c r="C2038" s="30">
        <v>80.099999999999994</v>
      </c>
      <c r="D2038" s="30"/>
      <c r="E2038" s="30"/>
      <c r="F2038" s="30">
        <v>77</v>
      </c>
      <c r="G2038" s="30">
        <v>78.3</v>
      </c>
    </row>
    <row r="2039" spans="1:7" x14ac:dyDescent="0.25">
      <c r="A2039" s="29">
        <v>39645</v>
      </c>
      <c r="B2039" s="30">
        <v>78</v>
      </c>
      <c r="C2039" s="30">
        <v>80</v>
      </c>
      <c r="D2039" s="30"/>
      <c r="E2039" s="30"/>
      <c r="F2039" s="30">
        <v>76.7</v>
      </c>
      <c r="G2039" s="30">
        <v>80.099999999999994</v>
      </c>
    </row>
    <row r="2040" spans="1:7" x14ac:dyDescent="0.25">
      <c r="A2040" s="29">
        <v>39646</v>
      </c>
      <c r="B2040" s="30">
        <v>79</v>
      </c>
      <c r="C2040" s="30">
        <v>82.2</v>
      </c>
      <c r="D2040" s="30"/>
      <c r="E2040" s="30"/>
      <c r="F2040" s="30">
        <v>78.3</v>
      </c>
      <c r="G2040" s="30">
        <v>81.8</v>
      </c>
    </row>
    <row r="2041" spans="1:7" x14ac:dyDescent="0.25">
      <c r="A2041" s="29">
        <v>39647</v>
      </c>
      <c r="B2041" s="30">
        <v>81.5</v>
      </c>
      <c r="C2041" s="30">
        <v>85.2</v>
      </c>
      <c r="D2041" s="30"/>
      <c r="E2041" s="30"/>
      <c r="F2041" s="30">
        <v>83.3</v>
      </c>
      <c r="G2041" s="30">
        <v>83.5</v>
      </c>
    </row>
    <row r="2042" spans="1:7" x14ac:dyDescent="0.25">
      <c r="A2042" s="29">
        <v>39648</v>
      </c>
      <c r="B2042" s="30">
        <v>82.5</v>
      </c>
      <c r="C2042" s="30">
        <v>88.8</v>
      </c>
      <c r="D2042" s="30"/>
      <c r="E2042" s="30"/>
      <c r="F2042" s="30">
        <v>82.2</v>
      </c>
      <c r="G2042" s="30">
        <v>87.7</v>
      </c>
    </row>
    <row r="2043" spans="1:7" x14ac:dyDescent="0.25">
      <c r="A2043" s="29">
        <v>39649</v>
      </c>
      <c r="B2043" s="30">
        <v>79.599999999999994</v>
      </c>
      <c r="C2043" s="30">
        <v>86.3</v>
      </c>
      <c r="D2043" s="30"/>
      <c r="E2043" s="30"/>
      <c r="F2043" s="30">
        <v>81.7</v>
      </c>
      <c r="G2043" s="30">
        <v>86.8</v>
      </c>
    </row>
    <row r="2044" spans="1:7" x14ac:dyDescent="0.25">
      <c r="A2044" s="29">
        <v>39650</v>
      </c>
      <c r="B2044" s="30">
        <v>79.5</v>
      </c>
      <c r="C2044" s="30">
        <v>83</v>
      </c>
      <c r="D2044" s="30"/>
      <c r="E2044" s="30"/>
      <c r="F2044" s="30">
        <v>83.8</v>
      </c>
      <c r="G2044" s="30">
        <v>82.7</v>
      </c>
    </row>
    <row r="2045" spans="1:7" x14ac:dyDescent="0.25">
      <c r="A2045" s="29">
        <v>39651</v>
      </c>
      <c r="B2045" s="30">
        <v>77.7</v>
      </c>
      <c r="C2045" s="30">
        <v>80.400000000000006</v>
      </c>
      <c r="D2045" s="30"/>
      <c r="E2045" s="30"/>
      <c r="F2045" s="30">
        <v>85.3</v>
      </c>
      <c r="G2045" s="30">
        <v>80.8</v>
      </c>
    </row>
    <row r="2046" spans="1:7" x14ac:dyDescent="0.25">
      <c r="A2046" s="29">
        <v>39652</v>
      </c>
      <c r="B2046" s="30">
        <v>75.8</v>
      </c>
      <c r="C2046" s="30">
        <v>75.099999999999994</v>
      </c>
      <c r="D2046" s="30"/>
      <c r="E2046" s="30"/>
      <c r="F2046" s="30">
        <v>81.400000000000006</v>
      </c>
      <c r="G2046" s="30">
        <v>77</v>
      </c>
    </row>
    <row r="2047" spans="1:7" x14ac:dyDescent="0.25">
      <c r="A2047" s="29">
        <v>39653</v>
      </c>
      <c r="B2047" s="30">
        <v>73.599999999999994</v>
      </c>
      <c r="C2047" s="30">
        <v>75.3</v>
      </c>
      <c r="D2047" s="30"/>
      <c r="E2047" s="30"/>
      <c r="F2047" s="30">
        <v>76.3</v>
      </c>
      <c r="G2047" s="30">
        <v>74.900000000000006</v>
      </c>
    </row>
    <row r="2048" spans="1:7" x14ac:dyDescent="0.25">
      <c r="A2048" s="29">
        <v>39654</v>
      </c>
      <c r="B2048" s="30">
        <v>76.2</v>
      </c>
      <c r="C2048" s="30">
        <v>78.400000000000006</v>
      </c>
      <c r="D2048" s="30"/>
      <c r="E2048" s="30"/>
      <c r="F2048" s="30">
        <v>75.2</v>
      </c>
      <c r="G2048" s="30">
        <v>76.599999999999994</v>
      </c>
    </row>
    <row r="2049" spans="1:7" x14ac:dyDescent="0.25">
      <c r="A2049" s="29">
        <v>39655</v>
      </c>
      <c r="B2049" s="30">
        <v>75.5</v>
      </c>
      <c r="C2049" s="30">
        <v>79.599999999999994</v>
      </c>
      <c r="D2049" s="30"/>
      <c r="E2049" s="30"/>
      <c r="F2049" s="30">
        <v>77</v>
      </c>
      <c r="G2049" s="30">
        <v>78.900000000000006</v>
      </c>
    </row>
    <row r="2050" spans="1:7" x14ac:dyDescent="0.25">
      <c r="A2050" s="29">
        <v>39656</v>
      </c>
      <c r="B2050" s="30">
        <v>73.3</v>
      </c>
      <c r="C2050" s="30">
        <v>76</v>
      </c>
      <c r="D2050" s="30"/>
      <c r="E2050" s="30"/>
      <c r="F2050" s="30">
        <v>74.5</v>
      </c>
      <c r="G2050" s="30">
        <v>74.599999999999994</v>
      </c>
    </row>
    <row r="2051" spans="1:7" x14ac:dyDescent="0.25">
      <c r="A2051" s="29">
        <v>39657</v>
      </c>
      <c r="B2051" s="30">
        <v>72.400000000000006</v>
      </c>
      <c r="C2051" s="30">
        <v>76.5</v>
      </c>
      <c r="D2051" s="30"/>
      <c r="E2051" s="30"/>
      <c r="F2051" s="30">
        <v>72.7</v>
      </c>
      <c r="G2051" s="30">
        <v>74.5</v>
      </c>
    </row>
    <row r="2052" spans="1:7" x14ac:dyDescent="0.25">
      <c r="A2052" s="29">
        <v>39658</v>
      </c>
      <c r="B2052" s="30">
        <v>78.8</v>
      </c>
      <c r="C2052" s="30">
        <v>82.7</v>
      </c>
      <c r="D2052" s="30"/>
      <c r="E2052" s="30"/>
      <c r="F2052" s="30">
        <v>78.5</v>
      </c>
      <c r="G2052" s="30">
        <v>81.099999999999994</v>
      </c>
    </row>
    <row r="2053" spans="1:7" x14ac:dyDescent="0.25">
      <c r="A2053" s="29">
        <v>39659</v>
      </c>
      <c r="B2053" s="30">
        <v>79.099999999999994</v>
      </c>
      <c r="C2053" s="30">
        <v>80.3</v>
      </c>
      <c r="D2053" s="30"/>
      <c r="E2053" s="30"/>
      <c r="F2053" s="30">
        <v>78.099999999999994</v>
      </c>
      <c r="G2053" s="30">
        <v>80.2</v>
      </c>
    </row>
    <row r="2054" spans="1:7" x14ac:dyDescent="0.25">
      <c r="A2054" s="29">
        <v>39660</v>
      </c>
      <c r="B2054" s="30">
        <v>79.7</v>
      </c>
      <c r="C2054" s="30">
        <v>82</v>
      </c>
      <c r="D2054" s="30"/>
      <c r="E2054" s="30"/>
      <c r="F2054" s="30">
        <v>80.599999999999994</v>
      </c>
      <c r="G2054" s="30">
        <v>82.2</v>
      </c>
    </row>
    <row r="2055" spans="1:7" x14ac:dyDescent="0.25">
      <c r="A2055" s="29">
        <v>39661</v>
      </c>
      <c r="B2055" s="30">
        <v>80.7</v>
      </c>
      <c r="C2055" s="30">
        <v>82.4</v>
      </c>
      <c r="D2055" s="30"/>
      <c r="E2055" s="30"/>
      <c r="F2055" s="30">
        <v>81.099999999999994</v>
      </c>
      <c r="G2055" s="30">
        <v>82.1</v>
      </c>
    </row>
    <row r="2056" spans="1:7" x14ac:dyDescent="0.25">
      <c r="A2056" s="29">
        <v>39662</v>
      </c>
      <c r="B2056" s="30">
        <v>76.400000000000006</v>
      </c>
      <c r="C2056" s="30">
        <v>78.400000000000006</v>
      </c>
      <c r="D2056" s="30"/>
      <c r="E2056" s="30"/>
      <c r="F2056" s="30">
        <v>78.400000000000006</v>
      </c>
      <c r="G2056" s="30">
        <v>77.2</v>
      </c>
    </row>
    <row r="2057" spans="1:7" x14ac:dyDescent="0.25">
      <c r="A2057" s="29">
        <v>39663</v>
      </c>
      <c r="B2057" s="30">
        <v>75.099999999999994</v>
      </c>
      <c r="C2057" s="30">
        <v>74.400000000000006</v>
      </c>
      <c r="D2057" s="30"/>
      <c r="E2057" s="30"/>
      <c r="F2057" s="30">
        <v>76</v>
      </c>
      <c r="G2057" s="30">
        <v>75.099999999999994</v>
      </c>
    </row>
    <row r="2058" spans="1:7" x14ac:dyDescent="0.25">
      <c r="A2058" s="29">
        <v>39664</v>
      </c>
      <c r="B2058" s="30">
        <v>77.3</v>
      </c>
      <c r="C2058" s="30">
        <v>76.5</v>
      </c>
      <c r="D2058" s="30"/>
      <c r="E2058" s="30"/>
      <c r="F2058" s="30">
        <v>76.2</v>
      </c>
      <c r="G2058" s="30">
        <v>76.099999999999994</v>
      </c>
    </row>
    <row r="2059" spans="1:7" x14ac:dyDescent="0.25">
      <c r="A2059" s="29">
        <v>39665</v>
      </c>
      <c r="B2059" s="30">
        <v>77.3</v>
      </c>
      <c r="C2059" s="30">
        <v>78.3</v>
      </c>
      <c r="D2059" s="30"/>
      <c r="E2059" s="30"/>
      <c r="F2059" s="30">
        <v>76.599999999999994</v>
      </c>
      <c r="G2059" s="30">
        <v>77.7</v>
      </c>
    </row>
    <row r="2060" spans="1:7" x14ac:dyDescent="0.25">
      <c r="A2060" s="29">
        <v>39666</v>
      </c>
      <c r="B2060" s="30">
        <v>78.5</v>
      </c>
      <c r="C2060" s="30">
        <v>78.099999999999994</v>
      </c>
      <c r="D2060" s="30"/>
      <c r="E2060" s="30"/>
      <c r="F2060" s="30">
        <v>81.099999999999994</v>
      </c>
      <c r="G2060" s="30">
        <v>78.599999999999994</v>
      </c>
    </row>
    <row r="2061" spans="1:7" x14ac:dyDescent="0.25">
      <c r="A2061" s="29">
        <v>39667</v>
      </c>
      <c r="B2061" s="30">
        <v>76.5</v>
      </c>
      <c r="C2061" s="30">
        <v>78.3</v>
      </c>
      <c r="D2061" s="30"/>
      <c r="E2061" s="30"/>
      <c r="F2061" s="30">
        <v>78</v>
      </c>
      <c r="G2061" s="30">
        <v>79.5</v>
      </c>
    </row>
    <row r="2062" spans="1:7" x14ac:dyDescent="0.25">
      <c r="A2062" s="29">
        <v>39668</v>
      </c>
      <c r="B2062" s="30">
        <v>73.8</v>
      </c>
      <c r="C2062" s="30">
        <v>74.3</v>
      </c>
      <c r="D2062" s="30"/>
      <c r="E2062" s="30"/>
      <c r="F2062" s="30">
        <v>74.8</v>
      </c>
      <c r="G2062" s="30">
        <v>73.900000000000006</v>
      </c>
    </row>
    <row r="2063" spans="1:7" x14ac:dyDescent="0.25">
      <c r="A2063" s="29">
        <v>39669</v>
      </c>
      <c r="B2063" s="30">
        <v>71.900000000000006</v>
      </c>
      <c r="C2063" s="30">
        <v>72.900000000000006</v>
      </c>
      <c r="D2063" s="30"/>
      <c r="E2063" s="30"/>
      <c r="F2063" s="30">
        <v>71.7</v>
      </c>
      <c r="G2063" s="30">
        <v>72.400000000000006</v>
      </c>
    </row>
    <row r="2064" spans="1:7" x14ac:dyDescent="0.25">
      <c r="A2064" s="29">
        <v>39670</v>
      </c>
      <c r="B2064" s="30">
        <v>71.900000000000006</v>
      </c>
      <c r="C2064" s="30">
        <v>74.400000000000006</v>
      </c>
      <c r="D2064" s="30"/>
      <c r="E2064" s="30"/>
      <c r="F2064" s="30">
        <v>70.2</v>
      </c>
      <c r="G2064" s="30">
        <v>71.900000000000006</v>
      </c>
    </row>
    <row r="2065" spans="1:7" x14ac:dyDescent="0.25">
      <c r="A2065" s="29">
        <v>39671</v>
      </c>
      <c r="B2065" s="30">
        <v>69</v>
      </c>
      <c r="C2065" s="30">
        <v>69.3</v>
      </c>
      <c r="D2065" s="30"/>
      <c r="E2065" s="30"/>
      <c r="F2065" s="30">
        <v>68.2</v>
      </c>
      <c r="G2065" s="30">
        <v>68.900000000000006</v>
      </c>
    </row>
    <row r="2066" spans="1:7" x14ac:dyDescent="0.25">
      <c r="A2066" s="29">
        <v>39672</v>
      </c>
      <c r="B2066" s="30">
        <v>70.3</v>
      </c>
      <c r="C2066" s="30">
        <v>70.099999999999994</v>
      </c>
      <c r="D2066" s="30"/>
      <c r="E2066" s="30"/>
      <c r="F2066" s="30">
        <v>69.2</v>
      </c>
      <c r="G2066" s="30">
        <v>69.599999999999994</v>
      </c>
    </row>
    <row r="2067" spans="1:7" x14ac:dyDescent="0.25">
      <c r="A2067" s="29">
        <v>39673</v>
      </c>
      <c r="B2067" s="30">
        <v>72.900000000000006</v>
      </c>
      <c r="C2067" s="30">
        <v>74.8</v>
      </c>
      <c r="D2067" s="30"/>
      <c r="E2067" s="30"/>
      <c r="F2067" s="30">
        <v>72.900000000000006</v>
      </c>
      <c r="G2067" s="30">
        <v>73.3</v>
      </c>
    </row>
    <row r="2068" spans="1:7" x14ac:dyDescent="0.25">
      <c r="A2068" s="29">
        <v>39674</v>
      </c>
      <c r="B2068" s="30">
        <v>73.900000000000006</v>
      </c>
      <c r="C2068" s="30">
        <v>74.599999999999994</v>
      </c>
      <c r="D2068" s="30"/>
      <c r="E2068" s="30"/>
      <c r="F2068" s="30">
        <v>75</v>
      </c>
      <c r="G2068" s="30">
        <v>75.2</v>
      </c>
    </row>
    <row r="2069" spans="1:7" x14ac:dyDescent="0.25">
      <c r="A2069" s="29">
        <v>39675</v>
      </c>
      <c r="B2069" s="30">
        <v>71.099999999999994</v>
      </c>
      <c r="C2069" s="30">
        <v>71.5</v>
      </c>
      <c r="D2069" s="30"/>
      <c r="E2069" s="30"/>
      <c r="F2069" s="30">
        <v>73.8</v>
      </c>
      <c r="G2069" s="30">
        <v>70.8</v>
      </c>
    </row>
    <row r="2070" spans="1:7" x14ac:dyDescent="0.25">
      <c r="A2070" s="29">
        <v>39676</v>
      </c>
      <c r="B2070" s="30">
        <v>71.7</v>
      </c>
      <c r="C2070" s="30">
        <v>72.099999999999994</v>
      </c>
      <c r="D2070" s="30"/>
      <c r="E2070" s="30"/>
      <c r="F2070" s="30">
        <v>73.5</v>
      </c>
      <c r="G2070" s="30">
        <v>72.2</v>
      </c>
    </row>
    <row r="2071" spans="1:7" x14ac:dyDescent="0.25">
      <c r="A2071" s="29">
        <v>39677</v>
      </c>
      <c r="B2071" s="30">
        <v>74.400000000000006</v>
      </c>
      <c r="C2071" s="30">
        <v>76.7</v>
      </c>
      <c r="D2071" s="30"/>
      <c r="E2071" s="30"/>
      <c r="F2071" s="30">
        <v>74</v>
      </c>
      <c r="G2071" s="30">
        <v>75.5</v>
      </c>
    </row>
    <row r="2072" spans="1:7" x14ac:dyDescent="0.25">
      <c r="A2072" s="29">
        <v>39678</v>
      </c>
      <c r="B2072" s="30">
        <v>76.099999999999994</v>
      </c>
      <c r="C2072" s="30">
        <v>80.8</v>
      </c>
      <c r="D2072" s="30"/>
      <c r="E2072" s="30"/>
      <c r="F2072" s="30">
        <v>76.8</v>
      </c>
      <c r="G2072" s="30">
        <v>78.599999999999994</v>
      </c>
    </row>
    <row r="2073" spans="1:7" x14ac:dyDescent="0.25">
      <c r="A2073" s="29">
        <v>39679</v>
      </c>
      <c r="B2073" s="30">
        <v>77.2</v>
      </c>
      <c r="C2073" s="30">
        <v>78.8</v>
      </c>
      <c r="D2073" s="30"/>
      <c r="E2073" s="30"/>
      <c r="F2073" s="30">
        <v>79.2</v>
      </c>
      <c r="G2073" s="30">
        <v>78.3</v>
      </c>
    </row>
    <row r="2074" spans="1:7" x14ac:dyDescent="0.25">
      <c r="A2074" s="29">
        <v>39680</v>
      </c>
      <c r="B2074" s="30">
        <v>67.900000000000006</v>
      </c>
      <c r="C2074" s="30">
        <v>68.900000000000006</v>
      </c>
      <c r="D2074" s="30"/>
      <c r="E2074" s="30"/>
      <c r="F2074" s="30">
        <v>67.2</v>
      </c>
      <c r="G2074" s="30">
        <v>69.2</v>
      </c>
    </row>
    <row r="2075" spans="1:7" x14ac:dyDescent="0.25">
      <c r="A2075" s="29">
        <v>39681</v>
      </c>
      <c r="B2075" s="30">
        <v>69.400000000000006</v>
      </c>
      <c r="C2075" s="30">
        <v>71.599999999999994</v>
      </c>
      <c r="D2075" s="30"/>
      <c r="E2075" s="30"/>
      <c r="F2075" s="30">
        <v>67</v>
      </c>
      <c r="G2075" s="30">
        <v>70.900000000000006</v>
      </c>
    </row>
    <row r="2076" spans="1:7" x14ac:dyDescent="0.25">
      <c r="A2076" s="29">
        <v>39682</v>
      </c>
      <c r="B2076" s="30">
        <v>71.099999999999994</v>
      </c>
      <c r="C2076" s="30">
        <v>74.400000000000006</v>
      </c>
      <c r="D2076" s="30"/>
      <c r="E2076" s="30"/>
      <c r="F2076" s="30">
        <v>69.3</v>
      </c>
      <c r="G2076" s="30">
        <v>73</v>
      </c>
    </row>
    <row r="2077" spans="1:7" x14ac:dyDescent="0.25">
      <c r="A2077" s="29">
        <v>39683</v>
      </c>
      <c r="B2077" s="30">
        <v>70.099999999999994</v>
      </c>
      <c r="C2077" s="30">
        <v>72.900000000000006</v>
      </c>
      <c r="D2077" s="30"/>
      <c r="E2077" s="30"/>
      <c r="F2077" s="30">
        <v>69.5</v>
      </c>
      <c r="G2077" s="30">
        <v>71.5</v>
      </c>
    </row>
    <row r="2078" spans="1:7" x14ac:dyDescent="0.25">
      <c r="A2078" s="29">
        <v>39684</v>
      </c>
      <c r="B2078" s="30">
        <v>72.599999999999994</v>
      </c>
      <c r="C2078" s="30">
        <v>74.400000000000006</v>
      </c>
      <c r="D2078" s="30"/>
      <c r="E2078" s="30"/>
      <c r="F2078" s="30">
        <v>70.8</v>
      </c>
      <c r="G2078" s="30">
        <v>74.2</v>
      </c>
    </row>
    <row r="2079" spans="1:7" x14ac:dyDescent="0.25">
      <c r="A2079" s="29">
        <v>39685</v>
      </c>
      <c r="B2079" s="30">
        <v>75.099999999999994</v>
      </c>
      <c r="C2079" s="30">
        <v>76.5</v>
      </c>
      <c r="D2079" s="30"/>
      <c r="E2079" s="30"/>
      <c r="F2079" s="30">
        <v>74.5</v>
      </c>
      <c r="G2079" s="30">
        <v>76.3</v>
      </c>
    </row>
    <row r="2080" spans="1:7" x14ac:dyDescent="0.25">
      <c r="A2080" s="29">
        <v>39686</v>
      </c>
      <c r="B2080" s="30">
        <v>70.7</v>
      </c>
      <c r="C2080" s="30">
        <v>70.8</v>
      </c>
      <c r="D2080" s="30"/>
      <c r="E2080" s="30"/>
      <c r="F2080" s="30">
        <v>73.8</v>
      </c>
      <c r="G2080" s="30">
        <v>71.3</v>
      </c>
    </row>
    <row r="2081" spans="1:7" x14ac:dyDescent="0.25">
      <c r="A2081" s="29">
        <v>39687</v>
      </c>
      <c r="B2081" s="30">
        <v>68.5</v>
      </c>
      <c r="C2081" s="30">
        <v>70.400000000000006</v>
      </c>
      <c r="D2081" s="30"/>
      <c r="E2081" s="30"/>
      <c r="F2081" s="30">
        <v>66</v>
      </c>
      <c r="G2081" s="30">
        <v>69.7</v>
      </c>
    </row>
    <row r="2082" spans="1:7" x14ac:dyDescent="0.25">
      <c r="A2082" s="29">
        <v>39688</v>
      </c>
      <c r="B2082" s="30">
        <v>70.400000000000006</v>
      </c>
      <c r="C2082" s="30">
        <v>72.7</v>
      </c>
      <c r="D2082" s="30"/>
      <c r="E2082" s="30"/>
      <c r="F2082" s="30">
        <v>67.599999999999994</v>
      </c>
      <c r="G2082" s="30">
        <v>71.2</v>
      </c>
    </row>
    <row r="2083" spans="1:7" x14ac:dyDescent="0.25">
      <c r="A2083" s="29">
        <v>39689</v>
      </c>
      <c r="B2083" s="30">
        <v>70.2</v>
      </c>
      <c r="C2083" s="30">
        <v>73</v>
      </c>
      <c r="D2083" s="30"/>
      <c r="E2083" s="30"/>
      <c r="F2083" s="30">
        <v>73.400000000000006</v>
      </c>
      <c r="G2083" s="30">
        <v>72.400000000000006</v>
      </c>
    </row>
    <row r="2084" spans="1:7" x14ac:dyDescent="0.25">
      <c r="A2084" s="29">
        <v>39690</v>
      </c>
      <c r="B2084" s="30">
        <v>74.2</v>
      </c>
      <c r="C2084" s="30">
        <v>74.5</v>
      </c>
      <c r="D2084" s="30"/>
      <c r="E2084" s="30"/>
      <c r="F2084" s="30">
        <v>79.099999999999994</v>
      </c>
      <c r="G2084" s="30">
        <v>74.5</v>
      </c>
    </row>
    <row r="2085" spans="1:7" x14ac:dyDescent="0.25">
      <c r="A2085" s="29">
        <v>39691</v>
      </c>
      <c r="B2085" s="30">
        <v>76</v>
      </c>
      <c r="C2085" s="30">
        <v>76.900000000000006</v>
      </c>
      <c r="D2085" s="30"/>
      <c r="E2085" s="30"/>
      <c r="F2085" s="30">
        <v>76.8</v>
      </c>
      <c r="G2085" s="30">
        <v>76.900000000000006</v>
      </c>
    </row>
    <row r="2086" spans="1:7" x14ac:dyDescent="0.25">
      <c r="A2086" s="29">
        <v>39692</v>
      </c>
      <c r="B2086" s="30">
        <v>75.2</v>
      </c>
      <c r="C2086" s="30">
        <v>76.2</v>
      </c>
      <c r="D2086" s="30"/>
      <c r="E2086" s="30"/>
      <c r="F2086" s="30">
        <v>70.8</v>
      </c>
      <c r="G2086" s="30">
        <v>75.3</v>
      </c>
    </row>
    <row r="2087" spans="1:7" x14ac:dyDescent="0.25">
      <c r="A2087" s="29">
        <v>39693</v>
      </c>
      <c r="B2087" s="30">
        <v>75.599999999999994</v>
      </c>
      <c r="C2087" s="30">
        <v>78.5</v>
      </c>
      <c r="D2087" s="30"/>
      <c r="E2087" s="30"/>
      <c r="F2087" s="30">
        <v>72.900000000000006</v>
      </c>
      <c r="G2087" s="30">
        <v>78.099999999999994</v>
      </c>
    </row>
    <row r="2088" spans="1:7" x14ac:dyDescent="0.25">
      <c r="A2088" s="29">
        <v>39694</v>
      </c>
      <c r="B2088" s="30">
        <v>73.099999999999994</v>
      </c>
      <c r="C2088" s="30">
        <v>75.5</v>
      </c>
      <c r="D2088" s="30"/>
      <c r="E2088" s="30"/>
      <c r="F2088" s="30">
        <v>73.8</v>
      </c>
      <c r="G2088" s="30">
        <v>76.7</v>
      </c>
    </row>
    <row r="2089" spans="1:7" x14ac:dyDescent="0.25">
      <c r="A2089" s="29">
        <v>39695</v>
      </c>
      <c r="B2089" s="30">
        <v>75.2</v>
      </c>
      <c r="C2089" s="30">
        <v>78.599999999999994</v>
      </c>
      <c r="D2089" s="30"/>
      <c r="E2089" s="30"/>
      <c r="F2089" s="30">
        <v>78.8</v>
      </c>
      <c r="G2089" s="30">
        <v>78.099999999999994</v>
      </c>
    </row>
    <row r="2090" spans="1:7" x14ac:dyDescent="0.25">
      <c r="A2090" s="29">
        <v>39696</v>
      </c>
      <c r="B2090" s="30">
        <v>76.2</v>
      </c>
      <c r="C2090" s="30">
        <v>78.3</v>
      </c>
      <c r="D2090" s="30"/>
      <c r="E2090" s="30"/>
      <c r="F2090" s="30">
        <v>77.599999999999994</v>
      </c>
      <c r="G2090" s="30">
        <v>78.900000000000006</v>
      </c>
    </row>
    <row r="2091" spans="1:7" x14ac:dyDescent="0.25">
      <c r="A2091" s="29">
        <v>39697</v>
      </c>
      <c r="B2091" s="30">
        <v>76.400000000000006</v>
      </c>
      <c r="C2091" s="30">
        <v>77.599999999999994</v>
      </c>
      <c r="D2091" s="30"/>
      <c r="E2091" s="30"/>
      <c r="F2091" s="30">
        <v>77.900000000000006</v>
      </c>
      <c r="G2091" s="30">
        <v>76.3</v>
      </c>
    </row>
    <row r="2092" spans="1:7" x14ac:dyDescent="0.25">
      <c r="A2092" s="29">
        <v>39698</v>
      </c>
      <c r="B2092" s="30">
        <v>75</v>
      </c>
      <c r="C2092" s="30">
        <v>75.099999999999994</v>
      </c>
      <c r="D2092" s="30"/>
      <c r="E2092" s="30"/>
      <c r="F2092" s="30">
        <v>74.400000000000006</v>
      </c>
      <c r="G2092" s="30">
        <v>74.400000000000006</v>
      </c>
    </row>
    <row r="2093" spans="1:7" x14ac:dyDescent="0.25">
      <c r="A2093" s="29">
        <v>39699</v>
      </c>
      <c r="B2093" s="30">
        <v>73.5</v>
      </c>
      <c r="C2093" s="30">
        <v>75.2</v>
      </c>
      <c r="D2093" s="30"/>
      <c r="E2093" s="30"/>
      <c r="F2093" s="30">
        <v>71.900000000000006</v>
      </c>
      <c r="G2093" s="30">
        <v>73.900000000000006</v>
      </c>
    </row>
    <row r="2094" spans="1:7" x14ac:dyDescent="0.25">
      <c r="A2094" s="29">
        <v>39700</v>
      </c>
      <c r="B2094" s="30">
        <v>71.3</v>
      </c>
      <c r="C2094" s="30">
        <v>73</v>
      </c>
      <c r="D2094" s="30"/>
      <c r="E2094" s="30"/>
      <c r="F2094" s="30">
        <v>73.3</v>
      </c>
      <c r="G2094" s="30">
        <v>71.400000000000006</v>
      </c>
    </row>
    <row r="2095" spans="1:7" x14ac:dyDescent="0.25">
      <c r="A2095" s="29">
        <v>39701</v>
      </c>
      <c r="B2095" s="30">
        <v>68.3</v>
      </c>
      <c r="C2095" s="30">
        <v>68.7</v>
      </c>
      <c r="D2095" s="30"/>
      <c r="E2095" s="30"/>
      <c r="F2095" s="30">
        <v>67.900000000000006</v>
      </c>
      <c r="G2095" s="30">
        <v>68.099999999999994</v>
      </c>
    </row>
    <row r="2096" spans="1:7" x14ac:dyDescent="0.25">
      <c r="A2096" s="29">
        <v>39702</v>
      </c>
      <c r="B2096" s="30">
        <v>65.900000000000006</v>
      </c>
      <c r="C2096" s="30">
        <v>67.8</v>
      </c>
      <c r="D2096" s="30"/>
      <c r="E2096" s="30"/>
      <c r="F2096" s="30">
        <v>64.7</v>
      </c>
      <c r="G2096" s="30">
        <v>67</v>
      </c>
    </row>
    <row r="2097" spans="1:7" x14ac:dyDescent="0.25">
      <c r="A2097" s="29">
        <v>39703</v>
      </c>
      <c r="B2097" s="30">
        <v>67.3</v>
      </c>
      <c r="C2097" s="30">
        <v>68.099999999999994</v>
      </c>
      <c r="D2097" s="30"/>
      <c r="E2097" s="30"/>
      <c r="F2097" s="30">
        <v>68.400000000000006</v>
      </c>
      <c r="G2097" s="30">
        <v>67.2</v>
      </c>
    </row>
    <row r="2098" spans="1:7" x14ac:dyDescent="0.25">
      <c r="A2098" s="29">
        <v>39704</v>
      </c>
      <c r="B2098" s="30">
        <v>71.2</v>
      </c>
      <c r="C2098" s="30">
        <v>71.7</v>
      </c>
      <c r="D2098" s="30"/>
      <c r="E2098" s="30"/>
      <c r="F2098" s="30">
        <v>75.3</v>
      </c>
      <c r="G2098" s="30">
        <v>71.900000000000006</v>
      </c>
    </row>
    <row r="2099" spans="1:7" x14ac:dyDescent="0.25">
      <c r="A2099" s="29">
        <v>39705</v>
      </c>
      <c r="B2099" s="30">
        <v>74.5</v>
      </c>
      <c r="C2099" s="30">
        <v>77.2</v>
      </c>
      <c r="D2099" s="30"/>
      <c r="E2099" s="30"/>
      <c r="F2099" s="30">
        <v>79.2</v>
      </c>
      <c r="G2099" s="30">
        <v>78.3</v>
      </c>
    </row>
    <row r="2100" spans="1:7" x14ac:dyDescent="0.25">
      <c r="A2100" s="29">
        <v>39706</v>
      </c>
      <c r="B2100" s="30">
        <v>78.5</v>
      </c>
      <c r="C2100" s="30">
        <v>80.599999999999994</v>
      </c>
      <c r="D2100" s="30"/>
      <c r="E2100" s="30"/>
      <c r="F2100" s="30">
        <v>80.900000000000006</v>
      </c>
      <c r="G2100" s="30">
        <v>81.3</v>
      </c>
    </row>
    <row r="2101" spans="1:7" x14ac:dyDescent="0.25">
      <c r="A2101" s="29">
        <v>39707</v>
      </c>
      <c r="B2101" s="30">
        <v>67.7</v>
      </c>
      <c r="C2101" s="30">
        <v>67.599999999999994</v>
      </c>
      <c r="D2101" s="30"/>
      <c r="E2101" s="30"/>
      <c r="F2101" s="30">
        <v>67</v>
      </c>
      <c r="G2101" s="30">
        <v>67.3</v>
      </c>
    </row>
    <row r="2102" spans="1:7" x14ac:dyDescent="0.25">
      <c r="A2102" s="29">
        <v>39708</v>
      </c>
      <c r="B2102" s="30">
        <v>66</v>
      </c>
      <c r="C2102" s="30">
        <v>67.2</v>
      </c>
      <c r="D2102" s="30"/>
      <c r="E2102" s="30"/>
      <c r="F2102" s="30">
        <v>63.2</v>
      </c>
      <c r="G2102" s="30">
        <v>66.099999999999994</v>
      </c>
    </row>
    <row r="2103" spans="1:7" x14ac:dyDescent="0.25">
      <c r="A2103" s="29">
        <v>39709</v>
      </c>
      <c r="B2103" s="30">
        <v>67.599999999999994</v>
      </c>
      <c r="C2103" s="30">
        <v>69</v>
      </c>
      <c r="D2103" s="30"/>
      <c r="E2103" s="30"/>
      <c r="F2103" s="30">
        <v>65.2</v>
      </c>
      <c r="G2103" s="30">
        <v>67.099999999999994</v>
      </c>
    </row>
    <row r="2104" spans="1:7" x14ac:dyDescent="0.25">
      <c r="A2104" s="29">
        <v>39710</v>
      </c>
      <c r="B2104" s="30">
        <v>61.3</v>
      </c>
      <c r="C2104" s="30">
        <v>61.8</v>
      </c>
      <c r="D2104" s="30"/>
      <c r="E2104" s="30"/>
      <c r="F2104" s="30">
        <v>60.7</v>
      </c>
      <c r="G2104" s="30">
        <v>59.9</v>
      </c>
    </row>
    <row r="2105" spans="1:7" x14ac:dyDescent="0.25">
      <c r="A2105" s="29">
        <v>39711</v>
      </c>
      <c r="B2105" s="30">
        <v>59.1</v>
      </c>
      <c r="C2105" s="30">
        <v>60.6</v>
      </c>
      <c r="D2105" s="30"/>
      <c r="E2105" s="30"/>
      <c r="F2105" s="30">
        <v>58.7</v>
      </c>
      <c r="G2105" s="30">
        <v>60.3</v>
      </c>
    </row>
    <row r="2106" spans="1:7" x14ac:dyDescent="0.25">
      <c r="A2106" s="29">
        <v>39712</v>
      </c>
      <c r="B2106" s="30">
        <v>64.3</v>
      </c>
      <c r="C2106" s="30">
        <v>67.400000000000006</v>
      </c>
      <c r="D2106" s="30"/>
      <c r="E2106" s="30"/>
      <c r="F2106" s="30">
        <v>60.8</v>
      </c>
      <c r="G2106" s="30">
        <v>65.099999999999994</v>
      </c>
    </row>
    <row r="2107" spans="1:7" x14ac:dyDescent="0.25">
      <c r="A2107" s="29">
        <v>39713</v>
      </c>
      <c r="B2107" s="30">
        <v>66.900000000000006</v>
      </c>
      <c r="C2107" s="30">
        <v>67.900000000000006</v>
      </c>
      <c r="D2107" s="30"/>
      <c r="E2107" s="30"/>
      <c r="F2107" s="30">
        <v>63</v>
      </c>
      <c r="G2107" s="30">
        <v>67.400000000000006</v>
      </c>
    </row>
    <row r="2108" spans="1:7" x14ac:dyDescent="0.25">
      <c r="A2108" s="29">
        <v>39714</v>
      </c>
      <c r="B2108" s="30">
        <v>62.7</v>
      </c>
      <c r="C2108" s="30">
        <v>63.3</v>
      </c>
      <c r="D2108" s="30"/>
      <c r="E2108" s="30"/>
      <c r="F2108" s="30">
        <v>63.6</v>
      </c>
      <c r="G2108" s="30">
        <v>63</v>
      </c>
    </row>
    <row r="2109" spans="1:7" x14ac:dyDescent="0.25">
      <c r="A2109" s="29">
        <v>39715</v>
      </c>
      <c r="B2109" s="30">
        <v>61.3</v>
      </c>
      <c r="C2109" s="30">
        <v>63.4</v>
      </c>
      <c r="D2109" s="30"/>
      <c r="E2109" s="30"/>
      <c r="F2109" s="30">
        <v>58.5</v>
      </c>
      <c r="G2109" s="30">
        <v>62.5</v>
      </c>
    </row>
    <row r="2110" spans="1:7" x14ac:dyDescent="0.25">
      <c r="A2110" s="29">
        <v>39716</v>
      </c>
      <c r="B2110" s="30">
        <v>61</v>
      </c>
      <c r="C2110" s="30">
        <v>61.9</v>
      </c>
      <c r="D2110" s="30"/>
      <c r="E2110" s="30"/>
      <c r="F2110" s="30">
        <v>62.8</v>
      </c>
      <c r="G2110" s="30">
        <v>61.3</v>
      </c>
    </row>
    <row r="2111" spans="1:7" x14ac:dyDescent="0.25">
      <c r="A2111" s="29">
        <v>39717</v>
      </c>
      <c r="B2111" s="30">
        <v>64</v>
      </c>
      <c r="C2111" s="30">
        <v>63.4</v>
      </c>
      <c r="D2111" s="30"/>
      <c r="E2111" s="30"/>
      <c r="F2111" s="30">
        <v>66.099999999999994</v>
      </c>
      <c r="G2111" s="30">
        <v>62.5</v>
      </c>
    </row>
    <row r="2112" spans="1:7" x14ac:dyDescent="0.25">
      <c r="A2112" s="29">
        <v>39718</v>
      </c>
      <c r="B2112" s="30">
        <v>68.099999999999994</v>
      </c>
      <c r="C2112" s="30">
        <v>65.900000000000006</v>
      </c>
      <c r="D2112" s="30"/>
      <c r="E2112" s="30"/>
      <c r="F2112" s="30">
        <v>69.2</v>
      </c>
      <c r="G2112" s="30">
        <v>67.099999999999994</v>
      </c>
    </row>
    <row r="2113" spans="1:7" x14ac:dyDescent="0.25">
      <c r="A2113" s="29">
        <v>39719</v>
      </c>
      <c r="B2113" s="30">
        <v>68</v>
      </c>
      <c r="C2113" s="30">
        <v>69.3</v>
      </c>
      <c r="D2113" s="30"/>
      <c r="E2113" s="30"/>
      <c r="F2113" s="30">
        <v>69.400000000000006</v>
      </c>
      <c r="G2113" s="30">
        <v>69.400000000000006</v>
      </c>
    </row>
    <row r="2114" spans="1:7" x14ac:dyDescent="0.25">
      <c r="A2114" s="29">
        <v>39720</v>
      </c>
      <c r="B2114" s="30">
        <v>69.7</v>
      </c>
      <c r="C2114" s="30">
        <v>69.5</v>
      </c>
      <c r="D2114" s="30"/>
      <c r="E2114" s="30"/>
      <c r="F2114" s="30">
        <v>69</v>
      </c>
      <c r="G2114" s="30">
        <v>68.900000000000006</v>
      </c>
    </row>
    <row r="2115" spans="1:7" x14ac:dyDescent="0.25">
      <c r="A2115" s="29">
        <v>39721</v>
      </c>
      <c r="B2115" s="30">
        <v>65.099999999999994</v>
      </c>
      <c r="C2115" s="30">
        <v>65.8</v>
      </c>
      <c r="D2115" s="30"/>
      <c r="E2115" s="30"/>
      <c r="F2115" s="30">
        <v>63.8</v>
      </c>
      <c r="G2115" s="30">
        <v>64.5</v>
      </c>
    </row>
    <row r="2116" spans="1:7" x14ac:dyDescent="0.25">
      <c r="A2116" s="29">
        <v>39722</v>
      </c>
      <c r="B2116" s="30">
        <v>66.3</v>
      </c>
      <c r="C2116" s="30">
        <v>67.099999999999994</v>
      </c>
      <c r="D2116" s="30"/>
      <c r="E2116" s="30"/>
      <c r="F2116" s="30">
        <v>65.099999999999994</v>
      </c>
      <c r="G2116" s="30">
        <v>66.099999999999994</v>
      </c>
    </row>
    <row r="2117" spans="1:7" x14ac:dyDescent="0.25">
      <c r="A2117" s="29">
        <v>39723</v>
      </c>
      <c r="B2117" s="30">
        <v>60.1</v>
      </c>
      <c r="C2117" s="30">
        <v>60.6</v>
      </c>
      <c r="D2117" s="30"/>
      <c r="E2117" s="30"/>
      <c r="F2117" s="30">
        <v>59.2</v>
      </c>
      <c r="G2117" s="30">
        <v>58.9</v>
      </c>
    </row>
    <row r="2118" spans="1:7" x14ac:dyDescent="0.25">
      <c r="A2118" s="29">
        <v>39724</v>
      </c>
      <c r="B2118" s="30">
        <v>58.9</v>
      </c>
      <c r="C2118" s="30">
        <v>59</v>
      </c>
      <c r="D2118" s="30"/>
      <c r="E2118" s="30"/>
      <c r="F2118" s="30">
        <v>58.9</v>
      </c>
      <c r="G2118" s="30">
        <v>56.6</v>
      </c>
    </row>
    <row r="2119" spans="1:7" x14ac:dyDescent="0.25">
      <c r="A2119" s="29">
        <v>39725</v>
      </c>
      <c r="B2119" s="30">
        <v>55.7</v>
      </c>
      <c r="C2119" s="30">
        <v>57.3</v>
      </c>
      <c r="D2119" s="30"/>
      <c r="E2119" s="30"/>
      <c r="F2119" s="30">
        <v>58.6</v>
      </c>
      <c r="G2119" s="30">
        <v>54.5</v>
      </c>
    </row>
    <row r="2120" spans="1:7" x14ac:dyDescent="0.25">
      <c r="A2120" s="29">
        <v>39726</v>
      </c>
      <c r="B2120" s="30">
        <v>58.8</v>
      </c>
      <c r="C2120" s="30">
        <v>59</v>
      </c>
      <c r="D2120" s="30"/>
      <c r="E2120" s="30"/>
      <c r="F2120" s="30">
        <v>60.6</v>
      </c>
      <c r="G2120" s="30">
        <v>58.3</v>
      </c>
    </row>
    <row r="2121" spans="1:7" x14ac:dyDescent="0.25">
      <c r="A2121" s="29">
        <v>39727</v>
      </c>
      <c r="B2121" s="30">
        <v>57</v>
      </c>
      <c r="C2121" s="30">
        <v>57.4</v>
      </c>
      <c r="D2121" s="30"/>
      <c r="E2121" s="30"/>
      <c r="F2121" s="30">
        <v>57.9</v>
      </c>
      <c r="G2121" s="30">
        <v>56.9</v>
      </c>
    </row>
    <row r="2122" spans="1:7" x14ac:dyDescent="0.25">
      <c r="A2122" s="29">
        <v>39728</v>
      </c>
      <c r="B2122" s="30">
        <v>54</v>
      </c>
      <c r="C2122" s="30">
        <v>54.9</v>
      </c>
      <c r="D2122" s="30"/>
      <c r="E2122" s="30"/>
      <c r="F2122" s="30">
        <v>52.7</v>
      </c>
      <c r="G2122" s="30">
        <v>53.8</v>
      </c>
    </row>
    <row r="2123" spans="1:7" x14ac:dyDescent="0.25">
      <c r="A2123" s="29">
        <v>39729</v>
      </c>
      <c r="B2123" s="30">
        <v>55.3</v>
      </c>
      <c r="C2123" s="30">
        <v>59.2</v>
      </c>
      <c r="D2123" s="30"/>
      <c r="E2123" s="30"/>
      <c r="F2123" s="30">
        <v>53.1</v>
      </c>
      <c r="G2123" s="30">
        <v>56.3</v>
      </c>
    </row>
    <row r="2124" spans="1:7" x14ac:dyDescent="0.25">
      <c r="A2124" s="29">
        <v>39730</v>
      </c>
      <c r="B2124" s="30">
        <v>65.599999999999994</v>
      </c>
      <c r="C2124" s="30">
        <v>66.599999999999994</v>
      </c>
      <c r="D2124" s="30"/>
      <c r="E2124" s="30"/>
      <c r="F2124" s="30">
        <v>67.900000000000006</v>
      </c>
      <c r="G2124" s="30">
        <v>65.900000000000006</v>
      </c>
    </row>
    <row r="2125" spans="1:7" x14ac:dyDescent="0.25">
      <c r="A2125" s="29">
        <v>39731</v>
      </c>
      <c r="B2125" s="30">
        <v>66.400000000000006</v>
      </c>
      <c r="C2125" s="30">
        <v>68.400000000000006</v>
      </c>
      <c r="D2125" s="30"/>
      <c r="E2125" s="30"/>
      <c r="F2125" s="30">
        <v>66.400000000000006</v>
      </c>
      <c r="G2125" s="30">
        <v>66.5</v>
      </c>
    </row>
    <row r="2126" spans="1:7" x14ac:dyDescent="0.25">
      <c r="A2126" s="29">
        <v>39732</v>
      </c>
      <c r="B2126" s="30">
        <v>61.2</v>
      </c>
      <c r="C2126" s="30">
        <v>63.8</v>
      </c>
      <c r="D2126" s="30"/>
      <c r="E2126" s="30"/>
      <c r="F2126" s="30">
        <v>57.4</v>
      </c>
      <c r="G2126" s="30">
        <v>62.2</v>
      </c>
    </row>
    <row r="2127" spans="1:7" x14ac:dyDescent="0.25">
      <c r="A2127" s="29">
        <v>39733</v>
      </c>
      <c r="B2127" s="30">
        <v>60.5</v>
      </c>
      <c r="C2127" s="30">
        <v>62.8</v>
      </c>
      <c r="D2127" s="30"/>
      <c r="E2127" s="30"/>
      <c r="F2127" s="30">
        <v>57.8</v>
      </c>
      <c r="G2127" s="30">
        <v>60.9</v>
      </c>
    </row>
    <row r="2128" spans="1:7" x14ac:dyDescent="0.25">
      <c r="A2128" s="29">
        <v>39734</v>
      </c>
      <c r="B2128" s="30">
        <v>64.599999999999994</v>
      </c>
      <c r="C2128" s="30">
        <v>65.3</v>
      </c>
      <c r="D2128" s="30"/>
      <c r="E2128" s="30"/>
      <c r="F2128" s="30">
        <v>61.4</v>
      </c>
      <c r="G2128" s="30">
        <v>63.6</v>
      </c>
    </row>
    <row r="2129" spans="1:7" x14ac:dyDescent="0.25">
      <c r="A2129" s="29">
        <v>39735</v>
      </c>
      <c r="B2129" s="30">
        <v>62.6</v>
      </c>
      <c r="C2129" s="30">
        <v>64</v>
      </c>
      <c r="D2129" s="30"/>
      <c r="E2129" s="30"/>
      <c r="F2129" s="30">
        <v>61.9</v>
      </c>
      <c r="G2129" s="30">
        <v>66.099999999999994</v>
      </c>
    </row>
    <row r="2130" spans="1:7" x14ac:dyDescent="0.25">
      <c r="A2130" s="29">
        <v>39736</v>
      </c>
      <c r="B2130" s="30">
        <v>64.5</v>
      </c>
      <c r="C2130" s="30">
        <v>66.2</v>
      </c>
      <c r="D2130" s="30"/>
      <c r="E2130" s="30"/>
      <c r="F2130" s="30">
        <v>67.8</v>
      </c>
      <c r="G2130" s="30">
        <v>66</v>
      </c>
    </row>
    <row r="2131" spans="1:7" x14ac:dyDescent="0.25">
      <c r="A2131" s="29">
        <v>39737</v>
      </c>
      <c r="B2131" s="30">
        <v>67.2</v>
      </c>
      <c r="C2131" s="30">
        <v>67.7</v>
      </c>
      <c r="D2131" s="30"/>
      <c r="E2131" s="30"/>
      <c r="F2131" s="30">
        <v>70.900000000000006</v>
      </c>
      <c r="G2131" s="30">
        <v>66.900000000000006</v>
      </c>
    </row>
    <row r="2132" spans="1:7" x14ac:dyDescent="0.25">
      <c r="A2132" s="29">
        <v>39738</v>
      </c>
      <c r="B2132" s="30">
        <v>57.1</v>
      </c>
      <c r="C2132" s="30">
        <v>57.2</v>
      </c>
      <c r="D2132" s="30"/>
      <c r="E2132" s="30"/>
      <c r="F2132" s="30">
        <v>58.1</v>
      </c>
      <c r="G2132" s="30">
        <v>56.7</v>
      </c>
    </row>
    <row r="2133" spans="1:7" x14ac:dyDescent="0.25">
      <c r="A2133" s="29">
        <v>39739</v>
      </c>
      <c r="B2133" s="30">
        <v>52.2</v>
      </c>
      <c r="C2133" s="30">
        <v>51.7</v>
      </c>
      <c r="D2133" s="30"/>
      <c r="E2133" s="30"/>
      <c r="F2133" s="30">
        <v>51.9</v>
      </c>
      <c r="G2133" s="30">
        <v>50.7</v>
      </c>
    </row>
    <row r="2134" spans="1:7" x14ac:dyDescent="0.25">
      <c r="A2134" s="29">
        <v>39740</v>
      </c>
      <c r="B2134" s="30">
        <v>49.4</v>
      </c>
      <c r="C2134" s="30">
        <v>49.8</v>
      </c>
      <c r="D2134" s="30"/>
      <c r="E2134" s="30"/>
      <c r="F2134" s="30">
        <v>48.9</v>
      </c>
      <c r="G2134" s="30">
        <v>47.9</v>
      </c>
    </row>
    <row r="2135" spans="1:7" x14ac:dyDescent="0.25">
      <c r="A2135" s="29">
        <v>39741</v>
      </c>
      <c r="B2135" s="30">
        <v>49.9</v>
      </c>
      <c r="C2135" s="30">
        <v>51.5</v>
      </c>
      <c r="D2135" s="30"/>
      <c r="E2135" s="30"/>
      <c r="F2135" s="30">
        <v>45.7</v>
      </c>
      <c r="G2135" s="30">
        <v>48.6</v>
      </c>
    </row>
    <row r="2136" spans="1:7" x14ac:dyDescent="0.25">
      <c r="A2136" s="29">
        <v>39742</v>
      </c>
      <c r="B2136" s="30">
        <v>53.9</v>
      </c>
      <c r="C2136" s="30">
        <v>55.5</v>
      </c>
      <c r="D2136" s="30"/>
      <c r="E2136" s="30"/>
      <c r="F2136" s="30">
        <v>51.7</v>
      </c>
      <c r="G2136" s="30">
        <v>50.5</v>
      </c>
    </row>
    <row r="2137" spans="1:7" x14ac:dyDescent="0.25">
      <c r="A2137" s="29">
        <v>39743</v>
      </c>
      <c r="B2137" s="30">
        <v>48.1</v>
      </c>
      <c r="C2137" s="30">
        <v>48</v>
      </c>
      <c r="D2137" s="30"/>
      <c r="E2137" s="30"/>
      <c r="F2137" s="30">
        <v>49.1</v>
      </c>
      <c r="G2137" s="30">
        <v>47.6</v>
      </c>
    </row>
    <row r="2138" spans="1:7" x14ac:dyDescent="0.25">
      <c r="A2138" s="29">
        <v>39744</v>
      </c>
      <c r="B2138" s="30">
        <v>45.5</v>
      </c>
      <c r="C2138" s="30">
        <v>45.8</v>
      </c>
      <c r="D2138" s="30"/>
      <c r="E2138" s="30"/>
      <c r="F2138" s="30">
        <v>46.9</v>
      </c>
      <c r="G2138" s="30">
        <v>45.4</v>
      </c>
    </row>
    <row r="2139" spans="1:7" x14ac:dyDescent="0.25">
      <c r="A2139" s="29">
        <v>39745</v>
      </c>
      <c r="B2139" s="30">
        <v>46.2</v>
      </c>
      <c r="C2139" s="30">
        <v>49.6</v>
      </c>
      <c r="D2139" s="30"/>
      <c r="E2139" s="30"/>
      <c r="F2139" s="30">
        <v>42.9</v>
      </c>
      <c r="G2139" s="30">
        <v>45.9</v>
      </c>
    </row>
    <row r="2140" spans="1:7" x14ac:dyDescent="0.25">
      <c r="A2140" s="29">
        <v>39746</v>
      </c>
      <c r="B2140" s="30">
        <v>59.6</v>
      </c>
      <c r="C2140" s="30">
        <v>59.5</v>
      </c>
      <c r="D2140" s="30"/>
      <c r="E2140" s="30"/>
      <c r="F2140" s="30">
        <v>61.7</v>
      </c>
      <c r="G2140" s="30">
        <v>58.2</v>
      </c>
    </row>
    <row r="2141" spans="1:7" x14ac:dyDescent="0.25">
      <c r="A2141" s="29">
        <v>39747</v>
      </c>
      <c r="B2141" s="30">
        <v>57.9</v>
      </c>
      <c r="C2141" s="30">
        <v>58</v>
      </c>
      <c r="D2141" s="30"/>
      <c r="E2141" s="30"/>
      <c r="F2141" s="30">
        <v>56.6</v>
      </c>
      <c r="G2141" s="30">
        <v>56.9</v>
      </c>
    </row>
    <row r="2142" spans="1:7" x14ac:dyDescent="0.25">
      <c r="A2142" s="29">
        <v>39748</v>
      </c>
      <c r="B2142" s="30">
        <v>56</v>
      </c>
      <c r="C2142" s="30">
        <v>57.5</v>
      </c>
      <c r="D2142" s="30"/>
      <c r="E2142" s="30"/>
      <c r="F2142" s="30">
        <v>53.4</v>
      </c>
      <c r="G2142" s="30">
        <v>54.4</v>
      </c>
    </row>
    <row r="2143" spans="1:7" x14ac:dyDescent="0.25">
      <c r="A2143" s="29">
        <v>39749</v>
      </c>
      <c r="B2143" s="30">
        <v>47.5</v>
      </c>
      <c r="C2143" s="30">
        <v>47.5</v>
      </c>
      <c r="D2143" s="30"/>
      <c r="E2143" s="30"/>
      <c r="F2143" s="30">
        <v>43.6</v>
      </c>
      <c r="G2143" s="30">
        <v>43.8</v>
      </c>
    </row>
    <row r="2144" spans="1:7" x14ac:dyDescent="0.25">
      <c r="A2144" s="29">
        <v>39750</v>
      </c>
      <c r="B2144" s="30">
        <v>43.5</v>
      </c>
      <c r="C2144" s="30">
        <v>43.9</v>
      </c>
      <c r="D2144" s="30"/>
      <c r="E2144" s="30"/>
      <c r="F2144" s="30">
        <v>45.8</v>
      </c>
      <c r="G2144" s="30">
        <v>42.6</v>
      </c>
    </row>
    <row r="2145" spans="1:7" x14ac:dyDescent="0.25">
      <c r="A2145" s="29">
        <v>39751</v>
      </c>
      <c r="B2145" s="30">
        <v>42.4</v>
      </c>
      <c r="C2145" s="30">
        <v>42.8</v>
      </c>
      <c r="D2145" s="30"/>
      <c r="E2145" s="30"/>
      <c r="F2145" s="30">
        <v>41.8</v>
      </c>
      <c r="G2145" s="30">
        <v>41.4</v>
      </c>
    </row>
    <row r="2146" spans="1:7" x14ac:dyDescent="0.25">
      <c r="A2146" s="29">
        <v>39752</v>
      </c>
      <c r="B2146" s="30">
        <v>48.7</v>
      </c>
      <c r="C2146" s="30">
        <v>50.6</v>
      </c>
      <c r="D2146" s="30"/>
      <c r="E2146" s="30"/>
      <c r="F2146" s="30">
        <v>45.9</v>
      </c>
      <c r="G2146" s="30">
        <v>47.5</v>
      </c>
    </row>
    <row r="2147" spans="1:7" x14ac:dyDescent="0.25">
      <c r="A2147" s="29">
        <v>39753</v>
      </c>
      <c r="B2147" s="30">
        <v>55.9</v>
      </c>
      <c r="C2147" s="30">
        <v>59</v>
      </c>
      <c r="D2147" s="30"/>
      <c r="E2147" s="30"/>
      <c r="F2147" s="30">
        <v>57.1</v>
      </c>
      <c r="G2147" s="30">
        <v>55.4</v>
      </c>
    </row>
    <row r="2148" spans="1:7" x14ac:dyDescent="0.25">
      <c r="A2148" s="29">
        <v>39754</v>
      </c>
      <c r="B2148" s="30">
        <v>47.1</v>
      </c>
      <c r="C2148" s="30">
        <v>47.4</v>
      </c>
      <c r="D2148" s="30"/>
      <c r="E2148" s="30"/>
      <c r="F2148" s="30">
        <v>52.3</v>
      </c>
      <c r="G2148" s="30">
        <v>47</v>
      </c>
    </row>
    <row r="2149" spans="1:7" x14ac:dyDescent="0.25">
      <c r="A2149" s="29">
        <v>39755</v>
      </c>
      <c r="B2149" s="30">
        <v>48.9</v>
      </c>
      <c r="C2149" s="30">
        <v>49.9</v>
      </c>
      <c r="D2149" s="30"/>
      <c r="E2149" s="30"/>
      <c r="F2149" s="30">
        <v>48.6</v>
      </c>
      <c r="G2149" s="30">
        <v>49.9</v>
      </c>
    </row>
    <row r="2150" spans="1:7" x14ac:dyDescent="0.25">
      <c r="A2150" s="29">
        <v>39756</v>
      </c>
      <c r="B2150" s="30">
        <v>53.8</v>
      </c>
      <c r="C2150" s="30">
        <v>55.4</v>
      </c>
      <c r="D2150" s="30"/>
      <c r="E2150" s="30"/>
      <c r="F2150" s="30">
        <v>54.5</v>
      </c>
      <c r="G2150" s="30">
        <v>54.5</v>
      </c>
    </row>
    <row r="2151" spans="1:7" x14ac:dyDescent="0.25">
      <c r="A2151" s="29">
        <v>39757</v>
      </c>
      <c r="B2151" s="30">
        <v>58.6</v>
      </c>
      <c r="C2151" s="30">
        <v>57.8</v>
      </c>
      <c r="D2151" s="30"/>
      <c r="E2151" s="30"/>
      <c r="F2151" s="30">
        <v>57.7</v>
      </c>
      <c r="G2151" s="30">
        <v>58.3</v>
      </c>
    </row>
    <row r="2152" spans="1:7" x14ac:dyDescent="0.25">
      <c r="A2152" s="29">
        <v>39758</v>
      </c>
      <c r="B2152" s="30">
        <v>60.9</v>
      </c>
      <c r="C2152" s="30">
        <v>60.8</v>
      </c>
      <c r="D2152" s="30"/>
      <c r="E2152" s="30"/>
      <c r="F2152" s="30">
        <v>59.9</v>
      </c>
      <c r="G2152" s="30">
        <v>60</v>
      </c>
    </row>
    <row r="2153" spans="1:7" x14ac:dyDescent="0.25">
      <c r="A2153" s="29">
        <v>39759</v>
      </c>
      <c r="B2153" s="30">
        <v>60.8</v>
      </c>
      <c r="C2153" s="30">
        <v>60.9</v>
      </c>
      <c r="D2153" s="30"/>
      <c r="E2153" s="30"/>
      <c r="F2153" s="30">
        <v>59.7</v>
      </c>
      <c r="G2153" s="30">
        <v>61.2</v>
      </c>
    </row>
    <row r="2154" spans="1:7" x14ac:dyDescent="0.25">
      <c r="A2154" s="29">
        <v>39760</v>
      </c>
      <c r="B2154" s="30">
        <v>57.7</v>
      </c>
      <c r="C2154" s="30">
        <v>59.2</v>
      </c>
      <c r="D2154" s="30"/>
      <c r="E2154" s="30"/>
      <c r="F2154" s="30">
        <v>58.3</v>
      </c>
      <c r="G2154" s="30">
        <v>59.2</v>
      </c>
    </row>
    <row r="2155" spans="1:7" x14ac:dyDescent="0.25">
      <c r="A2155" s="29">
        <v>39761</v>
      </c>
      <c r="B2155" s="30">
        <v>54.1</v>
      </c>
      <c r="C2155" s="30">
        <v>54.4</v>
      </c>
      <c r="D2155" s="30"/>
      <c r="E2155" s="30"/>
      <c r="F2155" s="30">
        <v>52.6</v>
      </c>
      <c r="G2155" s="30">
        <v>52.7</v>
      </c>
    </row>
    <row r="2156" spans="1:7" x14ac:dyDescent="0.25">
      <c r="A2156" s="29">
        <v>39762</v>
      </c>
      <c r="B2156" s="30">
        <v>49.1</v>
      </c>
      <c r="C2156" s="30">
        <v>49.3</v>
      </c>
      <c r="D2156" s="30"/>
      <c r="E2156" s="30"/>
      <c r="F2156" s="30">
        <v>47.4</v>
      </c>
      <c r="G2156" s="30">
        <v>47.8</v>
      </c>
    </row>
    <row r="2157" spans="1:7" x14ac:dyDescent="0.25">
      <c r="A2157" s="29">
        <v>39763</v>
      </c>
      <c r="B2157" s="30">
        <v>44.8</v>
      </c>
      <c r="C2157" s="30">
        <v>44.9</v>
      </c>
      <c r="D2157" s="30"/>
      <c r="E2157" s="30"/>
      <c r="F2157" s="30">
        <v>41</v>
      </c>
      <c r="G2157" s="30">
        <v>43.3</v>
      </c>
    </row>
    <row r="2158" spans="1:7" x14ac:dyDescent="0.25">
      <c r="A2158" s="29">
        <v>39764</v>
      </c>
      <c r="B2158" s="30">
        <v>44.8</v>
      </c>
      <c r="C2158" s="30">
        <v>46.1</v>
      </c>
      <c r="D2158" s="30"/>
      <c r="E2158" s="30"/>
      <c r="F2158" s="30">
        <v>43.1</v>
      </c>
      <c r="G2158" s="30">
        <v>44.7</v>
      </c>
    </row>
    <row r="2159" spans="1:7" x14ac:dyDescent="0.25">
      <c r="A2159" s="29">
        <v>39765</v>
      </c>
      <c r="B2159" s="30">
        <v>49.3</v>
      </c>
      <c r="C2159" s="30">
        <v>50.5</v>
      </c>
      <c r="D2159" s="30"/>
      <c r="E2159" s="30"/>
      <c r="F2159" s="30">
        <v>49.5</v>
      </c>
      <c r="G2159" s="30">
        <v>49.4</v>
      </c>
    </row>
    <row r="2160" spans="1:7" x14ac:dyDescent="0.25">
      <c r="A2160" s="29">
        <v>39766</v>
      </c>
      <c r="B2160" s="30">
        <v>57.9</v>
      </c>
      <c r="C2160" s="30">
        <v>58.1</v>
      </c>
      <c r="D2160" s="30"/>
      <c r="E2160" s="30"/>
      <c r="F2160" s="30">
        <v>59.9</v>
      </c>
      <c r="G2160" s="30">
        <v>58.8</v>
      </c>
    </row>
    <row r="2161" spans="1:7" x14ac:dyDescent="0.25">
      <c r="A2161" s="29">
        <v>39767</v>
      </c>
      <c r="B2161" s="30">
        <v>59.5</v>
      </c>
      <c r="C2161" s="30">
        <v>61.1</v>
      </c>
      <c r="D2161" s="30"/>
      <c r="E2161" s="30"/>
      <c r="F2161" s="30">
        <v>61.7</v>
      </c>
      <c r="G2161" s="30">
        <v>62.6</v>
      </c>
    </row>
    <row r="2162" spans="1:7" x14ac:dyDescent="0.25">
      <c r="A2162" s="29">
        <v>39768</v>
      </c>
      <c r="B2162" s="30">
        <v>52.5</v>
      </c>
      <c r="C2162" s="30">
        <v>53</v>
      </c>
      <c r="D2162" s="30"/>
      <c r="E2162" s="30"/>
      <c r="F2162" s="30">
        <v>52.3</v>
      </c>
      <c r="G2162" s="30">
        <v>52.2</v>
      </c>
    </row>
    <row r="2163" spans="1:7" x14ac:dyDescent="0.25">
      <c r="A2163" s="29">
        <v>39769</v>
      </c>
      <c r="B2163" s="30">
        <v>42.6</v>
      </c>
      <c r="C2163" s="30">
        <v>42.7</v>
      </c>
      <c r="D2163" s="30"/>
      <c r="E2163" s="30"/>
      <c r="F2163" s="30">
        <v>42</v>
      </c>
      <c r="G2163" s="30">
        <v>41.7</v>
      </c>
    </row>
    <row r="2164" spans="1:7" x14ac:dyDescent="0.25">
      <c r="A2164" s="29">
        <v>39770</v>
      </c>
      <c r="B2164" s="30">
        <v>38.299999999999997</v>
      </c>
      <c r="C2164" s="30">
        <v>38.700000000000003</v>
      </c>
      <c r="D2164" s="30"/>
      <c r="E2164" s="30"/>
      <c r="F2164" s="30">
        <v>38.299999999999997</v>
      </c>
      <c r="G2164" s="30">
        <v>37</v>
      </c>
    </row>
    <row r="2165" spans="1:7" x14ac:dyDescent="0.25">
      <c r="A2165" s="29">
        <v>39771</v>
      </c>
      <c r="B2165" s="30">
        <v>32</v>
      </c>
      <c r="C2165" s="30">
        <v>32.299999999999997</v>
      </c>
      <c r="D2165" s="30"/>
      <c r="E2165" s="30"/>
      <c r="F2165" s="30">
        <v>31.4</v>
      </c>
      <c r="G2165" s="30">
        <v>31.2</v>
      </c>
    </row>
    <row r="2166" spans="1:7" x14ac:dyDescent="0.25">
      <c r="A2166" s="29">
        <v>39772</v>
      </c>
      <c r="B2166" s="30">
        <v>34.1</v>
      </c>
      <c r="C2166" s="30">
        <v>33.700000000000003</v>
      </c>
      <c r="D2166" s="30"/>
      <c r="E2166" s="30"/>
      <c r="F2166" s="30">
        <v>35.1</v>
      </c>
      <c r="G2166" s="30">
        <v>33.799999999999997</v>
      </c>
    </row>
    <row r="2167" spans="1:7" x14ac:dyDescent="0.25">
      <c r="A2167" s="29">
        <v>39773</v>
      </c>
      <c r="B2167" s="30">
        <v>33.9</v>
      </c>
      <c r="C2167" s="30">
        <v>34.6</v>
      </c>
      <c r="D2167" s="30"/>
      <c r="E2167" s="30"/>
      <c r="F2167" s="30">
        <v>32.4</v>
      </c>
      <c r="G2167" s="30">
        <v>33.4</v>
      </c>
    </row>
    <row r="2168" spans="1:7" x14ac:dyDescent="0.25">
      <c r="A2168" s="29">
        <v>39774</v>
      </c>
      <c r="B2168" s="30">
        <v>28.6</v>
      </c>
      <c r="C2168" s="30">
        <v>29.2</v>
      </c>
      <c r="D2168" s="30"/>
      <c r="E2168" s="30"/>
      <c r="F2168" s="30">
        <v>30</v>
      </c>
      <c r="G2168" s="30">
        <v>28.4</v>
      </c>
    </row>
    <row r="2169" spans="1:7" x14ac:dyDescent="0.25">
      <c r="A2169" s="29">
        <v>39775</v>
      </c>
      <c r="B2169" s="30">
        <v>30.5</v>
      </c>
      <c r="C2169" s="30">
        <v>30.5</v>
      </c>
      <c r="D2169" s="30"/>
      <c r="E2169" s="30"/>
      <c r="F2169" s="30">
        <v>31</v>
      </c>
      <c r="G2169" s="30">
        <v>29.6</v>
      </c>
    </row>
    <row r="2170" spans="1:7" x14ac:dyDescent="0.25">
      <c r="A2170" s="29">
        <v>39776</v>
      </c>
      <c r="B2170" s="30">
        <v>39.700000000000003</v>
      </c>
      <c r="C2170" s="30">
        <v>40.200000000000003</v>
      </c>
      <c r="D2170" s="30"/>
      <c r="E2170" s="30"/>
      <c r="F2170" s="30">
        <v>34</v>
      </c>
      <c r="G2170" s="30">
        <v>36.799999999999997</v>
      </c>
    </row>
    <row r="2171" spans="1:7" x14ac:dyDescent="0.25">
      <c r="A2171" s="29">
        <v>39777</v>
      </c>
      <c r="B2171" s="30">
        <v>46.5</v>
      </c>
      <c r="C2171" s="30">
        <v>46.2</v>
      </c>
      <c r="D2171" s="30"/>
      <c r="E2171" s="30"/>
      <c r="F2171" s="30">
        <v>46.6</v>
      </c>
      <c r="G2171" s="30">
        <v>44.8</v>
      </c>
    </row>
    <row r="2172" spans="1:7" x14ac:dyDescent="0.25">
      <c r="A2172" s="29">
        <v>39778</v>
      </c>
      <c r="B2172" s="30">
        <v>41.2</v>
      </c>
      <c r="C2172" s="30">
        <v>41.5</v>
      </c>
      <c r="D2172" s="30"/>
      <c r="E2172" s="30"/>
      <c r="F2172" s="30">
        <v>40.6</v>
      </c>
      <c r="G2172" s="30">
        <v>39.1</v>
      </c>
    </row>
    <row r="2173" spans="1:7" x14ac:dyDescent="0.25">
      <c r="A2173" s="29">
        <v>39779</v>
      </c>
      <c r="B2173" s="30">
        <v>40.5</v>
      </c>
      <c r="C2173" s="30">
        <v>40.799999999999997</v>
      </c>
      <c r="D2173" s="30"/>
      <c r="E2173" s="30"/>
      <c r="F2173" s="30">
        <v>38.200000000000003</v>
      </c>
      <c r="G2173" s="30">
        <v>39.299999999999997</v>
      </c>
    </row>
    <row r="2174" spans="1:7" x14ac:dyDescent="0.25">
      <c r="A2174" s="29">
        <v>39780</v>
      </c>
      <c r="B2174" s="30">
        <v>42.9</v>
      </c>
      <c r="C2174" s="30">
        <v>43.4</v>
      </c>
      <c r="D2174" s="30"/>
      <c r="E2174" s="30"/>
      <c r="F2174" s="30">
        <v>39.5</v>
      </c>
      <c r="G2174" s="30">
        <v>40.1</v>
      </c>
    </row>
    <row r="2175" spans="1:7" x14ac:dyDescent="0.25">
      <c r="A2175" s="29">
        <v>39781</v>
      </c>
      <c r="B2175" s="30">
        <v>41.6</v>
      </c>
      <c r="C2175" s="30">
        <v>42.2</v>
      </c>
      <c r="D2175" s="30"/>
      <c r="E2175" s="30"/>
      <c r="F2175" s="30">
        <v>37.4</v>
      </c>
      <c r="G2175" s="30">
        <v>39.6</v>
      </c>
    </row>
    <row r="2176" spans="1:7" x14ac:dyDescent="0.25">
      <c r="A2176" s="29">
        <v>39782</v>
      </c>
      <c r="B2176" s="30">
        <v>38.299999999999997</v>
      </c>
      <c r="C2176" s="30">
        <v>40.4</v>
      </c>
      <c r="D2176" s="30"/>
      <c r="E2176" s="30"/>
      <c r="F2176" s="30">
        <v>40</v>
      </c>
      <c r="G2176" s="30">
        <v>37.4</v>
      </c>
    </row>
    <row r="2177" spans="1:7" x14ac:dyDescent="0.25">
      <c r="A2177" s="29">
        <v>39783</v>
      </c>
      <c r="B2177" s="30">
        <v>49.8</v>
      </c>
      <c r="C2177" s="30">
        <v>48.3</v>
      </c>
      <c r="D2177" s="30"/>
      <c r="E2177" s="30"/>
      <c r="F2177" s="30">
        <v>53.8</v>
      </c>
      <c r="G2177" s="30">
        <v>47.1</v>
      </c>
    </row>
    <row r="2178" spans="1:7" x14ac:dyDescent="0.25">
      <c r="A2178" s="29">
        <v>39784</v>
      </c>
      <c r="B2178" s="30">
        <v>43.2</v>
      </c>
      <c r="C2178" s="30">
        <v>44.1</v>
      </c>
      <c r="D2178" s="30"/>
      <c r="E2178" s="30"/>
      <c r="F2178" s="30">
        <v>43.2</v>
      </c>
      <c r="G2178" s="30">
        <v>42.1</v>
      </c>
    </row>
    <row r="2179" spans="1:7" x14ac:dyDescent="0.25">
      <c r="A2179" s="29">
        <v>39785</v>
      </c>
      <c r="B2179" s="30">
        <v>38</v>
      </c>
      <c r="C2179" s="30">
        <v>38.700000000000003</v>
      </c>
      <c r="D2179" s="30"/>
      <c r="E2179" s="30"/>
      <c r="F2179" s="30">
        <v>34.5</v>
      </c>
      <c r="G2179" s="30">
        <v>35.9</v>
      </c>
    </row>
    <row r="2180" spans="1:7" x14ac:dyDescent="0.25">
      <c r="A2180" s="29">
        <v>39786</v>
      </c>
      <c r="B2180" s="30">
        <v>43.9</v>
      </c>
      <c r="C2180" s="30">
        <v>43.6</v>
      </c>
      <c r="D2180" s="30"/>
      <c r="E2180" s="30"/>
      <c r="F2180" s="30">
        <v>44.2</v>
      </c>
      <c r="G2180" s="30">
        <v>41.2</v>
      </c>
    </row>
    <row r="2181" spans="1:7" x14ac:dyDescent="0.25">
      <c r="A2181" s="29">
        <v>39787</v>
      </c>
      <c r="B2181" s="30">
        <v>39.4</v>
      </c>
      <c r="C2181" s="30">
        <v>39.200000000000003</v>
      </c>
      <c r="D2181" s="30"/>
      <c r="E2181" s="30"/>
      <c r="F2181" s="30">
        <v>40.200000000000003</v>
      </c>
      <c r="G2181" s="30">
        <v>38.299999999999997</v>
      </c>
    </row>
    <row r="2182" spans="1:7" x14ac:dyDescent="0.25">
      <c r="A2182" s="29">
        <v>39788</v>
      </c>
      <c r="B2182" s="30">
        <v>32.1</v>
      </c>
      <c r="C2182" s="30">
        <v>33.6</v>
      </c>
      <c r="D2182" s="30"/>
      <c r="E2182" s="30"/>
      <c r="F2182" s="30">
        <v>29.8</v>
      </c>
      <c r="G2182" s="30">
        <v>31</v>
      </c>
    </row>
    <row r="2183" spans="1:7" x14ac:dyDescent="0.25">
      <c r="A2183" s="29">
        <v>39789</v>
      </c>
      <c r="B2183" s="30">
        <v>35</v>
      </c>
      <c r="C2183" s="30">
        <v>34.9</v>
      </c>
      <c r="D2183" s="30"/>
      <c r="E2183" s="30"/>
      <c r="F2183" s="30">
        <v>34.700000000000003</v>
      </c>
      <c r="G2183" s="30">
        <v>33.299999999999997</v>
      </c>
    </row>
    <row r="2184" spans="1:7" x14ac:dyDescent="0.25">
      <c r="A2184" s="29">
        <v>39790</v>
      </c>
      <c r="B2184" s="30">
        <v>24.4</v>
      </c>
      <c r="C2184" s="30">
        <v>24.2</v>
      </c>
      <c r="D2184" s="30"/>
      <c r="E2184" s="30"/>
      <c r="F2184" s="30">
        <v>24.7</v>
      </c>
      <c r="G2184" s="30">
        <v>23.4</v>
      </c>
    </row>
    <row r="2185" spans="1:7" x14ac:dyDescent="0.25">
      <c r="A2185" s="29">
        <v>39791</v>
      </c>
      <c r="B2185" s="30">
        <v>39.6</v>
      </c>
      <c r="C2185" s="30">
        <v>38.700000000000003</v>
      </c>
      <c r="D2185" s="30"/>
      <c r="E2185" s="30"/>
      <c r="F2185" s="30">
        <v>39.200000000000003</v>
      </c>
      <c r="G2185" s="30">
        <v>36.799999999999997</v>
      </c>
    </row>
    <row r="2186" spans="1:7" x14ac:dyDescent="0.25">
      <c r="A2186" s="29">
        <v>39792</v>
      </c>
      <c r="B2186" s="30">
        <v>53.9</v>
      </c>
      <c r="C2186" s="30">
        <v>56.7</v>
      </c>
      <c r="D2186" s="30"/>
      <c r="E2186" s="30"/>
      <c r="F2186" s="30">
        <v>58.5</v>
      </c>
      <c r="G2186" s="30">
        <v>59.6</v>
      </c>
    </row>
    <row r="2187" spans="1:7" x14ac:dyDescent="0.25">
      <c r="A2187" s="29">
        <v>39793</v>
      </c>
      <c r="B2187" s="30">
        <v>42.7</v>
      </c>
      <c r="C2187" s="30">
        <v>41.6</v>
      </c>
      <c r="D2187" s="30"/>
      <c r="E2187" s="30"/>
      <c r="F2187" s="30">
        <v>49.1</v>
      </c>
      <c r="G2187" s="30">
        <v>41.1</v>
      </c>
    </row>
    <row r="2188" spans="1:7" x14ac:dyDescent="0.25">
      <c r="A2188" s="29">
        <v>39794</v>
      </c>
      <c r="B2188" s="30">
        <v>43.8</v>
      </c>
      <c r="C2188" s="30">
        <v>40.5</v>
      </c>
      <c r="D2188" s="30"/>
      <c r="E2188" s="30"/>
      <c r="F2188" s="30">
        <v>50.5</v>
      </c>
      <c r="G2188" s="30">
        <v>39.700000000000003</v>
      </c>
    </row>
    <row r="2189" spans="1:7" x14ac:dyDescent="0.25">
      <c r="A2189" s="29">
        <v>39795</v>
      </c>
      <c r="B2189" s="30">
        <v>32.6</v>
      </c>
      <c r="C2189" s="30">
        <v>32</v>
      </c>
      <c r="D2189" s="30"/>
      <c r="E2189" s="30"/>
      <c r="F2189" s="30">
        <v>32.9</v>
      </c>
      <c r="G2189" s="30">
        <v>32</v>
      </c>
    </row>
    <row r="2190" spans="1:7" x14ac:dyDescent="0.25">
      <c r="A2190" s="29">
        <v>39796</v>
      </c>
      <c r="B2190" s="30">
        <v>35.1</v>
      </c>
      <c r="C2190" s="30">
        <v>35.799999999999997</v>
      </c>
      <c r="D2190" s="30"/>
      <c r="E2190" s="30"/>
      <c r="F2190" s="30">
        <v>33.200000000000003</v>
      </c>
      <c r="G2190" s="30">
        <v>33.799999999999997</v>
      </c>
    </row>
    <row r="2191" spans="1:7" x14ac:dyDescent="0.25">
      <c r="A2191" s="29">
        <v>39797</v>
      </c>
      <c r="B2191" s="30">
        <v>50.6</v>
      </c>
      <c r="C2191" s="30">
        <v>52.9</v>
      </c>
      <c r="D2191" s="30"/>
      <c r="E2191" s="30"/>
      <c r="F2191" s="30">
        <v>55.2</v>
      </c>
      <c r="G2191" s="30">
        <v>54</v>
      </c>
    </row>
    <row r="2192" spans="1:7" x14ac:dyDescent="0.25">
      <c r="A2192" s="29">
        <v>39798</v>
      </c>
      <c r="B2192" s="30">
        <v>44.4</v>
      </c>
      <c r="C2192" s="30">
        <v>45</v>
      </c>
      <c r="D2192" s="30"/>
      <c r="E2192" s="30"/>
      <c r="F2192" s="30">
        <v>47.2</v>
      </c>
      <c r="G2192" s="30">
        <v>46.2</v>
      </c>
    </row>
    <row r="2193" spans="1:7" x14ac:dyDescent="0.25">
      <c r="A2193" s="29">
        <v>39799</v>
      </c>
      <c r="B2193" s="30">
        <v>36.299999999999997</v>
      </c>
      <c r="C2193" s="30">
        <v>35.9</v>
      </c>
      <c r="D2193" s="30"/>
      <c r="E2193" s="30"/>
      <c r="F2193" s="30">
        <v>40.5</v>
      </c>
      <c r="G2193" s="30">
        <v>34.200000000000003</v>
      </c>
    </row>
    <row r="2194" spans="1:7" x14ac:dyDescent="0.25">
      <c r="A2194" s="29">
        <v>39800</v>
      </c>
      <c r="B2194" s="30">
        <v>39.200000000000003</v>
      </c>
      <c r="C2194" s="30">
        <v>40.299999999999997</v>
      </c>
      <c r="D2194" s="30"/>
      <c r="E2194" s="30"/>
      <c r="F2194" s="30">
        <v>37.799999999999997</v>
      </c>
      <c r="G2194" s="30">
        <v>38.5</v>
      </c>
    </row>
    <row r="2195" spans="1:7" x14ac:dyDescent="0.25">
      <c r="A2195" s="29">
        <v>39801</v>
      </c>
      <c r="B2195" s="30">
        <v>34.9</v>
      </c>
      <c r="C2195" s="30">
        <v>35.5</v>
      </c>
      <c r="D2195" s="30"/>
      <c r="E2195" s="30"/>
      <c r="F2195" s="30">
        <v>39.700000000000003</v>
      </c>
      <c r="G2195" s="30">
        <v>33.4</v>
      </c>
    </row>
    <row r="2196" spans="1:7" x14ac:dyDescent="0.25">
      <c r="A2196" s="29">
        <v>39802</v>
      </c>
      <c r="B2196" s="30">
        <v>27.7</v>
      </c>
      <c r="C2196" s="30">
        <v>26.8</v>
      </c>
      <c r="D2196" s="30"/>
      <c r="E2196" s="30"/>
      <c r="F2196" s="30">
        <v>34.799999999999997</v>
      </c>
      <c r="G2196" s="30">
        <v>26.1</v>
      </c>
    </row>
    <row r="2197" spans="1:7" x14ac:dyDescent="0.25">
      <c r="A2197" s="29">
        <v>39803</v>
      </c>
      <c r="B2197" s="30">
        <v>33.1</v>
      </c>
      <c r="C2197" s="30">
        <v>31.4</v>
      </c>
      <c r="D2197" s="30"/>
      <c r="E2197" s="30"/>
      <c r="F2197" s="30">
        <v>31.7</v>
      </c>
      <c r="G2197" s="30">
        <v>29.3</v>
      </c>
    </row>
    <row r="2198" spans="1:7" x14ac:dyDescent="0.25">
      <c r="A2198" s="29">
        <v>39804</v>
      </c>
      <c r="B2198" s="30">
        <v>23.6</v>
      </c>
      <c r="C2198" s="30">
        <v>23.7</v>
      </c>
      <c r="D2198" s="30"/>
      <c r="E2198" s="30"/>
      <c r="F2198" s="30">
        <v>25.8</v>
      </c>
      <c r="G2198" s="30">
        <v>21.9</v>
      </c>
    </row>
    <row r="2199" spans="1:7" x14ac:dyDescent="0.25">
      <c r="A2199" s="29">
        <v>39805</v>
      </c>
      <c r="B2199" s="30">
        <v>24</v>
      </c>
      <c r="C2199" s="30">
        <v>24.3</v>
      </c>
      <c r="D2199" s="30"/>
      <c r="E2199" s="30"/>
      <c r="F2199" s="30">
        <v>23.7</v>
      </c>
      <c r="G2199" s="30">
        <v>21.9</v>
      </c>
    </row>
    <row r="2200" spans="1:7" x14ac:dyDescent="0.25">
      <c r="A2200" s="29">
        <v>39806</v>
      </c>
      <c r="B2200" s="30">
        <v>36.200000000000003</v>
      </c>
      <c r="C2200" s="30">
        <v>35.1</v>
      </c>
      <c r="D2200" s="30"/>
      <c r="E2200" s="30"/>
      <c r="F2200" s="30">
        <v>39.6</v>
      </c>
      <c r="G2200" s="30">
        <v>33.200000000000003</v>
      </c>
    </row>
    <row r="2201" spans="1:7" x14ac:dyDescent="0.25">
      <c r="A2201" s="29">
        <v>39807</v>
      </c>
      <c r="B2201" s="30">
        <v>46.8</v>
      </c>
      <c r="C2201" s="30">
        <v>46.5</v>
      </c>
      <c r="D2201" s="30"/>
      <c r="E2201" s="30"/>
      <c r="F2201" s="30">
        <v>50.5</v>
      </c>
      <c r="G2201" s="30">
        <v>44.8</v>
      </c>
    </row>
    <row r="2202" spans="1:7" x14ac:dyDescent="0.25">
      <c r="A2202" s="29">
        <v>39808</v>
      </c>
      <c r="B2202" s="30">
        <v>35.299999999999997</v>
      </c>
      <c r="C2202" s="30">
        <v>35.700000000000003</v>
      </c>
      <c r="D2202" s="30"/>
      <c r="E2202" s="30"/>
      <c r="F2202" s="30">
        <v>34</v>
      </c>
      <c r="G2202" s="30">
        <v>34.1</v>
      </c>
    </row>
    <row r="2203" spans="1:7" x14ac:dyDescent="0.25">
      <c r="A2203" s="29">
        <v>39809</v>
      </c>
      <c r="B2203" s="30">
        <v>43.2</v>
      </c>
      <c r="C2203" s="30">
        <v>43</v>
      </c>
      <c r="D2203" s="30"/>
      <c r="E2203" s="30"/>
      <c r="F2203" s="30">
        <v>45.8</v>
      </c>
      <c r="G2203" s="30">
        <v>41.6</v>
      </c>
    </row>
    <row r="2204" spans="1:7" x14ac:dyDescent="0.25">
      <c r="A2204" s="29">
        <v>39810</v>
      </c>
      <c r="B2204" s="30">
        <v>51.6</v>
      </c>
      <c r="C2204" s="30">
        <v>55.3</v>
      </c>
      <c r="D2204" s="30"/>
      <c r="E2204" s="30"/>
      <c r="F2204" s="30">
        <v>59.5</v>
      </c>
      <c r="G2204" s="30">
        <v>54.6</v>
      </c>
    </row>
    <row r="2205" spans="1:7" x14ac:dyDescent="0.25">
      <c r="A2205" s="29">
        <v>39811</v>
      </c>
      <c r="B2205" s="30">
        <v>45.5</v>
      </c>
      <c r="C2205" s="30">
        <v>45</v>
      </c>
      <c r="D2205" s="30"/>
      <c r="E2205" s="30"/>
      <c r="F2205" s="30">
        <v>47.2</v>
      </c>
      <c r="G2205" s="30">
        <v>44.6</v>
      </c>
    </row>
    <row r="2206" spans="1:7" x14ac:dyDescent="0.25">
      <c r="A2206" s="29">
        <v>39812</v>
      </c>
      <c r="B2206" s="30">
        <v>41.6</v>
      </c>
      <c r="C2206" s="30">
        <v>42</v>
      </c>
      <c r="D2206" s="30"/>
      <c r="E2206" s="30"/>
      <c r="F2206" s="30">
        <v>42.4</v>
      </c>
      <c r="G2206" s="30">
        <v>40.799999999999997</v>
      </c>
    </row>
    <row r="2207" spans="1:7" x14ac:dyDescent="0.25">
      <c r="A2207" s="29">
        <v>39813</v>
      </c>
      <c r="B2207" s="30">
        <v>31.7</v>
      </c>
      <c r="C2207" s="30">
        <v>31.9</v>
      </c>
      <c r="D2207" s="30"/>
      <c r="E2207" s="30"/>
      <c r="F2207" s="30">
        <v>37.9</v>
      </c>
      <c r="G2207" s="30">
        <v>32</v>
      </c>
    </row>
    <row r="2208" spans="1:7" x14ac:dyDescent="0.25">
      <c r="A2208" s="29">
        <v>39814</v>
      </c>
      <c r="B2208" s="30">
        <v>20.6</v>
      </c>
      <c r="C2208" s="30">
        <v>21</v>
      </c>
      <c r="D2208" s="30"/>
      <c r="E2208" s="30"/>
      <c r="F2208" s="30">
        <v>24.6</v>
      </c>
      <c r="G2208" s="30">
        <v>20.7</v>
      </c>
    </row>
    <row r="2209" spans="1:7" x14ac:dyDescent="0.25">
      <c r="A2209" s="29">
        <v>39815</v>
      </c>
      <c r="B2209" s="30">
        <v>29.7</v>
      </c>
      <c r="C2209" s="30">
        <v>29</v>
      </c>
      <c r="D2209" s="30"/>
      <c r="E2209" s="30"/>
      <c r="F2209" s="30">
        <v>28.2</v>
      </c>
      <c r="G2209" s="30">
        <v>27.8</v>
      </c>
    </row>
    <row r="2210" spans="1:7" x14ac:dyDescent="0.25">
      <c r="A2210" s="29">
        <v>39816</v>
      </c>
      <c r="B2210" s="30">
        <v>34.799999999999997</v>
      </c>
      <c r="C2210" s="30">
        <v>34.6</v>
      </c>
      <c r="D2210" s="30"/>
      <c r="E2210" s="30"/>
      <c r="F2210" s="30">
        <v>35.299999999999997</v>
      </c>
      <c r="G2210" s="30">
        <v>33.200000000000003</v>
      </c>
    </row>
    <row r="2211" spans="1:7" x14ac:dyDescent="0.25">
      <c r="A2211" s="29">
        <v>39817</v>
      </c>
      <c r="B2211" s="30">
        <v>33</v>
      </c>
      <c r="C2211" s="30">
        <v>32.6</v>
      </c>
      <c r="D2211" s="30"/>
      <c r="E2211" s="30"/>
      <c r="F2211" s="30">
        <v>32.9</v>
      </c>
      <c r="G2211" s="30">
        <v>32.6</v>
      </c>
    </row>
    <row r="2212" spans="1:7" x14ac:dyDescent="0.25">
      <c r="A2212" s="29">
        <v>39818</v>
      </c>
      <c r="B2212" s="30">
        <v>40.799999999999997</v>
      </c>
      <c r="C2212" s="30">
        <v>41.5</v>
      </c>
      <c r="D2212" s="30"/>
      <c r="E2212" s="30"/>
      <c r="F2212" s="30">
        <v>43.8</v>
      </c>
      <c r="G2212" s="30">
        <v>41.2</v>
      </c>
    </row>
    <row r="2213" spans="1:7" x14ac:dyDescent="0.25">
      <c r="A2213" s="29">
        <v>39819</v>
      </c>
      <c r="B2213" s="30">
        <v>36.1</v>
      </c>
      <c r="C2213" s="30">
        <v>35.700000000000003</v>
      </c>
      <c r="D2213" s="30"/>
      <c r="E2213" s="30"/>
      <c r="F2213" s="30">
        <v>38.5</v>
      </c>
      <c r="G2213" s="30">
        <v>36</v>
      </c>
    </row>
    <row r="2214" spans="1:7" x14ac:dyDescent="0.25">
      <c r="A2214" s="29">
        <v>39820</v>
      </c>
      <c r="B2214" s="30">
        <v>35.700000000000003</v>
      </c>
      <c r="C2214" s="30">
        <v>34.700000000000003</v>
      </c>
      <c r="D2214" s="30"/>
      <c r="E2214" s="30"/>
      <c r="F2214" s="30">
        <v>44</v>
      </c>
      <c r="G2214" s="30">
        <v>35</v>
      </c>
    </row>
    <row r="2215" spans="1:7" x14ac:dyDescent="0.25">
      <c r="A2215" s="29">
        <v>39821</v>
      </c>
      <c r="B2215" s="30">
        <v>37.9</v>
      </c>
      <c r="C2215" s="30">
        <v>37.4</v>
      </c>
      <c r="D2215" s="30"/>
      <c r="E2215" s="30"/>
      <c r="F2215" s="30">
        <v>40.200000000000003</v>
      </c>
      <c r="G2215" s="30">
        <v>36.299999999999997</v>
      </c>
    </row>
    <row r="2216" spans="1:7" x14ac:dyDescent="0.25">
      <c r="A2216" s="29">
        <v>39822</v>
      </c>
      <c r="B2216" s="30">
        <v>31</v>
      </c>
      <c r="C2216" s="30">
        <v>30.2</v>
      </c>
      <c r="D2216" s="30"/>
      <c r="E2216" s="30"/>
      <c r="F2216" s="30">
        <v>31.9</v>
      </c>
      <c r="G2216" s="30">
        <v>30</v>
      </c>
    </row>
    <row r="2217" spans="1:7" x14ac:dyDescent="0.25">
      <c r="A2217" s="29">
        <v>39823</v>
      </c>
      <c r="B2217" s="30">
        <v>28</v>
      </c>
      <c r="C2217" s="30">
        <v>27.1</v>
      </c>
      <c r="D2217" s="30"/>
      <c r="E2217" s="30"/>
      <c r="F2217" s="30">
        <v>32.6</v>
      </c>
      <c r="G2217" s="30">
        <v>26.8</v>
      </c>
    </row>
    <row r="2218" spans="1:7" x14ac:dyDescent="0.25">
      <c r="A2218" s="29">
        <v>39824</v>
      </c>
      <c r="B2218" s="30">
        <v>30.2</v>
      </c>
      <c r="C2218" s="30">
        <v>29</v>
      </c>
      <c r="D2218" s="30"/>
      <c r="E2218" s="30"/>
      <c r="F2218" s="30">
        <v>41.3</v>
      </c>
      <c r="G2218" s="30">
        <v>28.7</v>
      </c>
    </row>
    <row r="2219" spans="1:7" x14ac:dyDescent="0.25">
      <c r="A2219" s="29">
        <v>39825</v>
      </c>
      <c r="B2219" s="30">
        <v>27.6</v>
      </c>
      <c r="C2219" s="30">
        <v>27.7</v>
      </c>
      <c r="D2219" s="30"/>
      <c r="E2219" s="30"/>
      <c r="F2219" s="30">
        <v>29.1</v>
      </c>
      <c r="G2219" s="30">
        <v>26.8</v>
      </c>
    </row>
    <row r="2220" spans="1:7" x14ac:dyDescent="0.25">
      <c r="A2220" s="29">
        <v>39826</v>
      </c>
      <c r="B2220" s="30">
        <v>33.299999999999997</v>
      </c>
      <c r="C2220" s="30">
        <v>34</v>
      </c>
      <c r="D2220" s="30"/>
      <c r="E2220" s="30"/>
      <c r="F2220" s="30">
        <v>29.3</v>
      </c>
      <c r="G2220" s="30">
        <v>31.9</v>
      </c>
    </row>
    <row r="2221" spans="1:7" x14ac:dyDescent="0.25">
      <c r="A2221" s="29">
        <v>39827</v>
      </c>
      <c r="B2221" s="30">
        <v>28</v>
      </c>
      <c r="C2221" s="30">
        <v>27.3</v>
      </c>
      <c r="D2221" s="30"/>
      <c r="E2221" s="30"/>
      <c r="F2221" s="30">
        <v>29.8</v>
      </c>
      <c r="G2221" s="30">
        <v>26.2</v>
      </c>
    </row>
    <row r="2222" spans="1:7" x14ac:dyDescent="0.25">
      <c r="A2222" s="29">
        <v>39828</v>
      </c>
      <c r="B2222" s="30">
        <v>21.3</v>
      </c>
      <c r="C2222" s="30">
        <v>20.6</v>
      </c>
      <c r="D2222" s="30"/>
      <c r="E2222" s="30"/>
      <c r="F2222" s="30">
        <v>24.6</v>
      </c>
      <c r="G2222" s="30">
        <v>20</v>
      </c>
    </row>
    <row r="2223" spans="1:7" x14ac:dyDescent="0.25">
      <c r="A2223" s="29">
        <v>39829</v>
      </c>
      <c r="B2223" s="30">
        <v>15.7</v>
      </c>
      <c r="C2223" s="30">
        <v>15.7</v>
      </c>
      <c r="D2223" s="30"/>
      <c r="E2223" s="30"/>
      <c r="F2223" s="30">
        <v>16.8</v>
      </c>
      <c r="G2223" s="30">
        <v>14.6</v>
      </c>
    </row>
    <row r="2224" spans="1:7" x14ac:dyDescent="0.25">
      <c r="A2224" s="29">
        <v>39830</v>
      </c>
      <c r="B2224" s="30">
        <v>12.6</v>
      </c>
      <c r="C2224" s="30">
        <v>12.6</v>
      </c>
      <c r="D2224" s="30"/>
      <c r="E2224" s="30"/>
      <c r="F2224" s="30">
        <v>12.8</v>
      </c>
      <c r="G2224" s="30">
        <v>11.1</v>
      </c>
    </row>
    <row r="2225" spans="1:7" x14ac:dyDescent="0.25">
      <c r="A2225" s="29">
        <v>39831</v>
      </c>
      <c r="B2225" s="30">
        <v>26.5</v>
      </c>
      <c r="C2225" s="30">
        <v>25.7</v>
      </c>
      <c r="D2225" s="30"/>
      <c r="E2225" s="30"/>
      <c r="F2225" s="30">
        <v>31.3</v>
      </c>
      <c r="G2225" s="30">
        <v>26.6</v>
      </c>
    </row>
    <row r="2226" spans="1:7" x14ac:dyDescent="0.25">
      <c r="A2226" s="29">
        <v>39832</v>
      </c>
      <c r="B2226" s="30">
        <v>29.1</v>
      </c>
      <c r="C2226" s="30">
        <v>30</v>
      </c>
      <c r="D2226" s="30"/>
      <c r="E2226" s="30"/>
      <c r="F2226" s="30">
        <v>30.8</v>
      </c>
      <c r="G2226" s="30">
        <v>28</v>
      </c>
    </row>
    <row r="2227" spans="1:7" x14ac:dyDescent="0.25">
      <c r="A2227" s="29">
        <v>39833</v>
      </c>
      <c r="B2227" s="30">
        <v>26.2</v>
      </c>
      <c r="C2227" s="30">
        <v>26.7</v>
      </c>
      <c r="D2227" s="30"/>
      <c r="E2227" s="30"/>
      <c r="F2227" s="30">
        <v>23.7</v>
      </c>
      <c r="G2227" s="30">
        <v>24.9</v>
      </c>
    </row>
    <row r="2228" spans="1:7" x14ac:dyDescent="0.25">
      <c r="A2228" s="29">
        <v>39834</v>
      </c>
      <c r="B2228" s="30">
        <v>21.9</v>
      </c>
      <c r="C2228" s="30">
        <v>22.8</v>
      </c>
      <c r="D2228" s="30"/>
      <c r="E2228" s="30"/>
      <c r="F2228" s="30">
        <v>22.5</v>
      </c>
      <c r="G2228" s="30">
        <v>21.7</v>
      </c>
    </row>
    <row r="2229" spans="1:7" x14ac:dyDescent="0.25">
      <c r="A2229" s="29">
        <v>39835</v>
      </c>
      <c r="B2229" s="30">
        <v>26.6</v>
      </c>
      <c r="C2229" s="30">
        <v>27.4</v>
      </c>
      <c r="D2229" s="30"/>
      <c r="E2229" s="30"/>
      <c r="F2229" s="30">
        <v>28.3</v>
      </c>
      <c r="G2229" s="30">
        <v>25</v>
      </c>
    </row>
    <row r="2230" spans="1:7" x14ac:dyDescent="0.25">
      <c r="A2230" s="29">
        <v>39836</v>
      </c>
      <c r="B2230" s="30">
        <v>33.299999999999997</v>
      </c>
      <c r="C2230" s="30">
        <v>36.799999999999997</v>
      </c>
      <c r="D2230" s="30"/>
      <c r="E2230" s="30"/>
      <c r="F2230" s="30">
        <v>33.799999999999997</v>
      </c>
      <c r="G2230" s="30">
        <v>35</v>
      </c>
    </row>
    <row r="2231" spans="1:7" x14ac:dyDescent="0.25">
      <c r="A2231" s="29">
        <v>39837</v>
      </c>
      <c r="B2231" s="30">
        <v>36.799999999999997</v>
      </c>
      <c r="C2231" s="30">
        <v>38.200000000000003</v>
      </c>
      <c r="D2231" s="30"/>
      <c r="E2231" s="30"/>
      <c r="F2231" s="30">
        <v>41.3</v>
      </c>
      <c r="G2231" s="30">
        <v>37.799999999999997</v>
      </c>
    </row>
    <row r="2232" spans="1:7" x14ac:dyDescent="0.25">
      <c r="A2232" s="29">
        <v>39838</v>
      </c>
      <c r="B2232" s="30">
        <v>21.1</v>
      </c>
      <c r="C2232" s="30">
        <v>20.6</v>
      </c>
      <c r="D2232" s="30"/>
      <c r="E2232" s="30"/>
      <c r="F2232" s="30">
        <v>24.1</v>
      </c>
      <c r="G2232" s="30">
        <v>20.7</v>
      </c>
    </row>
    <row r="2233" spans="1:7" x14ac:dyDescent="0.25">
      <c r="A2233" s="29">
        <v>39839</v>
      </c>
      <c r="B2233" s="30">
        <v>24.4</v>
      </c>
      <c r="C2233" s="30">
        <v>24.2</v>
      </c>
      <c r="D2233" s="30"/>
      <c r="E2233" s="30"/>
      <c r="F2233" s="30">
        <v>26.7</v>
      </c>
      <c r="G2233" s="30">
        <v>23.7</v>
      </c>
    </row>
    <row r="2234" spans="1:7" x14ac:dyDescent="0.25">
      <c r="A2234" s="29">
        <v>39840</v>
      </c>
      <c r="B2234" s="30">
        <v>28.5</v>
      </c>
      <c r="C2234" s="30">
        <v>28.2</v>
      </c>
      <c r="D2234" s="30"/>
      <c r="E2234" s="30"/>
      <c r="F2234" s="30">
        <v>28.5</v>
      </c>
      <c r="G2234" s="30">
        <v>27.8</v>
      </c>
    </row>
    <row r="2235" spans="1:7" x14ac:dyDescent="0.25">
      <c r="A2235" s="29">
        <v>39841</v>
      </c>
      <c r="B2235" s="30">
        <v>32.200000000000003</v>
      </c>
      <c r="C2235" s="30">
        <v>30.2</v>
      </c>
      <c r="D2235" s="30"/>
      <c r="E2235" s="30"/>
      <c r="F2235" s="30">
        <v>37</v>
      </c>
      <c r="G2235" s="30">
        <v>30.5</v>
      </c>
    </row>
    <row r="2236" spans="1:7" x14ac:dyDescent="0.25">
      <c r="A2236" s="29">
        <v>39842</v>
      </c>
      <c r="B2236" s="30">
        <v>33.4</v>
      </c>
      <c r="C2236" s="30">
        <v>33.200000000000003</v>
      </c>
      <c r="D2236" s="30"/>
      <c r="E2236" s="30"/>
      <c r="F2236" s="30">
        <v>33.1</v>
      </c>
      <c r="G2236" s="30">
        <v>32.299999999999997</v>
      </c>
    </row>
    <row r="2237" spans="1:7" x14ac:dyDescent="0.25">
      <c r="A2237" s="29">
        <v>39843</v>
      </c>
      <c r="B2237" s="30">
        <v>30.7</v>
      </c>
      <c r="C2237" s="30">
        <v>31.9</v>
      </c>
      <c r="D2237" s="30"/>
      <c r="E2237" s="30"/>
      <c r="F2237" s="30">
        <v>27.8</v>
      </c>
      <c r="G2237" s="30">
        <v>28.8</v>
      </c>
    </row>
    <row r="2238" spans="1:7" x14ac:dyDescent="0.25">
      <c r="A2238" s="29">
        <v>39844</v>
      </c>
      <c r="B2238" s="30">
        <v>27</v>
      </c>
      <c r="C2238" s="30">
        <v>26.5</v>
      </c>
      <c r="D2238" s="30"/>
      <c r="E2238" s="30"/>
      <c r="F2238" s="30">
        <v>25.7</v>
      </c>
      <c r="G2238" s="30">
        <v>25.3</v>
      </c>
    </row>
    <row r="2239" spans="1:7" x14ac:dyDescent="0.25">
      <c r="A2239" s="29">
        <v>39845</v>
      </c>
      <c r="B2239" s="30">
        <v>34.5</v>
      </c>
      <c r="C2239" s="30">
        <v>35.200000000000003</v>
      </c>
      <c r="D2239" s="30"/>
      <c r="E2239" s="30"/>
      <c r="F2239" s="30">
        <v>38.700000000000003</v>
      </c>
      <c r="G2239" s="30">
        <v>34.299999999999997</v>
      </c>
    </row>
    <row r="2240" spans="1:7" x14ac:dyDescent="0.25">
      <c r="A2240" s="29">
        <v>39846</v>
      </c>
      <c r="B2240" s="30">
        <v>41.5</v>
      </c>
      <c r="C2240" s="30">
        <v>43.9</v>
      </c>
      <c r="D2240" s="30"/>
      <c r="E2240" s="30"/>
      <c r="F2240" s="30">
        <v>46.6</v>
      </c>
      <c r="G2240" s="30">
        <v>42.8</v>
      </c>
    </row>
    <row r="2241" spans="1:7" x14ac:dyDescent="0.25">
      <c r="A2241" s="29">
        <v>39847</v>
      </c>
      <c r="B2241" s="30">
        <v>35.200000000000003</v>
      </c>
      <c r="C2241" s="30">
        <v>34.5</v>
      </c>
      <c r="D2241" s="30"/>
      <c r="E2241" s="30"/>
      <c r="F2241" s="30">
        <v>36.9</v>
      </c>
      <c r="G2241" s="30">
        <v>34</v>
      </c>
    </row>
    <row r="2242" spans="1:7" x14ac:dyDescent="0.25">
      <c r="A2242" s="29">
        <v>39848</v>
      </c>
      <c r="B2242" s="30">
        <v>24.8</v>
      </c>
      <c r="C2242" s="30">
        <v>25.5</v>
      </c>
      <c r="D2242" s="30"/>
      <c r="E2242" s="30"/>
      <c r="F2242" s="30">
        <v>28.5</v>
      </c>
      <c r="G2242" s="30">
        <v>25</v>
      </c>
    </row>
    <row r="2243" spans="1:7" x14ac:dyDescent="0.25">
      <c r="A2243" s="29">
        <v>39849</v>
      </c>
      <c r="B2243" s="30">
        <v>18.600000000000001</v>
      </c>
      <c r="C2243" s="30">
        <v>19.3</v>
      </c>
      <c r="D2243" s="30"/>
      <c r="E2243" s="30"/>
      <c r="F2243" s="30">
        <v>19.3</v>
      </c>
      <c r="G2243" s="30">
        <v>18.2</v>
      </c>
    </row>
    <row r="2244" spans="1:7" x14ac:dyDescent="0.25">
      <c r="A2244" s="29">
        <v>39850</v>
      </c>
      <c r="B2244" s="30">
        <v>21.5</v>
      </c>
      <c r="C2244" s="30">
        <v>22</v>
      </c>
      <c r="D2244" s="30"/>
      <c r="E2244" s="30"/>
      <c r="F2244" s="30">
        <v>21.7</v>
      </c>
      <c r="G2244" s="30">
        <v>21.1</v>
      </c>
    </row>
    <row r="2245" spans="1:7" x14ac:dyDescent="0.25">
      <c r="A2245" s="29">
        <v>39851</v>
      </c>
      <c r="B2245" s="30">
        <v>31</v>
      </c>
      <c r="C2245" s="30">
        <v>33.6</v>
      </c>
      <c r="D2245" s="30"/>
      <c r="E2245" s="30"/>
      <c r="F2245" s="30">
        <v>32.1</v>
      </c>
      <c r="G2245" s="30">
        <v>32.1</v>
      </c>
    </row>
    <row r="2246" spans="1:7" x14ac:dyDescent="0.25">
      <c r="A2246" s="29">
        <v>39852</v>
      </c>
      <c r="B2246" s="30">
        <v>46.6</v>
      </c>
      <c r="C2246" s="30">
        <v>49.8</v>
      </c>
      <c r="D2246" s="30"/>
      <c r="E2246" s="30"/>
      <c r="F2246" s="30">
        <v>54.3</v>
      </c>
      <c r="G2246" s="30">
        <v>49.2</v>
      </c>
    </row>
    <row r="2247" spans="1:7" x14ac:dyDescent="0.25">
      <c r="A2247" s="29">
        <v>39853</v>
      </c>
      <c r="B2247" s="30">
        <v>40.1</v>
      </c>
      <c r="C2247" s="30">
        <v>39.299999999999997</v>
      </c>
      <c r="D2247" s="30"/>
      <c r="E2247" s="30"/>
      <c r="F2247" s="30">
        <v>39.700000000000003</v>
      </c>
      <c r="G2247" s="30">
        <v>39.5</v>
      </c>
    </row>
    <row r="2248" spans="1:7" x14ac:dyDescent="0.25">
      <c r="A2248" s="29">
        <v>39854</v>
      </c>
      <c r="B2248" s="30">
        <v>39.200000000000003</v>
      </c>
      <c r="C2248" s="30">
        <v>39.5</v>
      </c>
      <c r="D2248" s="30"/>
      <c r="E2248" s="30"/>
      <c r="F2248" s="30">
        <v>44.2</v>
      </c>
      <c r="G2248" s="30">
        <v>42.1</v>
      </c>
    </row>
    <row r="2249" spans="1:7" x14ac:dyDescent="0.25">
      <c r="A2249" s="29">
        <v>39855</v>
      </c>
      <c r="B2249" s="30">
        <v>45.8</v>
      </c>
      <c r="C2249" s="30">
        <v>48</v>
      </c>
      <c r="D2249" s="30"/>
      <c r="E2249" s="30"/>
      <c r="F2249" s="30">
        <v>52.3</v>
      </c>
      <c r="G2249" s="30">
        <v>49.7</v>
      </c>
    </row>
    <row r="2250" spans="1:7" x14ac:dyDescent="0.25">
      <c r="A2250" s="29">
        <v>39856</v>
      </c>
      <c r="B2250" s="30">
        <v>49.1</v>
      </c>
      <c r="C2250" s="30">
        <v>51.3</v>
      </c>
      <c r="D2250" s="30"/>
      <c r="E2250" s="30"/>
      <c r="F2250" s="30">
        <v>54.5</v>
      </c>
      <c r="G2250" s="30">
        <v>52.9</v>
      </c>
    </row>
    <row r="2251" spans="1:7" x14ac:dyDescent="0.25">
      <c r="A2251" s="29">
        <v>39857</v>
      </c>
      <c r="B2251" s="30">
        <v>44.4</v>
      </c>
      <c r="C2251" s="30">
        <v>42.6</v>
      </c>
      <c r="D2251" s="30"/>
      <c r="E2251" s="30"/>
      <c r="F2251" s="30">
        <v>43.9</v>
      </c>
      <c r="G2251" s="30">
        <v>43.8</v>
      </c>
    </row>
    <row r="2252" spans="1:7" x14ac:dyDescent="0.25">
      <c r="A2252" s="29">
        <v>39858</v>
      </c>
      <c r="B2252" s="30">
        <v>34.9</v>
      </c>
      <c r="C2252" s="30">
        <v>34.1</v>
      </c>
      <c r="D2252" s="30"/>
      <c r="E2252" s="30"/>
      <c r="F2252" s="30">
        <v>36.1</v>
      </c>
      <c r="G2252" s="30">
        <v>34.9</v>
      </c>
    </row>
    <row r="2253" spans="1:7" x14ac:dyDescent="0.25">
      <c r="A2253" s="29">
        <v>39859</v>
      </c>
      <c r="B2253" s="30">
        <v>37.1</v>
      </c>
      <c r="C2253" s="30">
        <v>36.4</v>
      </c>
      <c r="D2253" s="30"/>
      <c r="E2253" s="30"/>
      <c r="F2253" s="30">
        <v>35.9</v>
      </c>
      <c r="G2253" s="30">
        <v>36.9</v>
      </c>
    </row>
    <row r="2254" spans="1:7" x14ac:dyDescent="0.25">
      <c r="A2254" s="29">
        <v>39860</v>
      </c>
      <c r="B2254" s="30">
        <v>33.9</v>
      </c>
      <c r="C2254" s="30">
        <v>34</v>
      </c>
      <c r="D2254" s="30"/>
      <c r="E2254" s="30"/>
      <c r="F2254" s="30">
        <v>32.6</v>
      </c>
      <c r="G2254" s="30">
        <v>33.9</v>
      </c>
    </row>
    <row r="2255" spans="1:7" x14ac:dyDescent="0.25">
      <c r="A2255" s="29">
        <v>39861</v>
      </c>
      <c r="B2255" s="30">
        <v>33.200000000000003</v>
      </c>
      <c r="C2255" s="30">
        <v>33.6</v>
      </c>
      <c r="D2255" s="30"/>
      <c r="E2255" s="30"/>
      <c r="F2255" s="30">
        <v>32.1</v>
      </c>
      <c r="G2255" s="30">
        <v>33.200000000000003</v>
      </c>
    </row>
    <row r="2256" spans="1:7" x14ac:dyDescent="0.25">
      <c r="A2256" s="29">
        <v>39862</v>
      </c>
      <c r="B2256" s="30">
        <v>34.9</v>
      </c>
      <c r="C2256" s="30">
        <v>36.1</v>
      </c>
      <c r="D2256" s="30"/>
      <c r="E2256" s="30"/>
      <c r="F2256" s="30">
        <v>33.4</v>
      </c>
      <c r="G2256" s="30">
        <v>33.799999999999997</v>
      </c>
    </row>
    <row r="2257" spans="1:7" x14ac:dyDescent="0.25">
      <c r="A2257" s="29">
        <v>39863</v>
      </c>
      <c r="B2257" s="30">
        <v>44.3</v>
      </c>
      <c r="C2257" s="30">
        <v>44.5</v>
      </c>
      <c r="D2257" s="30"/>
      <c r="E2257" s="30"/>
      <c r="F2257" s="30">
        <v>45.3</v>
      </c>
      <c r="G2257" s="30">
        <v>44.2</v>
      </c>
    </row>
    <row r="2258" spans="1:7" x14ac:dyDescent="0.25">
      <c r="A2258" s="29">
        <v>39864</v>
      </c>
      <c r="B2258" s="30">
        <v>29.6</v>
      </c>
      <c r="C2258" s="30">
        <v>29.2</v>
      </c>
      <c r="D2258" s="30"/>
      <c r="E2258" s="30"/>
      <c r="F2258" s="30">
        <v>29.5</v>
      </c>
      <c r="G2258" s="30">
        <v>28.7</v>
      </c>
    </row>
    <row r="2259" spans="1:7" x14ac:dyDescent="0.25">
      <c r="A2259" s="29">
        <v>39865</v>
      </c>
      <c r="B2259" s="30">
        <v>32.700000000000003</v>
      </c>
      <c r="C2259" s="30">
        <v>32.6</v>
      </c>
      <c r="D2259" s="30"/>
      <c r="E2259" s="30"/>
      <c r="F2259" s="30">
        <v>32.4</v>
      </c>
      <c r="G2259" s="30">
        <v>32.299999999999997</v>
      </c>
    </row>
    <row r="2260" spans="1:7" x14ac:dyDescent="0.25">
      <c r="A2260" s="29">
        <v>39866</v>
      </c>
      <c r="B2260" s="30">
        <v>39.4</v>
      </c>
      <c r="C2260" s="30">
        <v>38.799999999999997</v>
      </c>
      <c r="D2260" s="30"/>
      <c r="E2260" s="30"/>
      <c r="F2260" s="30">
        <v>39.9</v>
      </c>
      <c r="G2260" s="30">
        <v>37.1</v>
      </c>
    </row>
    <row r="2261" spans="1:7" x14ac:dyDescent="0.25">
      <c r="A2261" s="29">
        <v>39867</v>
      </c>
      <c r="B2261" s="30">
        <v>32.299999999999997</v>
      </c>
      <c r="C2261" s="30">
        <v>31.6</v>
      </c>
      <c r="D2261" s="30"/>
      <c r="E2261" s="30"/>
      <c r="F2261" s="30">
        <v>32.1</v>
      </c>
      <c r="G2261" s="30">
        <v>31.5</v>
      </c>
    </row>
    <row r="2262" spans="1:7" x14ac:dyDescent="0.25">
      <c r="A2262" s="29">
        <v>39868</v>
      </c>
      <c r="B2262" s="30">
        <v>28.8</v>
      </c>
      <c r="C2262" s="30">
        <v>28.3</v>
      </c>
      <c r="D2262" s="30"/>
      <c r="E2262" s="30"/>
      <c r="F2262" s="30">
        <v>28.9</v>
      </c>
      <c r="G2262" s="30">
        <v>28.5</v>
      </c>
    </row>
    <row r="2263" spans="1:7" x14ac:dyDescent="0.25">
      <c r="A2263" s="29">
        <v>39869</v>
      </c>
      <c r="B2263" s="30">
        <v>30.9</v>
      </c>
      <c r="C2263" s="30">
        <v>31.6</v>
      </c>
      <c r="D2263" s="30"/>
      <c r="E2263" s="30"/>
      <c r="F2263" s="30">
        <v>30.3</v>
      </c>
      <c r="G2263" s="30">
        <v>31.1</v>
      </c>
    </row>
    <row r="2264" spans="1:7" x14ac:dyDescent="0.25">
      <c r="A2264" s="29">
        <v>39870</v>
      </c>
      <c r="B2264" s="30">
        <v>38.1</v>
      </c>
      <c r="C2264" s="30">
        <v>39.799999999999997</v>
      </c>
      <c r="D2264" s="30"/>
      <c r="E2264" s="30"/>
      <c r="F2264" s="30">
        <v>41.5</v>
      </c>
      <c r="G2264" s="30">
        <v>37.9</v>
      </c>
    </row>
    <row r="2265" spans="1:7" x14ac:dyDescent="0.25">
      <c r="A2265" s="29">
        <v>39871</v>
      </c>
      <c r="B2265" s="30">
        <v>44.7</v>
      </c>
      <c r="C2265" s="30">
        <v>46.5</v>
      </c>
      <c r="D2265" s="30"/>
      <c r="E2265" s="30"/>
      <c r="F2265" s="30">
        <v>49.9</v>
      </c>
      <c r="G2265" s="30">
        <v>49.7</v>
      </c>
    </row>
    <row r="2266" spans="1:7" x14ac:dyDescent="0.25">
      <c r="A2266" s="29">
        <v>39872</v>
      </c>
      <c r="B2266" s="30">
        <v>41.6</v>
      </c>
      <c r="C2266" s="30">
        <v>41.5</v>
      </c>
      <c r="D2266" s="30"/>
      <c r="E2266" s="30"/>
      <c r="F2266" s="30">
        <v>44.6</v>
      </c>
      <c r="G2266" s="30">
        <v>43.7</v>
      </c>
    </row>
    <row r="2267" spans="1:7" x14ac:dyDescent="0.25">
      <c r="A2267" s="29">
        <v>39873</v>
      </c>
      <c r="B2267" s="30">
        <v>33.200000000000003</v>
      </c>
      <c r="C2267" s="30">
        <v>32.799999999999997</v>
      </c>
      <c r="D2267" s="30"/>
      <c r="E2267" s="30"/>
      <c r="F2267" s="30">
        <v>34.799999999999997</v>
      </c>
      <c r="G2267" s="30">
        <v>32.5</v>
      </c>
    </row>
    <row r="2268" spans="1:7" x14ac:dyDescent="0.25">
      <c r="A2268" s="29">
        <v>39874</v>
      </c>
      <c r="B2268" s="30">
        <v>25.3</v>
      </c>
      <c r="C2268" s="30">
        <v>25.4</v>
      </c>
      <c r="D2268" s="30"/>
      <c r="E2268" s="30"/>
      <c r="F2268" s="30">
        <v>27.4</v>
      </c>
      <c r="G2268" s="30">
        <v>25</v>
      </c>
    </row>
    <row r="2269" spans="1:7" x14ac:dyDescent="0.25">
      <c r="A2269" s="29">
        <v>39875</v>
      </c>
      <c r="B2269" s="30">
        <v>18.899999999999999</v>
      </c>
      <c r="C2269" s="30">
        <v>19.899999999999999</v>
      </c>
      <c r="D2269" s="30"/>
      <c r="E2269" s="30"/>
      <c r="F2269" s="30">
        <v>18.7</v>
      </c>
      <c r="G2269" s="30">
        <v>18.5</v>
      </c>
    </row>
    <row r="2270" spans="1:7" x14ac:dyDescent="0.25">
      <c r="A2270" s="29">
        <v>39876</v>
      </c>
      <c r="B2270" s="30">
        <v>24</v>
      </c>
      <c r="C2270" s="30">
        <v>25.1</v>
      </c>
      <c r="D2270" s="30"/>
      <c r="E2270" s="30"/>
      <c r="F2270" s="30">
        <v>19.3</v>
      </c>
      <c r="G2270" s="30">
        <v>24.2</v>
      </c>
    </row>
    <row r="2271" spans="1:7" x14ac:dyDescent="0.25">
      <c r="A2271" s="29">
        <v>39877</v>
      </c>
      <c r="B2271" s="30">
        <v>30.5</v>
      </c>
      <c r="C2271" s="30">
        <v>34.299999999999997</v>
      </c>
      <c r="D2271" s="30"/>
      <c r="E2271" s="30"/>
      <c r="F2271" s="30">
        <v>26.8</v>
      </c>
      <c r="G2271" s="30">
        <v>31.5</v>
      </c>
    </row>
    <row r="2272" spans="1:7" x14ac:dyDescent="0.25">
      <c r="A2272" s="29">
        <v>39878</v>
      </c>
      <c r="B2272" s="30">
        <v>39.700000000000003</v>
      </c>
      <c r="C2272" s="30">
        <v>43.6</v>
      </c>
      <c r="D2272" s="30"/>
      <c r="E2272" s="30"/>
      <c r="F2272" s="30">
        <v>45.4</v>
      </c>
      <c r="G2272" s="30">
        <v>42.9</v>
      </c>
    </row>
    <row r="2273" spans="1:7" x14ac:dyDescent="0.25">
      <c r="A2273" s="29">
        <v>39879</v>
      </c>
      <c r="B2273" s="30">
        <v>49.3</v>
      </c>
      <c r="C2273" s="30">
        <v>54.9</v>
      </c>
      <c r="D2273" s="30"/>
      <c r="E2273" s="30"/>
      <c r="F2273" s="30">
        <v>54.2</v>
      </c>
      <c r="G2273" s="30">
        <v>54.2</v>
      </c>
    </row>
    <row r="2274" spans="1:7" x14ac:dyDescent="0.25">
      <c r="A2274" s="29">
        <v>39880</v>
      </c>
      <c r="B2274" s="30">
        <v>53.1</v>
      </c>
      <c r="C2274" s="30">
        <v>56.4</v>
      </c>
      <c r="D2274" s="30"/>
      <c r="E2274" s="30"/>
      <c r="F2274" s="30">
        <v>63</v>
      </c>
      <c r="G2274" s="30">
        <v>57.7</v>
      </c>
    </row>
    <row r="2275" spans="1:7" x14ac:dyDescent="0.25">
      <c r="A2275" s="29">
        <v>39881</v>
      </c>
      <c r="B2275" s="30">
        <v>47.5</v>
      </c>
      <c r="C2275" s="30">
        <v>43.7</v>
      </c>
      <c r="D2275" s="30"/>
      <c r="E2275" s="30"/>
      <c r="F2275" s="30">
        <v>53.2</v>
      </c>
      <c r="G2275" s="30">
        <v>47.5</v>
      </c>
    </row>
    <row r="2276" spans="1:7" x14ac:dyDescent="0.25">
      <c r="A2276" s="29">
        <v>39882</v>
      </c>
      <c r="B2276" s="30">
        <v>39.700000000000003</v>
      </c>
      <c r="C2276" s="30">
        <v>39.700000000000003</v>
      </c>
      <c r="D2276" s="30"/>
      <c r="E2276" s="30"/>
      <c r="F2276" s="30">
        <v>41.8</v>
      </c>
      <c r="G2276" s="30">
        <v>41.5</v>
      </c>
    </row>
    <row r="2277" spans="1:7" x14ac:dyDescent="0.25">
      <c r="A2277" s="29">
        <v>39883</v>
      </c>
      <c r="B2277" s="30">
        <v>44.3</v>
      </c>
      <c r="C2277" s="30">
        <v>46.1</v>
      </c>
      <c r="D2277" s="30"/>
      <c r="E2277" s="30"/>
      <c r="F2277" s="30">
        <v>51</v>
      </c>
      <c r="G2277" s="30">
        <v>46.5</v>
      </c>
    </row>
    <row r="2278" spans="1:7" x14ac:dyDescent="0.25">
      <c r="A2278" s="29">
        <v>39884</v>
      </c>
      <c r="B2278" s="30">
        <v>42</v>
      </c>
      <c r="C2278" s="30">
        <v>41.2</v>
      </c>
      <c r="D2278" s="30"/>
      <c r="E2278" s="30"/>
      <c r="F2278" s="30">
        <v>45.5</v>
      </c>
      <c r="G2278" s="30">
        <v>42.4</v>
      </c>
    </row>
    <row r="2279" spans="1:7" x14ac:dyDescent="0.25">
      <c r="A2279" s="29">
        <v>39885</v>
      </c>
      <c r="B2279" s="30">
        <v>33</v>
      </c>
      <c r="C2279" s="30">
        <v>32.700000000000003</v>
      </c>
      <c r="D2279" s="30"/>
      <c r="E2279" s="30"/>
      <c r="F2279" s="30">
        <v>36</v>
      </c>
      <c r="G2279" s="30">
        <v>32.700000000000003</v>
      </c>
    </row>
    <row r="2280" spans="1:7" x14ac:dyDescent="0.25">
      <c r="A2280" s="29">
        <v>39886</v>
      </c>
      <c r="B2280" s="30">
        <v>37.1</v>
      </c>
      <c r="C2280" s="30">
        <v>39.4</v>
      </c>
      <c r="D2280" s="30"/>
      <c r="E2280" s="30"/>
      <c r="F2280" s="30">
        <v>38</v>
      </c>
      <c r="G2280" s="30">
        <v>38.299999999999997</v>
      </c>
    </row>
    <row r="2281" spans="1:7" x14ac:dyDescent="0.25">
      <c r="A2281" s="29">
        <v>39887</v>
      </c>
      <c r="B2281" s="30">
        <v>43.2</v>
      </c>
      <c r="C2281" s="30">
        <v>46.1</v>
      </c>
      <c r="D2281" s="30"/>
      <c r="E2281" s="30"/>
      <c r="F2281" s="30">
        <v>39.9</v>
      </c>
      <c r="G2281" s="30">
        <v>45.3</v>
      </c>
    </row>
    <row r="2282" spans="1:7" x14ac:dyDescent="0.25">
      <c r="A2282" s="29">
        <v>39888</v>
      </c>
      <c r="B2282" s="30">
        <v>42.7</v>
      </c>
      <c r="C2282" s="30">
        <v>42.6</v>
      </c>
      <c r="D2282" s="30"/>
      <c r="E2282" s="30"/>
      <c r="F2282" s="30">
        <v>44</v>
      </c>
      <c r="G2282" s="30">
        <v>44.2</v>
      </c>
    </row>
    <row r="2283" spans="1:7" x14ac:dyDescent="0.25">
      <c r="A2283" s="29">
        <v>39889</v>
      </c>
      <c r="B2283" s="30">
        <v>41.4</v>
      </c>
      <c r="C2283" s="30">
        <v>41.6</v>
      </c>
      <c r="D2283" s="30"/>
      <c r="E2283" s="30"/>
      <c r="F2283" s="30">
        <v>44.7</v>
      </c>
      <c r="G2283" s="30">
        <v>43.4</v>
      </c>
    </row>
    <row r="2284" spans="1:7" x14ac:dyDescent="0.25">
      <c r="A2284" s="29">
        <v>39890</v>
      </c>
      <c r="B2284" s="30">
        <v>42.6</v>
      </c>
      <c r="C2284" s="30">
        <v>47</v>
      </c>
      <c r="D2284" s="30"/>
      <c r="E2284" s="30"/>
      <c r="F2284" s="30">
        <v>42.6</v>
      </c>
      <c r="G2284" s="30">
        <v>48.2</v>
      </c>
    </row>
    <row r="2285" spans="1:7" x14ac:dyDescent="0.25">
      <c r="A2285" s="29">
        <v>39891</v>
      </c>
      <c r="B2285" s="30">
        <v>44.7</v>
      </c>
      <c r="C2285" s="30">
        <v>46.8</v>
      </c>
      <c r="D2285" s="30"/>
      <c r="E2285" s="30"/>
      <c r="F2285" s="30">
        <v>49.2</v>
      </c>
      <c r="G2285" s="30">
        <v>49.3</v>
      </c>
    </row>
    <row r="2286" spans="1:7" x14ac:dyDescent="0.25">
      <c r="A2286" s="29">
        <v>39892</v>
      </c>
      <c r="B2286" s="30">
        <v>40.1</v>
      </c>
      <c r="C2286" s="30">
        <v>40.6</v>
      </c>
      <c r="D2286" s="30"/>
      <c r="E2286" s="30"/>
      <c r="F2286" s="30">
        <v>40</v>
      </c>
      <c r="G2286" s="30">
        <v>40.9</v>
      </c>
    </row>
    <row r="2287" spans="1:7" x14ac:dyDescent="0.25">
      <c r="A2287" s="29">
        <v>39893</v>
      </c>
      <c r="B2287" s="30">
        <v>37.1</v>
      </c>
      <c r="C2287" s="30">
        <v>38.5</v>
      </c>
      <c r="D2287" s="30"/>
      <c r="E2287" s="30"/>
      <c r="F2287" s="30">
        <v>34.6</v>
      </c>
      <c r="G2287" s="30">
        <v>37.6</v>
      </c>
    </row>
    <row r="2288" spans="1:7" x14ac:dyDescent="0.25">
      <c r="A2288" s="29">
        <v>39894</v>
      </c>
      <c r="B2288" s="30">
        <v>42.2</v>
      </c>
      <c r="C2288" s="30">
        <v>42.6</v>
      </c>
      <c r="D2288" s="30"/>
      <c r="E2288" s="30"/>
      <c r="F2288" s="30">
        <v>42.9</v>
      </c>
      <c r="G2288" s="30">
        <v>41.6</v>
      </c>
    </row>
    <row r="2289" spans="1:7" x14ac:dyDescent="0.25">
      <c r="A2289" s="29">
        <v>39895</v>
      </c>
      <c r="B2289" s="30">
        <v>37.5</v>
      </c>
      <c r="C2289" s="30">
        <v>36.799999999999997</v>
      </c>
      <c r="D2289" s="30"/>
      <c r="E2289" s="30"/>
      <c r="F2289" s="30">
        <v>40.6</v>
      </c>
      <c r="G2289" s="30">
        <v>37.5</v>
      </c>
    </row>
    <row r="2290" spans="1:7" x14ac:dyDescent="0.25">
      <c r="A2290" s="29">
        <v>39896</v>
      </c>
      <c r="B2290" s="30">
        <v>36.299999999999997</v>
      </c>
      <c r="C2290" s="30">
        <v>35.799999999999997</v>
      </c>
      <c r="D2290" s="30"/>
      <c r="E2290" s="30"/>
      <c r="F2290" s="30">
        <v>36.4</v>
      </c>
      <c r="G2290" s="30">
        <v>36.700000000000003</v>
      </c>
    </row>
    <row r="2291" spans="1:7" x14ac:dyDescent="0.25">
      <c r="A2291" s="29">
        <v>39897</v>
      </c>
      <c r="B2291" s="30">
        <v>40.9</v>
      </c>
      <c r="C2291" s="30">
        <v>42.3</v>
      </c>
      <c r="D2291" s="30"/>
      <c r="E2291" s="30"/>
      <c r="F2291" s="30">
        <v>37</v>
      </c>
      <c r="G2291" s="30">
        <v>41.2</v>
      </c>
    </row>
    <row r="2292" spans="1:7" x14ac:dyDescent="0.25">
      <c r="A2292" s="29">
        <v>39898</v>
      </c>
      <c r="B2292" s="30">
        <v>41.3</v>
      </c>
      <c r="C2292" s="30">
        <v>43.1</v>
      </c>
      <c r="D2292" s="30"/>
      <c r="E2292" s="30"/>
      <c r="F2292" s="30">
        <v>43.6</v>
      </c>
      <c r="G2292" s="30">
        <v>42.6</v>
      </c>
    </row>
    <row r="2293" spans="1:7" x14ac:dyDescent="0.25">
      <c r="A2293" s="29">
        <v>39899</v>
      </c>
      <c r="B2293" s="30">
        <v>49.5</v>
      </c>
      <c r="C2293" s="30">
        <v>49.8</v>
      </c>
      <c r="D2293" s="30"/>
      <c r="E2293" s="30"/>
      <c r="F2293" s="30">
        <v>52.5</v>
      </c>
      <c r="G2293" s="30">
        <v>51.1</v>
      </c>
    </row>
    <row r="2294" spans="1:7" x14ac:dyDescent="0.25">
      <c r="A2294" s="29">
        <v>39900</v>
      </c>
      <c r="B2294" s="30">
        <v>50.2</v>
      </c>
      <c r="C2294" s="30">
        <v>49.9</v>
      </c>
      <c r="D2294" s="30"/>
      <c r="E2294" s="30"/>
      <c r="F2294" s="30">
        <v>48.7</v>
      </c>
      <c r="G2294" s="30">
        <v>52.6</v>
      </c>
    </row>
    <row r="2295" spans="1:7" x14ac:dyDescent="0.25">
      <c r="A2295" s="29">
        <v>39901</v>
      </c>
      <c r="B2295" s="30">
        <v>49.3</v>
      </c>
      <c r="C2295" s="30">
        <v>43.2</v>
      </c>
      <c r="D2295" s="30"/>
      <c r="E2295" s="30"/>
      <c r="F2295" s="30">
        <v>53.8</v>
      </c>
      <c r="G2295" s="30">
        <v>48.2</v>
      </c>
    </row>
    <row r="2296" spans="1:7" x14ac:dyDescent="0.25">
      <c r="A2296" s="29">
        <v>39902</v>
      </c>
      <c r="B2296" s="30">
        <v>50</v>
      </c>
      <c r="C2296" s="30">
        <v>48.1</v>
      </c>
      <c r="D2296" s="30"/>
      <c r="E2296" s="30"/>
      <c r="F2296" s="30">
        <v>50.2</v>
      </c>
      <c r="G2296" s="30">
        <v>50.3</v>
      </c>
    </row>
    <row r="2297" spans="1:7" x14ac:dyDescent="0.25">
      <c r="A2297" s="29">
        <v>39903</v>
      </c>
      <c r="B2297" s="30">
        <v>46.8</v>
      </c>
      <c r="C2297" s="30">
        <v>46.9</v>
      </c>
      <c r="D2297" s="30"/>
      <c r="E2297" s="30"/>
      <c r="F2297" s="30">
        <v>44.7</v>
      </c>
      <c r="G2297" s="30">
        <v>47.4</v>
      </c>
    </row>
    <row r="2298" spans="1:7" x14ac:dyDescent="0.25">
      <c r="A2298" s="29">
        <v>39904</v>
      </c>
      <c r="B2298" s="30">
        <v>44.1</v>
      </c>
      <c r="C2298" s="30">
        <v>45.8</v>
      </c>
      <c r="D2298" s="30"/>
      <c r="E2298" s="30"/>
      <c r="F2298" s="30">
        <v>47.2</v>
      </c>
      <c r="G2298" s="30">
        <v>45.5</v>
      </c>
    </row>
    <row r="2299" spans="1:7" x14ac:dyDescent="0.25">
      <c r="A2299" s="29">
        <v>39905</v>
      </c>
      <c r="B2299" s="30">
        <v>51.4</v>
      </c>
      <c r="C2299" s="30">
        <v>47.3</v>
      </c>
      <c r="D2299" s="30"/>
      <c r="E2299" s="30"/>
      <c r="F2299" s="30">
        <v>53.9</v>
      </c>
      <c r="G2299" s="30">
        <v>50.7</v>
      </c>
    </row>
    <row r="2300" spans="1:7" x14ac:dyDescent="0.25">
      <c r="A2300" s="29">
        <v>39906</v>
      </c>
      <c r="B2300" s="30">
        <v>52.7</v>
      </c>
      <c r="C2300" s="30">
        <v>48.5</v>
      </c>
      <c r="D2300" s="30"/>
      <c r="E2300" s="30"/>
      <c r="F2300" s="30">
        <v>56.4</v>
      </c>
      <c r="G2300" s="30">
        <v>54.2</v>
      </c>
    </row>
    <row r="2301" spans="1:7" x14ac:dyDescent="0.25">
      <c r="A2301" s="29">
        <v>39907</v>
      </c>
      <c r="B2301" s="30">
        <v>52.3</v>
      </c>
      <c r="C2301" s="30">
        <v>52.3</v>
      </c>
      <c r="D2301" s="30"/>
      <c r="E2301" s="30"/>
      <c r="F2301" s="30">
        <v>57.9</v>
      </c>
      <c r="G2301" s="30">
        <v>53.2</v>
      </c>
    </row>
    <row r="2302" spans="1:7" x14ac:dyDescent="0.25">
      <c r="A2302" s="29">
        <v>39908</v>
      </c>
      <c r="B2302" s="30">
        <v>54.3</v>
      </c>
      <c r="C2302" s="30">
        <v>52.5</v>
      </c>
      <c r="D2302" s="30"/>
      <c r="E2302" s="30"/>
      <c r="F2302" s="30">
        <v>55.5</v>
      </c>
      <c r="G2302" s="30">
        <v>54.9</v>
      </c>
    </row>
    <row r="2303" spans="1:7" x14ac:dyDescent="0.25">
      <c r="A2303" s="29">
        <v>39909</v>
      </c>
      <c r="B2303" s="30">
        <v>49.7</v>
      </c>
      <c r="C2303" s="30">
        <v>49.6</v>
      </c>
      <c r="D2303" s="30"/>
      <c r="E2303" s="30"/>
      <c r="F2303" s="30">
        <v>54.4</v>
      </c>
      <c r="G2303" s="30">
        <v>51.8</v>
      </c>
    </row>
    <row r="2304" spans="1:7" x14ac:dyDescent="0.25">
      <c r="A2304" s="29">
        <v>39910</v>
      </c>
      <c r="B2304" s="30">
        <v>45.3</v>
      </c>
      <c r="C2304" s="30">
        <v>45.1</v>
      </c>
      <c r="D2304" s="30"/>
      <c r="E2304" s="30"/>
      <c r="F2304" s="30">
        <v>45.9</v>
      </c>
      <c r="G2304" s="30">
        <v>45.7</v>
      </c>
    </row>
    <row r="2305" spans="1:7" x14ac:dyDescent="0.25">
      <c r="A2305" s="29">
        <v>39911</v>
      </c>
      <c r="B2305" s="30">
        <v>42.7</v>
      </c>
      <c r="C2305" s="30">
        <v>42.1</v>
      </c>
      <c r="D2305" s="30"/>
      <c r="E2305" s="30"/>
      <c r="F2305" s="30">
        <v>43.1</v>
      </c>
      <c r="G2305" s="30">
        <v>41.9</v>
      </c>
    </row>
    <row r="2306" spans="1:7" x14ac:dyDescent="0.25">
      <c r="A2306" s="29">
        <v>39912</v>
      </c>
      <c r="B2306" s="30">
        <v>47.9</v>
      </c>
      <c r="C2306" s="30">
        <v>49.2</v>
      </c>
      <c r="D2306" s="30"/>
      <c r="E2306" s="30"/>
      <c r="F2306" s="30">
        <v>50.5</v>
      </c>
      <c r="G2306" s="30">
        <v>49.8</v>
      </c>
    </row>
    <row r="2307" spans="1:7" x14ac:dyDescent="0.25">
      <c r="A2307" s="29">
        <v>39913</v>
      </c>
      <c r="B2307" s="30">
        <v>48.5</v>
      </c>
      <c r="C2307" s="30">
        <v>51.4</v>
      </c>
      <c r="D2307" s="30"/>
      <c r="E2307" s="30"/>
      <c r="F2307" s="30">
        <v>52.6</v>
      </c>
      <c r="G2307" s="30">
        <v>51.5</v>
      </c>
    </row>
    <row r="2308" spans="1:7" x14ac:dyDescent="0.25">
      <c r="A2308" s="29">
        <v>39914</v>
      </c>
      <c r="B2308" s="30">
        <v>48.3</v>
      </c>
      <c r="C2308" s="30">
        <v>47.4</v>
      </c>
      <c r="D2308" s="30"/>
      <c r="E2308" s="30"/>
      <c r="F2308" s="30">
        <v>49.3</v>
      </c>
      <c r="G2308" s="30">
        <v>49.1</v>
      </c>
    </row>
    <row r="2309" spans="1:7" x14ac:dyDescent="0.25">
      <c r="A2309" s="29">
        <v>39915</v>
      </c>
      <c r="B2309" s="30">
        <v>44</v>
      </c>
      <c r="C2309" s="30">
        <v>43.3</v>
      </c>
      <c r="D2309" s="30"/>
      <c r="E2309" s="30"/>
      <c r="F2309" s="30">
        <v>44.1</v>
      </c>
      <c r="G2309" s="30">
        <v>44</v>
      </c>
    </row>
    <row r="2310" spans="1:7" x14ac:dyDescent="0.25">
      <c r="A2310" s="29">
        <v>39916</v>
      </c>
      <c r="B2310" s="30">
        <v>44</v>
      </c>
      <c r="C2310" s="30">
        <v>43.8</v>
      </c>
      <c r="D2310" s="30"/>
      <c r="E2310" s="30"/>
      <c r="F2310" s="30">
        <v>43.4</v>
      </c>
      <c r="G2310" s="30">
        <v>44.3</v>
      </c>
    </row>
    <row r="2311" spans="1:7" x14ac:dyDescent="0.25">
      <c r="A2311" s="29">
        <v>39917</v>
      </c>
      <c r="B2311" s="30">
        <v>47.6</v>
      </c>
      <c r="C2311" s="30">
        <v>49.3</v>
      </c>
      <c r="D2311" s="30"/>
      <c r="E2311" s="30"/>
      <c r="F2311" s="30">
        <v>45.8</v>
      </c>
      <c r="G2311" s="30">
        <v>49.7</v>
      </c>
    </row>
    <row r="2312" spans="1:7" x14ac:dyDescent="0.25">
      <c r="A2312" s="29">
        <v>39918</v>
      </c>
      <c r="B2312" s="30">
        <v>47.3</v>
      </c>
      <c r="C2312" s="30">
        <v>46.2</v>
      </c>
      <c r="D2312" s="30"/>
      <c r="E2312" s="30"/>
      <c r="F2312" s="30">
        <v>45.6</v>
      </c>
      <c r="G2312" s="30">
        <v>46.9</v>
      </c>
    </row>
    <row r="2313" spans="1:7" x14ac:dyDescent="0.25">
      <c r="A2313" s="29">
        <v>39919</v>
      </c>
      <c r="B2313" s="30">
        <v>47.8</v>
      </c>
      <c r="C2313" s="30">
        <v>49.9</v>
      </c>
      <c r="D2313" s="30"/>
      <c r="E2313" s="30"/>
      <c r="F2313" s="30">
        <v>45.5</v>
      </c>
      <c r="G2313" s="30">
        <v>48.3</v>
      </c>
    </row>
    <row r="2314" spans="1:7" x14ac:dyDescent="0.25">
      <c r="A2314" s="29">
        <v>39920</v>
      </c>
      <c r="B2314" s="30">
        <v>49.5</v>
      </c>
      <c r="C2314" s="30">
        <v>52.8</v>
      </c>
      <c r="D2314" s="30"/>
      <c r="E2314" s="30"/>
      <c r="F2314" s="30">
        <v>49.2</v>
      </c>
      <c r="G2314" s="30">
        <v>53.2</v>
      </c>
    </row>
    <row r="2315" spans="1:7" x14ac:dyDescent="0.25">
      <c r="A2315" s="29">
        <v>39921</v>
      </c>
      <c r="B2315" s="30">
        <v>62.4</v>
      </c>
      <c r="C2315" s="30">
        <v>65.599999999999994</v>
      </c>
      <c r="D2315" s="30"/>
      <c r="E2315" s="30"/>
      <c r="F2315" s="30">
        <v>62.2</v>
      </c>
      <c r="G2315" s="30">
        <v>65.5</v>
      </c>
    </row>
    <row r="2316" spans="1:7" x14ac:dyDescent="0.25">
      <c r="A2316" s="29">
        <v>39922</v>
      </c>
      <c r="B2316" s="30">
        <v>58.2</v>
      </c>
      <c r="C2316" s="30">
        <v>58</v>
      </c>
      <c r="D2316" s="30"/>
      <c r="E2316" s="30"/>
      <c r="F2316" s="30">
        <v>57.6</v>
      </c>
      <c r="G2316" s="30">
        <v>59.5</v>
      </c>
    </row>
    <row r="2317" spans="1:7" x14ac:dyDescent="0.25">
      <c r="A2317" s="29">
        <v>39923</v>
      </c>
      <c r="B2317" s="30">
        <v>46.5</v>
      </c>
      <c r="C2317" s="30">
        <v>46.8</v>
      </c>
      <c r="D2317" s="30"/>
      <c r="E2317" s="30"/>
      <c r="F2317" s="30">
        <v>49.2</v>
      </c>
      <c r="G2317" s="30">
        <v>47.5</v>
      </c>
    </row>
    <row r="2318" spans="1:7" x14ac:dyDescent="0.25">
      <c r="A2318" s="29">
        <v>39924</v>
      </c>
      <c r="B2318" s="30">
        <v>51.7</v>
      </c>
      <c r="C2318" s="30">
        <v>48.9</v>
      </c>
      <c r="D2318" s="30"/>
      <c r="E2318" s="30"/>
      <c r="F2318" s="30">
        <v>57.7</v>
      </c>
      <c r="G2318" s="30">
        <v>52.6</v>
      </c>
    </row>
    <row r="2319" spans="1:7" x14ac:dyDescent="0.25">
      <c r="A2319" s="29">
        <v>39925</v>
      </c>
      <c r="B2319" s="30">
        <v>50.3</v>
      </c>
      <c r="C2319" s="30">
        <v>52.3</v>
      </c>
      <c r="D2319" s="30"/>
      <c r="E2319" s="30"/>
      <c r="F2319" s="30">
        <v>51.1</v>
      </c>
      <c r="G2319" s="30">
        <v>51.9</v>
      </c>
    </row>
    <row r="2320" spans="1:7" x14ac:dyDescent="0.25">
      <c r="A2320" s="29">
        <v>39926</v>
      </c>
      <c r="B2320" s="30">
        <v>50.6</v>
      </c>
      <c r="C2320" s="30">
        <v>50.4</v>
      </c>
      <c r="D2320" s="30"/>
      <c r="E2320" s="30"/>
      <c r="F2320" s="30">
        <v>51.3</v>
      </c>
      <c r="G2320" s="30">
        <v>51.3</v>
      </c>
    </row>
    <row r="2321" spans="1:7" x14ac:dyDescent="0.25">
      <c r="A2321" s="29">
        <v>39927</v>
      </c>
      <c r="B2321" s="30">
        <v>54</v>
      </c>
      <c r="C2321" s="30">
        <v>56</v>
      </c>
      <c r="D2321" s="30"/>
      <c r="E2321" s="30"/>
      <c r="F2321" s="30">
        <v>55</v>
      </c>
      <c r="G2321" s="30">
        <v>56.5</v>
      </c>
    </row>
    <row r="2322" spans="1:7" x14ac:dyDescent="0.25">
      <c r="A2322" s="29">
        <v>39928</v>
      </c>
      <c r="B2322" s="30">
        <v>56.5</v>
      </c>
      <c r="C2322" s="30">
        <v>65.099999999999994</v>
      </c>
      <c r="D2322" s="30"/>
      <c r="E2322" s="30"/>
      <c r="F2322" s="30">
        <v>67.7</v>
      </c>
      <c r="G2322" s="30">
        <v>68.400000000000006</v>
      </c>
    </row>
    <row r="2323" spans="1:7" x14ac:dyDescent="0.25">
      <c r="A2323" s="29">
        <v>39929</v>
      </c>
      <c r="B2323" s="30">
        <v>69.900000000000006</v>
      </c>
      <c r="C2323" s="30">
        <v>78.599999999999994</v>
      </c>
      <c r="D2323" s="30"/>
      <c r="E2323" s="30"/>
      <c r="F2323" s="30">
        <v>78.900000000000006</v>
      </c>
      <c r="G2323" s="30">
        <v>79.900000000000006</v>
      </c>
    </row>
    <row r="2324" spans="1:7" x14ac:dyDescent="0.25">
      <c r="A2324" s="29">
        <v>39930</v>
      </c>
      <c r="B2324" s="30">
        <v>65.900000000000006</v>
      </c>
      <c r="C2324" s="30">
        <v>63.6</v>
      </c>
      <c r="D2324" s="30"/>
      <c r="E2324" s="30"/>
      <c r="F2324" s="30">
        <v>78.900000000000006</v>
      </c>
      <c r="G2324" s="30">
        <v>72.599999999999994</v>
      </c>
    </row>
    <row r="2325" spans="1:7" x14ac:dyDescent="0.25">
      <c r="A2325" s="29">
        <v>39931</v>
      </c>
      <c r="B2325" s="30">
        <v>67.2</v>
      </c>
      <c r="C2325" s="30">
        <v>79</v>
      </c>
      <c r="D2325" s="30"/>
      <c r="E2325" s="30"/>
      <c r="F2325" s="30">
        <v>77.5</v>
      </c>
      <c r="G2325" s="30">
        <v>77.8</v>
      </c>
    </row>
    <row r="2326" spans="1:7" x14ac:dyDescent="0.25">
      <c r="A2326" s="29">
        <v>39932</v>
      </c>
      <c r="B2326" s="30">
        <v>61.7</v>
      </c>
      <c r="C2326" s="30">
        <v>62.5</v>
      </c>
      <c r="D2326" s="30"/>
      <c r="E2326" s="30"/>
      <c r="F2326" s="30">
        <v>60.4</v>
      </c>
      <c r="G2326" s="30">
        <v>62.9</v>
      </c>
    </row>
    <row r="2327" spans="1:7" x14ac:dyDescent="0.25">
      <c r="A2327" s="29">
        <v>39933</v>
      </c>
      <c r="B2327" s="30">
        <v>51.4</v>
      </c>
      <c r="C2327" s="30">
        <v>54</v>
      </c>
      <c r="D2327" s="30"/>
      <c r="E2327" s="30"/>
      <c r="F2327" s="30">
        <v>51.4</v>
      </c>
      <c r="G2327" s="30">
        <v>53.2</v>
      </c>
    </row>
    <row r="2328" spans="1:7" x14ac:dyDescent="0.25">
      <c r="A2328" s="29">
        <v>39934</v>
      </c>
      <c r="B2328" s="30">
        <v>56.9</v>
      </c>
      <c r="C2328" s="30">
        <v>60.5</v>
      </c>
      <c r="D2328" s="30"/>
      <c r="E2328" s="30"/>
      <c r="F2328" s="30">
        <v>60.3</v>
      </c>
      <c r="G2328" s="30">
        <v>60.5</v>
      </c>
    </row>
    <row r="2329" spans="1:7" x14ac:dyDescent="0.25">
      <c r="A2329" s="29">
        <v>39935</v>
      </c>
      <c r="B2329" s="30">
        <v>58.4</v>
      </c>
      <c r="C2329" s="30">
        <v>61.9</v>
      </c>
      <c r="D2329" s="30"/>
      <c r="E2329" s="30"/>
      <c r="F2329" s="30">
        <v>62</v>
      </c>
      <c r="G2329" s="30">
        <v>62.9</v>
      </c>
    </row>
    <row r="2330" spans="1:7" x14ac:dyDescent="0.25">
      <c r="A2330" s="29">
        <v>39936</v>
      </c>
      <c r="B2330" s="30">
        <v>54.6</v>
      </c>
      <c r="C2330" s="30">
        <v>56.2</v>
      </c>
      <c r="D2330" s="30"/>
      <c r="E2330" s="30"/>
      <c r="F2330" s="30">
        <v>54.9</v>
      </c>
      <c r="G2330" s="30">
        <v>58.2</v>
      </c>
    </row>
    <row r="2331" spans="1:7" x14ac:dyDescent="0.25">
      <c r="A2331" s="29">
        <v>39937</v>
      </c>
      <c r="B2331" s="30">
        <v>53.3</v>
      </c>
      <c r="C2331" s="30">
        <v>53.6</v>
      </c>
      <c r="D2331" s="30"/>
      <c r="E2331" s="30"/>
      <c r="F2331" s="30">
        <v>52.1</v>
      </c>
      <c r="G2331" s="30">
        <v>54.5</v>
      </c>
    </row>
    <row r="2332" spans="1:7" x14ac:dyDescent="0.25">
      <c r="A2332" s="29">
        <v>39938</v>
      </c>
      <c r="B2332" s="30">
        <v>53.1</v>
      </c>
      <c r="C2332" s="30">
        <v>52.8</v>
      </c>
      <c r="D2332" s="30"/>
      <c r="E2332" s="30"/>
      <c r="F2332" s="30">
        <v>53.6</v>
      </c>
      <c r="G2332" s="30">
        <v>53.6</v>
      </c>
    </row>
    <row r="2333" spans="1:7" x14ac:dyDescent="0.25">
      <c r="A2333" s="29">
        <v>39939</v>
      </c>
      <c r="B2333" s="30">
        <v>53.6</v>
      </c>
      <c r="C2333" s="30">
        <v>54.7</v>
      </c>
      <c r="D2333" s="30"/>
      <c r="E2333" s="30"/>
      <c r="F2333" s="30">
        <v>53.5</v>
      </c>
      <c r="G2333" s="30">
        <v>55.3</v>
      </c>
    </row>
    <row r="2334" spans="1:7" x14ac:dyDescent="0.25">
      <c r="A2334" s="29">
        <v>39940</v>
      </c>
      <c r="B2334" s="30">
        <v>57.7</v>
      </c>
      <c r="C2334" s="30">
        <v>60.2</v>
      </c>
      <c r="D2334" s="30"/>
      <c r="E2334" s="30"/>
      <c r="F2334" s="30">
        <v>63.8</v>
      </c>
      <c r="G2334" s="30">
        <v>60.6</v>
      </c>
    </row>
    <row r="2335" spans="1:7" x14ac:dyDescent="0.25">
      <c r="A2335" s="29">
        <v>39941</v>
      </c>
      <c r="B2335" s="30">
        <v>63</v>
      </c>
      <c r="C2335" s="30">
        <v>65.7</v>
      </c>
      <c r="D2335" s="30"/>
      <c r="E2335" s="30"/>
      <c r="F2335" s="30">
        <v>66.7</v>
      </c>
      <c r="G2335" s="30">
        <v>66</v>
      </c>
    </row>
    <row r="2336" spans="1:7" x14ac:dyDescent="0.25">
      <c r="A2336" s="29">
        <v>39942</v>
      </c>
      <c r="B2336" s="30">
        <v>61.3</v>
      </c>
      <c r="C2336" s="30">
        <v>64.900000000000006</v>
      </c>
      <c r="D2336" s="30"/>
      <c r="E2336" s="30"/>
      <c r="F2336" s="30">
        <v>71.5</v>
      </c>
      <c r="G2336" s="30">
        <v>68.400000000000006</v>
      </c>
    </row>
    <row r="2337" spans="1:7" x14ac:dyDescent="0.25">
      <c r="A2337" s="29">
        <v>39943</v>
      </c>
      <c r="B2337" s="30">
        <v>66.599999999999994</v>
      </c>
      <c r="C2337" s="30">
        <v>66.400000000000006</v>
      </c>
      <c r="D2337" s="30"/>
      <c r="E2337" s="30"/>
      <c r="F2337" s="30">
        <v>68.900000000000006</v>
      </c>
      <c r="G2337" s="30">
        <v>67.7</v>
      </c>
    </row>
    <row r="2338" spans="1:7" x14ac:dyDescent="0.25">
      <c r="A2338" s="29">
        <v>39944</v>
      </c>
      <c r="B2338" s="30">
        <v>56.6</v>
      </c>
      <c r="C2338" s="30">
        <v>57</v>
      </c>
      <c r="D2338" s="30"/>
      <c r="E2338" s="30"/>
      <c r="F2338" s="30">
        <v>58.2</v>
      </c>
      <c r="G2338" s="30">
        <v>58.2</v>
      </c>
    </row>
    <row r="2339" spans="1:7" x14ac:dyDescent="0.25">
      <c r="A2339" s="29">
        <v>39945</v>
      </c>
      <c r="B2339" s="30">
        <v>57.8</v>
      </c>
      <c r="C2339" s="30">
        <v>58.7</v>
      </c>
      <c r="D2339" s="30"/>
      <c r="E2339" s="30"/>
      <c r="F2339" s="30">
        <v>58.7</v>
      </c>
      <c r="G2339" s="30">
        <v>60.4</v>
      </c>
    </row>
    <row r="2340" spans="1:7" x14ac:dyDescent="0.25">
      <c r="A2340" s="29">
        <v>39946</v>
      </c>
      <c r="B2340" s="30">
        <v>56.5</v>
      </c>
      <c r="C2340" s="30">
        <v>59.2</v>
      </c>
      <c r="D2340" s="30"/>
      <c r="E2340" s="30"/>
      <c r="F2340" s="30">
        <v>55.1</v>
      </c>
      <c r="G2340" s="30">
        <v>58.3</v>
      </c>
    </row>
    <row r="2341" spans="1:7" x14ac:dyDescent="0.25">
      <c r="A2341" s="29">
        <v>39947</v>
      </c>
      <c r="B2341" s="30">
        <v>57.7</v>
      </c>
      <c r="C2341" s="30">
        <v>59.2</v>
      </c>
      <c r="D2341" s="30"/>
      <c r="E2341" s="30"/>
      <c r="F2341" s="30">
        <v>63.1</v>
      </c>
      <c r="G2341" s="30">
        <v>61.4</v>
      </c>
    </row>
    <row r="2342" spans="1:7" x14ac:dyDescent="0.25">
      <c r="A2342" s="29">
        <v>39948</v>
      </c>
      <c r="B2342" s="30">
        <v>63</v>
      </c>
      <c r="C2342" s="30">
        <v>63.1</v>
      </c>
      <c r="D2342" s="30"/>
      <c r="E2342" s="30"/>
      <c r="F2342" s="30">
        <v>66.3</v>
      </c>
      <c r="G2342" s="30">
        <v>67.599999999999994</v>
      </c>
    </row>
    <row r="2343" spans="1:7" x14ac:dyDescent="0.25">
      <c r="A2343" s="29">
        <v>39949</v>
      </c>
      <c r="B2343" s="30">
        <v>59.8</v>
      </c>
      <c r="C2343" s="30">
        <v>62.4</v>
      </c>
      <c r="D2343" s="30"/>
      <c r="E2343" s="30"/>
      <c r="F2343" s="30">
        <v>65.400000000000006</v>
      </c>
      <c r="G2343" s="30">
        <v>63.3</v>
      </c>
    </row>
    <row r="2344" spans="1:7" x14ac:dyDescent="0.25">
      <c r="A2344" s="29">
        <v>39950</v>
      </c>
      <c r="B2344" s="30">
        <v>59</v>
      </c>
      <c r="C2344" s="30">
        <v>59.4</v>
      </c>
      <c r="D2344" s="30"/>
      <c r="E2344" s="30"/>
      <c r="F2344" s="30">
        <v>61.9</v>
      </c>
      <c r="G2344" s="30">
        <v>62.4</v>
      </c>
    </row>
    <row r="2345" spans="1:7" x14ac:dyDescent="0.25">
      <c r="A2345" s="29">
        <v>39951</v>
      </c>
      <c r="B2345" s="30">
        <v>54.4</v>
      </c>
      <c r="C2345" s="30">
        <v>53.7</v>
      </c>
      <c r="D2345" s="30"/>
      <c r="E2345" s="30"/>
      <c r="F2345" s="30">
        <v>54.1</v>
      </c>
      <c r="G2345" s="30">
        <v>54.2</v>
      </c>
    </row>
    <row r="2346" spans="1:7" x14ac:dyDescent="0.25">
      <c r="A2346" s="29">
        <v>39952</v>
      </c>
      <c r="B2346" s="30">
        <v>55</v>
      </c>
      <c r="C2346" s="30">
        <v>56.9</v>
      </c>
      <c r="D2346" s="30"/>
      <c r="E2346" s="30"/>
      <c r="F2346" s="30">
        <v>52.9</v>
      </c>
      <c r="G2346" s="30">
        <v>55.7</v>
      </c>
    </row>
    <row r="2347" spans="1:7" x14ac:dyDescent="0.25">
      <c r="A2347" s="29">
        <v>39953</v>
      </c>
      <c r="B2347" s="30">
        <v>60</v>
      </c>
      <c r="C2347" s="30">
        <v>64.5</v>
      </c>
      <c r="D2347" s="30"/>
      <c r="E2347" s="30"/>
      <c r="F2347" s="30">
        <v>59</v>
      </c>
      <c r="G2347" s="30">
        <v>64.3</v>
      </c>
    </row>
    <row r="2348" spans="1:7" x14ac:dyDescent="0.25">
      <c r="A2348" s="29">
        <v>39954</v>
      </c>
      <c r="B2348" s="30">
        <v>63.9</v>
      </c>
      <c r="C2348" s="30">
        <v>72.3</v>
      </c>
      <c r="D2348" s="30"/>
      <c r="E2348" s="30"/>
      <c r="F2348" s="30">
        <v>63.4</v>
      </c>
      <c r="G2348" s="30">
        <v>72.400000000000006</v>
      </c>
    </row>
    <row r="2349" spans="1:7" x14ac:dyDescent="0.25">
      <c r="A2349" s="29">
        <v>39955</v>
      </c>
      <c r="B2349" s="30">
        <v>65.400000000000006</v>
      </c>
      <c r="C2349" s="30">
        <v>74.099999999999994</v>
      </c>
      <c r="D2349" s="30"/>
      <c r="E2349" s="30"/>
      <c r="F2349" s="30">
        <v>69</v>
      </c>
      <c r="G2349" s="30">
        <v>73.2</v>
      </c>
    </row>
    <row r="2350" spans="1:7" x14ac:dyDescent="0.25">
      <c r="A2350" s="29">
        <v>39956</v>
      </c>
      <c r="B2350" s="30">
        <v>66.2</v>
      </c>
      <c r="C2350" s="30">
        <v>69.5</v>
      </c>
      <c r="D2350" s="30"/>
      <c r="E2350" s="30"/>
      <c r="F2350" s="30">
        <v>72.099999999999994</v>
      </c>
      <c r="G2350" s="30">
        <v>72.3</v>
      </c>
    </row>
    <row r="2351" spans="1:7" x14ac:dyDescent="0.25">
      <c r="A2351" s="29">
        <v>39957</v>
      </c>
      <c r="B2351" s="30">
        <v>63.8</v>
      </c>
      <c r="C2351" s="30">
        <v>66.900000000000006</v>
      </c>
      <c r="D2351" s="30"/>
      <c r="E2351" s="30"/>
      <c r="F2351" s="30">
        <v>73.2</v>
      </c>
      <c r="G2351" s="30">
        <v>69.2</v>
      </c>
    </row>
    <row r="2352" spans="1:7" x14ac:dyDescent="0.25">
      <c r="A2352" s="29">
        <v>39958</v>
      </c>
      <c r="B2352" s="30">
        <v>70.099999999999994</v>
      </c>
      <c r="C2352" s="30">
        <v>73.7</v>
      </c>
      <c r="D2352" s="30"/>
      <c r="E2352" s="30"/>
      <c r="F2352" s="30">
        <v>72.3</v>
      </c>
      <c r="G2352" s="30">
        <v>73.099999999999994</v>
      </c>
    </row>
    <row r="2353" spans="1:7" x14ac:dyDescent="0.25">
      <c r="A2353" s="29">
        <v>39959</v>
      </c>
      <c r="B2353" s="30">
        <v>59.9</v>
      </c>
      <c r="C2353" s="30">
        <v>61.5</v>
      </c>
      <c r="D2353" s="30"/>
      <c r="E2353" s="30"/>
      <c r="F2353" s="30">
        <v>59.4</v>
      </c>
      <c r="G2353" s="30">
        <v>61.9</v>
      </c>
    </row>
    <row r="2354" spans="1:7" x14ac:dyDescent="0.25">
      <c r="A2354" s="29">
        <v>39960</v>
      </c>
      <c r="B2354" s="30">
        <v>57.1</v>
      </c>
      <c r="C2354" s="30">
        <v>55.3</v>
      </c>
      <c r="D2354" s="30"/>
      <c r="E2354" s="30"/>
      <c r="F2354" s="30">
        <v>61.2</v>
      </c>
      <c r="G2354" s="30">
        <v>57.9</v>
      </c>
    </row>
    <row r="2355" spans="1:7" x14ac:dyDescent="0.25">
      <c r="A2355" s="29">
        <v>39961</v>
      </c>
      <c r="B2355" s="30">
        <v>59.3</v>
      </c>
      <c r="C2355" s="30">
        <v>57</v>
      </c>
      <c r="D2355" s="30"/>
      <c r="E2355" s="30"/>
      <c r="F2355" s="30">
        <v>64</v>
      </c>
      <c r="G2355" s="30">
        <v>61.4</v>
      </c>
    </row>
    <row r="2356" spans="1:7" x14ac:dyDescent="0.25">
      <c r="A2356" s="29">
        <v>39962</v>
      </c>
      <c r="B2356" s="30">
        <v>59.2</v>
      </c>
      <c r="C2356" s="30">
        <v>59.7</v>
      </c>
      <c r="D2356" s="30"/>
      <c r="E2356" s="30"/>
      <c r="F2356" s="30">
        <v>63.4</v>
      </c>
      <c r="G2356" s="30">
        <v>61.6</v>
      </c>
    </row>
    <row r="2357" spans="1:7" x14ac:dyDescent="0.25">
      <c r="A2357" s="29">
        <v>39963</v>
      </c>
      <c r="B2357" s="30">
        <v>67.2</v>
      </c>
      <c r="C2357" s="30">
        <v>69.099999999999994</v>
      </c>
      <c r="D2357" s="30"/>
      <c r="E2357" s="30"/>
      <c r="F2357" s="30">
        <v>69.3</v>
      </c>
      <c r="G2357" s="30">
        <v>70.400000000000006</v>
      </c>
    </row>
    <row r="2358" spans="1:7" x14ac:dyDescent="0.25">
      <c r="A2358" s="29">
        <v>39964</v>
      </c>
      <c r="B2358" s="30">
        <v>67.400000000000006</v>
      </c>
      <c r="C2358" s="30">
        <v>72.099999999999994</v>
      </c>
      <c r="D2358" s="30"/>
      <c r="E2358" s="30"/>
      <c r="F2358" s="30">
        <v>68.099999999999994</v>
      </c>
      <c r="G2358" s="30">
        <v>69.599999999999994</v>
      </c>
    </row>
    <row r="2359" spans="1:7" x14ac:dyDescent="0.25">
      <c r="A2359" s="29">
        <v>39965</v>
      </c>
      <c r="B2359" s="30">
        <v>60.2</v>
      </c>
      <c r="C2359" s="30">
        <v>60.7</v>
      </c>
      <c r="D2359" s="30"/>
      <c r="E2359" s="30"/>
      <c r="F2359" s="30">
        <v>61.4</v>
      </c>
      <c r="G2359" s="30">
        <v>62.8</v>
      </c>
    </row>
    <row r="2360" spans="1:7" x14ac:dyDescent="0.25">
      <c r="A2360" s="29">
        <v>39966</v>
      </c>
      <c r="B2360" s="30">
        <v>66.400000000000006</v>
      </c>
      <c r="C2360" s="30">
        <v>69</v>
      </c>
      <c r="D2360" s="30"/>
      <c r="E2360" s="30"/>
      <c r="F2360" s="30">
        <v>70.599999999999994</v>
      </c>
      <c r="G2360" s="30">
        <v>69.2</v>
      </c>
    </row>
    <row r="2361" spans="1:7" x14ac:dyDescent="0.25">
      <c r="A2361" s="29">
        <v>39967</v>
      </c>
      <c r="B2361" s="30">
        <v>67.3</v>
      </c>
      <c r="C2361" s="30">
        <v>66.900000000000006</v>
      </c>
      <c r="D2361" s="30"/>
      <c r="E2361" s="30"/>
      <c r="F2361" s="30">
        <v>69.2</v>
      </c>
      <c r="G2361" s="30">
        <v>67.3</v>
      </c>
    </row>
    <row r="2362" spans="1:7" x14ac:dyDescent="0.25">
      <c r="A2362" s="29">
        <v>39968</v>
      </c>
      <c r="B2362" s="30">
        <v>58.8</v>
      </c>
      <c r="C2362" s="30">
        <v>59.5</v>
      </c>
      <c r="D2362" s="30"/>
      <c r="E2362" s="30"/>
      <c r="F2362" s="30">
        <v>60.4</v>
      </c>
      <c r="G2362" s="30">
        <v>59.6</v>
      </c>
    </row>
    <row r="2363" spans="1:7" x14ac:dyDescent="0.25">
      <c r="A2363" s="29">
        <v>39969</v>
      </c>
      <c r="B2363" s="30">
        <v>58.8</v>
      </c>
      <c r="C2363" s="30">
        <v>59.8</v>
      </c>
      <c r="D2363" s="30"/>
      <c r="E2363" s="30"/>
      <c r="F2363" s="30">
        <v>59</v>
      </c>
      <c r="G2363" s="30">
        <v>59.7</v>
      </c>
    </row>
    <row r="2364" spans="1:7" x14ac:dyDescent="0.25">
      <c r="A2364" s="29">
        <v>39970</v>
      </c>
      <c r="B2364" s="30">
        <v>63.3</v>
      </c>
      <c r="C2364" s="30">
        <v>64.400000000000006</v>
      </c>
      <c r="D2364" s="30"/>
      <c r="E2364" s="30"/>
      <c r="F2364" s="30">
        <v>63</v>
      </c>
      <c r="G2364" s="30">
        <v>64.8</v>
      </c>
    </row>
    <row r="2365" spans="1:7" x14ac:dyDescent="0.25">
      <c r="A2365" s="29">
        <v>39971</v>
      </c>
      <c r="B2365" s="30">
        <v>68.7</v>
      </c>
      <c r="C2365" s="30">
        <v>71.900000000000006</v>
      </c>
      <c r="D2365" s="30"/>
      <c r="E2365" s="30"/>
      <c r="F2365" s="30">
        <v>69</v>
      </c>
      <c r="G2365" s="30">
        <v>72.7</v>
      </c>
    </row>
    <row r="2366" spans="1:7" x14ac:dyDescent="0.25">
      <c r="A2366" s="29">
        <v>39972</v>
      </c>
      <c r="B2366" s="30">
        <v>68.7</v>
      </c>
      <c r="C2366" s="30">
        <v>70.7</v>
      </c>
      <c r="D2366" s="30"/>
      <c r="E2366" s="30"/>
      <c r="F2366" s="30">
        <v>69.3</v>
      </c>
      <c r="G2366" s="30">
        <v>72</v>
      </c>
    </row>
    <row r="2367" spans="1:7" x14ac:dyDescent="0.25">
      <c r="A2367" s="29">
        <v>39973</v>
      </c>
      <c r="B2367" s="30">
        <v>63.8</v>
      </c>
      <c r="C2367" s="30">
        <v>64.5</v>
      </c>
      <c r="D2367" s="30"/>
      <c r="E2367" s="30"/>
      <c r="F2367" s="30">
        <v>67.8</v>
      </c>
      <c r="G2367" s="30">
        <v>65.599999999999994</v>
      </c>
    </row>
    <row r="2368" spans="1:7" x14ac:dyDescent="0.25">
      <c r="A2368" s="29">
        <v>39974</v>
      </c>
      <c r="B2368" s="30">
        <v>64.400000000000006</v>
      </c>
      <c r="C2368" s="30">
        <v>61.7</v>
      </c>
      <c r="D2368" s="30"/>
      <c r="E2368" s="30"/>
      <c r="F2368" s="30">
        <v>68.2</v>
      </c>
      <c r="G2368" s="30">
        <v>65.5</v>
      </c>
    </row>
    <row r="2369" spans="1:7" x14ac:dyDescent="0.25">
      <c r="A2369" s="29">
        <v>39975</v>
      </c>
      <c r="B2369" s="30">
        <v>62.8</v>
      </c>
      <c r="C2369" s="30">
        <v>61.3</v>
      </c>
      <c r="D2369" s="30"/>
      <c r="E2369" s="30"/>
      <c r="F2369" s="30">
        <v>65.400000000000006</v>
      </c>
      <c r="G2369" s="30">
        <v>63.5</v>
      </c>
    </row>
    <row r="2370" spans="1:7" x14ac:dyDescent="0.25">
      <c r="A2370" s="29">
        <v>39976</v>
      </c>
      <c r="B2370" s="30">
        <v>67.5</v>
      </c>
      <c r="C2370" s="30">
        <v>68.3</v>
      </c>
      <c r="D2370" s="30"/>
      <c r="E2370" s="30"/>
      <c r="F2370" s="30">
        <v>73.3</v>
      </c>
      <c r="G2370" s="30">
        <v>69.5</v>
      </c>
    </row>
    <row r="2371" spans="1:7" x14ac:dyDescent="0.25">
      <c r="A2371" s="29">
        <v>39977</v>
      </c>
      <c r="B2371" s="30">
        <v>70.2</v>
      </c>
      <c r="C2371" s="30">
        <v>69.2</v>
      </c>
      <c r="D2371" s="30"/>
      <c r="E2371" s="30"/>
      <c r="F2371" s="30">
        <v>71.8</v>
      </c>
      <c r="G2371" s="30">
        <v>71.400000000000006</v>
      </c>
    </row>
    <row r="2372" spans="1:7" x14ac:dyDescent="0.25">
      <c r="A2372" s="29">
        <v>39978</v>
      </c>
      <c r="B2372" s="30">
        <v>64.599999999999994</v>
      </c>
      <c r="C2372" s="30">
        <v>65.3</v>
      </c>
      <c r="D2372" s="30"/>
      <c r="E2372" s="30"/>
      <c r="F2372" s="30">
        <v>66.599999999999994</v>
      </c>
      <c r="G2372" s="30">
        <v>65.900000000000006</v>
      </c>
    </row>
    <row r="2373" spans="1:7" x14ac:dyDescent="0.25">
      <c r="A2373" s="29">
        <v>39979</v>
      </c>
      <c r="B2373" s="30">
        <v>61.5</v>
      </c>
      <c r="C2373" s="30">
        <v>63.6</v>
      </c>
      <c r="D2373" s="30"/>
      <c r="E2373" s="30"/>
      <c r="F2373" s="30">
        <v>63.6</v>
      </c>
      <c r="G2373" s="30">
        <v>63.6</v>
      </c>
    </row>
    <row r="2374" spans="1:7" x14ac:dyDescent="0.25">
      <c r="A2374" s="29">
        <v>39980</v>
      </c>
      <c r="B2374" s="30">
        <v>60.3</v>
      </c>
      <c r="C2374" s="30">
        <v>61.4</v>
      </c>
      <c r="D2374" s="30"/>
      <c r="E2374" s="30"/>
      <c r="F2374" s="30">
        <v>63.1</v>
      </c>
      <c r="G2374" s="30">
        <v>62.6</v>
      </c>
    </row>
    <row r="2375" spans="1:7" x14ac:dyDescent="0.25">
      <c r="A2375" s="29">
        <v>39981</v>
      </c>
      <c r="B2375" s="30">
        <v>60.1</v>
      </c>
      <c r="C2375" s="30">
        <v>62.1</v>
      </c>
      <c r="D2375" s="30"/>
      <c r="E2375" s="30"/>
      <c r="F2375" s="30">
        <v>60.2</v>
      </c>
      <c r="G2375" s="30">
        <v>61.5</v>
      </c>
    </row>
    <row r="2376" spans="1:7" x14ac:dyDescent="0.25">
      <c r="A2376" s="29">
        <v>39982</v>
      </c>
      <c r="B2376" s="30">
        <v>62.7</v>
      </c>
      <c r="C2376" s="30">
        <v>63.1</v>
      </c>
      <c r="D2376" s="30"/>
      <c r="E2376" s="30"/>
      <c r="F2376" s="30">
        <v>64.8</v>
      </c>
      <c r="G2376" s="30">
        <v>63.8</v>
      </c>
    </row>
    <row r="2377" spans="1:7" x14ac:dyDescent="0.25">
      <c r="A2377" s="29">
        <v>39983</v>
      </c>
      <c r="B2377" s="30">
        <v>69</v>
      </c>
      <c r="C2377" s="30">
        <v>68.7</v>
      </c>
      <c r="D2377" s="30"/>
      <c r="E2377" s="30"/>
      <c r="F2377" s="30">
        <v>70.900000000000006</v>
      </c>
      <c r="G2377" s="30">
        <v>70.400000000000006</v>
      </c>
    </row>
    <row r="2378" spans="1:7" x14ac:dyDescent="0.25">
      <c r="A2378" s="29">
        <v>39984</v>
      </c>
      <c r="B2378" s="30">
        <v>68.599999999999994</v>
      </c>
      <c r="C2378" s="30">
        <v>69.099999999999994</v>
      </c>
      <c r="D2378" s="30"/>
      <c r="E2378" s="30"/>
      <c r="F2378" s="30">
        <v>68.5</v>
      </c>
      <c r="G2378" s="30">
        <v>68.099999999999994</v>
      </c>
    </row>
    <row r="2379" spans="1:7" x14ac:dyDescent="0.25">
      <c r="A2379" s="29">
        <v>39985</v>
      </c>
      <c r="B2379" s="30">
        <v>68.2</v>
      </c>
      <c r="C2379" s="30">
        <v>67.900000000000006</v>
      </c>
      <c r="D2379" s="30"/>
      <c r="E2379" s="30"/>
      <c r="F2379" s="30">
        <v>70.400000000000006</v>
      </c>
      <c r="G2379" s="30">
        <v>69.099999999999994</v>
      </c>
    </row>
    <row r="2380" spans="1:7" x14ac:dyDescent="0.25">
      <c r="A2380" s="29">
        <v>39986</v>
      </c>
      <c r="B2380" s="30">
        <v>69.599999999999994</v>
      </c>
      <c r="C2380" s="30">
        <v>69.900000000000006</v>
      </c>
      <c r="D2380" s="30"/>
      <c r="E2380" s="30"/>
      <c r="F2380" s="30">
        <v>70.099999999999994</v>
      </c>
      <c r="G2380" s="30">
        <v>71.400000000000006</v>
      </c>
    </row>
    <row r="2381" spans="1:7" x14ac:dyDescent="0.25">
      <c r="A2381" s="29">
        <v>39987</v>
      </c>
      <c r="B2381" s="30">
        <v>71.5</v>
      </c>
      <c r="C2381" s="30">
        <v>71.2</v>
      </c>
      <c r="D2381" s="30"/>
      <c r="E2381" s="30"/>
      <c r="F2381" s="30">
        <v>70.2</v>
      </c>
      <c r="G2381" s="30">
        <v>72.7</v>
      </c>
    </row>
    <row r="2382" spans="1:7" x14ac:dyDescent="0.25">
      <c r="A2382" s="29">
        <v>39988</v>
      </c>
      <c r="B2382" s="30">
        <v>69.7</v>
      </c>
      <c r="C2382" s="30">
        <v>70.2</v>
      </c>
      <c r="D2382" s="30"/>
      <c r="E2382" s="30"/>
      <c r="F2382" s="30">
        <v>70.2</v>
      </c>
      <c r="G2382" s="30">
        <v>71.7</v>
      </c>
    </row>
    <row r="2383" spans="1:7" x14ac:dyDescent="0.25">
      <c r="A2383" s="29">
        <v>39989</v>
      </c>
      <c r="B2383" s="30">
        <v>68.400000000000006</v>
      </c>
      <c r="C2383" s="30">
        <v>70.599999999999994</v>
      </c>
      <c r="D2383" s="30"/>
      <c r="E2383" s="30"/>
      <c r="F2383" s="30">
        <v>70.599999999999994</v>
      </c>
      <c r="G2383" s="30">
        <v>71.599999999999994</v>
      </c>
    </row>
    <row r="2384" spans="1:7" x14ac:dyDescent="0.25">
      <c r="A2384" s="29">
        <v>39990</v>
      </c>
      <c r="B2384" s="30">
        <v>71.2</v>
      </c>
      <c r="C2384" s="30">
        <v>73.599999999999994</v>
      </c>
      <c r="D2384" s="30"/>
      <c r="E2384" s="30"/>
      <c r="F2384" s="30">
        <v>76</v>
      </c>
      <c r="G2384" s="30">
        <v>74.7</v>
      </c>
    </row>
    <row r="2385" spans="1:7" x14ac:dyDescent="0.25">
      <c r="A2385" s="29">
        <v>39991</v>
      </c>
      <c r="B2385" s="30">
        <v>71.5</v>
      </c>
      <c r="C2385" s="30">
        <v>71.8</v>
      </c>
      <c r="D2385" s="30"/>
      <c r="E2385" s="30"/>
      <c r="F2385" s="30">
        <v>75.3</v>
      </c>
      <c r="G2385" s="30">
        <v>72.099999999999994</v>
      </c>
    </row>
    <row r="2386" spans="1:7" x14ac:dyDescent="0.25">
      <c r="A2386" s="29">
        <v>39992</v>
      </c>
      <c r="B2386" s="30">
        <v>71.3</v>
      </c>
      <c r="C2386" s="30">
        <v>72.2</v>
      </c>
      <c r="D2386" s="30"/>
      <c r="E2386" s="30"/>
      <c r="F2386" s="30">
        <v>70.599999999999994</v>
      </c>
      <c r="G2386" s="30">
        <v>73.099999999999994</v>
      </c>
    </row>
    <row r="2387" spans="1:7" x14ac:dyDescent="0.25">
      <c r="A2387" s="29">
        <v>39993</v>
      </c>
      <c r="B2387" s="30">
        <v>73.400000000000006</v>
      </c>
      <c r="C2387" s="30">
        <v>74.5</v>
      </c>
      <c r="D2387" s="30"/>
      <c r="E2387" s="30"/>
      <c r="F2387" s="30">
        <v>73.900000000000006</v>
      </c>
      <c r="G2387" s="30">
        <v>75.099999999999994</v>
      </c>
    </row>
    <row r="2388" spans="1:7" x14ac:dyDescent="0.25">
      <c r="A2388" s="29">
        <v>39994</v>
      </c>
      <c r="B2388" s="30">
        <v>73.3</v>
      </c>
      <c r="C2388" s="30">
        <v>76.3</v>
      </c>
      <c r="D2388" s="30"/>
      <c r="E2388" s="30"/>
      <c r="F2388" s="30">
        <v>75.3</v>
      </c>
      <c r="G2388" s="30">
        <v>75.3</v>
      </c>
    </row>
    <row r="2389" spans="1:7" x14ac:dyDescent="0.25">
      <c r="A2389" s="29">
        <v>39995</v>
      </c>
      <c r="B2389" s="30">
        <v>72.2</v>
      </c>
      <c r="C2389" s="30">
        <v>71.400000000000006</v>
      </c>
      <c r="D2389" s="30"/>
      <c r="E2389" s="30"/>
      <c r="F2389" s="30">
        <v>71.8</v>
      </c>
      <c r="G2389" s="30">
        <v>72.099999999999994</v>
      </c>
    </row>
    <row r="2390" spans="1:7" x14ac:dyDescent="0.25">
      <c r="A2390" s="29">
        <v>39996</v>
      </c>
      <c r="B2390" s="30">
        <v>72.599999999999994</v>
      </c>
      <c r="C2390" s="30">
        <v>70.7</v>
      </c>
      <c r="D2390" s="30"/>
      <c r="E2390" s="30"/>
      <c r="F2390" s="30">
        <v>75.5</v>
      </c>
      <c r="G2390" s="30">
        <v>72.8</v>
      </c>
    </row>
    <row r="2391" spans="1:7" x14ac:dyDescent="0.25">
      <c r="A2391" s="29">
        <v>39997</v>
      </c>
      <c r="B2391" s="30">
        <v>73.599999999999994</v>
      </c>
      <c r="C2391" s="30">
        <v>73.099999999999994</v>
      </c>
      <c r="D2391" s="30"/>
      <c r="E2391" s="30"/>
      <c r="F2391" s="30">
        <v>74.3</v>
      </c>
      <c r="G2391" s="30">
        <v>73.3</v>
      </c>
    </row>
    <row r="2392" spans="1:7" x14ac:dyDescent="0.25">
      <c r="A2392" s="29">
        <v>39998</v>
      </c>
      <c r="B2392" s="30">
        <v>74.7</v>
      </c>
      <c r="C2392" s="30">
        <v>73.8</v>
      </c>
      <c r="D2392" s="30"/>
      <c r="E2392" s="30"/>
      <c r="F2392" s="30">
        <v>73.5</v>
      </c>
      <c r="G2392" s="30">
        <v>73.3</v>
      </c>
    </row>
    <row r="2393" spans="1:7" x14ac:dyDescent="0.25">
      <c r="A2393" s="29">
        <v>39999</v>
      </c>
      <c r="B2393" s="30">
        <v>72</v>
      </c>
      <c r="C2393" s="30">
        <v>72.2</v>
      </c>
      <c r="D2393" s="30"/>
      <c r="E2393" s="30"/>
      <c r="F2393" s="30">
        <v>72</v>
      </c>
      <c r="G2393" s="30">
        <v>72.599999999999994</v>
      </c>
    </row>
    <row r="2394" spans="1:7" x14ac:dyDescent="0.25">
      <c r="A2394" s="29">
        <v>40000</v>
      </c>
      <c r="B2394" s="30">
        <v>73</v>
      </c>
      <c r="C2394" s="30">
        <v>75.7</v>
      </c>
      <c r="D2394" s="30"/>
      <c r="E2394" s="30"/>
      <c r="F2394" s="30">
        <v>73.5</v>
      </c>
      <c r="G2394" s="30">
        <v>74.5</v>
      </c>
    </row>
    <row r="2395" spans="1:7" x14ac:dyDescent="0.25">
      <c r="A2395" s="29">
        <v>40001</v>
      </c>
      <c r="B2395" s="30">
        <v>71.900000000000006</v>
      </c>
      <c r="C2395" s="30">
        <v>74.3</v>
      </c>
      <c r="D2395" s="30"/>
      <c r="E2395" s="30"/>
      <c r="F2395" s="30">
        <v>75.099999999999994</v>
      </c>
      <c r="G2395" s="30">
        <v>73.900000000000006</v>
      </c>
    </row>
    <row r="2396" spans="1:7" x14ac:dyDescent="0.25">
      <c r="A2396" s="29">
        <v>40002</v>
      </c>
      <c r="B2396" s="30">
        <v>69.8</v>
      </c>
      <c r="C2396" s="30">
        <v>68.7</v>
      </c>
      <c r="D2396" s="30"/>
      <c r="E2396" s="30"/>
      <c r="F2396" s="30">
        <v>71.900000000000006</v>
      </c>
      <c r="G2396" s="30">
        <v>70.400000000000006</v>
      </c>
    </row>
    <row r="2397" spans="1:7" x14ac:dyDescent="0.25">
      <c r="A2397" s="29">
        <v>40003</v>
      </c>
      <c r="B2397" s="30">
        <v>68.2</v>
      </c>
      <c r="C2397" s="30">
        <v>67.7</v>
      </c>
      <c r="D2397" s="30"/>
      <c r="E2397" s="30"/>
      <c r="F2397" s="30">
        <v>67.099999999999994</v>
      </c>
      <c r="G2397" s="30">
        <v>68.2</v>
      </c>
    </row>
    <row r="2398" spans="1:7" x14ac:dyDescent="0.25">
      <c r="A2398" s="29">
        <v>40004</v>
      </c>
      <c r="B2398" s="30">
        <v>66.7</v>
      </c>
      <c r="C2398" s="30">
        <v>67.900000000000006</v>
      </c>
      <c r="D2398" s="30"/>
      <c r="E2398" s="30"/>
      <c r="F2398" s="30">
        <v>66.5</v>
      </c>
      <c r="G2398" s="30">
        <v>67.599999999999994</v>
      </c>
    </row>
    <row r="2399" spans="1:7" x14ac:dyDescent="0.25">
      <c r="A2399" s="29">
        <v>40005</v>
      </c>
      <c r="B2399" s="30">
        <v>68.7</v>
      </c>
      <c r="C2399" s="30">
        <v>70.3</v>
      </c>
      <c r="D2399" s="30"/>
      <c r="E2399" s="30"/>
      <c r="F2399" s="30">
        <v>67.8</v>
      </c>
      <c r="G2399" s="30">
        <v>70.2</v>
      </c>
    </row>
    <row r="2400" spans="1:7" x14ac:dyDescent="0.25">
      <c r="A2400" s="29">
        <v>40006</v>
      </c>
      <c r="B2400" s="30">
        <v>74.099999999999994</v>
      </c>
      <c r="C2400" s="30">
        <v>73</v>
      </c>
      <c r="D2400" s="30"/>
      <c r="E2400" s="30"/>
      <c r="F2400" s="30">
        <v>76.5</v>
      </c>
      <c r="G2400" s="30">
        <v>73.8</v>
      </c>
    </row>
    <row r="2401" spans="1:7" x14ac:dyDescent="0.25">
      <c r="A2401" s="29">
        <v>40007</v>
      </c>
      <c r="B2401" s="30">
        <v>71.7</v>
      </c>
      <c r="C2401" s="30">
        <v>72.599999999999994</v>
      </c>
      <c r="D2401" s="30"/>
      <c r="E2401" s="30"/>
      <c r="F2401" s="30">
        <v>71.400000000000006</v>
      </c>
      <c r="G2401" s="30">
        <v>73.599999999999994</v>
      </c>
    </row>
    <row r="2402" spans="1:7" x14ac:dyDescent="0.25">
      <c r="A2402" s="29">
        <v>40008</v>
      </c>
      <c r="B2402" s="30">
        <v>72.3</v>
      </c>
      <c r="C2402" s="30">
        <v>73</v>
      </c>
      <c r="D2402" s="30"/>
      <c r="E2402" s="30"/>
      <c r="F2402" s="30">
        <v>70.8</v>
      </c>
      <c r="G2402" s="30">
        <v>73.400000000000006</v>
      </c>
    </row>
    <row r="2403" spans="1:7" x14ac:dyDescent="0.25">
      <c r="A2403" s="29">
        <v>40009</v>
      </c>
      <c r="B2403" s="30">
        <v>72.7</v>
      </c>
      <c r="C2403" s="30">
        <v>73.7</v>
      </c>
      <c r="D2403" s="30"/>
      <c r="E2403" s="30"/>
      <c r="F2403" s="30">
        <v>71.599999999999994</v>
      </c>
      <c r="G2403" s="30">
        <v>74.8</v>
      </c>
    </row>
    <row r="2404" spans="1:7" x14ac:dyDescent="0.25">
      <c r="A2404" s="29">
        <v>40010</v>
      </c>
      <c r="B2404" s="30">
        <v>74.2</v>
      </c>
      <c r="C2404" s="30">
        <v>77.400000000000006</v>
      </c>
      <c r="D2404" s="30"/>
      <c r="E2404" s="30"/>
      <c r="F2404" s="30">
        <v>77.2</v>
      </c>
      <c r="G2404" s="30">
        <v>78.8</v>
      </c>
    </row>
    <row r="2405" spans="1:7" x14ac:dyDescent="0.25">
      <c r="A2405" s="29">
        <v>40011</v>
      </c>
      <c r="B2405" s="30">
        <v>75.7</v>
      </c>
      <c r="C2405" s="30">
        <v>77.7</v>
      </c>
      <c r="D2405" s="30"/>
      <c r="E2405" s="30"/>
      <c r="F2405" s="30">
        <v>77.599999999999994</v>
      </c>
      <c r="G2405" s="30">
        <v>78.900000000000006</v>
      </c>
    </row>
    <row r="2406" spans="1:7" x14ac:dyDescent="0.25">
      <c r="A2406" s="29">
        <v>40012</v>
      </c>
      <c r="B2406" s="30">
        <v>77</v>
      </c>
      <c r="C2406" s="30">
        <v>76.400000000000006</v>
      </c>
      <c r="D2406" s="30"/>
      <c r="E2406" s="30"/>
      <c r="F2406" s="30">
        <v>77.2</v>
      </c>
      <c r="G2406" s="30">
        <v>76.599999999999994</v>
      </c>
    </row>
    <row r="2407" spans="1:7" x14ac:dyDescent="0.25">
      <c r="A2407" s="29">
        <v>40013</v>
      </c>
      <c r="B2407" s="30">
        <v>74.8</v>
      </c>
      <c r="C2407" s="30">
        <v>75.2</v>
      </c>
      <c r="D2407" s="30"/>
      <c r="E2407" s="30"/>
      <c r="F2407" s="30">
        <v>72.900000000000006</v>
      </c>
      <c r="G2407" s="30">
        <v>74.900000000000006</v>
      </c>
    </row>
    <row r="2408" spans="1:7" x14ac:dyDescent="0.25">
      <c r="A2408" s="29">
        <v>40014</v>
      </c>
      <c r="B2408" s="30">
        <v>73.599999999999994</v>
      </c>
      <c r="C2408" s="30">
        <v>74.3</v>
      </c>
      <c r="D2408" s="30"/>
      <c r="E2408" s="30"/>
      <c r="F2408" s="30">
        <v>71.7</v>
      </c>
      <c r="G2408" s="30">
        <v>75.2</v>
      </c>
    </row>
    <row r="2409" spans="1:7" x14ac:dyDescent="0.25">
      <c r="A2409" s="29">
        <v>40015</v>
      </c>
      <c r="B2409" s="30">
        <v>70.2</v>
      </c>
      <c r="C2409" s="30">
        <v>69</v>
      </c>
      <c r="D2409" s="30"/>
      <c r="E2409" s="30"/>
      <c r="F2409" s="30">
        <v>72.900000000000006</v>
      </c>
      <c r="G2409" s="30">
        <v>69.599999999999994</v>
      </c>
    </row>
    <row r="2410" spans="1:7" x14ac:dyDescent="0.25">
      <c r="A2410" s="29">
        <v>40016</v>
      </c>
      <c r="B2410" s="30">
        <v>72.5</v>
      </c>
      <c r="C2410" s="30">
        <v>72.5</v>
      </c>
      <c r="D2410" s="30"/>
      <c r="E2410" s="30"/>
      <c r="F2410" s="30">
        <v>72.8</v>
      </c>
      <c r="G2410" s="30">
        <v>72.5</v>
      </c>
    </row>
    <row r="2411" spans="1:7" x14ac:dyDescent="0.25">
      <c r="A2411" s="29">
        <v>40017</v>
      </c>
      <c r="B2411" s="30">
        <v>72.099999999999994</v>
      </c>
      <c r="C2411" s="30">
        <v>73.099999999999994</v>
      </c>
      <c r="D2411" s="30"/>
      <c r="E2411" s="30"/>
      <c r="F2411" s="30">
        <v>72.099999999999994</v>
      </c>
      <c r="G2411" s="30">
        <v>73.599999999999994</v>
      </c>
    </row>
    <row r="2412" spans="1:7" x14ac:dyDescent="0.25">
      <c r="A2412" s="29">
        <v>40018</v>
      </c>
      <c r="B2412" s="30">
        <v>70.900000000000006</v>
      </c>
      <c r="C2412" s="30">
        <v>70.7</v>
      </c>
      <c r="D2412" s="30"/>
      <c r="E2412" s="30"/>
      <c r="F2412" s="30">
        <v>70.599999999999994</v>
      </c>
      <c r="G2412" s="30">
        <v>71.599999999999994</v>
      </c>
    </row>
    <row r="2413" spans="1:7" x14ac:dyDescent="0.25">
      <c r="A2413" s="29">
        <v>40019</v>
      </c>
      <c r="B2413" s="30">
        <v>73.5</v>
      </c>
      <c r="C2413" s="30">
        <v>74.900000000000006</v>
      </c>
      <c r="D2413" s="30"/>
      <c r="E2413" s="30"/>
      <c r="F2413" s="30">
        <v>73.8</v>
      </c>
      <c r="G2413" s="30">
        <v>74.599999999999994</v>
      </c>
    </row>
    <row r="2414" spans="1:7" x14ac:dyDescent="0.25">
      <c r="A2414" s="29">
        <v>40020</v>
      </c>
      <c r="B2414" s="30">
        <v>76.400000000000006</v>
      </c>
      <c r="C2414" s="30">
        <v>76.8</v>
      </c>
      <c r="D2414" s="30"/>
      <c r="E2414" s="30"/>
      <c r="F2414" s="30">
        <v>80.2</v>
      </c>
      <c r="G2414" s="30">
        <v>77.599999999999994</v>
      </c>
    </row>
    <row r="2415" spans="1:7" x14ac:dyDescent="0.25">
      <c r="A2415" s="29">
        <v>40021</v>
      </c>
      <c r="B2415" s="30">
        <v>75.599999999999994</v>
      </c>
      <c r="C2415" s="30">
        <v>76.2</v>
      </c>
      <c r="D2415" s="30"/>
      <c r="E2415" s="30"/>
      <c r="F2415" s="30">
        <v>78.099999999999994</v>
      </c>
      <c r="G2415" s="30">
        <v>76.5</v>
      </c>
    </row>
    <row r="2416" spans="1:7" x14ac:dyDescent="0.25">
      <c r="A2416" s="29">
        <v>40022</v>
      </c>
      <c r="B2416" s="30">
        <v>76.5</v>
      </c>
      <c r="C2416" s="30">
        <v>79.400000000000006</v>
      </c>
      <c r="D2416" s="30"/>
      <c r="E2416" s="30"/>
      <c r="F2416" s="30">
        <v>77.2</v>
      </c>
      <c r="G2416" s="30">
        <v>79</v>
      </c>
    </row>
    <row r="2417" spans="1:7" x14ac:dyDescent="0.25">
      <c r="A2417" s="29">
        <v>40023</v>
      </c>
      <c r="B2417" s="30">
        <v>76.099999999999994</v>
      </c>
      <c r="C2417" s="30">
        <v>77</v>
      </c>
      <c r="D2417" s="30"/>
      <c r="E2417" s="30"/>
      <c r="F2417" s="30">
        <v>79.3</v>
      </c>
      <c r="G2417" s="30">
        <v>76.5</v>
      </c>
    </row>
    <row r="2418" spans="1:7" x14ac:dyDescent="0.25">
      <c r="A2418" s="29">
        <v>40024</v>
      </c>
      <c r="B2418" s="30">
        <v>78.7</v>
      </c>
      <c r="C2418" s="30">
        <v>78.599999999999994</v>
      </c>
      <c r="D2418" s="30"/>
      <c r="E2418" s="30"/>
      <c r="F2418" s="30">
        <v>79.2</v>
      </c>
      <c r="G2418" s="30">
        <v>79.099999999999994</v>
      </c>
    </row>
    <row r="2419" spans="1:7" x14ac:dyDescent="0.25">
      <c r="A2419" s="29">
        <v>40025</v>
      </c>
      <c r="B2419" s="30">
        <v>77.099999999999994</v>
      </c>
      <c r="C2419" s="30">
        <v>79.400000000000006</v>
      </c>
      <c r="D2419" s="30"/>
      <c r="E2419" s="30"/>
      <c r="F2419" s="30">
        <v>79.8</v>
      </c>
      <c r="G2419" s="30">
        <v>78.400000000000006</v>
      </c>
    </row>
    <row r="2420" spans="1:7" x14ac:dyDescent="0.25">
      <c r="A2420" s="29">
        <v>40026</v>
      </c>
      <c r="B2420" s="30">
        <v>74</v>
      </c>
      <c r="C2420" s="30">
        <v>74.599999999999994</v>
      </c>
      <c r="D2420" s="30"/>
      <c r="E2420" s="30"/>
      <c r="F2420" s="30">
        <v>75.400000000000006</v>
      </c>
      <c r="G2420" s="30">
        <v>74.3</v>
      </c>
    </row>
    <row r="2421" spans="1:7" x14ac:dyDescent="0.25">
      <c r="A2421" s="29">
        <v>40027</v>
      </c>
      <c r="B2421" s="30">
        <v>74.2</v>
      </c>
      <c r="C2421" s="30">
        <v>74.7</v>
      </c>
      <c r="D2421" s="30"/>
      <c r="E2421" s="30"/>
      <c r="F2421" s="30">
        <v>74.599999999999994</v>
      </c>
      <c r="G2421" s="30">
        <v>73.900000000000006</v>
      </c>
    </row>
    <row r="2422" spans="1:7" x14ac:dyDescent="0.25">
      <c r="A2422" s="29">
        <v>40028</v>
      </c>
      <c r="B2422" s="30">
        <v>76.3</v>
      </c>
      <c r="C2422" s="30">
        <v>76.900000000000006</v>
      </c>
      <c r="D2422" s="30"/>
      <c r="E2422" s="30"/>
      <c r="F2422" s="30">
        <v>76.599999999999994</v>
      </c>
      <c r="G2422" s="30">
        <v>77</v>
      </c>
    </row>
    <row r="2423" spans="1:7" x14ac:dyDescent="0.25">
      <c r="A2423" s="29">
        <v>40029</v>
      </c>
      <c r="B2423" s="30">
        <v>76.900000000000006</v>
      </c>
      <c r="C2423" s="30">
        <v>79.3</v>
      </c>
      <c r="D2423" s="30"/>
      <c r="E2423" s="30"/>
      <c r="F2423" s="30">
        <v>76.400000000000006</v>
      </c>
      <c r="G2423" s="30">
        <v>77.099999999999994</v>
      </c>
    </row>
    <row r="2424" spans="1:7" x14ac:dyDescent="0.25">
      <c r="A2424" s="29">
        <v>40030</v>
      </c>
      <c r="B2424" s="30">
        <v>78</v>
      </c>
      <c r="C2424" s="30">
        <v>80.7</v>
      </c>
      <c r="D2424" s="30"/>
      <c r="E2424" s="30"/>
      <c r="F2424" s="30">
        <v>80.2</v>
      </c>
      <c r="G2424" s="30">
        <v>80.2</v>
      </c>
    </row>
    <row r="2425" spans="1:7" x14ac:dyDescent="0.25">
      <c r="A2425" s="29">
        <v>40031</v>
      </c>
      <c r="B2425" s="30">
        <v>73</v>
      </c>
      <c r="C2425" s="30">
        <v>73.8</v>
      </c>
      <c r="D2425" s="30"/>
      <c r="E2425" s="30"/>
      <c r="F2425" s="30">
        <v>72.7</v>
      </c>
      <c r="G2425" s="30">
        <v>74.2</v>
      </c>
    </row>
    <row r="2426" spans="1:7" x14ac:dyDescent="0.25">
      <c r="A2426" s="29">
        <v>40032</v>
      </c>
      <c r="B2426" s="30">
        <v>74</v>
      </c>
      <c r="C2426" s="30">
        <v>73.900000000000006</v>
      </c>
      <c r="D2426" s="30"/>
      <c r="E2426" s="30"/>
      <c r="F2426" s="30">
        <v>71.599999999999994</v>
      </c>
      <c r="G2426" s="30">
        <v>74.5</v>
      </c>
    </row>
    <row r="2427" spans="1:7" x14ac:dyDescent="0.25">
      <c r="A2427" s="29">
        <v>40033</v>
      </c>
      <c r="B2427" s="30">
        <v>71.7</v>
      </c>
      <c r="C2427" s="30">
        <v>72.3</v>
      </c>
      <c r="D2427" s="30"/>
      <c r="E2427" s="30"/>
      <c r="F2427" s="30">
        <v>71.400000000000006</v>
      </c>
      <c r="G2427" s="30">
        <v>72.099999999999994</v>
      </c>
    </row>
    <row r="2428" spans="1:7" x14ac:dyDescent="0.25">
      <c r="A2428" s="29">
        <v>40034</v>
      </c>
      <c r="B2428" s="30">
        <v>74</v>
      </c>
      <c r="C2428" s="30">
        <v>74.400000000000006</v>
      </c>
      <c r="D2428" s="30"/>
      <c r="E2428" s="30"/>
      <c r="F2428" s="30">
        <v>75.7</v>
      </c>
      <c r="G2428" s="30">
        <v>73.599999999999994</v>
      </c>
    </row>
    <row r="2429" spans="1:7" x14ac:dyDescent="0.25">
      <c r="A2429" s="29">
        <v>40035</v>
      </c>
      <c r="B2429" s="30">
        <v>80.400000000000006</v>
      </c>
      <c r="C2429" s="30">
        <v>81.400000000000006</v>
      </c>
      <c r="D2429" s="30"/>
      <c r="E2429" s="30"/>
      <c r="F2429" s="30">
        <v>80.8</v>
      </c>
      <c r="G2429" s="30">
        <v>81.8</v>
      </c>
    </row>
    <row r="2430" spans="1:7" x14ac:dyDescent="0.25">
      <c r="A2430" s="29">
        <v>40036</v>
      </c>
      <c r="B2430" s="30">
        <v>83.3</v>
      </c>
      <c r="C2430" s="30">
        <v>82</v>
      </c>
      <c r="D2430" s="30"/>
      <c r="E2430" s="30"/>
      <c r="F2430" s="30">
        <v>82.9</v>
      </c>
      <c r="G2430" s="30">
        <v>83.5</v>
      </c>
    </row>
    <row r="2431" spans="1:7" x14ac:dyDescent="0.25">
      <c r="A2431" s="29">
        <v>40037</v>
      </c>
      <c r="B2431" s="30">
        <v>77.5</v>
      </c>
      <c r="C2431" s="30">
        <v>77.599999999999994</v>
      </c>
      <c r="D2431" s="30"/>
      <c r="E2431" s="30"/>
      <c r="F2431" s="30">
        <v>77.8</v>
      </c>
      <c r="G2431" s="30">
        <v>78.8</v>
      </c>
    </row>
    <row r="2432" spans="1:7" x14ac:dyDescent="0.25">
      <c r="A2432" s="29">
        <v>40038</v>
      </c>
      <c r="B2432" s="30">
        <v>72.099999999999994</v>
      </c>
      <c r="C2432" s="30">
        <v>71.8</v>
      </c>
      <c r="D2432" s="30"/>
      <c r="E2432" s="30"/>
      <c r="F2432" s="30">
        <v>72.7</v>
      </c>
      <c r="G2432" s="30">
        <v>72.5</v>
      </c>
    </row>
    <row r="2433" spans="1:7" x14ac:dyDescent="0.25">
      <c r="A2433" s="29">
        <v>40039</v>
      </c>
      <c r="B2433" s="30">
        <v>73.7</v>
      </c>
      <c r="C2433" s="30">
        <v>75.7</v>
      </c>
      <c r="D2433" s="30"/>
      <c r="E2433" s="30"/>
      <c r="F2433" s="30">
        <v>74</v>
      </c>
      <c r="G2433" s="30">
        <v>76.2</v>
      </c>
    </row>
    <row r="2434" spans="1:7" x14ac:dyDescent="0.25">
      <c r="A2434" s="29">
        <v>40040</v>
      </c>
      <c r="B2434" s="30">
        <v>76.599999999999994</v>
      </c>
      <c r="C2434" s="30">
        <v>79.3</v>
      </c>
      <c r="D2434" s="30"/>
      <c r="E2434" s="30"/>
      <c r="F2434" s="30">
        <v>74.599999999999994</v>
      </c>
      <c r="G2434" s="30">
        <v>78.5</v>
      </c>
    </row>
    <row r="2435" spans="1:7" x14ac:dyDescent="0.25">
      <c r="A2435" s="29">
        <v>40041</v>
      </c>
      <c r="B2435" s="30">
        <v>78.400000000000006</v>
      </c>
      <c r="C2435" s="30">
        <v>81</v>
      </c>
      <c r="D2435" s="30"/>
      <c r="E2435" s="30"/>
      <c r="F2435" s="30">
        <v>76.599999999999994</v>
      </c>
      <c r="G2435" s="30">
        <v>80.900000000000006</v>
      </c>
    </row>
    <row r="2436" spans="1:7" x14ac:dyDescent="0.25">
      <c r="A2436" s="29">
        <v>40042</v>
      </c>
      <c r="B2436" s="30">
        <v>80.400000000000006</v>
      </c>
      <c r="C2436" s="30">
        <v>83.9</v>
      </c>
      <c r="D2436" s="30"/>
      <c r="E2436" s="30"/>
      <c r="F2436" s="30">
        <v>79.7</v>
      </c>
      <c r="G2436" s="30">
        <v>83.8</v>
      </c>
    </row>
    <row r="2437" spans="1:7" x14ac:dyDescent="0.25">
      <c r="A2437" s="29">
        <v>40043</v>
      </c>
      <c r="B2437" s="30">
        <v>80.2</v>
      </c>
      <c r="C2437" s="30">
        <v>84.7</v>
      </c>
      <c r="D2437" s="30"/>
      <c r="E2437" s="30"/>
      <c r="F2437" s="30">
        <v>79.8</v>
      </c>
      <c r="G2437" s="30">
        <v>82.6</v>
      </c>
    </row>
    <row r="2438" spans="1:7" x14ac:dyDescent="0.25">
      <c r="A2438" s="29">
        <v>40044</v>
      </c>
      <c r="B2438" s="30">
        <v>79.599999999999994</v>
      </c>
      <c r="C2438" s="30">
        <v>81.3</v>
      </c>
      <c r="D2438" s="30"/>
      <c r="E2438" s="30"/>
      <c r="F2438" s="30">
        <v>80.8</v>
      </c>
      <c r="G2438" s="30">
        <v>81.7</v>
      </c>
    </row>
    <row r="2439" spans="1:7" x14ac:dyDescent="0.25">
      <c r="A2439" s="29">
        <v>40045</v>
      </c>
      <c r="B2439" s="30">
        <v>81</v>
      </c>
      <c r="C2439" s="30">
        <v>82.9</v>
      </c>
      <c r="D2439" s="30"/>
      <c r="E2439" s="30"/>
      <c r="F2439" s="30">
        <v>81.900000000000006</v>
      </c>
      <c r="G2439" s="30">
        <v>83.5</v>
      </c>
    </row>
    <row r="2440" spans="1:7" x14ac:dyDescent="0.25">
      <c r="A2440" s="29">
        <v>40046</v>
      </c>
      <c r="B2440" s="30">
        <v>80.5</v>
      </c>
      <c r="C2440" s="30">
        <v>82.4</v>
      </c>
      <c r="D2440" s="30"/>
      <c r="E2440" s="30"/>
      <c r="F2440" s="30">
        <v>82.5</v>
      </c>
      <c r="G2440" s="30">
        <v>83.6</v>
      </c>
    </row>
    <row r="2441" spans="1:7" x14ac:dyDescent="0.25">
      <c r="A2441" s="29">
        <v>40047</v>
      </c>
      <c r="B2441" s="30">
        <v>77.900000000000006</v>
      </c>
      <c r="C2441" s="30">
        <v>77.2</v>
      </c>
      <c r="D2441" s="30"/>
      <c r="E2441" s="30"/>
      <c r="F2441" s="30">
        <v>79.5</v>
      </c>
      <c r="G2441" s="30">
        <v>77</v>
      </c>
    </row>
    <row r="2442" spans="1:7" x14ac:dyDescent="0.25">
      <c r="A2442" s="29">
        <v>40048</v>
      </c>
      <c r="B2442" s="30">
        <v>77.5</v>
      </c>
      <c r="C2442" s="30">
        <v>78.2</v>
      </c>
      <c r="D2442" s="30"/>
      <c r="E2442" s="30"/>
      <c r="F2442" s="30">
        <v>77.099999999999994</v>
      </c>
      <c r="G2442" s="30">
        <v>78.099999999999994</v>
      </c>
    </row>
    <row r="2443" spans="1:7" x14ac:dyDescent="0.25">
      <c r="A2443" s="29">
        <v>40049</v>
      </c>
      <c r="B2443" s="30">
        <v>77.7</v>
      </c>
      <c r="C2443" s="30">
        <v>76.5</v>
      </c>
      <c r="D2443" s="30"/>
      <c r="E2443" s="30"/>
      <c r="F2443" s="30">
        <v>76.900000000000006</v>
      </c>
      <c r="G2443" s="30">
        <v>77.400000000000006</v>
      </c>
    </row>
    <row r="2444" spans="1:7" x14ac:dyDescent="0.25">
      <c r="A2444" s="29">
        <v>40050</v>
      </c>
      <c r="B2444" s="30">
        <v>77.5</v>
      </c>
      <c r="C2444" s="30">
        <v>78</v>
      </c>
      <c r="D2444" s="30"/>
      <c r="E2444" s="30"/>
      <c r="F2444" s="30">
        <v>75.8</v>
      </c>
      <c r="G2444" s="30">
        <v>77.2</v>
      </c>
    </row>
    <row r="2445" spans="1:7" x14ac:dyDescent="0.25">
      <c r="A2445" s="29">
        <v>40051</v>
      </c>
      <c r="B2445" s="30">
        <v>79</v>
      </c>
      <c r="C2445" s="30">
        <v>80</v>
      </c>
      <c r="D2445" s="30"/>
      <c r="E2445" s="30"/>
      <c r="F2445" s="30">
        <v>78.599999999999994</v>
      </c>
      <c r="G2445" s="30">
        <v>78.3</v>
      </c>
    </row>
    <row r="2446" spans="1:7" x14ac:dyDescent="0.25">
      <c r="A2446" s="29">
        <v>40052</v>
      </c>
      <c r="B2446" s="30">
        <v>74</v>
      </c>
      <c r="C2446" s="30">
        <v>74.400000000000006</v>
      </c>
      <c r="D2446" s="30"/>
      <c r="E2446" s="30"/>
      <c r="F2446" s="30">
        <v>76.5</v>
      </c>
      <c r="G2446" s="30">
        <v>74.5</v>
      </c>
    </row>
    <row r="2447" spans="1:7" x14ac:dyDescent="0.25">
      <c r="A2447" s="29">
        <v>40053</v>
      </c>
      <c r="B2447" s="30">
        <v>68.400000000000006</v>
      </c>
      <c r="C2447" s="30">
        <v>70.2</v>
      </c>
      <c r="D2447" s="30"/>
      <c r="E2447" s="30"/>
      <c r="F2447" s="30">
        <v>73.2</v>
      </c>
      <c r="G2447" s="30">
        <v>69</v>
      </c>
    </row>
    <row r="2448" spans="1:7" x14ac:dyDescent="0.25">
      <c r="A2448" s="29">
        <v>40054</v>
      </c>
      <c r="B2448" s="30">
        <v>72.400000000000006</v>
      </c>
      <c r="C2448" s="30">
        <v>70.099999999999994</v>
      </c>
      <c r="D2448" s="30"/>
      <c r="E2448" s="30"/>
      <c r="F2448" s="30">
        <v>74.7</v>
      </c>
      <c r="G2448" s="30">
        <v>70.099999999999994</v>
      </c>
    </row>
    <row r="2449" spans="1:7" x14ac:dyDescent="0.25">
      <c r="A2449" s="29">
        <v>40055</v>
      </c>
      <c r="B2449" s="30">
        <v>72.099999999999994</v>
      </c>
      <c r="C2449" s="30">
        <v>71.599999999999994</v>
      </c>
      <c r="D2449" s="30"/>
      <c r="E2449" s="30"/>
      <c r="F2449" s="30">
        <v>76.8</v>
      </c>
      <c r="G2449" s="30">
        <v>74.2</v>
      </c>
    </row>
    <row r="2450" spans="1:7" x14ac:dyDescent="0.25">
      <c r="A2450" s="29">
        <v>40056</v>
      </c>
      <c r="B2450" s="30">
        <v>69.099999999999994</v>
      </c>
      <c r="C2450" s="30">
        <v>68.7</v>
      </c>
      <c r="D2450" s="30"/>
      <c r="E2450" s="30"/>
      <c r="F2450" s="30">
        <v>69</v>
      </c>
      <c r="G2450" s="30">
        <v>68.3</v>
      </c>
    </row>
    <row r="2451" spans="1:7" x14ac:dyDescent="0.25">
      <c r="A2451" s="29">
        <v>40057</v>
      </c>
      <c r="B2451" s="30">
        <v>66</v>
      </c>
      <c r="C2451" s="30">
        <v>66.599999999999994</v>
      </c>
      <c r="D2451" s="30"/>
      <c r="E2451" s="30"/>
      <c r="F2451" s="30">
        <v>64.099999999999994</v>
      </c>
      <c r="G2451" s="30">
        <v>65.400000000000006</v>
      </c>
    </row>
    <row r="2452" spans="1:7" x14ac:dyDescent="0.25">
      <c r="A2452" s="29">
        <v>40058</v>
      </c>
      <c r="B2452" s="30">
        <v>66.5</v>
      </c>
      <c r="C2452" s="30">
        <v>68.599999999999994</v>
      </c>
      <c r="D2452" s="30"/>
      <c r="E2452" s="30"/>
      <c r="F2452" s="30">
        <v>63.2</v>
      </c>
      <c r="G2452" s="30">
        <v>67</v>
      </c>
    </row>
    <row r="2453" spans="1:7" x14ac:dyDescent="0.25">
      <c r="A2453" s="29">
        <v>40059</v>
      </c>
      <c r="B2453" s="30">
        <v>67.099999999999994</v>
      </c>
      <c r="C2453" s="30">
        <v>69.2</v>
      </c>
      <c r="D2453" s="30"/>
      <c r="E2453" s="30"/>
      <c r="F2453" s="30">
        <v>64.7</v>
      </c>
      <c r="G2453" s="30">
        <v>68.400000000000006</v>
      </c>
    </row>
    <row r="2454" spans="1:7" x14ac:dyDescent="0.25">
      <c r="A2454" s="29">
        <v>40060</v>
      </c>
      <c r="B2454" s="30">
        <v>70.2</v>
      </c>
      <c r="C2454" s="30">
        <v>72.7</v>
      </c>
      <c r="D2454" s="30"/>
      <c r="E2454" s="30"/>
      <c r="F2454" s="30">
        <v>71.3</v>
      </c>
      <c r="G2454" s="30">
        <v>72.3</v>
      </c>
    </row>
    <row r="2455" spans="1:7" x14ac:dyDescent="0.25">
      <c r="A2455" s="29">
        <v>40061</v>
      </c>
      <c r="B2455" s="30">
        <v>75.3</v>
      </c>
      <c r="C2455" s="30">
        <v>77.3</v>
      </c>
      <c r="D2455" s="30"/>
      <c r="E2455" s="30"/>
      <c r="F2455" s="30">
        <v>74</v>
      </c>
      <c r="G2455" s="30">
        <v>77.3</v>
      </c>
    </row>
    <row r="2456" spans="1:7" x14ac:dyDescent="0.25">
      <c r="A2456" s="29">
        <v>40062</v>
      </c>
      <c r="B2456" s="30">
        <v>70.400000000000006</v>
      </c>
      <c r="C2456" s="30">
        <v>70.900000000000006</v>
      </c>
      <c r="D2456" s="30"/>
      <c r="E2456" s="30"/>
      <c r="F2456" s="30">
        <v>68.5</v>
      </c>
      <c r="G2456" s="30">
        <v>70.8</v>
      </c>
    </row>
    <row r="2457" spans="1:7" x14ac:dyDescent="0.25">
      <c r="A2457" s="29">
        <v>40063</v>
      </c>
      <c r="B2457" s="30">
        <v>66.3</v>
      </c>
      <c r="C2457" s="30">
        <v>66.400000000000006</v>
      </c>
      <c r="D2457" s="30"/>
      <c r="E2457" s="30"/>
      <c r="F2457" s="30">
        <v>70.3</v>
      </c>
      <c r="G2457" s="30">
        <v>67.7</v>
      </c>
    </row>
    <row r="2458" spans="1:7" x14ac:dyDescent="0.25">
      <c r="A2458" s="29">
        <v>40064</v>
      </c>
      <c r="B2458" s="30">
        <v>67.3</v>
      </c>
      <c r="C2458" s="30">
        <v>68.8</v>
      </c>
      <c r="D2458" s="30"/>
      <c r="E2458" s="30"/>
      <c r="F2458" s="30">
        <v>67.400000000000006</v>
      </c>
      <c r="G2458" s="30">
        <v>68.900000000000006</v>
      </c>
    </row>
    <row r="2459" spans="1:7" x14ac:dyDescent="0.25">
      <c r="A2459" s="29">
        <v>40065</v>
      </c>
      <c r="B2459" s="30">
        <v>70.400000000000006</v>
      </c>
      <c r="C2459" s="30">
        <v>71.3</v>
      </c>
      <c r="D2459" s="30"/>
      <c r="E2459" s="30"/>
      <c r="F2459" s="30">
        <v>67</v>
      </c>
      <c r="G2459" s="30">
        <v>70.8</v>
      </c>
    </row>
    <row r="2460" spans="1:7" x14ac:dyDescent="0.25">
      <c r="A2460" s="29">
        <v>40066</v>
      </c>
      <c r="B2460" s="30">
        <v>65.8</v>
      </c>
      <c r="C2460" s="30">
        <v>66</v>
      </c>
      <c r="D2460" s="30"/>
      <c r="E2460" s="30"/>
      <c r="F2460" s="30">
        <v>65.2</v>
      </c>
      <c r="G2460" s="30">
        <v>65.900000000000006</v>
      </c>
    </row>
    <row r="2461" spans="1:7" x14ac:dyDescent="0.25">
      <c r="A2461" s="29">
        <v>40067</v>
      </c>
      <c r="B2461" s="30">
        <v>62.6</v>
      </c>
      <c r="C2461" s="30">
        <v>62.9</v>
      </c>
      <c r="D2461" s="30"/>
      <c r="E2461" s="30"/>
      <c r="F2461" s="30">
        <v>64.900000000000006</v>
      </c>
      <c r="G2461" s="30">
        <v>61.7</v>
      </c>
    </row>
    <row r="2462" spans="1:7" x14ac:dyDescent="0.25">
      <c r="A2462" s="29">
        <v>40068</v>
      </c>
      <c r="B2462" s="30">
        <v>66.5</v>
      </c>
      <c r="C2462" s="30">
        <v>66</v>
      </c>
      <c r="D2462" s="30"/>
      <c r="E2462" s="30"/>
      <c r="F2462" s="30">
        <v>64.5</v>
      </c>
      <c r="G2462" s="30">
        <v>66.400000000000006</v>
      </c>
    </row>
    <row r="2463" spans="1:7" x14ac:dyDescent="0.25">
      <c r="A2463" s="29">
        <v>40069</v>
      </c>
      <c r="B2463" s="30">
        <v>71</v>
      </c>
      <c r="C2463" s="30">
        <v>71.3</v>
      </c>
      <c r="D2463" s="30"/>
      <c r="E2463" s="30"/>
      <c r="F2463" s="30">
        <v>69.5</v>
      </c>
      <c r="G2463" s="30">
        <v>72.2</v>
      </c>
    </row>
    <row r="2464" spans="1:7" x14ac:dyDescent="0.25">
      <c r="A2464" s="29">
        <v>40070</v>
      </c>
      <c r="B2464" s="30">
        <v>71.2</v>
      </c>
      <c r="C2464" s="30">
        <v>71.599999999999994</v>
      </c>
      <c r="D2464" s="30"/>
      <c r="E2464" s="30"/>
      <c r="F2464" s="30">
        <v>69.3</v>
      </c>
      <c r="G2464" s="30">
        <v>71.2</v>
      </c>
    </row>
    <row r="2465" spans="1:7" x14ac:dyDescent="0.25">
      <c r="A2465" s="29">
        <v>40071</v>
      </c>
      <c r="B2465" s="30">
        <v>72</v>
      </c>
      <c r="C2465" s="30">
        <v>73.2</v>
      </c>
      <c r="D2465" s="30"/>
      <c r="E2465" s="30"/>
      <c r="F2465" s="30">
        <v>71.2</v>
      </c>
      <c r="G2465" s="30">
        <v>71.7</v>
      </c>
    </row>
    <row r="2466" spans="1:7" x14ac:dyDescent="0.25">
      <c r="A2466" s="29">
        <v>40072</v>
      </c>
      <c r="B2466" s="30">
        <v>66.8</v>
      </c>
      <c r="C2466" s="30">
        <v>68.7</v>
      </c>
      <c r="D2466" s="30"/>
      <c r="E2466" s="30"/>
      <c r="F2466" s="30">
        <v>64.900000000000006</v>
      </c>
      <c r="G2466" s="30">
        <v>68.3</v>
      </c>
    </row>
    <row r="2467" spans="1:7" x14ac:dyDescent="0.25">
      <c r="A2467" s="29">
        <v>40073</v>
      </c>
      <c r="B2467" s="30">
        <v>62.1</v>
      </c>
      <c r="C2467" s="30">
        <v>61.4</v>
      </c>
      <c r="D2467" s="30"/>
      <c r="E2467" s="30"/>
      <c r="F2467" s="30">
        <v>64.900000000000006</v>
      </c>
      <c r="G2467" s="30">
        <v>61.2</v>
      </c>
    </row>
    <row r="2468" spans="1:7" x14ac:dyDescent="0.25">
      <c r="A2468" s="29">
        <v>40074</v>
      </c>
      <c r="B2468" s="30">
        <v>63.9</v>
      </c>
      <c r="C2468" s="30">
        <v>65.3</v>
      </c>
      <c r="D2468" s="30"/>
      <c r="E2468" s="30"/>
      <c r="F2468" s="30">
        <v>61.8</v>
      </c>
      <c r="G2468" s="30">
        <v>63.8</v>
      </c>
    </row>
    <row r="2469" spans="1:7" x14ac:dyDescent="0.25">
      <c r="A2469" s="29">
        <v>40075</v>
      </c>
      <c r="B2469" s="30">
        <v>64.900000000000006</v>
      </c>
      <c r="C2469" s="30">
        <v>64.8</v>
      </c>
      <c r="D2469" s="30"/>
      <c r="E2469" s="30"/>
      <c r="F2469" s="30">
        <v>63.4</v>
      </c>
      <c r="G2469" s="30">
        <v>64.400000000000006</v>
      </c>
    </row>
    <row r="2470" spans="1:7" x14ac:dyDescent="0.25">
      <c r="A2470" s="29">
        <v>40076</v>
      </c>
      <c r="B2470" s="30">
        <v>61.4</v>
      </c>
      <c r="C2470" s="30">
        <v>64.900000000000006</v>
      </c>
      <c r="D2470" s="30"/>
      <c r="E2470" s="30"/>
      <c r="F2470" s="30">
        <v>58</v>
      </c>
      <c r="G2470" s="30">
        <v>62.3</v>
      </c>
    </row>
    <row r="2471" spans="1:7" x14ac:dyDescent="0.25">
      <c r="A2471" s="29">
        <v>40077</v>
      </c>
      <c r="B2471" s="30">
        <v>64</v>
      </c>
      <c r="C2471" s="30">
        <v>66.900000000000006</v>
      </c>
      <c r="D2471" s="30"/>
      <c r="E2471" s="30"/>
      <c r="F2471" s="30">
        <v>61.3</v>
      </c>
      <c r="G2471" s="30">
        <v>64.3</v>
      </c>
    </row>
    <row r="2472" spans="1:7" x14ac:dyDescent="0.25">
      <c r="A2472" s="29">
        <v>40078</v>
      </c>
      <c r="B2472" s="30">
        <v>68.400000000000006</v>
      </c>
      <c r="C2472" s="30">
        <v>70</v>
      </c>
      <c r="D2472" s="30"/>
      <c r="E2472" s="30"/>
      <c r="F2472" s="30">
        <v>66.7</v>
      </c>
      <c r="G2472" s="30">
        <v>68.900000000000006</v>
      </c>
    </row>
    <row r="2473" spans="1:7" x14ac:dyDescent="0.25">
      <c r="A2473" s="29">
        <v>40079</v>
      </c>
      <c r="B2473" s="30">
        <v>70.8</v>
      </c>
      <c r="C2473" s="30">
        <v>73.599999999999994</v>
      </c>
      <c r="D2473" s="30"/>
      <c r="E2473" s="30"/>
      <c r="F2473" s="30">
        <v>74</v>
      </c>
      <c r="G2473" s="30">
        <v>72.900000000000006</v>
      </c>
    </row>
    <row r="2474" spans="1:7" x14ac:dyDescent="0.25">
      <c r="A2474" s="29">
        <v>40080</v>
      </c>
      <c r="B2474" s="30">
        <v>75.8</v>
      </c>
      <c r="C2474" s="30">
        <v>76.8</v>
      </c>
      <c r="D2474" s="30"/>
      <c r="E2474" s="30"/>
      <c r="F2474" s="30">
        <v>75.900000000000006</v>
      </c>
      <c r="G2474" s="30">
        <v>76.7</v>
      </c>
    </row>
    <row r="2475" spans="1:7" x14ac:dyDescent="0.25">
      <c r="A2475" s="29">
        <v>40081</v>
      </c>
      <c r="B2475" s="30">
        <v>67.3</v>
      </c>
      <c r="C2475" s="30">
        <v>67.099999999999994</v>
      </c>
      <c r="D2475" s="30"/>
      <c r="E2475" s="30"/>
      <c r="F2475" s="30">
        <v>67.8</v>
      </c>
      <c r="G2475" s="30">
        <v>66.8</v>
      </c>
    </row>
    <row r="2476" spans="1:7" x14ac:dyDescent="0.25">
      <c r="A2476" s="29">
        <v>40082</v>
      </c>
      <c r="B2476" s="30">
        <v>59.6</v>
      </c>
      <c r="C2476" s="30">
        <v>60.4</v>
      </c>
      <c r="D2476" s="30"/>
      <c r="E2476" s="30"/>
      <c r="F2476" s="30">
        <v>60.2</v>
      </c>
      <c r="G2476" s="30">
        <v>57.9</v>
      </c>
    </row>
    <row r="2477" spans="1:7" x14ac:dyDescent="0.25">
      <c r="A2477" s="29">
        <v>40083</v>
      </c>
      <c r="B2477" s="30">
        <v>64.2</v>
      </c>
      <c r="C2477" s="30">
        <v>63.8</v>
      </c>
      <c r="D2477" s="30"/>
      <c r="E2477" s="30"/>
      <c r="F2477" s="30">
        <v>67.599999999999994</v>
      </c>
      <c r="G2477" s="30">
        <v>63.6</v>
      </c>
    </row>
    <row r="2478" spans="1:7" x14ac:dyDescent="0.25">
      <c r="A2478" s="29">
        <v>40084</v>
      </c>
      <c r="B2478" s="30">
        <v>65.8</v>
      </c>
      <c r="C2478" s="30">
        <v>66.8</v>
      </c>
      <c r="D2478" s="30"/>
      <c r="E2478" s="30"/>
      <c r="F2478" s="30">
        <v>67.7</v>
      </c>
      <c r="G2478" s="30">
        <v>65.5</v>
      </c>
    </row>
    <row r="2479" spans="1:7" x14ac:dyDescent="0.25">
      <c r="A2479" s="29">
        <v>40085</v>
      </c>
      <c r="B2479" s="30">
        <v>62.7</v>
      </c>
      <c r="C2479" s="30">
        <v>63.5</v>
      </c>
      <c r="D2479" s="30"/>
      <c r="E2479" s="30"/>
      <c r="F2479" s="30">
        <v>62.9</v>
      </c>
      <c r="G2479" s="30">
        <v>60.1</v>
      </c>
    </row>
    <row r="2480" spans="1:7" x14ac:dyDescent="0.25">
      <c r="A2480" s="29">
        <v>40086</v>
      </c>
      <c r="B2480" s="30">
        <v>59</v>
      </c>
      <c r="C2480" s="30">
        <v>58.9</v>
      </c>
      <c r="D2480" s="30"/>
      <c r="E2480" s="30"/>
      <c r="F2480" s="30">
        <v>60.3</v>
      </c>
      <c r="G2480" s="30">
        <v>57.8</v>
      </c>
    </row>
    <row r="2481" spans="1:7" x14ac:dyDescent="0.25">
      <c r="A2481" s="29">
        <v>40087</v>
      </c>
      <c r="B2481" s="30">
        <v>53.6</v>
      </c>
      <c r="C2481" s="30">
        <v>53.7</v>
      </c>
      <c r="D2481" s="30"/>
      <c r="E2481" s="30"/>
      <c r="F2481" s="30">
        <v>52.5</v>
      </c>
      <c r="G2481" s="30">
        <v>51.9</v>
      </c>
    </row>
    <row r="2482" spans="1:7" x14ac:dyDescent="0.25">
      <c r="A2482" s="29">
        <v>40088</v>
      </c>
      <c r="B2482" s="30">
        <v>54.5</v>
      </c>
      <c r="C2482" s="30">
        <v>56.2</v>
      </c>
      <c r="D2482" s="30"/>
      <c r="E2482" s="30"/>
      <c r="F2482" s="30">
        <v>55.4</v>
      </c>
      <c r="G2482" s="30">
        <v>54</v>
      </c>
    </row>
    <row r="2483" spans="1:7" x14ac:dyDescent="0.25">
      <c r="A2483" s="29">
        <v>40089</v>
      </c>
      <c r="B2483" s="30">
        <v>66.3</v>
      </c>
      <c r="C2483" s="30">
        <v>66.599999999999994</v>
      </c>
      <c r="D2483" s="30"/>
      <c r="E2483" s="30"/>
      <c r="F2483" s="30">
        <v>69.400000000000006</v>
      </c>
      <c r="G2483" s="30">
        <v>66.8</v>
      </c>
    </row>
    <row r="2484" spans="1:7" x14ac:dyDescent="0.25">
      <c r="A2484" s="29">
        <v>40090</v>
      </c>
      <c r="B2484" s="30">
        <v>65.099999999999994</v>
      </c>
      <c r="C2484" s="30">
        <v>66.8</v>
      </c>
      <c r="D2484" s="30"/>
      <c r="E2484" s="30"/>
      <c r="F2484" s="30">
        <v>66.3</v>
      </c>
      <c r="G2484" s="30">
        <v>67.3</v>
      </c>
    </row>
    <row r="2485" spans="1:7" x14ac:dyDescent="0.25">
      <c r="A2485" s="29">
        <v>40091</v>
      </c>
      <c r="B2485" s="30">
        <v>61.2</v>
      </c>
      <c r="C2485" s="30">
        <v>61.6</v>
      </c>
      <c r="D2485" s="30"/>
      <c r="E2485" s="30"/>
      <c r="F2485" s="30">
        <v>59.1</v>
      </c>
      <c r="G2485" s="30">
        <v>60.4</v>
      </c>
    </row>
    <row r="2486" spans="1:7" x14ac:dyDescent="0.25">
      <c r="A2486" s="29">
        <v>40092</v>
      </c>
      <c r="B2486" s="30">
        <v>59.4</v>
      </c>
      <c r="C2486" s="30">
        <v>60.1</v>
      </c>
      <c r="D2486" s="30"/>
      <c r="E2486" s="30"/>
      <c r="F2486" s="30">
        <v>56.7</v>
      </c>
      <c r="G2486" s="30">
        <v>58.7</v>
      </c>
    </row>
    <row r="2487" spans="1:7" x14ac:dyDescent="0.25">
      <c r="A2487" s="29">
        <v>40093</v>
      </c>
      <c r="B2487" s="30">
        <v>64.900000000000006</v>
      </c>
      <c r="C2487" s="30">
        <v>65</v>
      </c>
      <c r="D2487" s="30"/>
      <c r="E2487" s="30"/>
      <c r="F2487" s="30">
        <v>67</v>
      </c>
      <c r="G2487" s="30">
        <v>64.5</v>
      </c>
    </row>
    <row r="2488" spans="1:7" x14ac:dyDescent="0.25">
      <c r="A2488" s="29">
        <v>40094</v>
      </c>
      <c r="B2488" s="30">
        <v>59.4</v>
      </c>
      <c r="C2488" s="30">
        <v>59.6</v>
      </c>
      <c r="D2488" s="30"/>
      <c r="E2488" s="30"/>
      <c r="F2488" s="30">
        <v>58.3</v>
      </c>
      <c r="G2488" s="30">
        <v>59.4</v>
      </c>
    </row>
    <row r="2489" spans="1:7" x14ac:dyDescent="0.25">
      <c r="A2489" s="29">
        <v>40095</v>
      </c>
      <c r="B2489" s="30">
        <v>63.5</v>
      </c>
      <c r="C2489" s="30">
        <v>64.5</v>
      </c>
      <c r="D2489" s="30"/>
      <c r="E2489" s="30"/>
      <c r="F2489" s="30">
        <v>66.5</v>
      </c>
      <c r="G2489" s="30">
        <v>63.8</v>
      </c>
    </row>
    <row r="2490" spans="1:7" x14ac:dyDescent="0.25">
      <c r="A2490" s="29">
        <v>40096</v>
      </c>
      <c r="B2490" s="30">
        <v>64.5</v>
      </c>
      <c r="C2490" s="30">
        <v>64.3</v>
      </c>
      <c r="D2490" s="30"/>
      <c r="E2490" s="30"/>
      <c r="F2490" s="30">
        <v>70.599999999999994</v>
      </c>
      <c r="G2490" s="30">
        <v>63.9</v>
      </c>
    </row>
    <row r="2491" spans="1:7" x14ac:dyDescent="0.25">
      <c r="A2491" s="29">
        <v>40097</v>
      </c>
      <c r="B2491" s="30">
        <v>55.6</v>
      </c>
      <c r="C2491" s="30">
        <v>57.2</v>
      </c>
      <c r="D2491" s="30"/>
      <c r="E2491" s="30"/>
      <c r="F2491" s="30">
        <v>53.9</v>
      </c>
      <c r="G2491" s="30">
        <v>55.2</v>
      </c>
    </row>
    <row r="2492" spans="1:7" x14ac:dyDescent="0.25">
      <c r="A2492" s="29">
        <v>40098</v>
      </c>
      <c r="B2492" s="30">
        <v>50.8</v>
      </c>
      <c r="C2492" s="30">
        <v>51.5</v>
      </c>
      <c r="D2492" s="30"/>
      <c r="E2492" s="30"/>
      <c r="F2492" s="30">
        <v>50.2</v>
      </c>
      <c r="G2492" s="30">
        <v>50.1</v>
      </c>
    </row>
    <row r="2493" spans="1:7" x14ac:dyDescent="0.25">
      <c r="A2493" s="29">
        <v>40099</v>
      </c>
      <c r="B2493" s="30">
        <v>55.5</v>
      </c>
      <c r="C2493" s="30">
        <v>55.8</v>
      </c>
      <c r="D2493" s="30"/>
      <c r="E2493" s="30"/>
      <c r="F2493" s="30">
        <v>57</v>
      </c>
      <c r="G2493" s="30">
        <v>55.5</v>
      </c>
    </row>
    <row r="2494" spans="1:7" x14ac:dyDescent="0.25">
      <c r="A2494" s="29">
        <v>40100</v>
      </c>
      <c r="B2494" s="30">
        <v>48.5</v>
      </c>
      <c r="C2494" s="30">
        <v>49</v>
      </c>
      <c r="D2494" s="30"/>
      <c r="E2494" s="30"/>
      <c r="F2494" s="30">
        <v>48.5</v>
      </c>
      <c r="G2494" s="30">
        <v>48.3</v>
      </c>
    </row>
    <row r="2495" spans="1:7" x14ac:dyDescent="0.25">
      <c r="A2495" s="29">
        <v>40101</v>
      </c>
      <c r="B2495" s="30">
        <v>46.4</v>
      </c>
      <c r="C2495" s="30">
        <v>45.7</v>
      </c>
      <c r="D2495" s="30"/>
      <c r="E2495" s="30"/>
      <c r="F2495" s="30">
        <v>48.5</v>
      </c>
      <c r="G2495" s="30">
        <v>44.2</v>
      </c>
    </row>
    <row r="2496" spans="1:7" x14ac:dyDescent="0.25">
      <c r="A2496" s="29">
        <v>40102</v>
      </c>
      <c r="B2496" s="30">
        <v>43.4</v>
      </c>
      <c r="C2496" s="30">
        <v>42.4</v>
      </c>
      <c r="D2496" s="30"/>
      <c r="E2496" s="30"/>
      <c r="F2496" s="30">
        <v>47.9</v>
      </c>
      <c r="G2496" s="30">
        <v>41.1</v>
      </c>
    </row>
    <row r="2497" spans="1:7" x14ac:dyDescent="0.25">
      <c r="A2497" s="29">
        <v>40103</v>
      </c>
      <c r="B2497" s="30">
        <v>48.5</v>
      </c>
      <c r="C2497" s="30">
        <v>46.9</v>
      </c>
      <c r="D2497" s="30"/>
      <c r="E2497" s="30"/>
      <c r="F2497" s="30">
        <v>49.1</v>
      </c>
      <c r="G2497" s="30">
        <v>44.8</v>
      </c>
    </row>
    <row r="2498" spans="1:7" x14ac:dyDescent="0.25">
      <c r="A2498" s="29">
        <v>40104</v>
      </c>
      <c r="B2498" s="30">
        <v>46.9</v>
      </c>
      <c r="C2498" s="30">
        <v>45.8</v>
      </c>
      <c r="D2498" s="30"/>
      <c r="E2498" s="30"/>
      <c r="F2498" s="30">
        <v>46.3</v>
      </c>
      <c r="G2498" s="30">
        <v>45</v>
      </c>
    </row>
    <row r="2499" spans="1:7" x14ac:dyDescent="0.25">
      <c r="A2499" s="29">
        <v>40105</v>
      </c>
      <c r="B2499" s="30">
        <v>47.2</v>
      </c>
      <c r="C2499" s="30">
        <v>47.3</v>
      </c>
      <c r="D2499" s="30"/>
      <c r="E2499" s="30"/>
      <c r="F2499" s="30">
        <v>44.9</v>
      </c>
      <c r="G2499" s="30">
        <v>46.9</v>
      </c>
    </row>
    <row r="2500" spans="1:7" x14ac:dyDescent="0.25">
      <c r="A2500" s="29">
        <v>40106</v>
      </c>
      <c r="B2500" s="30">
        <v>52.9</v>
      </c>
      <c r="C2500" s="30">
        <v>55.6</v>
      </c>
      <c r="D2500" s="30"/>
      <c r="E2500" s="30"/>
      <c r="F2500" s="30">
        <v>49.8</v>
      </c>
      <c r="G2500" s="30">
        <v>51.7</v>
      </c>
    </row>
    <row r="2501" spans="1:7" x14ac:dyDescent="0.25">
      <c r="A2501" s="29">
        <v>40107</v>
      </c>
      <c r="B2501" s="30">
        <v>57.9</v>
      </c>
      <c r="C2501" s="30">
        <v>60.8</v>
      </c>
      <c r="D2501" s="30"/>
      <c r="E2501" s="30"/>
      <c r="F2501" s="30">
        <v>59.2</v>
      </c>
      <c r="G2501" s="30">
        <v>59</v>
      </c>
    </row>
    <row r="2502" spans="1:7" x14ac:dyDescent="0.25">
      <c r="A2502" s="29">
        <v>40108</v>
      </c>
      <c r="B2502" s="30">
        <v>59.1</v>
      </c>
      <c r="C2502" s="30">
        <v>63.3</v>
      </c>
      <c r="D2502" s="30"/>
      <c r="E2502" s="30"/>
      <c r="F2502" s="30">
        <v>60.3</v>
      </c>
      <c r="G2502" s="30">
        <v>61.7</v>
      </c>
    </row>
    <row r="2503" spans="1:7" x14ac:dyDescent="0.25">
      <c r="A2503" s="29">
        <v>40109</v>
      </c>
      <c r="B2503" s="30">
        <v>56.8</v>
      </c>
      <c r="C2503" s="30">
        <v>59.6</v>
      </c>
      <c r="D2503" s="30"/>
      <c r="E2503" s="30"/>
      <c r="F2503" s="30">
        <v>59.7</v>
      </c>
      <c r="G2503" s="30">
        <v>58.1</v>
      </c>
    </row>
    <row r="2504" spans="1:7" x14ac:dyDescent="0.25">
      <c r="A2504" s="29">
        <v>40110</v>
      </c>
      <c r="B2504" s="30">
        <v>61.1</v>
      </c>
      <c r="C2504" s="30">
        <v>60.5</v>
      </c>
      <c r="D2504" s="30"/>
      <c r="E2504" s="30"/>
      <c r="F2504" s="30">
        <v>66.3</v>
      </c>
      <c r="G2504" s="30">
        <v>62</v>
      </c>
    </row>
    <row r="2505" spans="1:7" x14ac:dyDescent="0.25">
      <c r="A2505" s="29">
        <v>40111</v>
      </c>
      <c r="B2505" s="30">
        <v>60.1</v>
      </c>
      <c r="C2505" s="30">
        <v>60.5</v>
      </c>
      <c r="D2505" s="30"/>
      <c r="E2505" s="30"/>
      <c r="F2505" s="30">
        <v>59.1</v>
      </c>
      <c r="G2505" s="30">
        <v>60.1</v>
      </c>
    </row>
    <row r="2506" spans="1:7" x14ac:dyDescent="0.25">
      <c r="A2506" s="29">
        <v>40112</v>
      </c>
      <c r="B2506" s="30">
        <v>53.5</v>
      </c>
      <c r="C2506" s="30">
        <v>54.9</v>
      </c>
      <c r="D2506" s="30"/>
      <c r="E2506" s="30"/>
      <c r="F2506" s="30">
        <v>50.9</v>
      </c>
      <c r="G2506" s="30">
        <v>53</v>
      </c>
    </row>
    <row r="2507" spans="1:7" x14ac:dyDescent="0.25">
      <c r="A2507" s="29">
        <v>40113</v>
      </c>
      <c r="B2507" s="30">
        <v>52.7</v>
      </c>
      <c r="C2507" s="30">
        <v>53.7</v>
      </c>
      <c r="D2507" s="30"/>
      <c r="E2507" s="30"/>
      <c r="F2507" s="30">
        <v>57.5</v>
      </c>
      <c r="G2507" s="30">
        <v>52.8</v>
      </c>
    </row>
    <row r="2508" spans="1:7" x14ac:dyDescent="0.25">
      <c r="A2508" s="29">
        <v>40114</v>
      </c>
      <c r="B2508" s="30">
        <v>54.9</v>
      </c>
      <c r="C2508" s="30">
        <v>54.3</v>
      </c>
      <c r="D2508" s="30"/>
      <c r="E2508" s="30"/>
      <c r="F2508" s="30">
        <v>61.2</v>
      </c>
      <c r="G2508" s="30">
        <v>54.6</v>
      </c>
    </row>
    <row r="2509" spans="1:7" x14ac:dyDescent="0.25">
      <c r="A2509" s="29">
        <v>40115</v>
      </c>
      <c r="B2509" s="30">
        <v>52.2</v>
      </c>
      <c r="C2509" s="30">
        <v>52.2</v>
      </c>
      <c r="D2509" s="30"/>
      <c r="E2509" s="30"/>
      <c r="F2509" s="30">
        <v>52.9</v>
      </c>
      <c r="G2509" s="30">
        <v>53.1</v>
      </c>
    </row>
    <row r="2510" spans="1:7" x14ac:dyDescent="0.25">
      <c r="A2510" s="29">
        <v>40116</v>
      </c>
      <c r="B2510" s="30">
        <v>52.8</v>
      </c>
      <c r="C2510" s="30">
        <v>54.7</v>
      </c>
      <c r="D2510" s="30"/>
      <c r="E2510" s="30"/>
      <c r="F2510" s="30">
        <v>51.1</v>
      </c>
      <c r="G2510" s="30">
        <v>54.3</v>
      </c>
    </row>
    <row r="2511" spans="1:7" x14ac:dyDescent="0.25">
      <c r="A2511" s="29">
        <v>40117</v>
      </c>
      <c r="B2511" s="30">
        <v>61.1</v>
      </c>
      <c r="C2511" s="30">
        <v>61.9</v>
      </c>
      <c r="D2511" s="30"/>
      <c r="E2511" s="30"/>
      <c r="F2511" s="30">
        <v>64.3</v>
      </c>
      <c r="G2511" s="30">
        <v>62.7</v>
      </c>
    </row>
    <row r="2512" spans="1:7" x14ac:dyDescent="0.25">
      <c r="A2512" s="29">
        <v>40118</v>
      </c>
      <c r="B2512" s="30">
        <v>56.6</v>
      </c>
      <c r="C2512" s="30">
        <v>57.5</v>
      </c>
      <c r="D2512" s="30"/>
      <c r="E2512" s="30"/>
      <c r="F2512" s="30">
        <v>55.9</v>
      </c>
      <c r="G2512" s="30">
        <v>56.7</v>
      </c>
    </row>
    <row r="2513" spans="1:7" x14ac:dyDescent="0.25">
      <c r="A2513" s="29">
        <v>40119</v>
      </c>
      <c r="B2513" s="30">
        <v>51.8</v>
      </c>
      <c r="C2513" s="30">
        <v>51.7</v>
      </c>
      <c r="D2513" s="30"/>
      <c r="E2513" s="30"/>
      <c r="F2513" s="30">
        <v>50.9</v>
      </c>
      <c r="G2513" s="30">
        <v>50.4</v>
      </c>
    </row>
    <row r="2514" spans="1:7" x14ac:dyDescent="0.25">
      <c r="A2514" s="29">
        <v>40120</v>
      </c>
      <c r="B2514" s="30">
        <v>50.9</v>
      </c>
      <c r="C2514" s="30">
        <v>52.4</v>
      </c>
      <c r="D2514" s="30"/>
      <c r="E2514" s="30"/>
      <c r="F2514" s="30">
        <v>49.9</v>
      </c>
      <c r="G2514" s="30">
        <v>51.2</v>
      </c>
    </row>
    <row r="2515" spans="1:7" x14ac:dyDescent="0.25">
      <c r="A2515" s="29">
        <v>40121</v>
      </c>
      <c r="B2515" s="30">
        <v>48.3</v>
      </c>
      <c r="C2515" s="30">
        <v>48.8</v>
      </c>
      <c r="D2515" s="30"/>
      <c r="E2515" s="30"/>
      <c r="F2515" s="30">
        <v>45.3</v>
      </c>
      <c r="G2515" s="30">
        <v>47.8</v>
      </c>
    </row>
    <row r="2516" spans="1:7" x14ac:dyDescent="0.25">
      <c r="A2516" s="29">
        <v>40122</v>
      </c>
      <c r="B2516" s="30">
        <v>48.7</v>
      </c>
      <c r="C2516" s="30">
        <v>48.9</v>
      </c>
      <c r="D2516" s="30"/>
      <c r="E2516" s="30"/>
      <c r="F2516" s="30">
        <v>49.3</v>
      </c>
      <c r="G2516" s="30">
        <v>47.9</v>
      </c>
    </row>
    <row r="2517" spans="1:7" x14ac:dyDescent="0.25">
      <c r="A2517" s="29">
        <v>40123</v>
      </c>
      <c r="B2517" s="30">
        <v>45.3</v>
      </c>
      <c r="C2517" s="30">
        <v>45.2</v>
      </c>
      <c r="D2517" s="30"/>
      <c r="E2517" s="30"/>
      <c r="F2517" s="30">
        <v>43.4</v>
      </c>
      <c r="G2517" s="30">
        <v>44.2</v>
      </c>
    </row>
    <row r="2518" spans="1:7" x14ac:dyDescent="0.25">
      <c r="A2518" s="29">
        <v>40124</v>
      </c>
      <c r="B2518" s="30">
        <v>43</v>
      </c>
      <c r="C2518" s="30">
        <v>44.1</v>
      </c>
      <c r="D2518" s="30"/>
      <c r="E2518" s="30"/>
      <c r="F2518" s="30">
        <v>39.200000000000003</v>
      </c>
      <c r="G2518" s="30">
        <v>41.8</v>
      </c>
    </row>
    <row r="2519" spans="1:7" x14ac:dyDescent="0.25">
      <c r="A2519" s="29">
        <v>40125</v>
      </c>
      <c r="B2519" s="30">
        <v>54</v>
      </c>
      <c r="C2519" s="30">
        <v>55.2</v>
      </c>
      <c r="D2519" s="30"/>
      <c r="E2519" s="30"/>
      <c r="F2519" s="30">
        <v>55.7</v>
      </c>
      <c r="G2519" s="30">
        <v>53.7</v>
      </c>
    </row>
    <row r="2520" spans="1:7" x14ac:dyDescent="0.25">
      <c r="A2520" s="29">
        <v>40126</v>
      </c>
      <c r="B2520" s="30">
        <v>52.3</v>
      </c>
      <c r="C2520" s="30">
        <v>56.8</v>
      </c>
      <c r="D2520" s="30"/>
      <c r="E2520" s="30"/>
      <c r="F2520" s="30">
        <v>51.5</v>
      </c>
      <c r="G2520" s="30">
        <v>56.1</v>
      </c>
    </row>
    <row r="2521" spans="1:7" x14ac:dyDescent="0.25">
      <c r="A2521" s="29">
        <v>40127</v>
      </c>
      <c r="B2521" s="30">
        <v>57.8</v>
      </c>
      <c r="C2521" s="30">
        <v>60.2</v>
      </c>
      <c r="D2521" s="30"/>
      <c r="E2521" s="30"/>
      <c r="F2521" s="30">
        <v>57.1</v>
      </c>
      <c r="G2521" s="30">
        <v>58.9</v>
      </c>
    </row>
    <row r="2522" spans="1:7" x14ac:dyDescent="0.25">
      <c r="A2522" s="29">
        <v>40128</v>
      </c>
      <c r="B2522" s="30">
        <v>55.2</v>
      </c>
      <c r="C2522" s="30">
        <v>56.1</v>
      </c>
      <c r="D2522" s="30"/>
      <c r="E2522" s="30"/>
      <c r="F2522" s="30">
        <v>53</v>
      </c>
      <c r="G2522" s="30">
        <v>54.9</v>
      </c>
    </row>
    <row r="2523" spans="1:7" x14ac:dyDescent="0.25">
      <c r="A2523" s="29">
        <v>40129</v>
      </c>
      <c r="B2523" s="30">
        <v>48.7</v>
      </c>
      <c r="C2523" s="30">
        <v>50</v>
      </c>
      <c r="D2523" s="30"/>
      <c r="E2523" s="30"/>
      <c r="F2523" s="30">
        <v>48.9</v>
      </c>
      <c r="G2523" s="30">
        <v>49.1</v>
      </c>
    </row>
    <row r="2524" spans="1:7" x14ac:dyDescent="0.25">
      <c r="A2524" s="29">
        <v>40130</v>
      </c>
      <c r="B2524" s="30">
        <v>50.3</v>
      </c>
      <c r="C2524" s="30">
        <v>51.6</v>
      </c>
      <c r="D2524" s="30"/>
      <c r="E2524" s="30"/>
      <c r="F2524" s="30">
        <v>52</v>
      </c>
      <c r="G2524" s="30">
        <v>50.8</v>
      </c>
    </row>
    <row r="2525" spans="1:7" x14ac:dyDescent="0.25">
      <c r="A2525" s="29">
        <v>40131</v>
      </c>
      <c r="B2525" s="30">
        <v>55.2</v>
      </c>
      <c r="C2525" s="30">
        <v>53.8</v>
      </c>
      <c r="D2525" s="30"/>
      <c r="E2525" s="30"/>
      <c r="F2525" s="30">
        <v>56.8</v>
      </c>
      <c r="G2525" s="30">
        <v>54</v>
      </c>
    </row>
    <row r="2526" spans="1:7" x14ac:dyDescent="0.25">
      <c r="A2526" s="29">
        <v>40132</v>
      </c>
      <c r="B2526" s="30">
        <v>59.3</v>
      </c>
      <c r="C2526" s="30">
        <v>56.4</v>
      </c>
      <c r="D2526" s="30"/>
      <c r="E2526" s="30"/>
      <c r="F2526" s="30">
        <v>59.3</v>
      </c>
      <c r="G2526" s="30">
        <v>59.6</v>
      </c>
    </row>
    <row r="2527" spans="1:7" x14ac:dyDescent="0.25">
      <c r="A2527" s="29">
        <v>40133</v>
      </c>
      <c r="B2527" s="30">
        <v>56.2</v>
      </c>
      <c r="C2527" s="30">
        <v>55.4</v>
      </c>
      <c r="D2527" s="30"/>
      <c r="E2527" s="30"/>
      <c r="F2527" s="30">
        <v>56</v>
      </c>
      <c r="G2527" s="30">
        <v>58.2</v>
      </c>
    </row>
    <row r="2528" spans="1:7" x14ac:dyDescent="0.25">
      <c r="A2528" s="29">
        <v>40134</v>
      </c>
      <c r="B2528" s="30">
        <v>49.9</v>
      </c>
      <c r="C2528" s="30">
        <v>49.7</v>
      </c>
      <c r="D2528" s="30"/>
      <c r="E2528" s="30"/>
      <c r="F2528" s="30">
        <v>47.7</v>
      </c>
      <c r="G2528" s="30">
        <v>49.7</v>
      </c>
    </row>
    <row r="2529" spans="1:7" x14ac:dyDescent="0.25">
      <c r="A2529" s="29">
        <v>40135</v>
      </c>
      <c r="B2529" s="30">
        <v>47.5</v>
      </c>
      <c r="C2529" s="30">
        <v>47.9</v>
      </c>
      <c r="D2529" s="30"/>
      <c r="E2529" s="30"/>
      <c r="F2529" s="30">
        <v>49.3</v>
      </c>
      <c r="G2529" s="30">
        <v>45.7</v>
      </c>
    </row>
    <row r="2530" spans="1:7" x14ac:dyDescent="0.25">
      <c r="A2530" s="29">
        <v>40136</v>
      </c>
      <c r="B2530" s="30">
        <v>52</v>
      </c>
      <c r="C2530" s="30">
        <v>50.5</v>
      </c>
      <c r="D2530" s="30"/>
      <c r="E2530" s="30"/>
      <c r="F2530" s="30">
        <v>57.6</v>
      </c>
      <c r="G2530" s="30">
        <v>51.6</v>
      </c>
    </row>
    <row r="2531" spans="1:7" x14ac:dyDescent="0.25">
      <c r="A2531" s="29">
        <v>40137</v>
      </c>
      <c r="B2531" s="30">
        <v>58.6</v>
      </c>
      <c r="C2531" s="30">
        <v>57</v>
      </c>
      <c r="D2531" s="30"/>
      <c r="E2531" s="30"/>
      <c r="F2531" s="30">
        <v>59.1</v>
      </c>
      <c r="G2531" s="30">
        <v>58.1</v>
      </c>
    </row>
    <row r="2532" spans="1:7" x14ac:dyDescent="0.25">
      <c r="A2532" s="29">
        <v>40138</v>
      </c>
      <c r="B2532" s="30">
        <v>51.1</v>
      </c>
      <c r="C2532" s="30">
        <v>51.3</v>
      </c>
      <c r="D2532" s="30"/>
      <c r="E2532" s="30"/>
      <c r="F2532" s="30">
        <v>46.7</v>
      </c>
      <c r="G2532" s="30">
        <v>49</v>
      </c>
    </row>
    <row r="2533" spans="1:7" x14ac:dyDescent="0.25">
      <c r="A2533" s="29">
        <v>40139</v>
      </c>
      <c r="B2533" s="30">
        <v>49.6</v>
      </c>
      <c r="C2533" s="30">
        <v>50.4</v>
      </c>
      <c r="D2533" s="30"/>
      <c r="E2533" s="30"/>
      <c r="F2533" s="30">
        <v>45</v>
      </c>
      <c r="G2533" s="30">
        <v>48.6</v>
      </c>
    </row>
    <row r="2534" spans="1:7" x14ac:dyDescent="0.25">
      <c r="A2534" s="29">
        <v>40140</v>
      </c>
      <c r="B2534" s="30">
        <v>47.8</v>
      </c>
      <c r="C2534" s="30">
        <v>48.3</v>
      </c>
      <c r="D2534" s="30"/>
      <c r="E2534" s="30"/>
      <c r="F2534" s="30">
        <v>50.6</v>
      </c>
      <c r="G2534" s="30">
        <v>48.2</v>
      </c>
    </row>
    <row r="2535" spans="1:7" x14ac:dyDescent="0.25">
      <c r="A2535" s="29">
        <v>40141</v>
      </c>
      <c r="B2535" s="30">
        <v>51.1</v>
      </c>
      <c r="C2535" s="30">
        <v>51.1</v>
      </c>
      <c r="D2535" s="30"/>
      <c r="E2535" s="30"/>
      <c r="F2535" s="30">
        <v>52.3</v>
      </c>
      <c r="G2535" s="30">
        <v>51.3</v>
      </c>
    </row>
    <row r="2536" spans="1:7" x14ac:dyDescent="0.25">
      <c r="A2536" s="29">
        <v>40142</v>
      </c>
      <c r="B2536" s="30">
        <v>50.2</v>
      </c>
      <c r="C2536" s="30">
        <v>50.8</v>
      </c>
      <c r="D2536" s="30"/>
      <c r="E2536" s="30"/>
      <c r="F2536" s="30">
        <v>52.4</v>
      </c>
      <c r="G2536" s="30">
        <v>50.8</v>
      </c>
    </row>
    <row r="2537" spans="1:7" x14ac:dyDescent="0.25">
      <c r="A2537" s="29">
        <v>40143</v>
      </c>
      <c r="B2537" s="30">
        <v>52.2</v>
      </c>
      <c r="C2537" s="30">
        <v>51.2</v>
      </c>
      <c r="D2537" s="30"/>
      <c r="E2537" s="30"/>
      <c r="F2537" s="30">
        <v>52.6</v>
      </c>
      <c r="G2537" s="30">
        <v>52.9</v>
      </c>
    </row>
    <row r="2538" spans="1:7" x14ac:dyDescent="0.25">
      <c r="A2538" s="29">
        <v>40144</v>
      </c>
      <c r="B2538" s="30">
        <v>49.2</v>
      </c>
      <c r="C2538" s="30">
        <v>47.8</v>
      </c>
      <c r="D2538" s="30"/>
      <c r="E2538" s="30"/>
      <c r="F2538" s="30">
        <v>48.2</v>
      </c>
      <c r="G2538" s="30">
        <v>48.7</v>
      </c>
    </row>
    <row r="2539" spans="1:7" x14ac:dyDescent="0.25">
      <c r="A2539" s="29">
        <v>40145</v>
      </c>
      <c r="B2539" s="30">
        <v>48.1</v>
      </c>
      <c r="C2539" s="30">
        <v>47.4</v>
      </c>
      <c r="D2539" s="30"/>
      <c r="E2539" s="30"/>
      <c r="F2539" s="30">
        <v>46.2</v>
      </c>
      <c r="G2539" s="30">
        <v>47.7</v>
      </c>
    </row>
    <row r="2540" spans="1:7" x14ac:dyDescent="0.25">
      <c r="A2540" s="29">
        <v>40146</v>
      </c>
      <c r="B2540" s="30">
        <v>46.7</v>
      </c>
      <c r="C2540" s="30">
        <v>48.2</v>
      </c>
      <c r="D2540" s="30"/>
      <c r="E2540" s="30"/>
      <c r="F2540" s="30">
        <v>46.6</v>
      </c>
      <c r="G2540" s="30">
        <v>46.3</v>
      </c>
    </row>
    <row r="2541" spans="1:7" x14ac:dyDescent="0.25">
      <c r="A2541" s="29">
        <v>40147</v>
      </c>
      <c r="B2541" s="30">
        <v>51.2</v>
      </c>
      <c r="C2541" s="30">
        <v>53.6</v>
      </c>
      <c r="D2541" s="30"/>
      <c r="E2541" s="30"/>
      <c r="F2541" s="30">
        <v>55.1</v>
      </c>
      <c r="G2541" s="30">
        <v>51.3</v>
      </c>
    </row>
    <row r="2542" spans="1:7" x14ac:dyDescent="0.25">
      <c r="A2542" s="29">
        <v>40148</v>
      </c>
      <c r="B2542" s="30">
        <v>42.1</v>
      </c>
      <c r="C2542" s="30">
        <v>42.5</v>
      </c>
      <c r="D2542" s="30"/>
      <c r="E2542" s="30"/>
      <c r="F2542" s="30">
        <v>41.9</v>
      </c>
      <c r="G2542" s="30">
        <v>40.9</v>
      </c>
    </row>
    <row r="2543" spans="1:7" x14ac:dyDescent="0.25">
      <c r="A2543" s="29">
        <v>40149</v>
      </c>
      <c r="B2543" s="30">
        <v>45.4</v>
      </c>
      <c r="C2543" s="30">
        <v>46.8</v>
      </c>
      <c r="D2543" s="30"/>
      <c r="E2543" s="30"/>
      <c r="F2543" s="30">
        <v>46.4</v>
      </c>
      <c r="G2543" s="30">
        <v>42.9</v>
      </c>
    </row>
    <row r="2544" spans="1:7" x14ac:dyDescent="0.25">
      <c r="A2544" s="29">
        <v>40150</v>
      </c>
      <c r="B2544" s="30">
        <v>59</v>
      </c>
      <c r="C2544" s="30">
        <v>59.7</v>
      </c>
      <c r="D2544" s="30"/>
      <c r="E2544" s="30"/>
      <c r="F2544" s="30">
        <v>61.9</v>
      </c>
      <c r="G2544" s="30">
        <v>59.6</v>
      </c>
    </row>
    <row r="2545" spans="1:7" x14ac:dyDescent="0.25">
      <c r="A2545" s="29">
        <v>40151</v>
      </c>
      <c r="B2545" s="30">
        <v>49.3</v>
      </c>
      <c r="C2545" s="30">
        <v>50</v>
      </c>
      <c r="D2545" s="30"/>
      <c r="E2545" s="30"/>
      <c r="F2545" s="30">
        <v>47.3</v>
      </c>
      <c r="G2545" s="30">
        <v>48.3</v>
      </c>
    </row>
    <row r="2546" spans="1:7" x14ac:dyDescent="0.25">
      <c r="A2546" s="29">
        <v>40152</v>
      </c>
      <c r="B2546" s="30">
        <v>43.1</v>
      </c>
      <c r="C2546" s="30">
        <v>43.4</v>
      </c>
      <c r="D2546" s="30"/>
      <c r="E2546" s="30"/>
      <c r="F2546" s="30">
        <v>41.8</v>
      </c>
      <c r="G2546" s="30">
        <v>41.9</v>
      </c>
    </row>
    <row r="2547" spans="1:7" x14ac:dyDescent="0.25">
      <c r="A2547" s="29">
        <v>40153</v>
      </c>
      <c r="B2547" s="30">
        <v>36.299999999999997</v>
      </c>
      <c r="C2547" s="30">
        <v>36.799999999999997</v>
      </c>
      <c r="D2547" s="30"/>
      <c r="E2547" s="30"/>
      <c r="F2547" s="30">
        <v>34.700000000000003</v>
      </c>
      <c r="G2547" s="30">
        <v>35.799999999999997</v>
      </c>
    </row>
    <row r="2548" spans="1:7" x14ac:dyDescent="0.25">
      <c r="A2548" s="29">
        <v>40154</v>
      </c>
      <c r="B2548" s="30">
        <v>36.1</v>
      </c>
      <c r="C2548" s="30">
        <v>37.1</v>
      </c>
      <c r="D2548" s="30"/>
      <c r="E2548" s="30"/>
      <c r="F2548" s="30">
        <v>34.700000000000003</v>
      </c>
      <c r="G2548" s="30">
        <v>34</v>
      </c>
    </row>
    <row r="2549" spans="1:7" x14ac:dyDescent="0.25">
      <c r="A2549" s="29">
        <v>40155</v>
      </c>
      <c r="B2549" s="30">
        <v>39.700000000000003</v>
      </c>
      <c r="C2549" s="30">
        <v>39.6</v>
      </c>
      <c r="D2549" s="30"/>
      <c r="E2549" s="30"/>
      <c r="F2549" s="30">
        <v>37.799999999999997</v>
      </c>
      <c r="G2549" s="30">
        <v>38.299999999999997</v>
      </c>
    </row>
    <row r="2550" spans="1:7" x14ac:dyDescent="0.25">
      <c r="A2550" s="29">
        <v>40156</v>
      </c>
      <c r="B2550" s="30">
        <v>45.6</v>
      </c>
      <c r="C2550" s="30">
        <v>43.7</v>
      </c>
      <c r="D2550" s="30"/>
      <c r="E2550" s="30"/>
      <c r="F2550" s="30">
        <v>51.5</v>
      </c>
      <c r="G2550" s="30">
        <v>44.1</v>
      </c>
    </row>
    <row r="2551" spans="1:7" x14ac:dyDescent="0.25">
      <c r="A2551" s="29">
        <v>40157</v>
      </c>
      <c r="B2551" s="30">
        <v>43.7</v>
      </c>
      <c r="C2551" s="30">
        <v>43</v>
      </c>
      <c r="D2551" s="30"/>
      <c r="E2551" s="30"/>
      <c r="F2551" s="30">
        <v>45.8</v>
      </c>
      <c r="G2551" s="30">
        <v>42.5</v>
      </c>
    </row>
    <row r="2552" spans="1:7" x14ac:dyDescent="0.25">
      <c r="A2552" s="29">
        <v>40158</v>
      </c>
      <c r="B2552" s="30">
        <v>27.9</v>
      </c>
      <c r="C2552" s="30">
        <v>27.6</v>
      </c>
      <c r="D2552" s="30"/>
      <c r="E2552" s="30"/>
      <c r="F2552" s="30">
        <v>29.7</v>
      </c>
      <c r="G2552" s="30">
        <v>27</v>
      </c>
    </row>
    <row r="2553" spans="1:7" x14ac:dyDescent="0.25">
      <c r="A2553" s="29">
        <v>40159</v>
      </c>
      <c r="B2553" s="30">
        <v>30.8</v>
      </c>
      <c r="C2553" s="30">
        <v>30.7</v>
      </c>
      <c r="D2553" s="30"/>
      <c r="E2553" s="30"/>
      <c r="F2553" s="30">
        <v>32.5</v>
      </c>
      <c r="G2553" s="30">
        <v>30.1</v>
      </c>
    </row>
    <row r="2554" spans="1:7" x14ac:dyDescent="0.25">
      <c r="A2554" s="29">
        <v>40160</v>
      </c>
      <c r="B2554" s="30">
        <v>38.4</v>
      </c>
      <c r="C2554" s="30">
        <v>39.6</v>
      </c>
      <c r="D2554" s="30"/>
      <c r="E2554" s="30"/>
      <c r="F2554" s="30">
        <v>38.6</v>
      </c>
      <c r="G2554" s="30">
        <v>34.9</v>
      </c>
    </row>
    <row r="2555" spans="1:7" x14ac:dyDescent="0.25">
      <c r="A2555" s="29">
        <v>40161</v>
      </c>
      <c r="B2555" s="30">
        <v>44</v>
      </c>
      <c r="C2555" s="30">
        <v>44.1</v>
      </c>
      <c r="D2555" s="30"/>
      <c r="E2555" s="30"/>
      <c r="F2555" s="30">
        <v>44.2</v>
      </c>
      <c r="G2555" s="30">
        <v>43.4</v>
      </c>
    </row>
    <row r="2556" spans="1:7" x14ac:dyDescent="0.25">
      <c r="A2556" s="29">
        <v>40162</v>
      </c>
      <c r="B2556" s="30">
        <v>46.7</v>
      </c>
      <c r="C2556" s="30">
        <v>46.7</v>
      </c>
      <c r="D2556" s="30"/>
      <c r="E2556" s="30"/>
      <c r="F2556" s="30">
        <v>49.1</v>
      </c>
      <c r="G2556" s="30">
        <v>45.9</v>
      </c>
    </row>
    <row r="2557" spans="1:7" x14ac:dyDescent="0.25">
      <c r="A2557" s="29">
        <v>40163</v>
      </c>
      <c r="B2557" s="30">
        <v>38</v>
      </c>
      <c r="C2557" s="30">
        <v>37.9</v>
      </c>
      <c r="D2557" s="30"/>
      <c r="E2557" s="30"/>
      <c r="F2557" s="30">
        <v>39.4</v>
      </c>
      <c r="G2557" s="30">
        <v>37.6</v>
      </c>
    </row>
    <row r="2558" spans="1:7" x14ac:dyDescent="0.25">
      <c r="A2558" s="29">
        <v>40164</v>
      </c>
      <c r="B2558" s="30">
        <v>29.3</v>
      </c>
      <c r="C2558" s="30">
        <v>29.6</v>
      </c>
      <c r="D2558" s="30"/>
      <c r="E2558" s="30"/>
      <c r="F2558" s="30">
        <v>30.1</v>
      </c>
      <c r="G2558" s="30">
        <v>29.2</v>
      </c>
    </row>
    <row r="2559" spans="1:7" x14ac:dyDescent="0.25">
      <c r="A2559" s="29">
        <v>40165</v>
      </c>
      <c r="B2559" s="30">
        <v>23.3</v>
      </c>
      <c r="C2559" s="30">
        <v>23.4</v>
      </c>
      <c r="D2559" s="30"/>
      <c r="E2559" s="30"/>
      <c r="F2559" s="30">
        <v>26.2</v>
      </c>
      <c r="G2559" s="30">
        <v>23.5</v>
      </c>
    </row>
    <row r="2560" spans="1:7" x14ac:dyDescent="0.25">
      <c r="A2560" s="29">
        <v>40166</v>
      </c>
      <c r="B2560" s="30">
        <v>27.8</v>
      </c>
      <c r="C2560" s="30">
        <v>28.1</v>
      </c>
      <c r="D2560" s="30"/>
      <c r="E2560" s="30"/>
      <c r="F2560" s="30">
        <v>30.4</v>
      </c>
      <c r="G2560" s="30">
        <v>26.1</v>
      </c>
    </row>
    <row r="2561" spans="1:7" x14ac:dyDescent="0.25">
      <c r="A2561" s="29">
        <v>40167</v>
      </c>
      <c r="B2561" s="30">
        <v>26.1</v>
      </c>
      <c r="C2561" s="30">
        <v>27</v>
      </c>
      <c r="D2561" s="30"/>
      <c r="E2561" s="30"/>
      <c r="F2561" s="30">
        <v>27.2</v>
      </c>
      <c r="G2561" s="30">
        <v>26.5</v>
      </c>
    </row>
    <row r="2562" spans="1:7" x14ac:dyDescent="0.25">
      <c r="A2562" s="29">
        <v>40168</v>
      </c>
      <c r="B2562" s="30">
        <v>31.1</v>
      </c>
      <c r="C2562" s="30">
        <v>32.5</v>
      </c>
      <c r="D2562" s="30"/>
      <c r="E2562" s="30"/>
      <c r="F2562" s="30">
        <v>30</v>
      </c>
      <c r="G2562" s="30">
        <v>31.1</v>
      </c>
    </row>
    <row r="2563" spans="1:7" x14ac:dyDescent="0.25">
      <c r="A2563" s="29">
        <v>40169</v>
      </c>
      <c r="B2563" s="30">
        <v>31.7</v>
      </c>
      <c r="C2563" s="30">
        <v>32.9</v>
      </c>
      <c r="D2563" s="30"/>
      <c r="E2563" s="30"/>
      <c r="F2563" s="30">
        <v>33.200000000000003</v>
      </c>
      <c r="G2563" s="30">
        <v>32.200000000000003</v>
      </c>
    </row>
    <row r="2564" spans="1:7" x14ac:dyDescent="0.25">
      <c r="A2564" s="29">
        <v>40170</v>
      </c>
      <c r="B2564" s="30">
        <v>25.4</v>
      </c>
      <c r="C2564" s="30">
        <v>26.5</v>
      </c>
      <c r="D2564" s="30"/>
      <c r="E2564" s="30"/>
      <c r="F2564" s="30">
        <v>25</v>
      </c>
      <c r="G2564" s="30">
        <v>25.4</v>
      </c>
    </row>
    <row r="2565" spans="1:7" x14ac:dyDescent="0.25">
      <c r="A2565" s="29">
        <v>40171</v>
      </c>
      <c r="B2565" s="30">
        <v>29.4</v>
      </c>
      <c r="C2565" s="30">
        <v>31.2</v>
      </c>
      <c r="D2565" s="30"/>
      <c r="E2565" s="30"/>
      <c r="F2565" s="30">
        <v>25.6</v>
      </c>
      <c r="G2565" s="30">
        <v>30</v>
      </c>
    </row>
    <row r="2566" spans="1:7" x14ac:dyDescent="0.25">
      <c r="A2566" s="29">
        <v>40172</v>
      </c>
      <c r="B2566" s="30">
        <v>35.799999999999997</v>
      </c>
      <c r="C2566" s="30">
        <v>35.4</v>
      </c>
      <c r="D2566" s="30"/>
      <c r="E2566" s="30"/>
      <c r="F2566" s="30">
        <v>36.799999999999997</v>
      </c>
      <c r="G2566" s="30">
        <v>33.799999999999997</v>
      </c>
    </row>
    <row r="2567" spans="1:7" x14ac:dyDescent="0.25">
      <c r="A2567" s="29">
        <v>40173</v>
      </c>
      <c r="B2567" s="30">
        <v>41.2</v>
      </c>
      <c r="C2567" s="30">
        <v>38.9</v>
      </c>
      <c r="D2567" s="30"/>
      <c r="E2567" s="30"/>
      <c r="F2567" s="30">
        <v>49.7</v>
      </c>
      <c r="G2567" s="30">
        <v>41.1</v>
      </c>
    </row>
    <row r="2568" spans="1:7" x14ac:dyDescent="0.25">
      <c r="A2568" s="29">
        <v>40174</v>
      </c>
      <c r="B2568" s="30">
        <v>49.3</v>
      </c>
      <c r="C2568" s="30">
        <v>49.1</v>
      </c>
      <c r="D2568" s="30"/>
      <c r="E2568" s="30"/>
      <c r="F2568" s="30">
        <v>50</v>
      </c>
      <c r="G2568" s="30">
        <v>50.8</v>
      </c>
    </row>
    <row r="2569" spans="1:7" x14ac:dyDescent="0.25">
      <c r="A2569" s="29">
        <v>40175</v>
      </c>
      <c r="B2569" s="30">
        <v>38.700000000000003</v>
      </c>
      <c r="C2569" s="30">
        <v>38.9</v>
      </c>
      <c r="D2569" s="30"/>
      <c r="E2569" s="30"/>
      <c r="F2569" s="30">
        <v>37.4</v>
      </c>
      <c r="G2569" s="30">
        <v>37.9</v>
      </c>
    </row>
    <row r="2570" spans="1:7" x14ac:dyDescent="0.25">
      <c r="A2570" s="29">
        <v>40176</v>
      </c>
      <c r="B2570" s="30">
        <v>26.4</v>
      </c>
      <c r="C2570" s="30">
        <v>26.2</v>
      </c>
      <c r="D2570" s="30"/>
      <c r="E2570" s="30"/>
      <c r="F2570" s="30">
        <v>30.2</v>
      </c>
      <c r="G2570" s="30">
        <v>26.4</v>
      </c>
    </row>
    <row r="2571" spans="1:7" x14ac:dyDescent="0.25">
      <c r="A2571" s="29">
        <v>40177</v>
      </c>
      <c r="B2571" s="30">
        <v>23.2</v>
      </c>
      <c r="C2571" s="30">
        <v>23.7</v>
      </c>
      <c r="D2571" s="30"/>
      <c r="E2571" s="30"/>
      <c r="F2571" s="30">
        <v>24.5</v>
      </c>
      <c r="G2571" s="30">
        <v>22.7</v>
      </c>
    </row>
    <row r="2572" spans="1:7" x14ac:dyDescent="0.25">
      <c r="A2572" s="29">
        <v>40178</v>
      </c>
      <c r="B2572" s="30">
        <v>31.6</v>
      </c>
      <c r="C2572" s="30">
        <v>31.8</v>
      </c>
      <c r="D2572" s="30"/>
      <c r="E2572" s="30"/>
      <c r="F2572" s="30">
        <v>32.700000000000003</v>
      </c>
      <c r="G2572" s="30">
        <v>31.3</v>
      </c>
    </row>
    <row r="2573" spans="1:7" x14ac:dyDescent="0.25">
      <c r="A2573" s="29">
        <v>40179</v>
      </c>
      <c r="B2573" s="30">
        <v>35.1</v>
      </c>
      <c r="C2573" s="30">
        <v>35.1</v>
      </c>
      <c r="D2573" s="30"/>
      <c r="E2573" s="30"/>
      <c r="F2573" s="30">
        <v>36.5</v>
      </c>
      <c r="G2573" s="30">
        <v>36.1</v>
      </c>
    </row>
    <row r="2574" spans="1:7" x14ac:dyDescent="0.25">
      <c r="A2574" s="29">
        <v>40180</v>
      </c>
      <c r="B2574" s="30">
        <v>30.5</v>
      </c>
      <c r="C2574" s="30">
        <v>29.2</v>
      </c>
      <c r="D2574" s="30"/>
      <c r="E2574" s="30"/>
      <c r="F2574" s="30">
        <v>31.7</v>
      </c>
      <c r="G2574" s="30">
        <v>31</v>
      </c>
    </row>
    <row r="2575" spans="1:7" x14ac:dyDescent="0.25">
      <c r="A2575" s="29">
        <v>40181</v>
      </c>
      <c r="B2575" s="30">
        <v>19.8</v>
      </c>
      <c r="C2575" s="30">
        <v>19.7</v>
      </c>
      <c r="D2575" s="30"/>
      <c r="E2575" s="30"/>
      <c r="F2575" s="30">
        <v>23.5</v>
      </c>
      <c r="G2575" s="30">
        <v>20.100000000000001</v>
      </c>
    </row>
    <row r="2576" spans="1:7" x14ac:dyDescent="0.25">
      <c r="A2576" s="29">
        <v>40182</v>
      </c>
      <c r="B2576" s="30">
        <v>24.1</v>
      </c>
      <c r="C2576" s="30">
        <v>24.2</v>
      </c>
      <c r="D2576" s="30"/>
      <c r="E2576" s="30"/>
      <c r="F2576" s="30">
        <v>27.5</v>
      </c>
      <c r="G2576" s="30">
        <v>23.2</v>
      </c>
    </row>
    <row r="2577" spans="1:7" x14ac:dyDescent="0.25">
      <c r="A2577" s="29">
        <v>40183</v>
      </c>
      <c r="B2577" s="30">
        <v>25.4</v>
      </c>
      <c r="C2577" s="30">
        <v>25.4</v>
      </c>
      <c r="D2577" s="30"/>
      <c r="E2577" s="30"/>
      <c r="F2577" s="30">
        <v>28.6</v>
      </c>
      <c r="G2577" s="30">
        <v>25</v>
      </c>
    </row>
    <row r="2578" spans="1:7" x14ac:dyDescent="0.25">
      <c r="A2578" s="29">
        <v>40184</v>
      </c>
      <c r="B2578" s="30">
        <v>29.4</v>
      </c>
      <c r="C2578" s="30">
        <v>29.2</v>
      </c>
      <c r="D2578" s="30"/>
      <c r="E2578" s="30"/>
      <c r="F2578" s="30">
        <v>31.1</v>
      </c>
      <c r="G2578" s="30">
        <v>29.7</v>
      </c>
    </row>
    <row r="2579" spans="1:7" x14ac:dyDescent="0.25">
      <c r="A2579" s="29">
        <v>40185</v>
      </c>
      <c r="B2579" s="30">
        <v>32.700000000000003</v>
      </c>
      <c r="C2579" s="30">
        <v>32.700000000000003</v>
      </c>
      <c r="D2579" s="30"/>
      <c r="E2579" s="30"/>
      <c r="F2579" s="30">
        <v>33.4</v>
      </c>
      <c r="G2579" s="30">
        <v>33.200000000000003</v>
      </c>
    </row>
    <row r="2580" spans="1:7" x14ac:dyDescent="0.25">
      <c r="A2580" s="29">
        <v>40186</v>
      </c>
      <c r="B2580" s="30">
        <v>31.1</v>
      </c>
      <c r="C2580" s="30">
        <v>32.299999999999997</v>
      </c>
      <c r="D2580" s="30"/>
      <c r="E2580" s="30"/>
      <c r="F2580" s="30">
        <v>30.6</v>
      </c>
      <c r="G2580" s="30">
        <v>31.4</v>
      </c>
    </row>
    <row r="2581" spans="1:7" x14ac:dyDescent="0.25">
      <c r="A2581" s="29">
        <v>40187</v>
      </c>
      <c r="B2581" s="30">
        <v>24.8</v>
      </c>
      <c r="C2581" s="30">
        <v>25.2</v>
      </c>
      <c r="D2581" s="30"/>
      <c r="E2581" s="30"/>
      <c r="F2581" s="30">
        <v>25.9</v>
      </c>
      <c r="G2581" s="30">
        <v>25</v>
      </c>
    </row>
    <row r="2582" spans="1:7" x14ac:dyDescent="0.25">
      <c r="A2582" s="29">
        <v>40188</v>
      </c>
      <c r="B2582" s="30">
        <v>21.5</v>
      </c>
      <c r="C2582" s="30">
        <v>21.7</v>
      </c>
      <c r="D2582" s="30"/>
      <c r="E2582" s="30"/>
      <c r="F2582" s="30">
        <v>21.9</v>
      </c>
      <c r="G2582" s="30">
        <v>21.8</v>
      </c>
    </row>
    <row r="2583" spans="1:7" x14ac:dyDescent="0.25">
      <c r="A2583" s="29">
        <v>40189</v>
      </c>
      <c r="B2583" s="30">
        <v>26.3</v>
      </c>
      <c r="C2583" s="30">
        <v>26.8</v>
      </c>
      <c r="D2583" s="30"/>
      <c r="E2583" s="30"/>
      <c r="F2583" s="30">
        <v>23.8</v>
      </c>
      <c r="G2583" s="30">
        <v>24.6</v>
      </c>
    </row>
    <row r="2584" spans="1:7" x14ac:dyDescent="0.25">
      <c r="A2584" s="29">
        <v>40190</v>
      </c>
      <c r="B2584" s="30">
        <v>31.6</v>
      </c>
      <c r="C2584" s="30">
        <v>31.5</v>
      </c>
      <c r="D2584" s="30"/>
      <c r="E2584" s="30"/>
      <c r="F2584" s="30">
        <v>30.1</v>
      </c>
      <c r="G2584" s="30">
        <v>31.3</v>
      </c>
    </row>
    <row r="2585" spans="1:7" x14ac:dyDescent="0.25">
      <c r="A2585" s="29">
        <v>40191</v>
      </c>
      <c r="B2585" s="30">
        <v>28.2</v>
      </c>
      <c r="C2585" s="30">
        <v>28.5</v>
      </c>
      <c r="D2585" s="30"/>
      <c r="E2585" s="30"/>
      <c r="F2585" s="30">
        <v>30.1</v>
      </c>
      <c r="G2585" s="30">
        <v>28.6</v>
      </c>
    </row>
    <row r="2586" spans="1:7" x14ac:dyDescent="0.25">
      <c r="A2586" s="29">
        <v>40192</v>
      </c>
      <c r="B2586" s="30">
        <v>32.299999999999997</v>
      </c>
      <c r="C2586" s="30">
        <v>35.4</v>
      </c>
      <c r="D2586" s="30"/>
      <c r="E2586" s="30"/>
      <c r="F2586" s="30">
        <v>32.6</v>
      </c>
      <c r="G2586" s="30">
        <v>33.299999999999997</v>
      </c>
    </row>
    <row r="2587" spans="1:7" x14ac:dyDescent="0.25">
      <c r="A2587" s="29">
        <v>40193</v>
      </c>
      <c r="B2587" s="30">
        <v>36.200000000000003</v>
      </c>
      <c r="C2587" s="30">
        <v>40.5</v>
      </c>
      <c r="D2587" s="30"/>
      <c r="E2587" s="30"/>
      <c r="F2587" s="30">
        <v>38.799999999999997</v>
      </c>
      <c r="G2587" s="30">
        <v>36.5</v>
      </c>
    </row>
    <row r="2588" spans="1:7" x14ac:dyDescent="0.25">
      <c r="A2588" s="29">
        <v>40194</v>
      </c>
      <c r="B2588" s="30">
        <v>42.7</v>
      </c>
      <c r="C2588" s="30">
        <v>42.6</v>
      </c>
      <c r="D2588" s="30"/>
      <c r="E2588" s="30"/>
      <c r="F2588" s="30">
        <v>39.299999999999997</v>
      </c>
      <c r="G2588" s="30">
        <v>43.8</v>
      </c>
    </row>
    <row r="2589" spans="1:7" x14ac:dyDescent="0.25">
      <c r="A2589" s="29">
        <v>40195</v>
      </c>
      <c r="B2589" s="30">
        <v>37.299999999999997</v>
      </c>
      <c r="C2589" s="30">
        <v>38.799999999999997</v>
      </c>
      <c r="D2589" s="30"/>
      <c r="E2589" s="30"/>
      <c r="F2589" s="30">
        <v>40.4</v>
      </c>
      <c r="G2589" s="30">
        <v>38</v>
      </c>
    </row>
    <row r="2590" spans="1:7" x14ac:dyDescent="0.25">
      <c r="A2590" s="29">
        <v>40196</v>
      </c>
      <c r="B2590" s="30">
        <v>41.4</v>
      </c>
      <c r="C2590" s="30">
        <v>39.9</v>
      </c>
      <c r="D2590" s="30"/>
      <c r="E2590" s="30"/>
      <c r="F2590" s="30">
        <v>45.2</v>
      </c>
      <c r="G2590" s="30">
        <v>43.3</v>
      </c>
    </row>
    <row r="2591" spans="1:7" x14ac:dyDescent="0.25">
      <c r="A2591" s="29">
        <v>40197</v>
      </c>
      <c r="B2591" s="30">
        <v>40.700000000000003</v>
      </c>
      <c r="C2591" s="30">
        <v>43.6</v>
      </c>
      <c r="D2591" s="30"/>
      <c r="E2591" s="30"/>
      <c r="F2591" s="30">
        <v>40.4</v>
      </c>
      <c r="G2591" s="30">
        <v>42.2</v>
      </c>
    </row>
    <row r="2592" spans="1:7" x14ac:dyDescent="0.25">
      <c r="A2592" s="29">
        <v>40198</v>
      </c>
      <c r="B2592" s="30">
        <v>39</v>
      </c>
      <c r="C2592" s="30">
        <v>39.299999999999997</v>
      </c>
      <c r="D2592" s="30"/>
      <c r="E2592" s="30"/>
      <c r="F2592" s="30">
        <v>38.4</v>
      </c>
      <c r="G2592" s="30">
        <v>38.4</v>
      </c>
    </row>
    <row r="2593" spans="1:7" x14ac:dyDescent="0.25">
      <c r="A2593" s="29">
        <v>40199</v>
      </c>
      <c r="B2593" s="30">
        <v>35</v>
      </c>
      <c r="C2593" s="30">
        <v>36.799999999999997</v>
      </c>
      <c r="D2593" s="30"/>
      <c r="E2593" s="30"/>
      <c r="F2593" s="30">
        <v>32.9</v>
      </c>
      <c r="G2593" s="30">
        <v>35</v>
      </c>
    </row>
    <row r="2594" spans="1:7" x14ac:dyDescent="0.25">
      <c r="A2594" s="29">
        <v>40200</v>
      </c>
      <c r="B2594" s="30">
        <v>36.299999999999997</v>
      </c>
      <c r="C2594" s="30">
        <v>37.200000000000003</v>
      </c>
      <c r="D2594" s="30"/>
      <c r="E2594" s="30"/>
      <c r="F2594" s="30">
        <v>37.6</v>
      </c>
      <c r="G2594" s="30">
        <v>36.299999999999997</v>
      </c>
    </row>
    <row r="2595" spans="1:7" x14ac:dyDescent="0.25">
      <c r="A2595" s="29">
        <v>40201</v>
      </c>
      <c r="B2595" s="30">
        <v>33.5</v>
      </c>
      <c r="C2595" s="30">
        <v>34.9</v>
      </c>
      <c r="D2595" s="30"/>
      <c r="E2595" s="30"/>
      <c r="F2595" s="30">
        <v>31.8</v>
      </c>
      <c r="G2595" s="30">
        <v>32.299999999999997</v>
      </c>
    </row>
    <row r="2596" spans="1:7" x14ac:dyDescent="0.25">
      <c r="A2596" s="29">
        <v>40202</v>
      </c>
      <c r="B2596" s="30">
        <v>34.9</v>
      </c>
      <c r="C2596" s="30">
        <v>35.6</v>
      </c>
      <c r="D2596" s="30"/>
      <c r="E2596" s="30"/>
      <c r="F2596" s="30">
        <v>38.1</v>
      </c>
      <c r="G2596" s="30">
        <v>34.4</v>
      </c>
    </row>
    <row r="2597" spans="1:7" x14ac:dyDescent="0.25">
      <c r="A2597" s="29">
        <v>40203</v>
      </c>
      <c r="B2597" s="30">
        <v>49.4</v>
      </c>
      <c r="C2597" s="30">
        <v>50</v>
      </c>
      <c r="D2597" s="30"/>
      <c r="E2597" s="30"/>
      <c r="F2597" s="30">
        <v>54.5</v>
      </c>
      <c r="G2597" s="30">
        <v>52.6</v>
      </c>
    </row>
    <row r="2598" spans="1:7" x14ac:dyDescent="0.25">
      <c r="A2598" s="29">
        <v>40204</v>
      </c>
      <c r="B2598" s="30">
        <v>42.8</v>
      </c>
      <c r="C2598" s="30">
        <v>43.3</v>
      </c>
      <c r="D2598" s="30"/>
      <c r="E2598" s="30"/>
      <c r="F2598" s="30">
        <v>43.7</v>
      </c>
      <c r="G2598" s="30">
        <v>44.3</v>
      </c>
    </row>
    <row r="2599" spans="1:7" x14ac:dyDescent="0.25">
      <c r="A2599" s="29">
        <v>40205</v>
      </c>
      <c r="B2599" s="30">
        <v>35.5</v>
      </c>
      <c r="C2599" s="30">
        <v>35.799999999999997</v>
      </c>
      <c r="D2599" s="30"/>
      <c r="E2599" s="30"/>
      <c r="F2599" s="30">
        <v>35.1</v>
      </c>
      <c r="G2599" s="30">
        <v>35.1</v>
      </c>
    </row>
    <row r="2600" spans="1:7" x14ac:dyDescent="0.25">
      <c r="A2600" s="29">
        <v>40206</v>
      </c>
      <c r="B2600" s="30">
        <v>34.299999999999997</v>
      </c>
      <c r="C2600" s="30">
        <v>36.299999999999997</v>
      </c>
      <c r="D2600" s="30"/>
      <c r="E2600" s="30"/>
      <c r="F2600" s="30">
        <v>37.4</v>
      </c>
      <c r="G2600" s="30">
        <v>33.299999999999997</v>
      </c>
    </row>
    <row r="2601" spans="1:7" x14ac:dyDescent="0.25">
      <c r="A2601" s="29">
        <v>40207</v>
      </c>
      <c r="B2601" s="30">
        <v>21.4</v>
      </c>
      <c r="C2601" s="30">
        <v>21.8</v>
      </c>
      <c r="D2601" s="30"/>
      <c r="E2601" s="30"/>
      <c r="F2601" s="30">
        <v>24.3</v>
      </c>
      <c r="G2601" s="30">
        <v>21.3</v>
      </c>
    </row>
    <row r="2602" spans="1:7" x14ac:dyDescent="0.25">
      <c r="A2602" s="29">
        <v>40208</v>
      </c>
      <c r="B2602" s="30">
        <v>17.5</v>
      </c>
      <c r="C2602" s="30">
        <v>17.8</v>
      </c>
      <c r="D2602" s="30"/>
      <c r="E2602" s="30"/>
      <c r="F2602" s="30">
        <v>19.7</v>
      </c>
      <c r="G2602" s="30">
        <v>17.8</v>
      </c>
    </row>
    <row r="2603" spans="1:7" x14ac:dyDescent="0.25">
      <c r="A2603" s="29">
        <v>40209</v>
      </c>
      <c r="B2603" s="30">
        <v>21.2</v>
      </c>
      <c r="C2603" s="30">
        <v>21.4</v>
      </c>
      <c r="D2603" s="30"/>
      <c r="E2603" s="30"/>
      <c r="F2603" s="30">
        <v>19.600000000000001</v>
      </c>
      <c r="G2603" s="30">
        <v>21.5</v>
      </c>
    </row>
    <row r="2604" spans="1:7" x14ac:dyDescent="0.25">
      <c r="A2604" s="29">
        <v>40210</v>
      </c>
      <c r="B2604" s="30">
        <v>29.4</v>
      </c>
      <c r="C2604" s="30">
        <v>30.4</v>
      </c>
      <c r="D2604" s="30"/>
      <c r="E2604" s="30"/>
      <c r="F2604" s="30">
        <v>26.2</v>
      </c>
      <c r="G2604" s="30">
        <v>28.3</v>
      </c>
    </row>
    <row r="2605" spans="1:7" x14ac:dyDescent="0.25">
      <c r="A2605" s="29">
        <v>40211</v>
      </c>
      <c r="B2605" s="30">
        <v>30.4</v>
      </c>
      <c r="C2605" s="30">
        <v>32</v>
      </c>
      <c r="D2605" s="30"/>
      <c r="E2605" s="30"/>
      <c r="F2605" s="30">
        <v>27.5</v>
      </c>
      <c r="G2605" s="30">
        <v>30.2</v>
      </c>
    </row>
    <row r="2606" spans="1:7" x14ac:dyDescent="0.25">
      <c r="A2606" s="29">
        <v>40212</v>
      </c>
      <c r="B2606" s="30">
        <v>31.9</v>
      </c>
      <c r="C2606" s="30">
        <v>32</v>
      </c>
      <c r="D2606" s="30"/>
      <c r="E2606" s="30"/>
      <c r="F2606" s="30">
        <v>34.4</v>
      </c>
      <c r="G2606" s="30">
        <v>32.6</v>
      </c>
    </row>
    <row r="2607" spans="1:7" x14ac:dyDescent="0.25">
      <c r="A2607" s="29">
        <v>40213</v>
      </c>
      <c r="B2607" s="30">
        <v>33.299999999999997</v>
      </c>
      <c r="C2607" s="30">
        <v>33.299999999999997</v>
      </c>
      <c r="D2607" s="30"/>
      <c r="E2607" s="30"/>
      <c r="F2607" s="30">
        <v>32.799999999999997</v>
      </c>
      <c r="G2607" s="30">
        <v>33.4</v>
      </c>
    </row>
    <row r="2608" spans="1:7" x14ac:dyDescent="0.25">
      <c r="A2608" s="29">
        <v>40214</v>
      </c>
      <c r="B2608" s="30">
        <v>33.200000000000003</v>
      </c>
      <c r="C2608" s="30">
        <v>33.799999999999997</v>
      </c>
      <c r="D2608" s="30"/>
      <c r="E2608" s="30"/>
      <c r="F2608" s="30">
        <v>33.5</v>
      </c>
      <c r="G2608" s="30">
        <v>33.299999999999997</v>
      </c>
    </row>
    <row r="2609" spans="1:7" x14ac:dyDescent="0.25">
      <c r="A2609" s="29">
        <v>40215</v>
      </c>
      <c r="B2609" s="30">
        <v>28.9</v>
      </c>
      <c r="C2609" s="30">
        <v>30.1</v>
      </c>
      <c r="D2609" s="30"/>
      <c r="E2609" s="30"/>
      <c r="F2609" s="30">
        <v>30.2</v>
      </c>
      <c r="G2609" s="30">
        <v>29.4</v>
      </c>
    </row>
    <row r="2610" spans="1:7" x14ac:dyDescent="0.25">
      <c r="A2610" s="29">
        <v>40216</v>
      </c>
      <c r="B2610" s="30">
        <v>24</v>
      </c>
      <c r="C2610" s="30">
        <v>24.8</v>
      </c>
      <c r="D2610" s="30"/>
      <c r="E2610" s="30"/>
      <c r="F2610" s="30">
        <v>21.1</v>
      </c>
      <c r="G2610" s="30">
        <v>25</v>
      </c>
    </row>
    <row r="2611" spans="1:7" x14ac:dyDescent="0.25">
      <c r="A2611" s="29">
        <v>40217</v>
      </c>
      <c r="B2611" s="30">
        <v>28.4</v>
      </c>
      <c r="C2611" s="30">
        <v>28.8</v>
      </c>
      <c r="D2611" s="30"/>
      <c r="E2611" s="30"/>
      <c r="F2611" s="30">
        <v>23.6</v>
      </c>
      <c r="G2611" s="30">
        <v>28.5</v>
      </c>
    </row>
    <row r="2612" spans="1:7" x14ac:dyDescent="0.25">
      <c r="A2612" s="29">
        <v>40218</v>
      </c>
      <c r="B2612" s="30">
        <v>33</v>
      </c>
      <c r="C2612" s="30">
        <v>34.1</v>
      </c>
      <c r="D2612" s="30"/>
      <c r="E2612" s="30"/>
      <c r="F2612" s="30">
        <v>29.5</v>
      </c>
      <c r="G2612" s="30">
        <v>33.700000000000003</v>
      </c>
    </row>
    <row r="2613" spans="1:7" x14ac:dyDescent="0.25">
      <c r="A2613" s="29">
        <v>40219</v>
      </c>
      <c r="B2613" s="30">
        <v>32.1</v>
      </c>
      <c r="C2613" s="30">
        <v>33.1</v>
      </c>
      <c r="D2613" s="30"/>
      <c r="E2613" s="30"/>
      <c r="F2613" s="30">
        <v>33.799999999999997</v>
      </c>
      <c r="G2613" s="30">
        <v>32.799999999999997</v>
      </c>
    </row>
    <row r="2614" spans="1:7" x14ac:dyDescent="0.25">
      <c r="A2614" s="29">
        <v>40220</v>
      </c>
      <c r="B2614" s="30">
        <v>32.4</v>
      </c>
      <c r="C2614" s="30">
        <v>32.799999999999997</v>
      </c>
      <c r="D2614" s="30"/>
      <c r="E2614" s="30"/>
      <c r="F2614" s="30">
        <v>32.700000000000003</v>
      </c>
      <c r="G2614" s="30">
        <v>33.4</v>
      </c>
    </row>
    <row r="2615" spans="1:7" x14ac:dyDescent="0.25">
      <c r="A2615" s="29">
        <v>40221</v>
      </c>
      <c r="B2615" s="30">
        <v>30.3</v>
      </c>
      <c r="C2615" s="30">
        <v>31.6</v>
      </c>
      <c r="D2615" s="30"/>
      <c r="E2615" s="30"/>
      <c r="F2615" s="30">
        <v>29.2</v>
      </c>
      <c r="G2615" s="30">
        <v>30.6</v>
      </c>
    </row>
    <row r="2616" spans="1:7" x14ac:dyDescent="0.25">
      <c r="A2616" s="29">
        <v>40222</v>
      </c>
      <c r="B2616" s="30">
        <v>28.5</v>
      </c>
      <c r="C2616" s="30">
        <v>29.9</v>
      </c>
      <c r="D2616" s="30"/>
      <c r="E2616" s="30"/>
      <c r="F2616" s="30">
        <v>26.7</v>
      </c>
      <c r="G2616" s="30">
        <v>28.5</v>
      </c>
    </row>
    <row r="2617" spans="1:7" x14ac:dyDescent="0.25">
      <c r="A2617" s="29">
        <v>40223</v>
      </c>
      <c r="B2617" s="30">
        <v>31.2</v>
      </c>
      <c r="C2617" s="30">
        <v>32.799999999999997</v>
      </c>
      <c r="D2617" s="30"/>
      <c r="E2617" s="30"/>
      <c r="F2617" s="30">
        <v>30.2</v>
      </c>
      <c r="G2617" s="30">
        <v>31.2</v>
      </c>
    </row>
    <row r="2618" spans="1:7" x14ac:dyDescent="0.25">
      <c r="A2618" s="29">
        <v>40224</v>
      </c>
      <c r="B2618" s="30">
        <v>31.9</v>
      </c>
      <c r="C2618" s="30">
        <v>34.5</v>
      </c>
      <c r="D2618" s="30"/>
      <c r="E2618" s="30"/>
      <c r="F2618" s="30">
        <v>32.700000000000003</v>
      </c>
      <c r="G2618" s="30">
        <v>32.5</v>
      </c>
    </row>
    <row r="2619" spans="1:7" x14ac:dyDescent="0.25">
      <c r="A2619" s="29">
        <v>40225</v>
      </c>
      <c r="B2619" s="30">
        <v>32.799999999999997</v>
      </c>
      <c r="C2619" s="30">
        <v>32.200000000000003</v>
      </c>
      <c r="D2619" s="30"/>
      <c r="E2619" s="30"/>
      <c r="F2619" s="30">
        <v>33.1</v>
      </c>
      <c r="G2619" s="30">
        <v>33.200000000000003</v>
      </c>
    </row>
    <row r="2620" spans="1:7" x14ac:dyDescent="0.25">
      <c r="A2620" s="29">
        <v>40226</v>
      </c>
      <c r="B2620" s="30">
        <v>31</v>
      </c>
      <c r="C2620" s="30">
        <v>30.9</v>
      </c>
      <c r="D2620" s="30"/>
      <c r="E2620" s="30"/>
      <c r="F2620" s="30">
        <v>30.6</v>
      </c>
      <c r="G2620" s="30">
        <v>30.6</v>
      </c>
    </row>
    <row r="2621" spans="1:7" x14ac:dyDescent="0.25">
      <c r="A2621" s="29">
        <v>40227</v>
      </c>
      <c r="B2621" s="30">
        <v>35.1</v>
      </c>
      <c r="C2621" s="30">
        <v>35.1</v>
      </c>
      <c r="D2621" s="30"/>
      <c r="E2621" s="30"/>
      <c r="F2621" s="30">
        <v>34.9</v>
      </c>
      <c r="G2621" s="30">
        <v>35.200000000000003</v>
      </c>
    </row>
    <row r="2622" spans="1:7" x14ac:dyDescent="0.25">
      <c r="A2622" s="29">
        <v>40228</v>
      </c>
      <c r="B2622" s="30">
        <v>38</v>
      </c>
      <c r="C2622" s="30">
        <v>38.6</v>
      </c>
      <c r="D2622" s="30"/>
      <c r="E2622" s="30"/>
      <c r="F2622" s="30">
        <v>37.299999999999997</v>
      </c>
      <c r="G2622" s="30">
        <v>39.200000000000003</v>
      </c>
    </row>
    <row r="2623" spans="1:7" x14ac:dyDescent="0.25">
      <c r="A2623" s="29">
        <v>40229</v>
      </c>
      <c r="B2623" s="30">
        <v>39.200000000000003</v>
      </c>
      <c r="C2623" s="30">
        <v>39.6</v>
      </c>
      <c r="D2623" s="30"/>
      <c r="E2623" s="30"/>
      <c r="F2623" s="30">
        <v>37.799999999999997</v>
      </c>
      <c r="G2623" s="30">
        <v>39.9</v>
      </c>
    </row>
    <row r="2624" spans="1:7" x14ac:dyDescent="0.25">
      <c r="A2624" s="29">
        <v>40230</v>
      </c>
      <c r="B2624" s="30">
        <v>39.700000000000003</v>
      </c>
      <c r="C2624" s="30">
        <v>40.200000000000003</v>
      </c>
      <c r="D2624" s="30"/>
      <c r="E2624" s="30"/>
      <c r="F2624" s="30">
        <v>37.200000000000003</v>
      </c>
      <c r="G2624" s="30">
        <v>39.799999999999997</v>
      </c>
    </row>
    <row r="2625" spans="1:7" x14ac:dyDescent="0.25">
      <c r="A2625" s="29">
        <v>40231</v>
      </c>
      <c r="B2625" s="30">
        <v>36.200000000000003</v>
      </c>
      <c r="C2625" s="30">
        <v>37</v>
      </c>
      <c r="D2625" s="30"/>
      <c r="E2625" s="30"/>
      <c r="F2625" s="30">
        <v>35.200000000000003</v>
      </c>
      <c r="G2625" s="30">
        <v>37.1</v>
      </c>
    </row>
    <row r="2626" spans="1:7" x14ac:dyDescent="0.25">
      <c r="A2626" s="29">
        <v>40232</v>
      </c>
      <c r="B2626" s="30">
        <v>37.5</v>
      </c>
      <c r="C2626" s="30">
        <v>37</v>
      </c>
      <c r="D2626" s="30"/>
      <c r="E2626" s="30"/>
      <c r="F2626" s="30">
        <v>41.4</v>
      </c>
      <c r="G2626" s="30">
        <v>37.6</v>
      </c>
    </row>
    <row r="2627" spans="1:7" x14ac:dyDescent="0.25">
      <c r="A2627" s="29">
        <v>40233</v>
      </c>
      <c r="B2627" s="30">
        <v>38.799999999999997</v>
      </c>
      <c r="C2627" s="30">
        <v>36.5</v>
      </c>
      <c r="D2627" s="30"/>
      <c r="E2627" s="30"/>
      <c r="F2627" s="30">
        <v>39.700000000000003</v>
      </c>
      <c r="G2627" s="30">
        <v>38.5</v>
      </c>
    </row>
    <row r="2628" spans="1:7" x14ac:dyDescent="0.25">
      <c r="A2628" s="29">
        <v>40234</v>
      </c>
      <c r="B2628" s="30">
        <v>36.1</v>
      </c>
      <c r="C2628" s="30">
        <v>34.200000000000003</v>
      </c>
      <c r="D2628" s="30"/>
      <c r="E2628" s="30"/>
      <c r="F2628" s="30">
        <v>35.700000000000003</v>
      </c>
      <c r="G2628" s="30">
        <v>36.200000000000003</v>
      </c>
    </row>
    <row r="2629" spans="1:7" x14ac:dyDescent="0.25">
      <c r="A2629" s="29">
        <v>40235</v>
      </c>
      <c r="B2629" s="30">
        <v>29.3</v>
      </c>
      <c r="C2629" s="30">
        <v>30.8</v>
      </c>
      <c r="D2629" s="30"/>
      <c r="E2629" s="30"/>
      <c r="F2629" s="30">
        <v>30</v>
      </c>
      <c r="G2629" s="30">
        <v>30</v>
      </c>
    </row>
    <row r="2630" spans="1:7" x14ac:dyDescent="0.25">
      <c r="A2630" s="29">
        <v>40236</v>
      </c>
      <c r="B2630" s="30">
        <v>32.4</v>
      </c>
      <c r="C2630" s="30">
        <v>34.1</v>
      </c>
      <c r="D2630" s="30"/>
      <c r="E2630" s="30"/>
      <c r="F2630" s="30">
        <v>32.9</v>
      </c>
      <c r="G2630" s="30">
        <v>33.1</v>
      </c>
    </row>
    <row r="2631" spans="1:7" x14ac:dyDescent="0.25">
      <c r="A2631" s="29">
        <v>40237</v>
      </c>
      <c r="B2631" s="30">
        <v>35.299999999999997</v>
      </c>
      <c r="C2631" s="30">
        <v>37.299999999999997</v>
      </c>
      <c r="D2631" s="30"/>
      <c r="E2631" s="30"/>
      <c r="F2631" s="30">
        <v>35.299999999999997</v>
      </c>
      <c r="G2631" s="30">
        <v>36</v>
      </c>
    </row>
    <row r="2632" spans="1:7" x14ac:dyDescent="0.25">
      <c r="A2632" s="29">
        <v>40238</v>
      </c>
      <c r="B2632" s="30">
        <v>40.700000000000003</v>
      </c>
      <c r="C2632" s="30">
        <v>41.2</v>
      </c>
      <c r="D2632" s="30"/>
      <c r="E2632" s="30"/>
      <c r="F2632" s="30">
        <v>39.700000000000003</v>
      </c>
      <c r="G2632" s="30">
        <v>40.1</v>
      </c>
    </row>
    <row r="2633" spans="1:7" x14ac:dyDescent="0.25">
      <c r="A2633" s="29">
        <v>40239</v>
      </c>
      <c r="B2633" s="30">
        <v>40.5</v>
      </c>
      <c r="C2633" s="30">
        <v>41.7</v>
      </c>
      <c r="D2633" s="30"/>
      <c r="E2633" s="30"/>
      <c r="F2633" s="30">
        <v>37.700000000000003</v>
      </c>
      <c r="G2633" s="30">
        <v>40.5</v>
      </c>
    </row>
    <row r="2634" spans="1:7" x14ac:dyDescent="0.25">
      <c r="A2634" s="29">
        <v>40240</v>
      </c>
      <c r="B2634" s="30">
        <v>37.799999999999997</v>
      </c>
      <c r="C2634" s="30">
        <v>39</v>
      </c>
      <c r="D2634" s="30"/>
      <c r="E2634" s="30"/>
      <c r="F2634" s="30">
        <v>38</v>
      </c>
      <c r="G2634" s="30">
        <v>38.299999999999997</v>
      </c>
    </row>
    <row r="2635" spans="1:7" x14ac:dyDescent="0.25">
      <c r="A2635" s="29">
        <v>40241</v>
      </c>
      <c r="B2635" s="30">
        <v>41.1</v>
      </c>
      <c r="C2635" s="30">
        <v>40.9</v>
      </c>
      <c r="D2635" s="30"/>
      <c r="E2635" s="30"/>
      <c r="F2635" s="30">
        <v>40.200000000000003</v>
      </c>
      <c r="G2635" s="30">
        <v>41.7</v>
      </c>
    </row>
    <row r="2636" spans="1:7" x14ac:dyDescent="0.25">
      <c r="A2636" s="29">
        <v>40242</v>
      </c>
      <c r="B2636" s="30">
        <v>39.799999999999997</v>
      </c>
      <c r="C2636" s="30">
        <v>40.1</v>
      </c>
      <c r="D2636" s="30"/>
      <c r="E2636" s="30"/>
      <c r="F2636" s="30">
        <v>39.9</v>
      </c>
      <c r="G2636" s="30">
        <v>41.3</v>
      </c>
    </row>
    <row r="2637" spans="1:7" x14ac:dyDescent="0.25">
      <c r="A2637" s="29">
        <v>40243</v>
      </c>
      <c r="B2637" s="30">
        <v>41.4</v>
      </c>
      <c r="C2637" s="30">
        <v>41.7</v>
      </c>
      <c r="D2637" s="30"/>
      <c r="E2637" s="30"/>
      <c r="F2637" s="30">
        <v>39.9</v>
      </c>
      <c r="G2637" s="30">
        <v>41.8</v>
      </c>
    </row>
    <row r="2638" spans="1:7" x14ac:dyDescent="0.25">
      <c r="A2638" s="29">
        <v>40244</v>
      </c>
      <c r="B2638" s="30">
        <v>46.7</v>
      </c>
      <c r="C2638" s="30">
        <v>46.3</v>
      </c>
      <c r="D2638" s="30"/>
      <c r="E2638" s="30"/>
      <c r="F2638" s="30">
        <v>43.7</v>
      </c>
      <c r="G2638" s="30">
        <v>46.9</v>
      </c>
    </row>
    <row r="2639" spans="1:7" x14ac:dyDescent="0.25">
      <c r="A2639" s="29">
        <v>40245</v>
      </c>
      <c r="B2639" s="30">
        <v>50.8</v>
      </c>
      <c r="C2639" s="30">
        <v>50.9</v>
      </c>
      <c r="D2639" s="30"/>
      <c r="E2639" s="30"/>
      <c r="F2639" s="30">
        <v>47.2</v>
      </c>
      <c r="G2639" s="30">
        <v>50.9</v>
      </c>
    </row>
    <row r="2640" spans="1:7" x14ac:dyDescent="0.25">
      <c r="A2640" s="29">
        <v>40246</v>
      </c>
      <c r="B2640" s="30">
        <v>52.6</v>
      </c>
      <c r="C2640" s="30">
        <v>52</v>
      </c>
      <c r="D2640" s="30"/>
      <c r="E2640" s="30"/>
      <c r="F2640" s="30">
        <v>50.2</v>
      </c>
      <c r="G2640" s="30">
        <v>52.7</v>
      </c>
    </row>
    <row r="2641" spans="1:7" x14ac:dyDescent="0.25">
      <c r="A2641" s="29">
        <v>40247</v>
      </c>
      <c r="B2641" s="30">
        <v>45.2</v>
      </c>
      <c r="C2641" s="30">
        <v>47.5</v>
      </c>
      <c r="D2641" s="30"/>
      <c r="E2641" s="30"/>
      <c r="F2641" s="30">
        <v>45.5</v>
      </c>
      <c r="G2641" s="30">
        <v>49.2</v>
      </c>
    </row>
    <row r="2642" spans="1:7" x14ac:dyDescent="0.25">
      <c r="A2642" s="29">
        <v>40248</v>
      </c>
      <c r="B2642" s="30">
        <v>46.9</v>
      </c>
      <c r="C2642" s="30">
        <v>44.5</v>
      </c>
      <c r="D2642" s="30"/>
      <c r="E2642" s="30"/>
      <c r="F2642" s="30">
        <v>49.7</v>
      </c>
      <c r="G2642" s="30">
        <v>48.4</v>
      </c>
    </row>
    <row r="2643" spans="1:7" x14ac:dyDescent="0.25">
      <c r="A2643" s="29">
        <v>40249</v>
      </c>
      <c r="B2643" s="30">
        <v>45</v>
      </c>
      <c r="C2643" s="30">
        <v>42.2</v>
      </c>
      <c r="D2643" s="30"/>
      <c r="E2643" s="30"/>
      <c r="F2643" s="30">
        <v>47.6</v>
      </c>
      <c r="G2643" s="30">
        <v>44.2</v>
      </c>
    </row>
    <row r="2644" spans="1:7" x14ac:dyDescent="0.25">
      <c r="A2644" s="29">
        <v>40250</v>
      </c>
      <c r="B2644" s="30">
        <v>45</v>
      </c>
      <c r="C2644" s="30">
        <v>41.8</v>
      </c>
      <c r="D2644" s="30"/>
      <c r="E2644" s="30"/>
      <c r="F2644" s="30">
        <v>48.6</v>
      </c>
      <c r="G2644" s="30">
        <v>42.5</v>
      </c>
    </row>
    <row r="2645" spans="1:7" x14ac:dyDescent="0.25">
      <c r="A2645" s="29">
        <v>40251</v>
      </c>
      <c r="B2645" s="30">
        <v>47.8</v>
      </c>
      <c r="C2645" s="30">
        <v>45.7</v>
      </c>
      <c r="D2645" s="30"/>
      <c r="E2645" s="30"/>
      <c r="F2645" s="30">
        <v>47.4</v>
      </c>
      <c r="G2645" s="30">
        <v>47.4</v>
      </c>
    </row>
    <row r="2646" spans="1:7" x14ac:dyDescent="0.25">
      <c r="A2646" s="29">
        <v>40252</v>
      </c>
      <c r="B2646" s="30">
        <v>43.6</v>
      </c>
      <c r="C2646" s="30">
        <v>45.1</v>
      </c>
      <c r="D2646" s="30"/>
      <c r="E2646" s="30"/>
      <c r="F2646" s="30">
        <v>44.4</v>
      </c>
      <c r="G2646" s="30">
        <v>44.3</v>
      </c>
    </row>
    <row r="2647" spans="1:7" x14ac:dyDescent="0.25">
      <c r="A2647" s="29">
        <v>40253</v>
      </c>
      <c r="B2647" s="30">
        <v>49.3</v>
      </c>
      <c r="C2647" s="30">
        <v>49.5</v>
      </c>
      <c r="D2647" s="30"/>
      <c r="E2647" s="30"/>
      <c r="F2647" s="30">
        <v>47.7</v>
      </c>
      <c r="G2647" s="30">
        <v>49.2</v>
      </c>
    </row>
    <row r="2648" spans="1:7" x14ac:dyDescent="0.25">
      <c r="A2648" s="29">
        <v>40254</v>
      </c>
      <c r="B2648" s="30">
        <v>49.1</v>
      </c>
      <c r="C2648" s="30">
        <v>52.8</v>
      </c>
      <c r="D2648" s="30"/>
      <c r="E2648" s="30"/>
      <c r="F2648" s="30">
        <v>46.3</v>
      </c>
      <c r="G2648" s="30">
        <v>53.5</v>
      </c>
    </row>
    <row r="2649" spans="1:7" x14ac:dyDescent="0.25">
      <c r="A2649" s="29">
        <v>40255</v>
      </c>
      <c r="B2649" s="30">
        <v>50.8</v>
      </c>
      <c r="C2649" s="30">
        <v>57</v>
      </c>
      <c r="D2649" s="30"/>
      <c r="E2649" s="30"/>
      <c r="F2649" s="30">
        <v>53</v>
      </c>
      <c r="G2649" s="30">
        <v>56.8</v>
      </c>
    </row>
    <row r="2650" spans="1:7" x14ac:dyDescent="0.25">
      <c r="A2650" s="29">
        <v>40256</v>
      </c>
      <c r="B2650" s="30">
        <v>52.9</v>
      </c>
      <c r="C2650" s="30">
        <v>56.4</v>
      </c>
      <c r="D2650" s="30"/>
      <c r="E2650" s="30"/>
      <c r="F2650" s="30">
        <v>55.5</v>
      </c>
      <c r="G2650" s="30">
        <v>60.1</v>
      </c>
    </row>
    <row r="2651" spans="1:7" x14ac:dyDescent="0.25">
      <c r="A2651" s="29">
        <v>40257</v>
      </c>
      <c r="B2651" s="30">
        <v>54.9</v>
      </c>
      <c r="C2651" s="30">
        <v>62.1</v>
      </c>
      <c r="D2651" s="30"/>
      <c r="E2651" s="30"/>
      <c r="F2651" s="30">
        <v>59.7</v>
      </c>
      <c r="G2651" s="30">
        <v>62.2</v>
      </c>
    </row>
    <row r="2652" spans="1:7" x14ac:dyDescent="0.25">
      <c r="A2652" s="29">
        <v>40258</v>
      </c>
      <c r="B2652" s="30">
        <v>51.7</v>
      </c>
      <c r="C2652" s="30">
        <v>54.5</v>
      </c>
      <c r="D2652" s="30"/>
      <c r="E2652" s="30"/>
      <c r="F2652" s="30">
        <v>55.6</v>
      </c>
      <c r="G2652" s="30">
        <v>58.4</v>
      </c>
    </row>
    <row r="2653" spans="1:7" x14ac:dyDescent="0.25">
      <c r="A2653" s="29">
        <v>40259</v>
      </c>
      <c r="B2653" s="30">
        <v>51.1</v>
      </c>
      <c r="C2653" s="30">
        <v>48.9</v>
      </c>
      <c r="D2653" s="30"/>
      <c r="E2653" s="30"/>
      <c r="F2653" s="30">
        <v>56.8</v>
      </c>
      <c r="G2653" s="30">
        <v>53.7</v>
      </c>
    </row>
    <row r="2654" spans="1:7" x14ac:dyDescent="0.25">
      <c r="A2654" s="29">
        <v>40260</v>
      </c>
      <c r="B2654" s="30">
        <v>49.4</v>
      </c>
      <c r="C2654" s="30">
        <v>51</v>
      </c>
      <c r="D2654" s="30"/>
      <c r="E2654" s="30"/>
      <c r="F2654" s="30">
        <v>49.6</v>
      </c>
      <c r="G2654" s="30">
        <v>51.2</v>
      </c>
    </row>
    <row r="2655" spans="1:7" x14ac:dyDescent="0.25">
      <c r="A2655" s="29">
        <v>40261</v>
      </c>
      <c r="B2655" s="30">
        <v>50.6</v>
      </c>
      <c r="C2655" s="30">
        <v>50.4</v>
      </c>
      <c r="D2655" s="30"/>
      <c r="E2655" s="30"/>
      <c r="F2655" s="30">
        <v>53</v>
      </c>
      <c r="G2655" s="30">
        <v>51.5</v>
      </c>
    </row>
    <row r="2656" spans="1:7" x14ac:dyDescent="0.25">
      <c r="A2656" s="29">
        <v>40262</v>
      </c>
      <c r="B2656" s="30">
        <v>49.4</v>
      </c>
      <c r="C2656" s="30">
        <v>54</v>
      </c>
      <c r="D2656" s="30"/>
      <c r="E2656" s="30"/>
      <c r="F2656" s="30">
        <v>51.4</v>
      </c>
      <c r="G2656" s="30">
        <v>53.6</v>
      </c>
    </row>
    <row r="2657" spans="1:7" x14ac:dyDescent="0.25">
      <c r="A2657" s="29">
        <v>40263</v>
      </c>
      <c r="B2657" s="30">
        <v>45.7</v>
      </c>
      <c r="C2657" s="30">
        <v>46.2</v>
      </c>
      <c r="D2657" s="30"/>
      <c r="E2657" s="30"/>
      <c r="F2657" s="30">
        <v>50.4</v>
      </c>
      <c r="G2657" s="30">
        <v>48.5</v>
      </c>
    </row>
    <row r="2658" spans="1:7" x14ac:dyDescent="0.25">
      <c r="A2658" s="29">
        <v>40264</v>
      </c>
      <c r="B2658" s="30">
        <v>34.9</v>
      </c>
      <c r="C2658" s="30">
        <v>35.700000000000003</v>
      </c>
      <c r="D2658" s="30"/>
      <c r="E2658" s="30"/>
      <c r="F2658" s="30">
        <v>36.6</v>
      </c>
      <c r="G2658" s="30">
        <v>35.1</v>
      </c>
    </row>
    <row r="2659" spans="1:7" x14ac:dyDescent="0.25">
      <c r="A2659" s="29">
        <v>40265</v>
      </c>
      <c r="B2659" s="30">
        <v>40.1</v>
      </c>
      <c r="C2659" s="30">
        <v>41.1</v>
      </c>
      <c r="D2659" s="30"/>
      <c r="E2659" s="30"/>
      <c r="F2659" s="30">
        <v>43.2</v>
      </c>
      <c r="G2659" s="30">
        <v>39.6</v>
      </c>
    </row>
    <row r="2660" spans="1:7" x14ac:dyDescent="0.25">
      <c r="A2660" s="29">
        <v>40266</v>
      </c>
      <c r="B2660" s="30">
        <v>48.5</v>
      </c>
      <c r="C2660" s="30">
        <v>50.9</v>
      </c>
      <c r="D2660" s="30"/>
      <c r="E2660" s="30"/>
      <c r="F2660" s="30">
        <v>52.8</v>
      </c>
      <c r="G2660" s="30">
        <v>50.9</v>
      </c>
    </row>
    <row r="2661" spans="1:7" x14ac:dyDescent="0.25">
      <c r="A2661" s="29">
        <v>40267</v>
      </c>
      <c r="B2661" s="30">
        <v>46.8</v>
      </c>
      <c r="C2661" s="30">
        <v>46.8</v>
      </c>
      <c r="D2661" s="30"/>
      <c r="E2661" s="30"/>
      <c r="F2661" s="30">
        <v>48.1</v>
      </c>
      <c r="G2661" s="30">
        <v>46.8</v>
      </c>
    </row>
    <row r="2662" spans="1:7" x14ac:dyDescent="0.25">
      <c r="A2662" s="29">
        <v>40268</v>
      </c>
      <c r="B2662" s="30">
        <v>49</v>
      </c>
      <c r="C2662" s="30">
        <v>49.9</v>
      </c>
      <c r="D2662" s="30"/>
      <c r="E2662" s="30"/>
      <c r="F2662" s="30">
        <v>49</v>
      </c>
      <c r="G2662" s="30">
        <v>50.8</v>
      </c>
    </row>
    <row r="2663" spans="1:7" x14ac:dyDescent="0.25">
      <c r="A2663" s="29">
        <v>40269</v>
      </c>
      <c r="B2663" s="30">
        <v>53</v>
      </c>
      <c r="C2663" s="30">
        <v>55.1</v>
      </c>
      <c r="D2663" s="30"/>
      <c r="E2663" s="30"/>
      <c r="F2663" s="30">
        <v>52.1</v>
      </c>
      <c r="G2663" s="30">
        <v>55.1</v>
      </c>
    </row>
    <row r="2664" spans="1:7" x14ac:dyDescent="0.25">
      <c r="A2664" s="29">
        <v>40270</v>
      </c>
      <c r="B2664" s="30">
        <v>50.3</v>
      </c>
      <c r="C2664" s="30">
        <v>55</v>
      </c>
      <c r="D2664" s="30"/>
      <c r="E2664" s="30"/>
      <c r="F2664" s="30">
        <v>52.1</v>
      </c>
      <c r="G2664" s="30">
        <v>55.3</v>
      </c>
    </row>
    <row r="2665" spans="1:7" x14ac:dyDescent="0.25">
      <c r="A2665" s="29">
        <v>40271</v>
      </c>
      <c r="B2665" s="30">
        <v>47.5</v>
      </c>
      <c r="C2665" s="30">
        <v>53.4</v>
      </c>
      <c r="D2665" s="30"/>
      <c r="E2665" s="30"/>
      <c r="F2665" s="30">
        <v>49</v>
      </c>
      <c r="G2665" s="30">
        <v>52.8</v>
      </c>
    </row>
    <row r="2666" spans="1:7" x14ac:dyDescent="0.25">
      <c r="A2666" s="29">
        <v>40272</v>
      </c>
      <c r="B2666" s="30">
        <v>54.4</v>
      </c>
      <c r="C2666" s="30">
        <v>57.2</v>
      </c>
      <c r="D2666" s="30"/>
      <c r="E2666" s="30"/>
      <c r="F2666" s="30">
        <v>58.5</v>
      </c>
      <c r="G2666" s="30">
        <v>58.1</v>
      </c>
    </row>
    <row r="2667" spans="1:7" x14ac:dyDescent="0.25">
      <c r="A2667" s="29">
        <v>40273</v>
      </c>
      <c r="B2667" s="30">
        <v>58.5</v>
      </c>
      <c r="C2667" s="30">
        <v>63.1</v>
      </c>
      <c r="D2667" s="30"/>
      <c r="E2667" s="30"/>
      <c r="F2667" s="30">
        <v>59.8</v>
      </c>
      <c r="G2667" s="30">
        <v>67.2</v>
      </c>
    </row>
    <row r="2668" spans="1:7" x14ac:dyDescent="0.25">
      <c r="A2668" s="29">
        <v>40274</v>
      </c>
      <c r="B2668" s="30">
        <v>58.3</v>
      </c>
      <c r="C2668" s="30">
        <v>62.4</v>
      </c>
      <c r="D2668" s="30"/>
      <c r="E2668" s="30"/>
      <c r="F2668" s="30">
        <v>68</v>
      </c>
      <c r="G2668" s="30">
        <v>68.3</v>
      </c>
    </row>
    <row r="2669" spans="1:7" x14ac:dyDescent="0.25">
      <c r="A2669" s="29">
        <v>40275</v>
      </c>
      <c r="B2669" s="30">
        <v>66.7</v>
      </c>
      <c r="C2669" s="30">
        <v>68.8</v>
      </c>
      <c r="D2669" s="30"/>
      <c r="E2669" s="30"/>
      <c r="F2669" s="30">
        <v>75.5</v>
      </c>
      <c r="G2669" s="30">
        <v>73.3</v>
      </c>
    </row>
    <row r="2670" spans="1:7" x14ac:dyDescent="0.25">
      <c r="A2670" s="29">
        <v>40276</v>
      </c>
      <c r="B2670" s="30">
        <v>61.8</v>
      </c>
      <c r="C2670" s="30">
        <v>71.8</v>
      </c>
      <c r="D2670" s="30"/>
      <c r="E2670" s="30"/>
      <c r="F2670" s="30">
        <v>69.900000000000006</v>
      </c>
      <c r="G2670" s="30">
        <v>74.5</v>
      </c>
    </row>
    <row r="2671" spans="1:7" x14ac:dyDescent="0.25">
      <c r="A2671" s="29">
        <v>40277</v>
      </c>
      <c r="B2671" s="30">
        <v>56.1</v>
      </c>
      <c r="C2671" s="30">
        <v>58.9</v>
      </c>
      <c r="D2671" s="30"/>
      <c r="E2671" s="30"/>
      <c r="F2671" s="30">
        <v>57.6</v>
      </c>
      <c r="G2671" s="30">
        <v>61.3</v>
      </c>
    </row>
    <row r="2672" spans="1:7" x14ac:dyDescent="0.25">
      <c r="A2672" s="29">
        <v>40278</v>
      </c>
      <c r="B2672" s="30">
        <v>50.1</v>
      </c>
      <c r="C2672" s="30">
        <v>50.6</v>
      </c>
      <c r="D2672" s="30"/>
      <c r="E2672" s="30"/>
      <c r="F2672" s="30">
        <v>50</v>
      </c>
      <c r="G2672" s="30">
        <v>51.2</v>
      </c>
    </row>
    <row r="2673" spans="1:7" x14ac:dyDescent="0.25">
      <c r="A2673" s="29">
        <v>40279</v>
      </c>
      <c r="B2673" s="30">
        <v>57.7</v>
      </c>
      <c r="C2673" s="30">
        <v>62.7</v>
      </c>
      <c r="D2673" s="30"/>
      <c r="E2673" s="30"/>
      <c r="F2673" s="30">
        <v>58.9</v>
      </c>
      <c r="G2673" s="30">
        <v>60.9</v>
      </c>
    </row>
    <row r="2674" spans="1:7" x14ac:dyDescent="0.25">
      <c r="A2674" s="29">
        <v>40280</v>
      </c>
      <c r="B2674" s="30">
        <v>60.3</v>
      </c>
      <c r="C2674" s="30">
        <v>59.6</v>
      </c>
      <c r="D2674" s="30"/>
      <c r="E2674" s="30"/>
      <c r="F2674" s="30">
        <v>59.8</v>
      </c>
      <c r="G2674" s="30">
        <v>61</v>
      </c>
    </row>
    <row r="2675" spans="1:7" x14ac:dyDescent="0.25">
      <c r="A2675" s="29">
        <v>40281</v>
      </c>
      <c r="B2675" s="30">
        <v>53.5</v>
      </c>
      <c r="C2675" s="30">
        <v>54.6</v>
      </c>
      <c r="D2675" s="30"/>
      <c r="E2675" s="30"/>
      <c r="F2675" s="30">
        <v>47.8</v>
      </c>
      <c r="G2675" s="30">
        <v>54.2</v>
      </c>
    </row>
    <row r="2676" spans="1:7" x14ac:dyDescent="0.25">
      <c r="A2676" s="29">
        <v>40282</v>
      </c>
      <c r="B2676" s="30">
        <v>51.8</v>
      </c>
      <c r="C2676" s="30">
        <v>54.9</v>
      </c>
      <c r="D2676" s="30"/>
      <c r="E2676" s="30"/>
      <c r="F2676" s="30">
        <v>49.2</v>
      </c>
      <c r="G2676" s="30">
        <v>53.1</v>
      </c>
    </row>
    <row r="2677" spans="1:7" x14ac:dyDescent="0.25">
      <c r="A2677" s="29">
        <v>40283</v>
      </c>
      <c r="B2677" s="30">
        <v>59.9</v>
      </c>
      <c r="C2677" s="30">
        <v>61.2</v>
      </c>
      <c r="D2677" s="30"/>
      <c r="E2677" s="30"/>
      <c r="F2677" s="30">
        <v>58</v>
      </c>
      <c r="G2677" s="30">
        <v>60.8</v>
      </c>
    </row>
    <row r="2678" spans="1:7" x14ac:dyDescent="0.25">
      <c r="A2678" s="29">
        <v>40284</v>
      </c>
      <c r="B2678" s="30">
        <v>50.3</v>
      </c>
      <c r="C2678" s="30">
        <v>52.8</v>
      </c>
      <c r="D2678" s="30"/>
      <c r="E2678" s="30"/>
      <c r="F2678" s="30">
        <v>58.9</v>
      </c>
      <c r="G2678" s="30">
        <v>53.2</v>
      </c>
    </row>
    <row r="2679" spans="1:7" x14ac:dyDescent="0.25">
      <c r="A2679" s="29">
        <v>40285</v>
      </c>
      <c r="B2679" s="30">
        <v>48.9</v>
      </c>
      <c r="C2679" s="30">
        <v>49</v>
      </c>
      <c r="D2679" s="30"/>
      <c r="E2679" s="30"/>
      <c r="F2679" s="30">
        <v>55.9</v>
      </c>
      <c r="G2679" s="30">
        <v>50.2</v>
      </c>
    </row>
    <row r="2680" spans="1:7" x14ac:dyDescent="0.25">
      <c r="A2680" s="29">
        <v>40286</v>
      </c>
      <c r="B2680" s="30">
        <v>49.7</v>
      </c>
      <c r="C2680" s="30">
        <v>49.4</v>
      </c>
      <c r="D2680" s="30"/>
      <c r="E2680" s="30"/>
      <c r="F2680" s="30">
        <v>47.8</v>
      </c>
      <c r="G2680" s="30">
        <v>49.6</v>
      </c>
    </row>
    <row r="2681" spans="1:7" x14ac:dyDescent="0.25">
      <c r="A2681" s="29">
        <v>40287</v>
      </c>
      <c r="B2681" s="30">
        <v>54.2</v>
      </c>
      <c r="C2681" s="30">
        <v>54.1</v>
      </c>
      <c r="D2681" s="30"/>
      <c r="E2681" s="30"/>
      <c r="F2681" s="30">
        <v>53.6</v>
      </c>
      <c r="G2681" s="30">
        <v>53.9</v>
      </c>
    </row>
    <row r="2682" spans="1:7" x14ac:dyDescent="0.25">
      <c r="A2682" s="29">
        <v>40288</v>
      </c>
      <c r="B2682" s="30">
        <v>56.6</v>
      </c>
      <c r="C2682" s="30">
        <v>58.8</v>
      </c>
      <c r="D2682" s="30"/>
      <c r="E2682" s="30"/>
      <c r="F2682" s="30">
        <v>53.8</v>
      </c>
      <c r="G2682" s="30">
        <v>59</v>
      </c>
    </row>
    <row r="2683" spans="1:7" x14ac:dyDescent="0.25">
      <c r="A2683" s="29">
        <v>40289</v>
      </c>
      <c r="B2683" s="30">
        <v>54.4</v>
      </c>
      <c r="C2683" s="30">
        <v>61</v>
      </c>
      <c r="D2683" s="30"/>
      <c r="E2683" s="30"/>
      <c r="F2683" s="30">
        <v>55.5</v>
      </c>
      <c r="G2683" s="30">
        <v>58.3</v>
      </c>
    </row>
    <row r="2684" spans="1:7" x14ac:dyDescent="0.25">
      <c r="A2684" s="29">
        <v>40290</v>
      </c>
      <c r="B2684" s="30">
        <v>55.6</v>
      </c>
      <c r="C2684" s="30">
        <v>59.6</v>
      </c>
      <c r="D2684" s="30"/>
      <c r="E2684" s="30"/>
      <c r="F2684" s="30">
        <v>59</v>
      </c>
      <c r="G2684" s="30">
        <v>58.8</v>
      </c>
    </row>
    <row r="2685" spans="1:7" x14ac:dyDescent="0.25">
      <c r="A2685" s="29">
        <v>40291</v>
      </c>
      <c r="B2685" s="30">
        <v>56.4</v>
      </c>
      <c r="C2685" s="30">
        <v>57</v>
      </c>
      <c r="D2685" s="30"/>
      <c r="E2685" s="30"/>
      <c r="F2685" s="30">
        <v>56.5</v>
      </c>
      <c r="G2685" s="30">
        <v>57.8</v>
      </c>
    </row>
    <row r="2686" spans="1:7" x14ac:dyDescent="0.25">
      <c r="A2686" s="29">
        <v>40292</v>
      </c>
      <c r="B2686" s="30">
        <v>57.3</v>
      </c>
      <c r="C2686" s="30">
        <v>58.8</v>
      </c>
      <c r="D2686" s="30"/>
      <c r="E2686" s="30"/>
      <c r="F2686" s="30">
        <v>53.9</v>
      </c>
      <c r="G2686" s="30">
        <v>58</v>
      </c>
    </row>
    <row r="2687" spans="1:7" x14ac:dyDescent="0.25">
      <c r="A2687" s="29">
        <v>40293</v>
      </c>
      <c r="B2687" s="30">
        <v>49.9</v>
      </c>
      <c r="C2687" s="30">
        <v>51.3</v>
      </c>
      <c r="D2687" s="30"/>
      <c r="E2687" s="30"/>
      <c r="F2687" s="30">
        <v>53.1</v>
      </c>
      <c r="G2687" s="30">
        <v>50.7</v>
      </c>
    </row>
    <row r="2688" spans="1:7" x14ac:dyDescent="0.25">
      <c r="A2688" s="29">
        <v>40294</v>
      </c>
      <c r="B2688" s="30">
        <v>50.8</v>
      </c>
      <c r="C2688" s="30">
        <v>50.9</v>
      </c>
      <c r="D2688" s="30"/>
      <c r="E2688" s="30"/>
      <c r="F2688" s="30">
        <v>53.2</v>
      </c>
      <c r="G2688" s="30">
        <v>51.2</v>
      </c>
    </row>
    <row r="2689" spans="1:7" x14ac:dyDescent="0.25">
      <c r="A2689" s="29">
        <v>40295</v>
      </c>
      <c r="B2689" s="30">
        <v>51.7</v>
      </c>
      <c r="C2689" s="30">
        <v>52</v>
      </c>
      <c r="D2689" s="30"/>
      <c r="E2689" s="30"/>
      <c r="F2689" s="30">
        <v>54.5</v>
      </c>
      <c r="G2689" s="30">
        <v>52.4</v>
      </c>
    </row>
    <row r="2690" spans="1:7" x14ac:dyDescent="0.25">
      <c r="A2690" s="29">
        <v>40296</v>
      </c>
      <c r="B2690" s="30">
        <v>47.9</v>
      </c>
      <c r="C2690" s="30">
        <v>48.5</v>
      </c>
      <c r="D2690" s="30"/>
      <c r="E2690" s="30"/>
      <c r="F2690" s="30">
        <v>47.4</v>
      </c>
      <c r="G2690" s="30">
        <v>47.9</v>
      </c>
    </row>
    <row r="2691" spans="1:7" x14ac:dyDescent="0.25">
      <c r="A2691" s="29">
        <v>40297</v>
      </c>
      <c r="B2691" s="30">
        <v>57.2</v>
      </c>
      <c r="C2691" s="30">
        <v>57.5</v>
      </c>
      <c r="D2691" s="30"/>
      <c r="E2691" s="30"/>
      <c r="F2691" s="30">
        <v>55.7</v>
      </c>
      <c r="G2691" s="30">
        <v>56.9</v>
      </c>
    </row>
    <row r="2692" spans="1:7" x14ac:dyDescent="0.25">
      <c r="A2692" s="29">
        <v>40298</v>
      </c>
      <c r="B2692" s="30">
        <v>61.7</v>
      </c>
      <c r="C2692" s="30">
        <v>66.099999999999994</v>
      </c>
      <c r="D2692" s="30"/>
      <c r="E2692" s="30"/>
      <c r="F2692" s="30">
        <v>64.599999999999994</v>
      </c>
      <c r="G2692" s="30">
        <v>66.599999999999994</v>
      </c>
    </row>
    <row r="2693" spans="1:7" x14ac:dyDescent="0.25">
      <c r="A2693" s="29">
        <v>40299</v>
      </c>
      <c r="B2693" s="30">
        <v>64.8</v>
      </c>
      <c r="C2693" s="30">
        <v>69</v>
      </c>
      <c r="D2693" s="30"/>
      <c r="E2693" s="30"/>
      <c r="F2693" s="30">
        <v>73</v>
      </c>
      <c r="G2693" s="30">
        <v>72.400000000000006</v>
      </c>
    </row>
    <row r="2694" spans="1:7" x14ac:dyDescent="0.25">
      <c r="A2694" s="29">
        <v>40300</v>
      </c>
      <c r="B2694" s="30">
        <v>64.3</v>
      </c>
      <c r="C2694" s="30">
        <v>75</v>
      </c>
      <c r="D2694" s="30"/>
      <c r="E2694" s="30"/>
      <c r="F2694" s="30">
        <v>74.099999999999994</v>
      </c>
      <c r="G2694" s="30">
        <v>76.400000000000006</v>
      </c>
    </row>
    <row r="2695" spans="1:7" x14ac:dyDescent="0.25">
      <c r="A2695" s="29">
        <v>40301</v>
      </c>
      <c r="B2695" s="30">
        <v>67.2</v>
      </c>
      <c r="C2695" s="30">
        <v>75.599999999999994</v>
      </c>
      <c r="D2695" s="30"/>
      <c r="E2695" s="30"/>
      <c r="F2695" s="30">
        <v>75.599999999999994</v>
      </c>
      <c r="G2695" s="30">
        <v>76.3</v>
      </c>
    </row>
    <row r="2696" spans="1:7" x14ac:dyDescent="0.25">
      <c r="A2696" s="29">
        <v>40302</v>
      </c>
      <c r="B2696" s="30">
        <v>70</v>
      </c>
      <c r="C2696" s="30">
        <v>73.2</v>
      </c>
      <c r="D2696" s="30"/>
      <c r="E2696" s="30"/>
      <c r="F2696" s="30">
        <v>75.2</v>
      </c>
      <c r="G2696" s="30">
        <v>72.599999999999994</v>
      </c>
    </row>
    <row r="2697" spans="1:7" x14ac:dyDescent="0.25">
      <c r="A2697" s="29">
        <v>40303</v>
      </c>
      <c r="B2697" s="30">
        <v>64.8</v>
      </c>
      <c r="C2697" s="30">
        <v>69.7</v>
      </c>
      <c r="D2697" s="30"/>
      <c r="E2697" s="30"/>
      <c r="F2697" s="30">
        <v>66.5</v>
      </c>
      <c r="G2697" s="30">
        <v>68.099999999999994</v>
      </c>
    </row>
    <row r="2698" spans="1:7" x14ac:dyDescent="0.25">
      <c r="A2698" s="29">
        <v>40304</v>
      </c>
      <c r="B2698" s="30">
        <v>65</v>
      </c>
      <c r="C2698" s="30">
        <v>68.599999999999994</v>
      </c>
      <c r="D2698" s="30"/>
      <c r="E2698" s="30"/>
      <c r="F2698" s="30">
        <v>70.400000000000006</v>
      </c>
      <c r="G2698" s="30">
        <v>69.8</v>
      </c>
    </row>
    <row r="2699" spans="1:7" x14ac:dyDescent="0.25">
      <c r="A2699" s="29">
        <v>40305</v>
      </c>
      <c r="B2699" s="30">
        <v>62.1</v>
      </c>
      <c r="C2699" s="30">
        <v>63.1</v>
      </c>
      <c r="D2699" s="30"/>
      <c r="E2699" s="30"/>
      <c r="F2699" s="30">
        <v>62.3</v>
      </c>
      <c r="G2699" s="30">
        <v>63.9</v>
      </c>
    </row>
    <row r="2700" spans="1:7" x14ac:dyDescent="0.25">
      <c r="A2700" s="29">
        <v>40306</v>
      </c>
      <c r="B2700" s="30">
        <v>62.6</v>
      </c>
      <c r="C2700" s="30">
        <v>63.8</v>
      </c>
      <c r="D2700" s="30"/>
      <c r="E2700" s="30"/>
      <c r="F2700" s="30">
        <v>68.7</v>
      </c>
      <c r="G2700" s="30">
        <v>65.099999999999994</v>
      </c>
    </row>
    <row r="2701" spans="1:7" x14ac:dyDescent="0.25">
      <c r="A2701" s="29">
        <v>40307</v>
      </c>
      <c r="B2701" s="30">
        <v>51.6</v>
      </c>
      <c r="C2701" s="30">
        <v>51.5</v>
      </c>
      <c r="D2701" s="30"/>
      <c r="E2701" s="30"/>
      <c r="F2701" s="30">
        <v>55</v>
      </c>
      <c r="G2701" s="30">
        <v>52.1</v>
      </c>
    </row>
    <row r="2702" spans="1:7" x14ac:dyDescent="0.25">
      <c r="A2702" s="29">
        <v>40308</v>
      </c>
      <c r="B2702" s="30">
        <v>50.9</v>
      </c>
      <c r="C2702" s="30">
        <v>50.6</v>
      </c>
      <c r="D2702" s="30"/>
      <c r="E2702" s="30"/>
      <c r="F2702" s="30">
        <v>50.8</v>
      </c>
      <c r="G2702" s="30">
        <v>50.8</v>
      </c>
    </row>
    <row r="2703" spans="1:7" x14ac:dyDescent="0.25">
      <c r="A2703" s="29">
        <v>40309</v>
      </c>
      <c r="B2703" s="30">
        <v>50.9</v>
      </c>
      <c r="C2703" s="30">
        <v>52.5</v>
      </c>
      <c r="D2703" s="30"/>
      <c r="E2703" s="30"/>
      <c r="F2703" s="30">
        <v>48.7</v>
      </c>
      <c r="G2703" s="30">
        <v>51.6</v>
      </c>
    </row>
    <row r="2704" spans="1:7" x14ac:dyDescent="0.25">
      <c r="A2704" s="29">
        <v>40310</v>
      </c>
      <c r="B2704" s="30">
        <v>47.7</v>
      </c>
      <c r="C2704" s="30">
        <v>48.4</v>
      </c>
      <c r="D2704" s="30"/>
      <c r="E2704" s="30"/>
      <c r="F2704" s="30">
        <v>52.4</v>
      </c>
      <c r="G2704" s="30">
        <v>48.4</v>
      </c>
    </row>
    <row r="2705" spans="1:7" x14ac:dyDescent="0.25">
      <c r="A2705" s="29">
        <v>40311</v>
      </c>
      <c r="B2705" s="30">
        <v>52.2</v>
      </c>
      <c r="C2705" s="30">
        <v>54.7</v>
      </c>
      <c r="D2705" s="30"/>
      <c r="E2705" s="30"/>
      <c r="F2705" s="30">
        <v>52.8</v>
      </c>
      <c r="G2705" s="30">
        <v>54</v>
      </c>
    </row>
    <row r="2706" spans="1:7" x14ac:dyDescent="0.25">
      <c r="A2706" s="29">
        <v>40312</v>
      </c>
      <c r="B2706" s="30">
        <v>60.3</v>
      </c>
      <c r="C2706" s="30">
        <v>65.400000000000006</v>
      </c>
      <c r="D2706" s="30"/>
      <c r="E2706" s="30"/>
      <c r="F2706" s="30">
        <v>65.099999999999994</v>
      </c>
      <c r="G2706" s="30">
        <v>65</v>
      </c>
    </row>
    <row r="2707" spans="1:7" x14ac:dyDescent="0.25">
      <c r="A2707" s="29">
        <v>40313</v>
      </c>
      <c r="B2707" s="30">
        <v>68.099999999999994</v>
      </c>
      <c r="C2707" s="30">
        <v>69.400000000000006</v>
      </c>
      <c r="D2707" s="30"/>
      <c r="E2707" s="30"/>
      <c r="F2707" s="30">
        <v>70.400000000000006</v>
      </c>
      <c r="G2707" s="30">
        <v>70</v>
      </c>
    </row>
    <row r="2708" spans="1:7" x14ac:dyDescent="0.25">
      <c r="A2708" s="29">
        <v>40314</v>
      </c>
      <c r="B2708" s="30">
        <v>64.099999999999994</v>
      </c>
      <c r="C2708" s="30">
        <v>63.8</v>
      </c>
      <c r="D2708" s="30"/>
      <c r="E2708" s="30"/>
      <c r="F2708" s="30">
        <v>62.7</v>
      </c>
      <c r="G2708" s="30">
        <v>64.5</v>
      </c>
    </row>
    <row r="2709" spans="1:7" x14ac:dyDescent="0.25">
      <c r="A2709" s="29">
        <v>40315</v>
      </c>
      <c r="B2709" s="30">
        <v>63.5</v>
      </c>
      <c r="C2709" s="30">
        <v>66.3</v>
      </c>
      <c r="D2709" s="30"/>
      <c r="E2709" s="30"/>
      <c r="F2709" s="30">
        <v>58.3</v>
      </c>
      <c r="G2709" s="30">
        <v>66</v>
      </c>
    </row>
    <row r="2710" spans="1:7" x14ac:dyDescent="0.25">
      <c r="A2710" s="29">
        <v>40316</v>
      </c>
      <c r="B2710" s="30">
        <v>55.1</v>
      </c>
      <c r="C2710" s="30">
        <v>58.5</v>
      </c>
      <c r="D2710" s="30"/>
      <c r="E2710" s="30"/>
      <c r="F2710" s="30">
        <v>53.4</v>
      </c>
      <c r="G2710" s="30">
        <v>57.2</v>
      </c>
    </row>
    <row r="2711" spans="1:7" x14ac:dyDescent="0.25">
      <c r="A2711" s="29">
        <v>40317</v>
      </c>
      <c r="B2711" s="30">
        <v>56.2</v>
      </c>
      <c r="C2711" s="30">
        <v>56.5</v>
      </c>
      <c r="D2711" s="30"/>
      <c r="E2711" s="30"/>
      <c r="F2711" s="30">
        <v>56.8</v>
      </c>
      <c r="G2711" s="30">
        <v>56.9</v>
      </c>
    </row>
    <row r="2712" spans="1:7" x14ac:dyDescent="0.25">
      <c r="A2712" s="29">
        <v>40318</v>
      </c>
      <c r="B2712" s="30">
        <v>63.3</v>
      </c>
      <c r="C2712" s="30">
        <v>66.5</v>
      </c>
      <c r="D2712" s="30"/>
      <c r="E2712" s="30"/>
      <c r="F2712" s="30">
        <v>63.5</v>
      </c>
      <c r="G2712" s="30">
        <v>67</v>
      </c>
    </row>
    <row r="2713" spans="1:7" x14ac:dyDescent="0.25">
      <c r="A2713" s="29">
        <v>40319</v>
      </c>
      <c r="B2713" s="30">
        <v>68.7</v>
      </c>
      <c r="C2713" s="30">
        <v>73.8</v>
      </c>
      <c r="D2713" s="30"/>
      <c r="E2713" s="30"/>
      <c r="F2713" s="30">
        <v>69.400000000000006</v>
      </c>
      <c r="G2713" s="30">
        <v>73.2</v>
      </c>
    </row>
    <row r="2714" spans="1:7" x14ac:dyDescent="0.25">
      <c r="A2714" s="29">
        <v>40320</v>
      </c>
      <c r="B2714" s="30">
        <v>62.8</v>
      </c>
      <c r="C2714" s="30">
        <v>63.8</v>
      </c>
      <c r="D2714" s="30"/>
      <c r="E2714" s="30"/>
      <c r="F2714" s="30">
        <v>65.3</v>
      </c>
      <c r="G2714" s="30">
        <v>65.5</v>
      </c>
    </row>
    <row r="2715" spans="1:7" x14ac:dyDescent="0.25">
      <c r="A2715" s="29">
        <v>40321</v>
      </c>
      <c r="B2715" s="30">
        <v>66.3</v>
      </c>
      <c r="C2715" s="30">
        <v>61.7</v>
      </c>
      <c r="D2715" s="30"/>
      <c r="E2715" s="30"/>
      <c r="F2715" s="30">
        <v>63.3</v>
      </c>
      <c r="G2715" s="30">
        <v>66.2</v>
      </c>
    </row>
    <row r="2716" spans="1:7" x14ac:dyDescent="0.25">
      <c r="A2716" s="29">
        <v>40322</v>
      </c>
      <c r="B2716" s="30">
        <v>66.099999999999994</v>
      </c>
      <c r="C2716" s="30">
        <v>63.2</v>
      </c>
      <c r="D2716" s="30"/>
      <c r="E2716" s="30"/>
      <c r="F2716" s="30">
        <v>63.1</v>
      </c>
      <c r="G2716" s="30">
        <v>67</v>
      </c>
    </row>
    <row r="2717" spans="1:7" x14ac:dyDescent="0.25">
      <c r="A2717" s="29">
        <v>40323</v>
      </c>
      <c r="B2717" s="30">
        <v>66.099999999999994</v>
      </c>
      <c r="C2717" s="30">
        <v>70.5</v>
      </c>
      <c r="D2717" s="30"/>
      <c r="E2717" s="30"/>
      <c r="F2717" s="30">
        <v>66</v>
      </c>
      <c r="G2717" s="30">
        <v>69.900000000000006</v>
      </c>
    </row>
    <row r="2718" spans="1:7" x14ac:dyDescent="0.25">
      <c r="A2718" s="29">
        <v>40324</v>
      </c>
      <c r="B2718" s="30">
        <v>72.3</v>
      </c>
      <c r="C2718" s="30">
        <v>77.5</v>
      </c>
      <c r="D2718" s="30"/>
      <c r="E2718" s="30"/>
      <c r="F2718" s="30">
        <v>71.099999999999994</v>
      </c>
      <c r="G2718" s="30">
        <v>78.2</v>
      </c>
    </row>
    <row r="2719" spans="1:7" x14ac:dyDescent="0.25">
      <c r="A2719" s="29">
        <v>40325</v>
      </c>
      <c r="B2719" s="30">
        <v>73.8</v>
      </c>
      <c r="C2719" s="30">
        <v>74.900000000000006</v>
      </c>
      <c r="D2719" s="30"/>
      <c r="E2719" s="30"/>
      <c r="F2719" s="30">
        <v>71.599999999999994</v>
      </c>
      <c r="G2719" s="30">
        <v>76</v>
      </c>
    </row>
    <row r="2720" spans="1:7" x14ac:dyDescent="0.25">
      <c r="A2720" s="29">
        <v>40326</v>
      </c>
      <c r="B2720" s="30">
        <v>60.6</v>
      </c>
      <c r="C2720" s="30">
        <v>64</v>
      </c>
      <c r="D2720" s="30"/>
      <c r="E2720" s="30"/>
      <c r="F2720" s="30">
        <v>62.3</v>
      </c>
      <c r="G2720" s="30">
        <v>62.7</v>
      </c>
    </row>
    <row r="2721" spans="1:7" x14ac:dyDescent="0.25">
      <c r="A2721" s="29">
        <v>40327</v>
      </c>
      <c r="B2721" s="30">
        <v>63.8</v>
      </c>
      <c r="C2721" s="30">
        <v>67.7</v>
      </c>
      <c r="D2721" s="30"/>
      <c r="E2721" s="30"/>
      <c r="F2721" s="30">
        <v>67.2</v>
      </c>
      <c r="G2721" s="30">
        <v>68.400000000000006</v>
      </c>
    </row>
    <row r="2722" spans="1:7" x14ac:dyDescent="0.25">
      <c r="A2722" s="29">
        <v>40328</v>
      </c>
      <c r="B2722" s="30">
        <v>74.7</v>
      </c>
      <c r="C2722" s="30">
        <v>75.8</v>
      </c>
      <c r="D2722" s="30"/>
      <c r="E2722" s="30"/>
      <c r="F2722" s="30">
        <v>74.599999999999994</v>
      </c>
      <c r="G2722" s="30">
        <v>77.2</v>
      </c>
    </row>
    <row r="2723" spans="1:7" x14ac:dyDescent="0.25">
      <c r="A2723" s="29">
        <v>40329</v>
      </c>
      <c r="B2723" s="30">
        <v>74.8</v>
      </c>
      <c r="C2723" s="30">
        <v>78.599999999999994</v>
      </c>
      <c r="D2723" s="30"/>
      <c r="E2723" s="30"/>
      <c r="F2723" s="30">
        <v>77.400000000000006</v>
      </c>
      <c r="G2723" s="30">
        <v>77.5</v>
      </c>
    </row>
    <row r="2724" spans="1:7" x14ac:dyDescent="0.25">
      <c r="A2724" s="29">
        <v>40330</v>
      </c>
      <c r="B2724" s="30">
        <v>72.5</v>
      </c>
      <c r="C2724" s="30">
        <v>75.7</v>
      </c>
      <c r="D2724" s="30"/>
      <c r="E2724" s="30"/>
      <c r="F2724" s="30">
        <v>77.7</v>
      </c>
      <c r="G2724" s="30">
        <v>75.900000000000006</v>
      </c>
    </row>
    <row r="2725" spans="1:7" x14ac:dyDescent="0.25">
      <c r="A2725" s="29">
        <v>40331</v>
      </c>
      <c r="B2725" s="30">
        <v>74.099999999999994</v>
      </c>
      <c r="C2725" s="30">
        <v>77.400000000000006</v>
      </c>
      <c r="D2725" s="30"/>
      <c r="E2725" s="30"/>
      <c r="F2725" s="30">
        <v>75.2</v>
      </c>
      <c r="G2725" s="30">
        <v>76.3</v>
      </c>
    </row>
    <row r="2726" spans="1:7" x14ac:dyDescent="0.25">
      <c r="A2726" s="29">
        <v>40332</v>
      </c>
      <c r="B2726" s="30">
        <v>71.099999999999994</v>
      </c>
      <c r="C2726" s="30">
        <v>76.099999999999994</v>
      </c>
      <c r="D2726" s="30"/>
      <c r="E2726" s="30"/>
      <c r="F2726" s="30">
        <v>76.400000000000006</v>
      </c>
      <c r="G2726" s="30">
        <v>78.2</v>
      </c>
    </row>
    <row r="2727" spans="1:7" x14ac:dyDescent="0.25">
      <c r="A2727" s="29">
        <v>40333</v>
      </c>
      <c r="B2727" s="30">
        <v>79.8</v>
      </c>
      <c r="C2727" s="30">
        <v>81.099999999999994</v>
      </c>
      <c r="D2727" s="30"/>
      <c r="E2727" s="30"/>
      <c r="F2727" s="30">
        <v>79.2</v>
      </c>
      <c r="G2727" s="30">
        <v>81.900000000000006</v>
      </c>
    </row>
    <row r="2728" spans="1:7" x14ac:dyDescent="0.25">
      <c r="A2728" s="29">
        <v>40334</v>
      </c>
      <c r="B2728" s="30">
        <v>78.5</v>
      </c>
      <c r="C2728" s="30">
        <v>83.3</v>
      </c>
      <c r="D2728" s="30"/>
      <c r="E2728" s="30"/>
      <c r="F2728" s="30">
        <v>80.2</v>
      </c>
      <c r="G2728" s="30">
        <v>83</v>
      </c>
    </row>
    <row r="2729" spans="1:7" x14ac:dyDescent="0.25">
      <c r="A2729" s="29">
        <v>40335</v>
      </c>
      <c r="B2729" s="30">
        <v>79.5</v>
      </c>
      <c r="C2729" s="30">
        <v>84</v>
      </c>
      <c r="D2729" s="30"/>
      <c r="E2729" s="30"/>
      <c r="F2729" s="30">
        <v>82.9</v>
      </c>
      <c r="G2729" s="30">
        <v>83</v>
      </c>
    </row>
    <row r="2730" spans="1:7" x14ac:dyDescent="0.25">
      <c r="A2730" s="29">
        <v>40336</v>
      </c>
      <c r="B2730" s="30">
        <v>67.900000000000006</v>
      </c>
      <c r="C2730" s="30">
        <v>67.2</v>
      </c>
      <c r="D2730" s="30"/>
      <c r="E2730" s="30"/>
      <c r="F2730" s="30">
        <v>68.099999999999994</v>
      </c>
      <c r="G2730" s="30">
        <v>67.400000000000006</v>
      </c>
    </row>
    <row r="2731" spans="1:7" x14ac:dyDescent="0.25">
      <c r="A2731" s="29">
        <v>40337</v>
      </c>
      <c r="B2731" s="30">
        <v>68.5</v>
      </c>
      <c r="C2731" s="30">
        <v>68</v>
      </c>
      <c r="D2731" s="30"/>
      <c r="E2731" s="30"/>
      <c r="F2731" s="30">
        <v>67.5</v>
      </c>
      <c r="G2731" s="30">
        <v>68.3</v>
      </c>
    </row>
    <row r="2732" spans="1:7" x14ac:dyDescent="0.25">
      <c r="A2732" s="29">
        <v>40338</v>
      </c>
      <c r="B2732" s="30">
        <v>62.3</v>
      </c>
      <c r="C2732" s="30">
        <v>64.900000000000006</v>
      </c>
      <c r="D2732" s="30"/>
      <c r="E2732" s="30"/>
      <c r="F2732" s="30">
        <v>62.4</v>
      </c>
      <c r="G2732" s="30">
        <v>63.5</v>
      </c>
    </row>
    <row r="2733" spans="1:7" x14ac:dyDescent="0.25">
      <c r="A2733" s="29">
        <v>40339</v>
      </c>
      <c r="B2733" s="30">
        <v>63.7</v>
      </c>
      <c r="C2733" s="30">
        <v>64.8</v>
      </c>
      <c r="D2733" s="30"/>
      <c r="E2733" s="30"/>
      <c r="F2733" s="30">
        <v>69.900000000000006</v>
      </c>
      <c r="G2733" s="30">
        <v>64.900000000000006</v>
      </c>
    </row>
    <row r="2734" spans="1:7" x14ac:dyDescent="0.25">
      <c r="A2734" s="29">
        <v>40340</v>
      </c>
      <c r="B2734" s="30">
        <v>64.400000000000006</v>
      </c>
      <c r="C2734" s="30">
        <v>66.8</v>
      </c>
      <c r="D2734" s="30"/>
      <c r="E2734" s="30"/>
      <c r="F2734" s="30">
        <v>68.3</v>
      </c>
      <c r="G2734" s="30">
        <v>67.099999999999994</v>
      </c>
    </row>
    <row r="2735" spans="1:7" x14ac:dyDescent="0.25">
      <c r="A2735" s="29">
        <v>40341</v>
      </c>
      <c r="B2735" s="30">
        <v>65.8</v>
      </c>
      <c r="C2735" s="30">
        <v>68.400000000000006</v>
      </c>
      <c r="D2735" s="30"/>
      <c r="E2735" s="30"/>
      <c r="F2735" s="30">
        <v>69.400000000000006</v>
      </c>
      <c r="G2735" s="30">
        <v>69.599999999999994</v>
      </c>
    </row>
    <row r="2736" spans="1:7" x14ac:dyDescent="0.25">
      <c r="A2736" s="29">
        <v>40342</v>
      </c>
      <c r="B2736" s="30">
        <v>70.3</v>
      </c>
      <c r="C2736" s="30">
        <v>69.400000000000006</v>
      </c>
      <c r="D2736" s="30"/>
      <c r="E2736" s="30"/>
      <c r="F2736" s="30">
        <v>76.5</v>
      </c>
      <c r="G2736" s="30">
        <v>74.099999999999994</v>
      </c>
    </row>
    <row r="2737" spans="1:7" x14ac:dyDescent="0.25">
      <c r="A2737" s="29">
        <v>40343</v>
      </c>
      <c r="B2737" s="30">
        <v>68.2</v>
      </c>
      <c r="C2737" s="30">
        <v>69.599999999999994</v>
      </c>
      <c r="D2737" s="30"/>
      <c r="E2737" s="30"/>
      <c r="F2737" s="30">
        <v>71.5</v>
      </c>
      <c r="G2737" s="30">
        <v>71.5</v>
      </c>
    </row>
    <row r="2738" spans="1:7" x14ac:dyDescent="0.25">
      <c r="A2738" s="29">
        <v>40344</v>
      </c>
      <c r="B2738" s="30">
        <v>70.5</v>
      </c>
      <c r="C2738" s="30">
        <v>72.5</v>
      </c>
      <c r="D2738" s="30"/>
      <c r="E2738" s="30"/>
      <c r="F2738" s="30">
        <v>71.7</v>
      </c>
      <c r="G2738" s="30">
        <v>73.7</v>
      </c>
    </row>
    <row r="2739" spans="1:7" x14ac:dyDescent="0.25">
      <c r="A2739" s="29">
        <v>40345</v>
      </c>
      <c r="B2739" s="30">
        <v>66.7</v>
      </c>
      <c r="C2739" s="30">
        <v>70.5</v>
      </c>
      <c r="D2739" s="30"/>
      <c r="E2739" s="30"/>
      <c r="F2739" s="30">
        <v>68.599999999999994</v>
      </c>
      <c r="G2739" s="30">
        <v>69.599999999999994</v>
      </c>
    </row>
    <row r="2740" spans="1:7" x14ac:dyDescent="0.25">
      <c r="A2740" s="29">
        <v>40346</v>
      </c>
      <c r="B2740" s="30">
        <v>72.400000000000006</v>
      </c>
      <c r="C2740" s="30">
        <v>72.599999999999994</v>
      </c>
      <c r="D2740" s="30"/>
      <c r="E2740" s="30"/>
      <c r="F2740" s="30">
        <v>77.400000000000006</v>
      </c>
      <c r="G2740" s="30">
        <v>73.7</v>
      </c>
    </row>
    <row r="2741" spans="1:7" x14ac:dyDescent="0.25">
      <c r="A2741" s="29">
        <v>40347</v>
      </c>
      <c r="B2741" s="30">
        <v>72.7</v>
      </c>
      <c r="C2741" s="30">
        <v>73.7</v>
      </c>
      <c r="D2741" s="30"/>
      <c r="E2741" s="30"/>
      <c r="F2741" s="30">
        <v>70</v>
      </c>
      <c r="G2741" s="30">
        <v>72.8</v>
      </c>
    </row>
    <row r="2742" spans="1:7" x14ac:dyDescent="0.25">
      <c r="A2742" s="29">
        <v>40348</v>
      </c>
      <c r="B2742" s="30">
        <v>69.7</v>
      </c>
      <c r="C2742" s="30">
        <v>74.400000000000006</v>
      </c>
      <c r="D2742" s="30"/>
      <c r="E2742" s="30"/>
      <c r="F2742" s="30">
        <v>70.5</v>
      </c>
      <c r="G2742" s="30">
        <v>73</v>
      </c>
    </row>
    <row r="2743" spans="1:7" x14ac:dyDescent="0.25">
      <c r="A2743" s="29">
        <v>40349</v>
      </c>
      <c r="B2743" s="30">
        <v>74.7</v>
      </c>
      <c r="C2743" s="30">
        <v>79</v>
      </c>
      <c r="D2743" s="30"/>
      <c r="E2743" s="30"/>
      <c r="F2743" s="30">
        <v>80.7</v>
      </c>
      <c r="G2743" s="30">
        <v>79.8</v>
      </c>
    </row>
    <row r="2744" spans="1:7" x14ac:dyDescent="0.25">
      <c r="A2744" s="29">
        <v>40350</v>
      </c>
      <c r="B2744" s="30">
        <v>83.8</v>
      </c>
      <c r="C2744" s="30">
        <v>81.400000000000006</v>
      </c>
      <c r="D2744" s="30"/>
      <c r="E2744" s="30"/>
      <c r="F2744" s="30">
        <v>81.900000000000006</v>
      </c>
      <c r="G2744" s="30">
        <v>82.9</v>
      </c>
    </row>
    <row r="2745" spans="1:7" x14ac:dyDescent="0.25">
      <c r="A2745" s="29">
        <v>40351</v>
      </c>
      <c r="B2745" s="30">
        <v>77.099999999999994</v>
      </c>
      <c r="C2745" s="30">
        <v>77.5</v>
      </c>
      <c r="D2745" s="30"/>
      <c r="E2745" s="30"/>
      <c r="F2745" s="30">
        <v>79.099999999999994</v>
      </c>
      <c r="G2745" s="30">
        <v>78.7</v>
      </c>
    </row>
    <row r="2746" spans="1:7" x14ac:dyDescent="0.25">
      <c r="A2746" s="29">
        <v>40352</v>
      </c>
      <c r="B2746" s="30">
        <v>80.5</v>
      </c>
      <c r="C2746" s="30">
        <v>80.7</v>
      </c>
      <c r="D2746" s="30"/>
      <c r="E2746" s="30"/>
      <c r="F2746" s="30">
        <v>83.1</v>
      </c>
      <c r="G2746" s="30">
        <v>80.599999999999994</v>
      </c>
    </row>
    <row r="2747" spans="1:7" x14ac:dyDescent="0.25">
      <c r="A2747" s="29">
        <v>40353</v>
      </c>
      <c r="B2747" s="30">
        <v>85.3</v>
      </c>
      <c r="C2747" s="30">
        <v>87.4</v>
      </c>
      <c r="D2747" s="30"/>
      <c r="E2747" s="30"/>
      <c r="F2747" s="30">
        <v>85.2</v>
      </c>
      <c r="G2747" s="30">
        <v>86</v>
      </c>
    </row>
    <row r="2748" spans="1:7" x14ac:dyDescent="0.25">
      <c r="A2748" s="29">
        <v>40354</v>
      </c>
      <c r="B2748" s="30">
        <v>80.2</v>
      </c>
      <c r="C2748" s="30">
        <v>80.400000000000006</v>
      </c>
      <c r="D2748" s="30"/>
      <c r="E2748" s="30"/>
      <c r="F2748" s="30">
        <v>77.5</v>
      </c>
      <c r="G2748" s="30">
        <v>81.400000000000006</v>
      </c>
    </row>
    <row r="2749" spans="1:7" x14ac:dyDescent="0.25">
      <c r="A2749" s="29">
        <v>40355</v>
      </c>
      <c r="B2749" s="30">
        <v>77.599999999999994</v>
      </c>
      <c r="C2749" s="30">
        <v>81</v>
      </c>
      <c r="D2749" s="30"/>
      <c r="E2749" s="30"/>
      <c r="F2749" s="30">
        <v>78.599999999999994</v>
      </c>
      <c r="G2749" s="30">
        <v>80.900000000000006</v>
      </c>
    </row>
    <row r="2750" spans="1:7" x14ac:dyDescent="0.25">
      <c r="A2750" s="29">
        <v>40356</v>
      </c>
      <c r="B2750" s="30">
        <v>79.5</v>
      </c>
      <c r="C2750" s="30">
        <v>80.7</v>
      </c>
      <c r="D2750" s="30"/>
      <c r="E2750" s="30"/>
      <c r="F2750" s="30">
        <v>83.5</v>
      </c>
      <c r="G2750" s="30">
        <v>83.6</v>
      </c>
    </row>
    <row r="2751" spans="1:7" x14ac:dyDescent="0.25">
      <c r="A2751" s="29">
        <v>40357</v>
      </c>
      <c r="B2751" s="30">
        <v>84.7</v>
      </c>
      <c r="C2751" s="30">
        <v>87.6</v>
      </c>
      <c r="D2751" s="30"/>
      <c r="E2751" s="30"/>
      <c r="F2751" s="30">
        <v>87.2</v>
      </c>
      <c r="G2751" s="30">
        <v>88.3</v>
      </c>
    </row>
    <row r="2752" spans="1:7" x14ac:dyDescent="0.25">
      <c r="A2752" s="29">
        <v>40358</v>
      </c>
      <c r="B2752" s="30">
        <v>83</v>
      </c>
      <c r="C2752" s="30">
        <v>84</v>
      </c>
      <c r="D2752" s="30"/>
      <c r="E2752" s="30"/>
      <c r="F2752" s="30">
        <v>82.6</v>
      </c>
      <c r="G2752" s="30">
        <v>84.6</v>
      </c>
    </row>
    <row r="2753" spans="1:7" x14ac:dyDescent="0.25">
      <c r="A2753" s="29">
        <v>40359</v>
      </c>
      <c r="B2753" s="30">
        <v>73.2</v>
      </c>
      <c r="C2753" s="30">
        <v>73.099999999999994</v>
      </c>
      <c r="D2753" s="30"/>
      <c r="E2753" s="30"/>
      <c r="F2753" s="30">
        <v>74.099999999999994</v>
      </c>
      <c r="G2753" s="30">
        <v>74.2</v>
      </c>
    </row>
    <row r="2754" spans="1:7" x14ac:dyDescent="0.25">
      <c r="A2754" s="29">
        <v>40360</v>
      </c>
      <c r="B2754" s="30">
        <v>72.400000000000006</v>
      </c>
      <c r="C2754" s="30">
        <v>71.099999999999994</v>
      </c>
      <c r="D2754" s="30"/>
      <c r="E2754" s="30"/>
      <c r="F2754" s="30">
        <v>69.7</v>
      </c>
      <c r="G2754" s="30">
        <v>72.599999999999994</v>
      </c>
    </row>
    <row r="2755" spans="1:7" x14ac:dyDescent="0.25">
      <c r="A2755" s="29">
        <v>40361</v>
      </c>
      <c r="B2755" s="30">
        <v>72.5</v>
      </c>
      <c r="C2755" s="30">
        <v>72</v>
      </c>
      <c r="D2755" s="30"/>
      <c r="E2755" s="30"/>
      <c r="F2755" s="30">
        <v>67.099999999999994</v>
      </c>
      <c r="G2755" s="30">
        <v>73</v>
      </c>
    </row>
    <row r="2756" spans="1:7" x14ac:dyDescent="0.25">
      <c r="A2756" s="29">
        <v>40362</v>
      </c>
      <c r="B2756" s="30">
        <v>75.3</v>
      </c>
      <c r="C2756" s="30">
        <v>78.2</v>
      </c>
      <c r="D2756" s="30"/>
      <c r="E2756" s="30"/>
      <c r="F2756" s="30">
        <v>73.900000000000006</v>
      </c>
      <c r="G2756" s="30">
        <v>78.400000000000006</v>
      </c>
    </row>
    <row r="2757" spans="1:7" x14ac:dyDescent="0.25">
      <c r="A2757" s="29">
        <v>40363</v>
      </c>
      <c r="B2757" s="30">
        <v>81.5</v>
      </c>
      <c r="C2757" s="30">
        <v>85.8</v>
      </c>
      <c r="D2757" s="30"/>
      <c r="E2757" s="30"/>
      <c r="F2757" s="30">
        <v>79.5</v>
      </c>
      <c r="G2757" s="30">
        <v>86.3</v>
      </c>
    </row>
    <row r="2758" spans="1:7" x14ac:dyDescent="0.25">
      <c r="A2758" s="29">
        <v>40364</v>
      </c>
      <c r="B2758" s="30">
        <v>85.4</v>
      </c>
      <c r="C2758" s="30">
        <v>88.9</v>
      </c>
      <c r="D2758" s="30"/>
      <c r="E2758" s="30"/>
      <c r="F2758" s="30">
        <v>84</v>
      </c>
      <c r="G2758" s="30">
        <v>89.8</v>
      </c>
    </row>
    <row r="2759" spans="1:7" x14ac:dyDescent="0.25">
      <c r="A2759" s="29">
        <v>40365</v>
      </c>
      <c r="B2759" s="30">
        <v>86.4</v>
      </c>
      <c r="C2759" s="30">
        <v>91.3</v>
      </c>
      <c r="D2759" s="30"/>
      <c r="E2759" s="30"/>
      <c r="F2759" s="30">
        <v>87.5</v>
      </c>
      <c r="G2759" s="30">
        <v>93.7</v>
      </c>
    </row>
    <row r="2760" spans="1:7" x14ac:dyDescent="0.25">
      <c r="A2760" s="29">
        <v>40366</v>
      </c>
      <c r="B2760" s="30">
        <v>87.1</v>
      </c>
      <c r="C2760" s="30">
        <v>91.1</v>
      </c>
      <c r="D2760" s="30"/>
      <c r="E2760" s="30"/>
      <c r="F2760" s="30">
        <v>85.5</v>
      </c>
      <c r="G2760" s="30">
        <v>90.9</v>
      </c>
    </row>
    <row r="2761" spans="1:7" x14ac:dyDescent="0.25">
      <c r="A2761" s="29">
        <v>40367</v>
      </c>
      <c r="B2761" s="30">
        <v>79.599999999999994</v>
      </c>
      <c r="C2761" s="30">
        <v>82.6</v>
      </c>
      <c r="D2761" s="30"/>
      <c r="E2761" s="30"/>
      <c r="F2761" s="30">
        <v>79</v>
      </c>
      <c r="G2761" s="30">
        <v>81.2</v>
      </c>
    </row>
    <row r="2762" spans="1:7" x14ac:dyDescent="0.25">
      <c r="A2762" s="29">
        <v>40368</v>
      </c>
      <c r="B2762" s="30">
        <v>79.599999999999994</v>
      </c>
      <c r="C2762" s="30">
        <v>82.2</v>
      </c>
      <c r="D2762" s="30"/>
      <c r="E2762" s="30"/>
      <c r="F2762" s="30">
        <v>78.7</v>
      </c>
      <c r="G2762" s="30">
        <v>80.2</v>
      </c>
    </row>
    <row r="2763" spans="1:7" x14ac:dyDescent="0.25">
      <c r="A2763" s="29">
        <v>40369</v>
      </c>
      <c r="B2763" s="30">
        <v>78.3</v>
      </c>
      <c r="C2763" s="30">
        <v>79.7</v>
      </c>
      <c r="D2763" s="30"/>
      <c r="E2763" s="30"/>
      <c r="F2763" s="30">
        <v>76.5</v>
      </c>
      <c r="G2763" s="30">
        <v>78.599999999999994</v>
      </c>
    </row>
    <row r="2764" spans="1:7" x14ac:dyDescent="0.25">
      <c r="A2764" s="29">
        <v>40370</v>
      </c>
      <c r="B2764" s="30">
        <v>79.400000000000006</v>
      </c>
      <c r="C2764" s="30">
        <v>80.099999999999994</v>
      </c>
      <c r="D2764" s="30"/>
      <c r="E2764" s="30"/>
      <c r="F2764" s="30">
        <v>77.5</v>
      </c>
      <c r="G2764" s="30">
        <v>80.599999999999994</v>
      </c>
    </row>
    <row r="2765" spans="1:7" x14ac:dyDescent="0.25">
      <c r="A2765" s="29">
        <v>40371</v>
      </c>
      <c r="B2765" s="30">
        <v>79.2</v>
      </c>
      <c r="C2765" s="30">
        <v>83.6</v>
      </c>
      <c r="D2765" s="30"/>
      <c r="E2765" s="30"/>
      <c r="F2765" s="30">
        <v>77.7</v>
      </c>
      <c r="G2765" s="30">
        <v>81.7</v>
      </c>
    </row>
    <row r="2766" spans="1:7" x14ac:dyDescent="0.25">
      <c r="A2766" s="29">
        <v>40372</v>
      </c>
      <c r="B2766" s="30">
        <v>77.900000000000006</v>
      </c>
      <c r="C2766" s="30">
        <v>80.3</v>
      </c>
      <c r="D2766" s="30"/>
      <c r="E2766" s="30"/>
      <c r="F2766" s="30">
        <v>79.5</v>
      </c>
      <c r="G2766" s="30">
        <v>78.400000000000006</v>
      </c>
    </row>
    <row r="2767" spans="1:7" x14ac:dyDescent="0.25">
      <c r="A2767" s="29">
        <v>40373</v>
      </c>
      <c r="B2767" s="30">
        <v>77.099999999999994</v>
      </c>
      <c r="C2767" s="30">
        <v>78.3</v>
      </c>
      <c r="D2767" s="30"/>
      <c r="E2767" s="30"/>
      <c r="F2767" s="30">
        <v>77.400000000000006</v>
      </c>
      <c r="G2767" s="30">
        <v>77.599999999999994</v>
      </c>
    </row>
    <row r="2768" spans="1:7" x14ac:dyDescent="0.25">
      <c r="A2768" s="29">
        <v>40374</v>
      </c>
      <c r="B2768" s="30">
        <v>77.5</v>
      </c>
      <c r="C2768" s="30">
        <v>77.900000000000006</v>
      </c>
      <c r="D2768" s="30"/>
      <c r="E2768" s="30"/>
      <c r="F2768" s="30">
        <v>76.900000000000006</v>
      </c>
      <c r="G2768" s="30">
        <v>79.099999999999994</v>
      </c>
    </row>
    <row r="2769" spans="1:7" x14ac:dyDescent="0.25">
      <c r="A2769" s="29">
        <v>40375</v>
      </c>
      <c r="B2769" s="30">
        <v>78.599999999999994</v>
      </c>
      <c r="C2769" s="30">
        <v>82.5</v>
      </c>
      <c r="D2769" s="30"/>
      <c r="E2769" s="30"/>
      <c r="F2769" s="30">
        <v>81</v>
      </c>
      <c r="G2769" s="30">
        <v>83.6</v>
      </c>
    </row>
    <row r="2770" spans="1:7" x14ac:dyDescent="0.25">
      <c r="A2770" s="29">
        <v>40376</v>
      </c>
      <c r="B2770" s="30">
        <v>84.5</v>
      </c>
      <c r="C2770" s="30">
        <v>86.9</v>
      </c>
      <c r="D2770" s="30"/>
      <c r="E2770" s="30"/>
      <c r="F2770" s="30">
        <v>83.5</v>
      </c>
      <c r="G2770" s="30">
        <v>86.5</v>
      </c>
    </row>
    <row r="2771" spans="1:7" x14ac:dyDescent="0.25">
      <c r="A2771" s="29">
        <v>40377</v>
      </c>
      <c r="B2771" s="30">
        <v>85.3</v>
      </c>
      <c r="C2771" s="30">
        <v>87.6</v>
      </c>
      <c r="D2771" s="30"/>
      <c r="E2771" s="30"/>
      <c r="F2771" s="30">
        <v>84.3</v>
      </c>
      <c r="G2771" s="30">
        <v>86.6</v>
      </c>
    </row>
    <row r="2772" spans="1:7" x14ac:dyDescent="0.25">
      <c r="A2772" s="29">
        <v>40378</v>
      </c>
      <c r="B2772" s="30">
        <v>81.8</v>
      </c>
      <c r="C2772" s="30">
        <v>85</v>
      </c>
      <c r="D2772" s="30"/>
      <c r="E2772" s="30"/>
      <c r="F2772" s="30">
        <v>84.3</v>
      </c>
      <c r="G2772" s="30">
        <v>85.1</v>
      </c>
    </row>
    <row r="2773" spans="1:7" x14ac:dyDescent="0.25">
      <c r="A2773" s="29">
        <v>40379</v>
      </c>
      <c r="B2773" s="30">
        <v>80.599999999999994</v>
      </c>
      <c r="C2773" s="30">
        <v>82</v>
      </c>
      <c r="D2773" s="30"/>
      <c r="E2773" s="30"/>
      <c r="F2773" s="30">
        <v>82.9</v>
      </c>
      <c r="G2773" s="30">
        <v>82.8</v>
      </c>
    </row>
    <row r="2774" spans="1:7" x14ac:dyDescent="0.25">
      <c r="A2774" s="29">
        <v>40380</v>
      </c>
      <c r="B2774" s="30">
        <v>81.8</v>
      </c>
      <c r="C2774" s="30">
        <v>86.1</v>
      </c>
      <c r="D2774" s="30"/>
      <c r="E2774" s="30"/>
      <c r="F2774" s="30">
        <v>82.3</v>
      </c>
      <c r="G2774" s="30">
        <v>85.4</v>
      </c>
    </row>
    <row r="2775" spans="1:7" x14ac:dyDescent="0.25">
      <c r="A2775" s="29">
        <v>40381</v>
      </c>
      <c r="B2775" s="30">
        <v>83</v>
      </c>
      <c r="C2775" s="30">
        <v>81.8</v>
      </c>
      <c r="D2775" s="30"/>
      <c r="E2775" s="30"/>
      <c r="F2775" s="30">
        <v>82.8</v>
      </c>
      <c r="G2775" s="30">
        <v>82.7</v>
      </c>
    </row>
    <row r="2776" spans="1:7" x14ac:dyDescent="0.25">
      <c r="A2776" s="29">
        <v>40382</v>
      </c>
      <c r="B2776" s="30">
        <v>80.2</v>
      </c>
      <c r="C2776" s="30">
        <v>81.3</v>
      </c>
      <c r="D2776" s="30"/>
      <c r="E2776" s="30"/>
      <c r="F2776" s="30">
        <v>83</v>
      </c>
      <c r="G2776" s="30">
        <v>81.8</v>
      </c>
    </row>
    <row r="2777" spans="1:7" x14ac:dyDescent="0.25">
      <c r="A2777" s="29">
        <v>40383</v>
      </c>
      <c r="B2777" s="30">
        <v>87.1</v>
      </c>
      <c r="C2777" s="30">
        <v>89.1</v>
      </c>
      <c r="D2777" s="30"/>
      <c r="E2777" s="30"/>
      <c r="F2777" s="30">
        <v>89.7</v>
      </c>
      <c r="G2777" s="30">
        <v>89.9</v>
      </c>
    </row>
    <row r="2778" spans="1:7" x14ac:dyDescent="0.25">
      <c r="A2778" s="29">
        <v>40384</v>
      </c>
      <c r="B2778" s="30">
        <v>84.2</v>
      </c>
      <c r="C2778" s="30">
        <v>86.4</v>
      </c>
      <c r="D2778" s="30"/>
      <c r="E2778" s="30"/>
      <c r="F2778" s="30">
        <v>86.8</v>
      </c>
      <c r="G2778" s="30">
        <v>85.3</v>
      </c>
    </row>
    <row r="2779" spans="1:7" x14ac:dyDescent="0.25">
      <c r="A2779" s="29">
        <v>40385</v>
      </c>
      <c r="B2779" s="30">
        <v>78.3</v>
      </c>
      <c r="C2779" s="30">
        <v>78</v>
      </c>
      <c r="D2779" s="30"/>
      <c r="E2779" s="30"/>
      <c r="F2779" s="30">
        <v>75.3</v>
      </c>
      <c r="G2779" s="30">
        <v>78.099999999999994</v>
      </c>
    </row>
    <row r="2780" spans="1:7" x14ac:dyDescent="0.25">
      <c r="A2780" s="29">
        <v>40386</v>
      </c>
      <c r="B2780" s="30">
        <v>80.5</v>
      </c>
      <c r="C2780" s="30">
        <v>81.400000000000006</v>
      </c>
      <c r="D2780" s="30"/>
      <c r="E2780" s="30"/>
      <c r="F2780" s="30">
        <v>77.400000000000006</v>
      </c>
      <c r="G2780" s="30">
        <v>80.900000000000006</v>
      </c>
    </row>
    <row r="2781" spans="1:7" x14ac:dyDescent="0.25">
      <c r="A2781" s="29">
        <v>40387</v>
      </c>
      <c r="B2781" s="30">
        <v>77.2</v>
      </c>
      <c r="C2781" s="30">
        <v>83.7</v>
      </c>
      <c r="D2781" s="30"/>
      <c r="E2781" s="30"/>
      <c r="F2781" s="30">
        <v>79</v>
      </c>
      <c r="G2781" s="30">
        <v>82.3</v>
      </c>
    </row>
    <row r="2782" spans="1:7" x14ac:dyDescent="0.25">
      <c r="A2782" s="29">
        <v>40388</v>
      </c>
      <c r="B2782" s="30">
        <v>78</v>
      </c>
      <c r="C2782" s="30">
        <v>83.6</v>
      </c>
      <c r="D2782" s="30"/>
      <c r="E2782" s="30"/>
      <c r="F2782" s="30">
        <v>79.3</v>
      </c>
      <c r="G2782" s="30">
        <v>82.9</v>
      </c>
    </row>
    <row r="2783" spans="1:7" x14ac:dyDescent="0.25">
      <c r="A2783" s="29">
        <v>40389</v>
      </c>
      <c r="B2783" s="30">
        <v>75.099999999999994</v>
      </c>
      <c r="C2783" s="30">
        <v>77.400000000000006</v>
      </c>
      <c r="D2783" s="30"/>
      <c r="E2783" s="30"/>
      <c r="F2783" s="30">
        <v>73.5</v>
      </c>
      <c r="G2783" s="30">
        <v>77.5</v>
      </c>
    </row>
    <row r="2784" spans="1:7" x14ac:dyDescent="0.25">
      <c r="A2784" s="29">
        <v>40390</v>
      </c>
      <c r="B2784" s="30">
        <v>72.900000000000006</v>
      </c>
      <c r="C2784" s="30">
        <v>75.3</v>
      </c>
      <c r="D2784" s="30"/>
      <c r="E2784" s="30"/>
      <c r="F2784" s="30">
        <v>71.8</v>
      </c>
      <c r="G2784" s="30">
        <v>75.099999999999994</v>
      </c>
    </row>
    <row r="2785" spans="1:7" x14ac:dyDescent="0.25">
      <c r="A2785" s="29">
        <v>40391</v>
      </c>
      <c r="B2785" s="30">
        <v>73.3</v>
      </c>
      <c r="C2785" s="30">
        <v>74.8</v>
      </c>
      <c r="D2785" s="30"/>
      <c r="E2785" s="30">
        <v>64.900000000000006</v>
      </c>
      <c r="F2785" s="30">
        <v>73.900000000000006</v>
      </c>
      <c r="G2785" s="30">
        <v>73.900000000000006</v>
      </c>
    </row>
    <row r="2786" spans="1:7" x14ac:dyDescent="0.25">
      <c r="A2786" s="29">
        <v>40392</v>
      </c>
      <c r="B2786" s="30">
        <v>74.7</v>
      </c>
      <c r="C2786" s="30">
        <v>77</v>
      </c>
      <c r="D2786" s="30"/>
      <c r="E2786" s="30">
        <v>65.3</v>
      </c>
      <c r="F2786" s="30">
        <v>72</v>
      </c>
      <c r="G2786" s="30">
        <v>76.3</v>
      </c>
    </row>
    <row r="2787" spans="1:7" x14ac:dyDescent="0.25">
      <c r="A2787" s="29">
        <v>40393</v>
      </c>
      <c r="B2787" s="30">
        <v>75.8</v>
      </c>
      <c r="C2787" s="30">
        <v>78</v>
      </c>
      <c r="D2787" s="30"/>
      <c r="E2787" s="30">
        <v>71.5</v>
      </c>
      <c r="F2787" s="30">
        <v>77.099999999999994</v>
      </c>
      <c r="G2787" s="30">
        <v>78.3</v>
      </c>
    </row>
    <row r="2788" spans="1:7" x14ac:dyDescent="0.25">
      <c r="A2788" s="29">
        <v>40394</v>
      </c>
      <c r="B2788" s="30">
        <v>77.8</v>
      </c>
      <c r="C2788" s="30">
        <v>81.900000000000006</v>
      </c>
      <c r="D2788" s="30"/>
      <c r="E2788" s="30">
        <v>75.099999999999994</v>
      </c>
      <c r="F2788" s="30">
        <v>80</v>
      </c>
      <c r="G2788" s="30">
        <v>81.7</v>
      </c>
    </row>
    <row r="2789" spans="1:7" x14ac:dyDescent="0.25">
      <c r="A2789" s="29">
        <v>40395</v>
      </c>
      <c r="B2789" s="30">
        <v>82.7</v>
      </c>
      <c r="C2789" s="30">
        <v>86.2</v>
      </c>
      <c r="D2789" s="30"/>
      <c r="E2789" s="30">
        <v>76.5</v>
      </c>
      <c r="F2789" s="30">
        <v>84</v>
      </c>
      <c r="G2789" s="30">
        <v>86.4</v>
      </c>
    </row>
    <row r="2790" spans="1:7" x14ac:dyDescent="0.25">
      <c r="A2790" s="29">
        <v>40396</v>
      </c>
      <c r="B2790" s="30">
        <v>83.6</v>
      </c>
      <c r="C2790" s="30">
        <v>84.8</v>
      </c>
      <c r="D2790" s="30"/>
      <c r="E2790" s="30">
        <v>78.099999999999994</v>
      </c>
      <c r="F2790" s="30">
        <v>83.4</v>
      </c>
      <c r="G2790" s="30">
        <v>84.7</v>
      </c>
    </row>
    <row r="2791" spans="1:7" x14ac:dyDescent="0.25">
      <c r="A2791" s="29">
        <v>40397</v>
      </c>
      <c r="B2791" s="30">
        <v>75.5</v>
      </c>
      <c r="C2791" s="30">
        <v>77.400000000000006</v>
      </c>
      <c r="D2791" s="30"/>
      <c r="E2791" s="30">
        <v>67.400000000000006</v>
      </c>
      <c r="F2791" s="30">
        <v>75.3</v>
      </c>
      <c r="G2791" s="30">
        <v>76.3</v>
      </c>
    </row>
    <row r="2792" spans="1:7" x14ac:dyDescent="0.25">
      <c r="A2792" s="29">
        <v>40398</v>
      </c>
      <c r="B2792" s="30">
        <v>77.2</v>
      </c>
      <c r="C2792" s="30">
        <v>79.599999999999994</v>
      </c>
      <c r="D2792" s="30"/>
      <c r="E2792" s="30">
        <v>72.599999999999994</v>
      </c>
      <c r="F2792" s="30">
        <v>78</v>
      </c>
      <c r="G2792" s="30">
        <v>78.8</v>
      </c>
    </row>
    <row r="2793" spans="1:7" x14ac:dyDescent="0.25">
      <c r="A2793" s="29">
        <v>40399</v>
      </c>
      <c r="B2793" s="30">
        <v>77.900000000000006</v>
      </c>
      <c r="C2793" s="30">
        <v>82.2</v>
      </c>
      <c r="D2793" s="30"/>
      <c r="E2793" s="30">
        <v>74.7</v>
      </c>
      <c r="F2793" s="30">
        <v>80.599999999999994</v>
      </c>
      <c r="G2793" s="30">
        <v>82</v>
      </c>
    </row>
    <row r="2794" spans="1:7" x14ac:dyDescent="0.25">
      <c r="A2794" s="29">
        <v>40400</v>
      </c>
      <c r="B2794" s="30">
        <v>80.900000000000006</v>
      </c>
      <c r="C2794" s="30">
        <v>84.6</v>
      </c>
      <c r="D2794" s="30"/>
      <c r="E2794" s="30">
        <v>75.8</v>
      </c>
      <c r="F2794" s="30">
        <v>82.4</v>
      </c>
      <c r="G2794" s="30">
        <v>84.5</v>
      </c>
    </row>
    <row r="2795" spans="1:7" x14ac:dyDescent="0.25">
      <c r="A2795" s="29">
        <v>40401</v>
      </c>
      <c r="B2795" s="30">
        <v>81.099999999999994</v>
      </c>
      <c r="C2795" s="30">
        <v>84.3</v>
      </c>
      <c r="D2795" s="30"/>
      <c r="E2795" s="30">
        <v>72</v>
      </c>
      <c r="F2795" s="30">
        <v>83.4</v>
      </c>
      <c r="G2795" s="30">
        <v>84</v>
      </c>
    </row>
    <row r="2796" spans="1:7" x14ac:dyDescent="0.25">
      <c r="A2796" s="29">
        <v>40402</v>
      </c>
      <c r="B2796" s="30">
        <v>74.5</v>
      </c>
      <c r="C2796" s="30">
        <v>76</v>
      </c>
      <c r="D2796" s="30"/>
      <c r="E2796" s="30">
        <v>68.099999999999994</v>
      </c>
      <c r="F2796" s="30">
        <v>78.400000000000006</v>
      </c>
      <c r="G2796" s="30">
        <v>76.599999999999994</v>
      </c>
    </row>
    <row r="2797" spans="1:7" x14ac:dyDescent="0.25">
      <c r="A2797" s="29">
        <v>40403</v>
      </c>
      <c r="B2797" s="30">
        <v>73.099999999999994</v>
      </c>
      <c r="C2797" s="30">
        <v>73.8</v>
      </c>
      <c r="D2797" s="30"/>
      <c r="E2797" s="30">
        <v>67.2</v>
      </c>
      <c r="F2797" s="30">
        <v>76.7</v>
      </c>
      <c r="G2797" s="30">
        <v>74.5</v>
      </c>
    </row>
    <row r="2798" spans="1:7" x14ac:dyDescent="0.25">
      <c r="A2798" s="29">
        <v>40404</v>
      </c>
      <c r="B2798" s="30">
        <v>71.099999999999994</v>
      </c>
      <c r="C2798" s="30">
        <v>73.400000000000006</v>
      </c>
      <c r="D2798" s="30"/>
      <c r="E2798" s="30">
        <v>64.400000000000006</v>
      </c>
      <c r="F2798" s="30">
        <v>72.8</v>
      </c>
      <c r="G2798" s="30">
        <v>73.3</v>
      </c>
    </row>
    <row r="2799" spans="1:7" x14ac:dyDescent="0.25">
      <c r="A2799" s="29">
        <v>40405</v>
      </c>
      <c r="B2799" s="30">
        <v>73.400000000000006</v>
      </c>
      <c r="C2799" s="30">
        <v>74.3</v>
      </c>
      <c r="D2799" s="30"/>
      <c r="E2799" s="30">
        <v>65</v>
      </c>
      <c r="F2799" s="30">
        <v>72.099999999999994</v>
      </c>
      <c r="G2799" s="30">
        <v>73.5</v>
      </c>
    </row>
    <row r="2800" spans="1:7" x14ac:dyDescent="0.25">
      <c r="A2800" s="29">
        <v>40406</v>
      </c>
      <c r="B2800" s="30">
        <v>75.900000000000006</v>
      </c>
      <c r="C2800" s="30">
        <v>77.2</v>
      </c>
      <c r="D2800" s="30"/>
      <c r="E2800" s="30">
        <v>71.099999999999994</v>
      </c>
      <c r="F2800" s="30">
        <v>80.900000000000006</v>
      </c>
      <c r="G2800" s="30">
        <v>77.3</v>
      </c>
    </row>
    <row r="2801" spans="1:7" x14ac:dyDescent="0.25">
      <c r="A2801" s="29">
        <v>40407</v>
      </c>
      <c r="B2801" s="30">
        <v>80.099999999999994</v>
      </c>
      <c r="C2801" s="30">
        <v>82.1</v>
      </c>
      <c r="D2801" s="30"/>
      <c r="E2801" s="30">
        <v>76</v>
      </c>
      <c r="F2801" s="30">
        <v>81.7</v>
      </c>
      <c r="G2801" s="30">
        <v>81.7</v>
      </c>
    </row>
    <row r="2802" spans="1:7" x14ac:dyDescent="0.25">
      <c r="A2802" s="29">
        <v>40408</v>
      </c>
      <c r="B2802" s="30">
        <v>76.8</v>
      </c>
      <c r="C2802" s="30">
        <v>79.2</v>
      </c>
      <c r="D2802" s="30"/>
      <c r="E2802" s="30">
        <v>72.599999999999994</v>
      </c>
      <c r="F2802" s="30">
        <v>73.7</v>
      </c>
      <c r="G2802" s="30">
        <v>78.599999999999994</v>
      </c>
    </row>
    <row r="2803" spans="1:7" x14ac:dyDescent="0.25">
      <c r="A2803" s="29">
        <v>40409</v>
      </c>
      <c r="B2803" s="30">
        <v>76.3</v>
      </c>
      <c r="C2803" s="30">
        <v>79.5</v>
      </c>
      <c r="D2803" s="30"/>
      <c r="E2803" s="30">
        <v>71.400000000000006</v>
      </c>
      <c r="F2803" s="30">
        <v>75.3</v>
      </c>
      <c r="G2803" s="30">
        <v>78.5</v>
      </c>
    </row>
    <row r="2804" spans="1:7" x14ac:dyDescent="0.25">
      <c r="A2804" s="29">
        <v>40410</v>
      </c>
      <c r="B2804" s="30">
        <v>80.8</v>
      </c>
      <c r="C2804" s="30">
        <v>82</v>
      </c>
      <c r="D2804" s="30"/>
      <c r="E2804" s="30">
        <v>71.8</v>
      </c>
      <c r="F2804" s="30">
        <v>79.400000000000006</v>
      </c>
      <c r="G2804" s="30">
        <v>82.2</v>
      </c>
    </row>
    <row r="2805" spans="1:7" x14ac:dyDescent="0.25">
      <c r="A2805" s="29">
        <v>40411</v>
      </c>
      <c r="B2805" s="30">
        <v>75.3</v>
      </c>
      <c r="C2805" s="30">
        <v>75.5</v>
      </c>
      <c r="D2805" s="30"/>
      <c r="E2805" s="30">
        <v>66.099999999999994</v>
      </c>
      <c r="F2805" s="30">
        <v>76.5</v>
      </c>
      <c r="G2805" s="30">
        <v>76.2</v>
      </c>
    </row>
    <row r="2806" spans="1:7" x14ac:dyDescent="0.25">
      <c r="A2806" s="29">
        <v>40412</v>
      </c>
      <c r="B2806" s="30">
        <v>75.900000000000006</v>
      </c>
      <c r="C2806" s="30">
        <v>77.900000000000006</v>
      </c>
      <c r="D2806" s="30"/>
      <c r="E2806" s="30">
        <v>69.5</v>
      </c>
      <c r="F2806" s="30">
        <v>78</v>
      </c>
      <c r="G2806" s="30">
        <v>77.5</v>
      </c>
    </row>
    <row r="2807" spans="1:7" x14ac:dyDescent="0.25">
      <c r="A2807" s="29">
        <v>40413</v>
      </c>
      <c r="B2807" s="30">
        <v>69.900000000000006</v>
      </c>
      <c r="C2807" s="30">
        <v>71.599999999999994</v>
      </c>
      <c r="D2807" s="30"/>
      <c r="E2807" s="30">
        <v>64</v>
      </c>
      <c r="F2807" s="30">
        <v>72.900000000000006</v>
      </c>
      <c r="G2807" s="30">
        <v>71</v>
      </c>
    </row>
    <row r="2808" spans="1:7" x14ac:dyDescent="0.25">
      <c r="A2808" s="29">
        <v>40414</v>
      </c>
      <c r="B2808" s="30">
        <v>66.900000000000006</v>
      </c>
      <c r="C2808" s="30">
        <v>68.8</v>
      </c>
      <c r="D2808" s="30"/>
      <c r="E2808" s="30">
        <v>60</v>
      </c>
      <c r="F2808" s="30">
        <v>66.3</v>
      </c>
      <c r="G2808" s="30">
        <v>67.5</v>
      </c>
    </row>
    <row r="2809" spans="1:7" x14ac:dyDescent="0.25">
      <c r="A2809" s="29">
        <v>40415</v>
      </c>
      <c r="B2809" s="30">
        <v>66.400000000000006</v>
      </c>
      <c r="C2809" s="30">
        <v>67</v>
      </c>
      <c r="D2809" s="30"/>
      <c r="E2809" s="30">
        <v>65.8</v>
      </c>
      <c r="F2809" s="30">
        <v>69</v>
      </c>
      <c r="G2809" s="30">
        <v>67</v>
      </c>
    </row>
    <row r="2810" spans="1:7" x14ac:dyDescent="0.25">
      <c r="A2810" s="29">
        <v>40416</v>
      </c>
      <c r="B2810" s="30">
        <v>74.099999999999994</v>
      </c>
      <c r="C2810" s="30">
        <v>74.099999999999994</v>
      </c>
      <c r="D2810" s="30"/>
      <c r="E2810" s="30">
        <v>69.2</v>
      </c>
      <c r="F2810" s="30">
        <v>75.400000000000006</v>
      </c>
      <c r="G2810" s="30">
        <v>74.099999999999994</v>
      </c>
    </row>
    <row r="2811" spans="1:7" x14ac:dyDescent="0.25">
      <c r="A2811" s="29">
        <v>40417</v>
      </c>
      <c r="B2811" s="30">
        <v>71.3</v>
      </c>
      <c r="C2811" s="30">
        <v>71.599999999999994</v>
      </c>
      <c r="D2811" s="30"/>
      <c r="E2811" s="30">
        <v>66.5</v>
      </c>
      <c r="F2811" s="30">
        <v>69.8</v>
      </c>
      <c r="G2811" s="30">
        <v>71.2</v>
      </c>
    </row>
    <row r="2812" spans="1:7" x14ac:dyDescent="0.25">
      <c r="A2812" s="29">
        <v>40418</v>
      </c>
      <c r="B2812" s="30">
        <v>72.400000000000006</v>
      </c>
      <c r="C2812" s="30">
        <v>74</v>
      </c>
      <c r="D2812" s="30"/>
      <c r="E2812" s="30">
        <v>64.599999999999994</v>
      </c>
      <c r="F2812" s="30">
        <v>69.400000000000006</v>
      </c>
      <c r="G2812" s="30">
        <v>73.2</v>
      </c>
    </row>
    <row r="2813" spans="1:7" x14ac:dyDescent="0.25">
      <c r="A2813" s="29">
        <v>40419</v>
      </c>
      <c r="B2813" s="30">
        <v>76.8</v>
      </c>
      <c r="C2813" s="30">
        <v>80.900000000000006</v>
      </c>
      <c r="D2813" s="30"/>
      <c r="E2813" s="30">
        <v>72.8</v>
      </c>
      <c r="F2813" s="30">
        <v>76.3</v>
      </c>
      <c r="G2813" s="30">
        <v>78.7</v>
      </c>
    </row>
    <row r="2814" spans="1:7" x14ac:dyDescent="0.25">
      <c r="A2814" s="29">
        <v>40420</v>
      </c>
      <c r="B2814" s="30">
        <v>81</v>
      </c>
      <c r="C2814" s="30">
        <v>83.2</v>
      </c>
      <c r="D2814" s="30"/>
      <c r="E2814" s="30">
        <v>75.8</v>
      </c>
      <c r="F2814" s="30">
        <v>79.8</v>
      </c>
      <c r="G2814" s="30">
        <v>83.9</v>
      </c>
    </row>
    <row r="2815" spans="1:7" x14ac:dyDescent="0.25">
      <c r="A2815" s="29">
        <v>40421</v>
      </c>
      <c r="B2815" s="30">
        <v>83.7</v>
      </c>
      <c r="C2815" s="30">
        <v>85.7</v>
      </c>
      <c r="D2815" s="30"/>
      <c r="E2815" s="30">
        <v>76.8</v>
      </c>
      <c r="F2815" s="30">
        <v>80.400000000000006</v>
      </c>
      <c r="G2815" s="30">
        <v>85.9</v>
      </c>
    </row>
    <row r="2816" spans="1:7" x14ac:dyDescent="0.25">
      <c r="A2816" s="29">
        <v>40422</v>
      </c>
      <c r="B2816" s="30">
        <v>83.4</v>
      </c>
      <c r="C2816" s="30">
        <v>87.1</v>
      </c>
      <c r="D2816" s="30"/>
      <c r="E2816" s="30">
        <v>78.5</v>
      </c>
      <c r="F2816" s="30">
        <v>83.3</v>
      </c>
      <c r="G2816" s="30">
        <v>87</v>
      </c>
    </row>
    <row r="2817" spans="1:7" x14ac:dyDescent="0.25">
      <c r="A2817" s="29">
        <v>40423</v>
      </c>
      <c r="B2817" s="30">
        <v>79.900000000000006</v>
      </c>
      <c r="C2817" s="30">
        <v>86.1</v>
      </c>
      <c r="D2817" s="30"/>
      <c r="E2817" s="30">
        <v>76.2</v>
      </c>
      <c r="F2817" s="30">
        <v>81.099999999999994</v>
      </c>
      <c r="G2817" s="30">
        <v>85.5</v>
      </c>
    </row>
    <row r="2818" spans="1:7" x14ac:dyDescent="0.25">
      <c r="A2818" s="29">
        <v>40424</v>
      </c>
      <c r="B2818" s="30">
        <v>78.099999999999994</v>
      </c>
      <c r="C2818" s="30">
        <v>80.5</v>
      </c>
      <c r="D2818" s="30"/>
      <c r="E2818" s="30">
        <v>73.900000000000006</v>
      </c>
      <c r="F2818" s="30">
        <v>77.3</v>
      </c>
      <c r="G2818" s="30">
        <v>81.7</v>
      </c>
    </row>
    <row r="2819" spans="1:7" x14ac:dyDescent="0.25">
      <c r="A2819" s="29">
        <v>40425</v>
      </c>
      <c r="B2819" s="30">
        <v>78.099999999999994</v>
      </c>
      <c r="C2819" s="30">
        <v>78.3</v>
      </c>
      <c r="D2819" s="30"/>
      <c r="E2819" s="30">
        <v>73.8</v>
      </c>
      <c r="F2819" s="30">
        <v>77.3</v>
      </c>
      <c r="G2819" s="30">
        <v>77.7</v>
      </c>
    </row>
    <row r="2820" spans="1:7" x14ac:dyDescent="0.25">
      <c r="A2820" s="29">
        <v>40426</v>
      </c>
      <c r="B2820" s="30">
        <v>69.599999999999994</v>
      </c>
      <c r="C2820" s="30">
        <v>69.8</v>
      </c>
      <c r="D2820" s="30"/>
      <c r="E2820" s="30">
        <v>67.2</v>
      </c>
      <c r="F2820" s="30">
        <v>67.400000000000006</v>
      </c>
      <c r="G2820" s="30">
        <v>68.8</v>
      </c>
    </row>
    <row r="2821" spans="1:7" x14ac:dyDescent="0.25">
      <c r="A2821" s="29">
        <v>40427</v>
      </c>
      <c r="B2821" s="30">
        <v>69.2</v>
      </c>
      <c r="C2821" s="30">
        <v>71.599999999999994</v>
      </c>
      <c r="D2821" s="30"/>
      <c r="E2821" s="30">
        <v>62.8</v>
      </c>
      <c r="F2821" s="30">
        <v>65.5</v>
      </c>
      <c r="G2821" s="30">
        <v>68.900000000000006</v>
      </c>
    </row>
    <row r="2822" spans="1:7" x14ac:dyDescent="0.25">
      <c r="A2822" s="29">
        <v>40428</v>
      </c>
      <c r="B2822" s="30">
        <v>72.900000000000006</v>
      </c>
      <c r="C2822" s="30">
        <v>76.5</v>
      </c>
      <c r="D2822" s="30"/>
      <c r="E2822" s="30">
        <v>68.099999999999994</v>
      </c>
      <c r="F2822" s="30">
        <v>74.5</v>
      </c>
      <c r="G2822" s="30">
        <v>77.2</v>
      </c>
    </row>
    <row r="2823" spans="1:7" x14ac:dyDescent="0.25">
      <c r="A2823" s="29">
        <v>40429</v>
      </c>
      <c r="B2823" s="30">
        <v>78.5</v>
      </c>
      <c r="C2823" s="30">
        <v>80.7</v>
      </c>
      <c r="D2823" s="30"/>
      <c r="E2823" s="30">
        <v>71.2</v>
      </c>
      <c r="F2823" s="30">
        <v>81.400000000000006</v>
      </c>
      <c r="G2823" s="30">
        <v>81.8</v>
      </c>
    </row>
    <row r="2824" spans="1:7" x14ac:dyDescent="0.25">
      <c r="A2824" s="29">
        <v>40430</v>
      </c>
      <c r="B2824" s="30">
        <v>67.8</v>
      </c>
      <c r="C2824" s="30">
        <v>68</v>
      </c>
      <c r="D2824" s="30"/>
      <c r="E2824" s="30">
        <v>64.900000000000006</v>
      </c>
      <c r="F2824" s="30">
        <v>69</v>
      </c>
      <c r="G2824" s="30">
        <v>67.599999999999994</v>
      </c>
    </row>
    <row r="2825" spans="1:7" x14ac:dyDescent="0.25">
      <c r="A2825" s="29">
        <v>40431</v>
      </c>
      <c r="B2825" s="30">
        <v>66.5</v>
      </c>
      <c r="C2825" s="30">
        <v>66.8</v>
      </c>
      <c r="D2825" s="30"/>
      <c r="E2825" s="30">
        <v>61.9</v>
      </c>
      <c r="F2825" s="30">
        <v>65.2</v>
      </c>
      <c r="G2825" s="30">
        <v>66.8</v>
      </c>
    </row>
    <row r="2826" spans="1:7" x14ac:dyDescent="0.25">
      <c r="A2826" s="29">
        <v>40432</v>
      </c>
      <c r="B2826" s="30">
        <v>67.8</v>
      </c>
      <c r="C2826" s="30">
        <v>68.7</v>
      </c>
      <c r="D2826" s="30"/>
      <c r="E2826" s="30">
        <v>60.1</v>
      </c>
      <c r="F2826" s="30">
        <v>67.5</v>
      </c>
      <c r="G2826" s="30">
        <v>69.099999999999994</v>
      </c>
    </row>
    <row r="2827" spans="1:7" x14ac:dyDescent="0.25">
      <c r="A2827" s="29">
        <v>40433</v>
      </c>
      <c r="B2827" s="30">
        <v>64.5</v>
      </c>
      <c r="C2827" s="30">
        <v>66</v>
      </c>
      <c r="D2827" s="30"/>
      <c r="E2827" s="30">
        <v>56.7</v>
      </c>
      <c r="F2827" s="30">
        <v>61.9</v>
      </c>
      <c r="G2827" s="30">
        <v>66.2</v>
      </c>
    </row>
    <row r="2828" spans="1:7" x14ac:dyDescent="0.25">
      <c r="A2828" s="29">
        <v>40434</v>
      </c>
      <c r="B2828" s="30">
        <v>62.6</v>
      </c>
      <c r="C2828" s="30">
        <v>65.7</v>
      </c>
      <c r="D2828" s="30"/>
      <c r="E2828" s="30">
        <v>58.7</v>
      </c>
      <c r="F2828" s="30">
        <v>67.7</v>
      </c>
      <c r="G2828" s="30">
        <v>65.7</v>
      </c>
    </row>
    <row r="2829" spans="1:7" x14ac:dyDescent="0.25">
      <c r="A2829" s="29">
        <v>40435</v>
      </c>
      <c r="B2829" s="30">
        <v>68.599999999999994</v>
      </c>
      <c r="C2829" s="30">
        <v>69</v>
      </c>
      <c r="D2829" s="30"/>
      <c r="E2829" s="30">
        <v>61.9</v>
      </c>
      <c r="F2829" s="30">
        <v>71.599999999999994</v>
      </c>
      <c r="G2829" s="30">
        <v>67.900000000000006</v>
      </c>
    </row>
    <row r="2830" spans="1:7" x14ac:dyDescent="0.25">
      <c r="A2830" s="29">
        <v>40436</v>
      </c>
      <c r="B2830" s="30">
        <v>66</v>
      </c>
      <c r="C2830" s="30">
        <v>66.5</v>
      </c>
      <c r="D2830" s="30"/>
      <c r="E2830" s="30">
        <v>59.4</v>
      </c>
      <c r="F2830" s="30">
        <v>66.5</v>
      </c>
      <c r="G2830" s="30">
        <v>66.2</v>
      </c>
    </row>
    <row r="2831" spans="1:7" x14ac:dyDescent="0.25">
      <c r="A2831" s="29">
        <v>40437</v>
      </c>
      <c r="B2831" s="30">
        <v>63.8</v>
      </c>
      <c r="C2831" s="30">
        <v>66.3</v>
      </c>
      <c r="D2831" s="30"/>
      <c r="E2831" s="30">
        <v>56.1</v>
      </c>
      <c r="F2831" s="30">
        <v>67.5</v>
      </c>
      <c r="G2831" s="30">
        <v>64</v>
      </c>
    </row>
    <row r="2832" spans="1:7" x14ac:dyDescent="0.25">
      <c r="A2832" s="29">
        <v>40438</v>
      </c>
      <c r="B2832" s="30">
        <v>69.2</v>
      </c>
      <c r="C2832" s="30">
        <v>69.7</v>
      </c>
      <c r="D2832" s="30"/>
      <c r="E2832" s="30">
        <v>64.3</v>
      </c>
      <c r="F2832" s="30">
        <v>71.5</v>
      </c>
      <c r="G2832" s="30">
        <v>70</v>
      </c>
    </row>
    <row r="2833" spans="1:7" x14ac:dyDescent="0.25">
      <c r="A2833" s="29">
        <v>40439</v>
      </c>
      <c r="B2833" s="30">
        <v>65.2</v>
      </c>
      <c r="C2833" s="30">
        <v>65.400000000000006</v>
      </c>
      <c r="D2833" s="30"/>
      <c r="E2833" s="30">
        <v>57.7</v>
      </c>
      <c r="F2833" s="30">
        <v>63.4</v>
      </c>
      <c r="G2833" s="30">
        <v>64.2</v>
      </c>
    </row>
    <row r="2834" spans="1:7" x14ac:dyDescent="0.25">
      <c r="A2834" s="29">
        <v>40440</v>
      </c>
      <c r="B2834" s="30">
        <v>66.900000000000006</v>
      </c>
      <c r="C2834" s="30">
        <v>69.8</v>
      </c>
      <c r="D2834" s="30"/>
      <c r="E2834" s="30">
        <v>57.4</v>
      </c>
      <c r="F2834" s="30">
        <v>65.5</v>
      </c>
      <c r="G2834" s="30">
        <v>68.7</v>
      </c>
    </row>
    <row r="2835" spans="1:7" x14ac:dyDescent="0.25">
      <c r="A2835" s="29">
        <v>40441</v>
      </c>
      <c r="B2835" s="30">
        <v>68.599999999999994</v>
      </c>
      <c r="C2835" s="30">
        <v>68.8</v>
      </c>
      <c r="D2835" s="30"/>
      <c r="E2835" s="30">
        <v>64.3</v>
      </c>
      <c r="F2835" s="30">
        <v>68.5</v>
      </c>
      <c r="G2835" s="30">
        <v>69.5</v>
      </c>
    </row>
    <row r="2836" spans="1:7" x14ac:dyDescent="0.25">
      <c r="A2836" s="29">
        <v>40442</v>
      </c>
      <c r="B2836" s="30">
        <v>62.8</v>
      </c>
      <c r="C2836" s="30">
        <v>65.400000000000006</v>
      </c>
      <c r="D2836" s="30"/>
      <c r="E2836" s="30">
        <v>63.6</v>
      </c>
      <c r="F2836" s="30">
        <v>61.2</v>
      </c>
      <c r="G2836" s="30">
        <v>63.3</v>
      </c>
    </row>
    <row r="2837" spans="1:7" x14ac:dyDescent="0.25">
      <c r="A2837" s="29">
        <v>40443</v>
      </c>
      <c r="B2837" s="30">
        <v>69.900000000000006</v>
      </c>
      <c r="C2837" s="30">
        <v>72.8</v>
      </c>
      <c r="D2837" s="30"/>
      <c r="E2837" s="30">
        <v>72.099999999999994</v>
      </c>
      <c r="F2837" s="30">
        <v>73.099999999999994</v>
      </c>
      <c r="G2837" s="30">
        <v>72.599999999999994</v>
      </c>
    </row>
    <row r="2838" spans="1:7" x14ac:dyDescent="0.25">
      <c r="A2838" s="29">
        <v>40444</v>
      </c>
      <c r="B2838" s="30">
        <v>71.8</v>
      </c>
      <c r="C2838" s="30">
        <v>73.599999999999994</v>
      </c>
      <c r="D2838" s="30"/>
      <c r="E2838" s="30">
        <v>71.3</v>
      </c>
      <c r="F2838" s="30">
        <v>72.900000000000006</v>
      </c>
      <c r="G2838" s="30">
        <v>72.599999999999994</v>
      </c>
    </row>
    <row r="2839" spans="1:7" x14ac:dyDescent="0.25">
      <c r="A2839" s="29">
        <v>40445</v>
      </c>
      <c r="B2839" s="30">
        <v>69.900000000000006</v>
      </c>
      <c r="C2839" s="30">
        <v>73.3</v>
      </c>
      <c r="D2839" s="30"/>
      <c r="E2839" s="30">
        <v>72.400000000000006</v>
      </c>
      <c r="F2839" s="30">
        <v>75.5</v>
      </c>
      <c r="G2839" s="30">
        <v>73</v>
      </c>
    </row>
    <row r="2840" spans="1:7" x14ac:dyDescent="0.25">
      <c r="A2840" s="29">
        <v>40446</v>
      </c>
      <c r="B2840" s="30">
        <v>77.599999999999994</v>
      </c>
      <c r="C2840" s="30">
        <v>81.400000000000006</v>
      </c>
      <c r="D2840" s="30"/>
      <c r="E2840" s="30">
        <v>80.3</v>
      </c>
      <c r="F2840" s="30">
        <v>80.8</v>
      </c>
      <c r="G2840" s="30">
        <v>81.5</v>
      </c>
    </row>
    <row r="2841" spans="1:7" x14ac:dyDescent="0.25">
      <c r="A2841" s="29">
        <v>40447</v>
      </c>
      <c r="B2841" s="30">
        <v>70.099999999999994</v>
      </c>
      <c r="C2841" s="30">
        <v>70.2</v>
      </c>
      <c r="D2841" s="30"/>
      <c r="E2841" s="30">
        <v>69</v>
      </c>
      <c r="F2841" s="30">
        <v>69</v>
      </c>
      <c r="G2841" s="30">
        <v>69.2</v>
      </c>
    </row>
    <row r="2842" spans="1:7" x14ac:dyDescent="0.25">
      <c r="A2842" s="29">
        <v>40448</v>
      </c>
      <c r="B2842" s="30">
        <v>66.599999999999994</v>
      </c>
      <c r="C2842" s="30">
        <v>67.099999999999994</v>
      </c>
      <c r="D2842" s="30"/>
      <c r="E2842" s="30">
        <v>65.8</v>
      </c>
      <c r="F2842" s="30">
        <v>71.3</v>
      </c>
      <c r="G2842" s="30">
        <v>66.7</v>
      </c>
    </row>
    <row r="2843" spans="1:7" x14ac:dyDescent="0.25">
      <c r="A2843" s="29">
        <v>40449</v>
      </c>
      <c r="B2843" s="30">
        <v>72.2</v>
      </c>
      <c r="C2843" s="30">
        <v>73.5</v>
      </c>
      <c r="D2843" s="30"/>
      <c r="E2843" s="30">
        <v>71.400000000000006</v>
      </c>
      <c r="F2843" s="30">
        <v>73.599999999999994</v>
      </c>
      <c r="G2843" s="30">
        <v>73.900000000000006</v>
      </c>
    </row>
    <row r="2844" spans="1:7" x14ac:dyDescent="0.25">
      <c r="A2844" s="29">
        <v>40450</v>
      </c>
      <c r="B2844" s="30">
        <v>70.5</v>
      </c>
      <c r="C2844" s="30">
        <v>72.599999999999994</v>
      </c>
      <c r="D2844" s="30"/>
      <c r="E2844" s="30">
        <v>70.599999999999994</v>
      </c>
      <c r="F2844" s="30">
        <v>70.099999999999994</v>
      </c>
      <c r="G2844" s="30">
        <v>71.599999999999994</v>
      </c>
    </row>
    <row r="2845" spans="1:7" x14ac:dyDescent="0.25">
      <c r="A2845" s="29">
        <v>40451</v>
      </c>
      <c r="B2845" s="30">
        <v>72.5</v>
      </c>
      <c r="C2845" s="30">
        <v>73.7</v>
      </c>
      <c r="D2845" s="30"/>
      <c r="E2845" s="30">
        <v>71.8</v>
      </c>
      <c r="F2845" s="30">
        <v>74.099999999999994</v>
      </c>
      <c r="G2845" s="30">
        <v>73.599999999999994</v>
      </c>
    </row>
    <row r="2846" spans="1:7" x14ac:dyDescent="0.25">
      <c r="A2846" s="29">
        <v>40452</v>
      </c>
      <c r="B2846" s="30">
        <v>68.3</v>
      </c>
      <c r="C2846" s="30">
        <v>69.400000000000006</v>
      </c>
      <c r="D2846" s="30"/>
      <c r="E2846" s="30">
        <v>66.400000000000006</v>
      </c>
      <c r="F2846" s="30">
        <v>68.7</v>
      </c>
      <c r="G2846" s="30">
        <v>69</v>
      </c>
    </row>
    <row r="2847" spans="1:7" x14ac:dyDescent="0.25">
      <c r="A2847" s="29">
        <v>40453</v>
      </c>
      <c r="B2847" s="30">
        <v>60.3</v>
      </c>
      <c r="C2847" s="30">
        <v>61</v>
      </c>
      <c r="D2847" s="30"/>
      <c r="E2847" s="30">
        <v>61.4</v>
      </c>
      <c r="F2847" s="30">
        <v>59.1</v>
      </c>
      <c r="G2847" s="30">
        <v>59.9</v>
      </c>
    </row>
    <row r="2848" spans="1:7" x14ac:dyDescent="0.25">
      <c r="A2848" s="29">
        <v>40454</v>
      </c>
      <c r="B2848" s="30">
        <v>57.3</v>
      </c>
      <c r="C2848" s="30">
        <v>58.6</v>
      </c>
      <c r="D2848" s="30"/>
      <c r="E2848" s="30">
        <v>56.7</v>
      </c>
      <c r="F2848" s="30">
        <v>54.4</v>
      </c>
      <c r="G2848" s="30">
        <v>56.6</v>
      </c>
    </row>
    <row r="2849" spans="1:7" x14ac:dyDescent="0.25">
      <c r="A2849" s="29">
        <v>40455</v>
      </c>
      <c r="B2849" s="30">
        <v>55.3</v>
      </c>
      <c r="C2849" s="30">
        <v>56.7</v>
      </c>
      <c r="D2849" s="30"/>
      <c r="E2849" s="30">
        <v>53.8</v>
      </c>
      <c r="F2849" s="30">
        <v>56</v>
      </c>
      <c r="G2849" s="30">
        <v>55</v>
      </c>
    </row>
    <row r="2850" spans="1:7" x14ac:dyDescent="0.25">
      <c r="A2850" s="29">
        <v>40456</v>
      </c>
      <c r="B2850" s="30">
        <v>58.2</v>
      </c>
      <c r="C2850" s="30">
        <v>57.8</v>
      </c>
      <c r="D2850" s="30"/>
      <c r="E2850" s="30">
        <v>56.3</v>
      </c>
      <c r="F2850" s="30">
        <v>53.9</v>
      </c>
      <c r="G2850" s="30">
        <v>56.1</v>
      </c>
    </row>
    <row r="2851" spans="1:7" x14ac:dyDescent="0.25">
      <c r="A2851" s="29">
        <v>40457</v>
      </c>
      <c r="B2851" s="30">
        <v>59.7</v>
      </c>
      <c r="C2851" s="30">
        <v>60.3</v>
      </c>
      <c r="D2851" s="30"/>
      <c r="E2851" s="30">
        <v>58.7</v>
      </c>
      <c r="F2851" s="30">
        <v>54.1</v>
      </c>
      <c r="G2851" s="30">
        <v>58.5</v>
      </c>
    </row>
    <row r="2852" spans="1:7" x14ac:dyDescent="0.25">
      <c r="A2852" s="29">
        <v>40458</v>
      </c>
      <c r="B2852" s="30">
        <v>61</v>
      </c>
      <c r="C2852" s="30">
        <v>61.4</v>
      </c>
      <c r="D2852" s="30"/>
      <c r="E2852" s="30">
        <v>60</v>
      </c>
      <c r="F2852" s="30">
        <v>60.2</v>
      </c>
      <c r="G2852" s="30">
        <v>60.3</v>
      </c>
    </row>
    <row r="2853" spans="1:7" x14ac:dyDescent="0.25">
      <c r="A2853" s="29">
        <v>40459</v>
      </c>
      <c r="B2853" s="30">
        <v>64</v>
      </c>
      <c r="C2853" s="30">
        <v>65.7</v>
      </c>
      <c r="D2853" s="30"/>
      <c r="E2853" s="30">
        <v>63.2</v>
      </c>
      <c r="F2853" s="30">
        <v>61.8</v>
      </c>
      <c r="G2853" s="30">
        <v>64.3</v>
      </c>
    </row>
    <row r="2854" spans="1:7" x14ac:dyDescent="0.25">
      <c r="A2854" s="29">
        <v>40460</v>
      </c>
      <c r="B2854" s="30">
        <v>66.3</v>
      </c>
      <c r="C2854" s="30">
        <v>68.5</v>
      </c>
      <c r="D2854" s="30"/>
      <c r="E2854" s="30">
        <v>65.3</v>
      </c>
      <c r="F2854" s="30">
        <v>64.7</v>
      </c>
      <c r="G2854" s="30">
        <v>65.7</v>
      </c>
    </row>
    <row r="2855" spans="1:7" x14ac:dyDescent="0.25">
      <c r="A2855" s="29">
        <v>40461</v>
      </c>
      <c r="B2855" s="30">
        <v>57.6</v>
      </c>
      <c r="C2855" s="30">
        <v>61</v>
      </c>
      <c r="D2855" s="30"/>
      <c r="E2855" s="30">
        <v>58</v>
      </c>
      <c r="F2855" s="30">
        <v>58.4</v>
      </c>
      <c r="G2855" s="30">
        <v>58.6</v>
      </c>
    </row>
    <row r="2856" spans="1:7" x14ac:dyDescent="0.25">
      <c r="A2856" s="29">
        <v>40462</v>
      </c>
      <c r="B2856" s="30">
        <v>64.400000000000006</v>
      </c>
      <c r="C2856" s="30">
        <v>68.3</v>
      </c>
      <c r="D2856" s="30"/>
      <c r="E2856" s="30">
        <v>65.400000000000006</v>
      </c>
      <c r="F2856" s="30">
        <v>67.7</v>
      </c>
      <c r="G2856" s="30">
        <v>65.3</v>
      </c>
    </row>
    <row r="2857" spans="1:7" x14ac:dyDescent="0.25">
      <c r="A2857" s="29">
        <v>40463</v>
      </c>
      <c r="B2857" s="30">
        <v>64.3</v>
      </c>
      <c r="C2857" s="30">
        <v>65.2</v>
      </c>
      <c r="D2857" s="30"/>
      <c r="E2857" s="30">
        <v>62.8</v>
      </c>
      <c r="F2857" s="30">
        <v>67.099999999999994</v>
      </c>
      <c r="G2857" s="30">
        <v>64.900000000000006</v>
      </c>
    </row>
    <row r="2858" spans="1:7" x14ac:dyDescent="0.25">
      <c r="A2858" s="29">
        <v>40464</v>
      </c>
      <c r="B2858" s="30">
        <v>57.1</v>
      </c>
      <c r="C2858" s="30">
        <v>58</v>
      </c>
      <c r="D2858" s="30"/>
      <c r="E2858" s="30">
        <v>56</v>
      </c>
      <c r="F2858" s="30">
        <v>56.5</v>
      </c>
      <c r="G2858" s="30">
        <v>56.9</v>
      </c>
    </row>
    <row r="2859" spans="1:7" x14ac:dyDescent="0.25">
      <c r="A2859" s="29">
        <v>40465</v>
      </c>
      <c r="B2859" s="30">
        <v>55.3</v>
      </c>
      <c r="C2859" s="30">
        <v>59</v>
      </c>
      <c r="D2859" s="30"/>
      <c r="E2859" s="30">
        <v>55.8</v>
      </c>
      <c r="F2859" s="30">
        <v>50.2</v>
      </c>
      <c r="G2859" s="30">
        <v>55.3</v>
      </c>
    </row>
    <row r="2860" spans="1:7" x14ac:dyDescent="0.25">
      <c r="A2860" s="29">
        <v>40466</v>
      </c>
      <c r="B2860" s="30">
        <v>54.7</v>
      </c>
      <c r="C2860" s="30">
        <v>55.5</v>
      </c>
      <c r="D2860" s="30"/>
      <c r="E2860" s="30">
        <v>53.2</v>
      </c>
      <c r="F2860" s="30">
        <v>54</v>
      </c>
      <c r="G2860" s="30">
        <v>54.3</v>
      </c>
    </row>
    <row r="2861" spans="1:7" x14ac:dyDescent="0.25">
      <c r="A2861" s="29">
        <v>40467</v>
      </c>
      <c r="B2861" s="30">
        <v>55</v>
      </c>
      <c r="C2861" s="30">
        <v>55.8</v>
      </c>
      <c r="D2861" s="30"/>
      <c r="E2861" s="30">
        <v>54</v>
      </c>
      <c r="F2861" s="30">
        <v>56.9</v>
      </c>
      <c r="G2861" s="30">
        <v>55.5</v>
      </c>
    </row>
    <row r="2862" spans="1:7" x14ac:dyDescent="0.25">
      <c r="A2862" s="29">
        <v>40468</v>
      </c>
      <c r="B2862" s="30">
        <v>57.7</v>
      </c>
      <c r="C2862" s="30">
        <v>59.4</v>
      </c>
      <c r="D2862" s="30"/>
      <c r="E2862" s="30">
        <v>56.9</v>
      </c>
      <c r="F2862" s="30">
        <v>55.5</v>
      </c>
      <c r="G2862" s="30">
        <v>57</v>
      </c>
    </row>
    <row r="2863" spans="1:7" x14ac:dyDescent="0.25">
      <c r="A2863" s="29">
        <v>40469</v>
      </c>
      <c r="B2863" s="30">
        <v>56.9</v>
      </c>
      <c r="C2863" s="30">
        <v>58.1</v>
      </c>
      <c r="D2863" s="30"/>
      <c r="E2863" s="30">
        <v>55.4</v>
      </c>
      <c r="F2863" s="30">
        <v>55.7</v>
      </c>
      <c r="G2863" s="30">
        <v>55.9</v>
      </c>
    </row>
    <row r="2864" spans="1:7" x14ac:dyDescent="0.25">
      <c r="A2864" s="29">
        <v>40470</v>
      </c>
      <c r="B2864" s="30">
        <v>53.3</v>
      </c>
      <c r="C2864" s="30">
        <v>55.1</v>
      </c>
      <c r="D2864" s="30"/>
      <c r="E2864" s="30">
        <v>53</v>
      </c>
      <c r="F2864" s="30">
        <v>53.5</v>
      </c>
      <c r="G2864" s="30">
        <v>54.1</v>
      </c>
    </row>
    <row r="2865" spans="1:7" x14ac:dyDescent="0.25">
      <c r="A2865" s="29">
        <v>40471</v>
      </c>
      <c r="B2865" s="30">
        <v>53.4</v>
      </c>
      <c r="C2865" s="30">
        <v>56.6</v>
      </c>
      <c r="D2865" s="30"/>
      <c r="E2865" s="30">
        <v>54</v>
      </c>
      <c r="F2865" s="30">
        <v>50.7</v>
      </c>
      <c r="G2865" s="30">
        <v>53.4</v>
      </c>
    </row>
    <row r="2866" spans="1:7" x14ac:dyDescent="0.25">
      <c r="A2866" s="29">
        <v>40472</v>
      </c>
      <c r="B2866" s="30">
        <v>54.8</v>
      </c>
      <c r="C2866" s="30">
        <v>55.6</v>
      </c>
      <c r="D2866" s="30"/>
      <c r="E2866" s="30">
        <v>53.8</v>
      </c>
      <c r="F2866" s="30">
        <v>54.8</v>
      </c>
      <c r="G2866" s="30">
        <v>53.7</v>
      </c>
    </row>
    <row r="2867" spans="1:7" x14ac:dyDescent="0.25">
      <c r="A2867" s="29">
        <v>40473</v>
      </c>
      <c r="B2867" s="30">
        <v>51.5</v>
      </c>
      <c r="C2867" s="30">
        <v>51.8</v>
      </c>
      <c r="D2867" s="30"/>
      <c r="E2867" s="30">
        <v>49.3</v>
      </c>
      <c r="F2867" s="30">
        <v>48.8</v>
      </c>
      <c r="G2867" s="30">
        <v>50.9</v>
      </c>
    </row>
    <row r="2868" spans="1:7" x14ac:dyDescent="0.25">
      <c r="A2868" s="29">
        <v>40474</v>
      </c>
      <c r="B2868" s="30">
        <v>52.7</v>
      </c>
      <c r="C2868" s="30">
        <v>55</v>
      </c>
      <c r="D2868" s="30"/>
      <c r="E2868" s="30">
        <v>52.8</v>
      </c>
      <c r="F2868" s="30">
        <v>51.8</v>
      </c>
      <c r="G2868" s="30">
        <v>52</v>
      </c>
    </row>
    <row r="2869" spans="1:7" x14ac:dyDescent="0.25">
      <c r="A2869" s="29">
        <v>40475</v>
      </c>
      <c r="B2869" s="30">
        <v>59.2</v>
      </c>
      <c r="C2869" s="30">
        <v>61.3</v>
      </c>
      <c r="D2869" s="30"/>
      <c r="E2869" s="30">
        <v>60.4</v>
      </c>
      <c r="F2869" s="30">
        <v>63.9</v>
      </c>
      <c r="G2869" s="30">
        <v>60.2</v>
      </c>
    </row>
    <row r="2870" spans="1:7" x14ac:dyDescent="0.25">
      <c r="A2870" s="29">
        <v>40476</v>
      </c>
      <c r="B2870" s="30">
        <v>60.1</v>
      </c>
      <c r="C2870" s="30">
        <v>63</v>
      </c>
      <c r="D2870" s="30"/>
      <c r="E2870" s="30">
        <v>61.9</v>
      </c>
      <c r="F2870" s="30">
        <v>64.400000000000006</v>
      </c>
      <c r="G2870" s="30">
        <v>63.3</v>
      </c>
    </row>
    <row r="2871" spans="1:7" x14ac:dyDescent="0.25">
      <c r="A2871" s="29">
        <v>40477</v>
      </c>
      <c r="B2871" s="30">
        <v>64.099999999999994</v>
      </c>
      <c r="C2871" s="30">
        <v>67.5</v>
      </c>
      <c r="D2871" s="30"/>
      <c r="E2871" s="30">
        <v>67.099999999999994</v>
      </c>
      <c r="F2871" s="30">
        <v>66.8</v>
      </c>
      <c r="G2871" s="30">
        <v>68.3</v>
      </c>
    </row>
    <row r="2872" spans="1:7" x14ac:dyDescent="0.25">
      <c r="A2872" s="29">
        <v>40478</v>
      </c>
      <c r="B2872" s="30">
        <v>65.3</v>
      </c>
      <c r="C2872" s="30">
        <v>68.7</v>
      </c>
      <c r="D2872" s="30"/>
      <c r="E2872" s="30">
        <v>69.400000000000006</v>
      </c>
      <c r="F2872" s="30">
        <v>70.2</v>
      </c>
      <c r="G2872" s="30">
        <v>71.099999999999994</v>
      </c>
    </row>
    <row r="2873" spans="1:7" x14ac:dyDescent="0.25">
      <c r="A2873" s="29">
        <v>40479</v>
      </c>
      <c r="B2873" s="30">
        <v>67</v>
      </c>
      <c r="C2873" s="30">
        <v>70.2</v>
      </c>
      <c r="D2873" s="30"/>
      <c r="E2873" s="30">
        <v>68</v>
      </c>
      <c r="F2873" s="30">
        <v>71.3</v>
      </c>
      <c r="G2873" s="30">
        <v>67.900000000000006</v>
      </c>
    </row>
    <row r="2874" spans="1:7" x14ac:dyDescent="0.25">
      <c r="A2874" s="29">
        <v>40480</v>
      </c>
      <c r="B2874" s="30">
        <v>56.1</v>
      </c>
      <c r="C2874" s="30">
        <v>57.1</v>
      </c>
      <c r="D2874" s="30"/>
      <c r="E2874" s="30">
        <v>54.8</v>
      </c>
      <c r="F2874" s="30">
        <v>52.7</v>
      </c>
      <c r="G2874" s="30">
        <v>56.1</v>
      </c>
    </row>
    <row r="2875" spans="1:7" x14ac:dyDescent="0.25">
      <c r="A2875" s="29">
        <v>40481</v>
      </c>
      <c r="B2875" s="30">
        <v>49.9</v>
      </c>
      <c r="C2875" s="30">
        <v>51.2</v>
      </c>
      <c r="D2875" s="30"/>
      <c r="E2875" s="30">
        <v>49.1</v>
      </c>
      <c r="F2875" s="30">
        <v>47.7</v>
      </c>
      <c r="G2875" s="30">
        <v>48.9</v>
      </c>
    </row>
    <row r="2876" spans="1:7" x14ac:dyDescent="0.25">
      <c r="A2876" s="29">
        <v>40482</v>
      </c>
      <c r="B2876" s="30">
        <v>52.8</v>
      </c>
      <c r="C2876" s="30">
        <v>53.8</v>
      </c>
      <c r="D2876" s="30"/>
      <c r="E2876" s="30">
        <v>51.6</v>
      </c>
      <c r="F2876" s="30">
        <v>55.4</v>
      </c>
      <c r="G2876" s="30">
        <v>51.3</v>
      </c>
    </row>
    <row r="2877" spans="1:7" x14ac:dyDescent="0.25">
      <c r="A2877" s="29">
        <v>40483</v>
      </c>
      <c r="B2877" s="30">
        <v>43.5</v>
      </c>
      <c r="C2877" s="30">
        <v>44.5</v>
      </c>
      <c r="D2877" s="30"/>
      <c r="E2877" s="30">
        <v>42.6</v>
      </c>
      <c r="F2877" s="30">
        <v>42.3</v>
      </c>
      <c r="G2877" s="30">
        <v>44.1</v>
      </c>
    </row>
    <row r="2878" spans="1:7" x14ac:dyDescent="0.25">
      <c r="A2878" s="29">
        <v>40484</v>
      </c>
      <c r="B2878" s="30">
        <v>43.6</v>
      </c>
      <c r="C2878" s="30">
        <v>45</v>
      </c>
      <c r="D2878" s="30"/>
      <c r="E2878" s="30">
        <v>42.2</v>
      </c>
      <c r="F2878" s="30">
        <v>39.799999999999997</v>
      </c>
      <c r="G2878" s="30">
        <v>43.8</v>
      </c>
    </row>
    <row r="2879" spans="1:7" x14ac:dyDescent="0.25">
      <c r="A2879" s="29">
        <v>40485</v>
      </c>
      <c r="B2879" s="30">
        <v>44.4</v>
      </c>
      <c r="C2879" s="30">
        <v>48</v>
      </c>
      <c r="D2879" s="30"/>
      <c r="E2879" s="30">
        <v>46.4</v>
      </c>
      <c r="F2879" s="30">
        <v>40.9</v>
      </c>
      <c r="G2879" s="30">
        <v>45.5</v>
      </c>
    </row>
    <row r="2880" spans="1:7" x14ac:dyDescent="0.25">
      <c r="A2880" s="29">
        <v>40486</v>
      </c>
      <c r="B2880" s="30">
        <v>49.2</v>
      </c>
      <c r="C2880" s="30">
        <v>50.2</v>
      </c>
      <c r="D2880" s="30"/>
      <c r="E2880" s="30">
        <v>48.4</v>
      </c>
      <c r="F2880" s="30">
        <v>51.7</v>
      </c>
      <c r="G2880" s="30">
        <v>48.8</v>
      </c>
    </row>
    <row r="2881" spans="1:7" x14ac:dyDescent="0.25">
      <c r="A2881" s="29">
        <v>40487</v>
      </c>
      <c r="B2881" s="30">
        <v>49.7</v>
      </c>
      <c r="C2881" s="30">
        <v>50</v>
      </c>
      <c r="D2881" s="30"/>
      <c r="E2881" s="30">
        <v>48.1</v>
      </c>
      <c r="F2881" s="30">
        <v>49</v>
      </c>
      <c r="G2881" s="30">
        <v>48.6</v>
      </c>
    </row>
    <row r="2882" spans="1:7" x14ac:dyDescent="0.25">
      <c r="A2882" s="29">
        <v>40488</v>
      </c>
      <c r="B2882" s="30">
        <v>46.8</v>
      </c>
      <c r="C2882" s="30">
        <v>48</v>
      </c>
      <c r="D2882" s="30"/>
      <c r="E2882" s="30">
        <v>45.7</v>
      </c>
      <c r="F2882" s="30">
        <v>43.5</v>
      </c>
      <c r="G2882" s="30">
        <v>45.5</v>
      </c>
    </row>
    <row r="2883" spans="1:7" x14ac:dyDescent="0.25">
      <c r="A2883" s="29">
        <v>40489</v>
      </c>
      <c r="B2883" s="30">
        <v>44.8</v>
      </c>
      <c r="C2883" s="30">
        <v>45.4</v>
      </c>
      <c r="D2883" s="30"/>
      <c r="E2883" s="30">
        <v>43.3</v>
      </c>
      <c r="F2883" s="30">
        <v>42.5</v>
      </c>
      <c r="G2883" s="30">
        <v>44.3</v>
      </c>
    </row>
    <row r="2884" spans="1:7" x14ac:dyDescent="0.25">
      <c r="A2884" s="29">
        <v>40490</v>
      </c>
      <c r="B2884" s="30">
        <v>43.2</v>
      </c>
      <c r="C2884" s="30">
        <v>44.6</v>
      </c>
      <c r="D2884" s="30"/>
      <c r="E2884" s="30">
        <v>42.5</v>
      </c>
      <c r="F2884" s="30">
        <v>43.7</v>
      </c>
      <c r="G2884" s="30">
        <v>43.6</v>
      </c>
    </row>
    <row r="2885" spans="1:7" x14ac:dyDescent="0.25">
      <c r="A2885" s="29">
        <v>40491</v>
      </c>
      <c r="B2885" s="30">
        <v>46</v>
      </c>
      <c r="C2885" s="30">
        <v>46.9</v>
      </c>
      <c r="D2885" s="30"/>
      <c r="E2885" s="30">
        <v>46.1</v>
      </c>
      <c r="F2885" s="30">
        <v>47.7</v>
      </c>
      <c r="G2885" s="30">
        <v>47.2</v>
      </c>
    </row>
    <row r="2886" spans="1:7" x14ac:dyDescent="0.25">
      <c r="A2886" s="29">
        <v>40492</v>
      </c>
      <c r="B2886" s="30">
        <v>51.2</v>
      </c>
      <c r="C2886" s="30">
        <v>51.7</v>
      </c>
      <c r="D2886" s="30"/>
      <c r="E2886" s="30">
        <v>50.7</v>
      </c>
      <c r="F2886" s="30">
        <v>50.3</v>
      </c>
      <c r="G2886" s="30">
        <v>51.8</v>
      </c>
    </row>
    <row r="2887" spans="1:7" x14ac:dyDescent="0.25">
      <c r="A2887" s="29">
        <v>40493</v>
      </c>
      <c r="B2887" s="30">
        <v>47.8</v>
      </c>
      <c r="C2887" s="30">
        <v>48.8</v>
      </c>
      <c r="D2887" s="30"/>
      <c r="E2887" s="30">
        <v>47.7</v>
      </c>
      <c r="F2887" s="30">
        <v>44.2</v>
      </c>
      <c r="G2887" s="30">
        <v>46.2</v>
      </c>
    </row>
    <row r="2888" spans="1:7" x14ac:dyDescent="0.25">
      <c r="A2888" s="29">
        <v>40494</v>
      </c>
      <c r="B2888" s="30">
        <v>50.3</v>
      </c>
      <c r="C2888" s="30">
        <v>52.7</v>
      </c>
      <c r="D2888" s="30"/>
      <c r="E2888" s="30">
        <v>52.1</v>
      </c>
      <c r="F2888" s="30">
        <v>43.8</v>
      </c>
      <c r="G2888" s="30">
        <v>49.1</v>
      </c>
    </row>
    <row r="2889" spans="1:7" x14ac:dyDescent="0.25">
      <c r="A2889" s="29">
        <v>40495</v>
      </c>
      <c r="B2889" s="30">
        <v>52.9</v>
      </c>
      <c r="C2889" s="30">
        <v>55.4</v>
      </c>
      <c r="D2889" s="30"/>
      <c r="E2889" s="30">
        <v>54.7</v>
      </c>
      <c r="F2889" s="30">
        <v>46.8</v>
      </c>
      <c r="G2889" s="30">
        <v>51.3</v>
      </c>
    </row>
    <row r="2890" spans="1:7" x14ac:dyDescent="0.25">
      <c r="A2890" s="29">
        <v>40496</v>
      </c>
      <c r="B2890" s="30">
        <v>49.3</v>
      </c>
      <c r="C2890" s="30">
        <v>51.8</v>
      </c>
      <c r="D2890" s="30"/>
      <c r="E2890" s="30">
        <v>53.2</v>
      </c>
      <c r="F2890" s="30">
        <v>45.7</v>
      </c>
      <c r="G2890" s="30">
        <v>50.5</v>
      </c>
    </row>
    <row r="2891" spans="1:7" x14ac:dyDescent="0.25">
      <c r="A2891" s="29">
        <v>40497</v>
      </c>
      <c r="B2891" s="30">
        <v>51.9</v>
      </c>
      <c r="C2891" s="30">
        <v>53</v>
      </c>
      <c r="D2891" s="30"/>
      <c r="E2891" s="30">
        <v>52.9</v>
      </c>
      <c r="F2891" s="30">
        <v>48.5</v>
      </c>
      <c r="G2891" s="30">
        <v>54</v>
      </c>
    </row>
    <row r="2892" spans="1:7" x14ac:dyDescent="0.25">
      <c r="A2892" s="29">
        <v>40498</v>
      </c>
      <c r="B2892" s="30">
        <v>53.1</v>
      </c>
      <c r="C2892" s="30">
        <v>54.9</v>
      </c>
      <c r="D2892" s="30"/>
      <c r="E2892" s="30">
        <v>53.7</v>
      </c>
      <c r="F2892" s="30">
        <v>53</v>
      </c>
      <c r="G2892" s="30">
        <v>54.2</v>
      </c>
    </row>
    <row r="2893" spans="1:7" x14ac:dyDescent="0.25">
      <c r="A2893" s="29">
        <v>40499</v>
      </c>
      <c r="B2893" s="30">
        <v>58.3</v>
      </c>
      <c r="C2893" s="30">
        <v>59.7</v>
      </c>
      <c r="D2893" s="30"/>
      <c r="E2893" s="30">
        <v>58</v>
      </c>
      <c r="F2893" s="30">
        <v>60.3</v>
      </c>
      <c r="G2893" s="30">
        <v>59.2</v>
      </c>
    </row>
    <row r="2894" spans="1:7" x14ac:dyDescent="0.25">
      <c r="A2894" s="29">
        <v>40500</v>
      </c>
      <c r="B2894" s="30">
        <v>51.4</v>
      </c>
      <c r="C2894" s="30">
        <v>52.9</v>
      </c>
      <c r="D2894" s="30"/>
      <c r="E2894" s="30">
        <v>50.8</v>
      </c>
      <c r="F2894" s="30">
        <v>50.6</v>
      </c>
      <c r="G2894" s="30">
        <v>50.8</v>
      </c>
    </row>
    <row r="2895" spans="1:7" x14ac:dyDescent="0.25">
      <c r="A2895" s="29">
        <v>40501</v>
      </c>
      <c r="B2895" s="30">
        <v>46</v>
      </c>
      <c r="C2895" s="30">
        <v>47</v>
      </c>
      <c r="D2895" s="30"/>
      <c r="E2895" s="30">
        <v>44.6</v>
      </c>
      <c r="F2895" s="30">
        <v>45.4</v>
      </c>
      <c r="G2895" s="30">
        <v>45.6</v>
      </c>
    </row>
    <row r="2896" spans="1:7" x14ac:dyDescent="0.25">
      <c r="A2896" s="29">
        <v>40502</v>
      </c>
      <c r="B2896" s="30">
        <v>46.6</v>
      </c>
      <c r="C2896" s="30">
        <v>48</v>
      </c>
      <c r="D2896" s="30"/>
      <c r="E2896" s="30">
        <v>46.6</v>
      </c>
      <c r="F2896" s="30">
        <v>46</v>
      </c>
      <c r="G2896" s="30">
        <v>44.5</v>
      </c>
    </row>
    <row r="2897" spans="1:7" x14ac:dyDescent="0.25">
      <c r="A2897" s="29">
        <v>40503</v>
      </c>
      <c r="B2897" s="30">
        <v>44.5</v>
      </c>
      <c r="C2897" s="30">
        <v>46.1</v>
      </c>
      <c r="D2897" s="30"/>
      <c r="E2897" s="30">
        <v>44.2</v>
      </c>
      <c r="F2897" s="30">
        <v>43.8</v>
      </c>
      <c r="G2897" s="30">
        <v>44.2</v>
      </c>
    </row>
    <row r="2898" spans="1:7" x14ac:dyDescent="0.25">
      <c r="A2898" s="29">
        <v>40504</v>
      </c>
      <c r="B2898" s="30">
        <v>51.6</v>
      </c>
      <c r="C2898" s="30">
        <v>53.1</v>
      </c>
      <c r="D2898" s="30"/>
      <c r="E2898" s="30">
        <v>53.4</v>
      </c>
      <c r="F2898" s="30">
        <v>50</v>
      </c>
      <c r="G2898" s="30">
        <v>54</v>
      </c>
    </row>
    <row r="2899" spans="1:7" x14ac:dyDescent="0.25">
      <c r="A2899" s="29">
        <v>40505</v>
      </c>
      <c r="B2899" s="30">
        <v>54.1</v>
      </c>
      <c r="C2899" s="30">
        <v>58.3</v>
      </c>
      <c r="D2899" s="30"/>
      <c r="E2899" s="30">
        <v>57.2</v>
      </c>
      <c r="F2899" s="30">
        <v>58.9</v>
      </c>
      <c r="G2899" s="30">
        <v>55.6</v>
      </c>
    </row>
    <row r="2900" spans="1:7" x14ac:dyDescent="0.25">
      <c r="A2900" s="29">
        <v>40506</v>
      </c>
      <c r="B2900" s="30">
        <v>48.6</v>
      </c>
      <c r="C2900" s="30">
        <v>50</v>
      </c>
      <c r="D2900" s="30"/>
      <c r="E2900" s="30">
        <v>47.4</v>
      </c>
      <c r="F2900" s="30">
        <v>49.9</v>
      </c>
      <c r="G2900" s="30">
        <v>48.8</v>
      </c>
    </row>
    <row r="2901" spans="1:7" x14ac:dyDescent="0.25">
      <c r="A2901" s="29">
        <v>40507</v>
      </c>
      <c r="B2901" s="30">
        <v>41.6</v>
      </c>
      <c r="C2901" s="30">
        <v>42.5</v>
      </c>
      <c r="D2901" s="30"/>
      <c r="E2901" s="30">
        <v>40.700000000000003</v>
      </c>
      <c r="F2901" s="30">
        <v>41.1</v>
      </c>
      <c r="G2901" s="30">
        <v>40.700000000000003</v>
      </c>
    </row>
    <row r="2902" spans="1:7" x14ac:dyDescent="0.25">
      <c r="A2902" s="29">
        <v>40508</v>
      </c>
      <c r="B2902" s="30">
        <v>49.5</v>
      </c>
      <c r="C2902" s="30">
        <v>49</v>
      </c>
      <c r="D2902" s="30"/>
      <c r="E2902" s="30">
        <v>47.5</v>
      </c>
      <c r="F2902" s="30">
        <v>54.8</v>
      </c>
      <c r="G2902" s="30">
        <v>47.5</v>
      </c>
    </row>
    <row r="2903" spans="1:7" x14ac:dyDescent="0.25">
      <c r="A2903" s="29">
        <v>40509</v>
      </c>
      <c r="B2903" s="30">
        <v>40.1</v>
      </c>
      <c r="C2903" s="30">
        <v>41</v>
      </c>
      <c r="D2903" s="30"/>
      <c r="E2903" s="30">
        <v>38.6</v>
      </c>
      <c r="F2903" s="30">
        <v>40.299999999999997</v>
      </c>
      <c r="G2903" s="30">
        <v>39</v>
      </c>
    </row>
    <row r="2904" spans="1:7" x14ac:dyDescent="0.25">
      <c r="A2904" s="29">
        <v>40510</v>
      </c>
      <c r="B2904" s="30">
        <v>40</v>
      </c>
      <c r="C2904" s="30">
        <v>42.3</v>
      </c>
      <c r="D2904" s="30"/>
      <c r="E2904" s="30">
        <v>40</v>
      </c>
      <c r="F2904" s="30">
        <v>38</v>
      </c>
      <c r="G2904" s="30">
        <v>40</v>
      </c>
    </row>
    <row r="2905" spans="1:7" x14ac:dyDescent="0.25">
      <c r="A2905" s="29">
        <v>40511</v>
      </c>
      <c r="B2905" s="30">
        <v>40.6</v>
      </c>
      <c r="C2905" s="30">
        <v>44</v>
      </c>
      <c r="D2905" s="30"/>
      <c r="E2905" s="30">
        <v>41.4</v>
      </c>
      <c r="F2905" s="30">
        <v>35.200000000000003</v>
      </c>
      <c r="G2905" s="30">
        <v>39.5</v>
      </c>
    </row>
    <row r="2906" spans="1:7" x14ac:dyDescent="0.25">
      <c r="A2906" s="29">
        <v>40512</v>
      </c>
      <c r="B2906" s="30">
        <v>49.3</v>
      </c>
      <c r="C2906" s="30">
        <v>50.2</v>
      </c>
      <c r="D2906" s="30"/>
      <c r="E2906" s="30">
        <v>49.2</v>
      </c>
      <c r="F2906" s="30">
        <v>48.2</v>
      </c>
      <c r="G2906" s="30">
        <v>47.9</v>
      </c>
    </row>
    <row r="2907" spans="1:7" x14ac:dyDescent="0.25">
      <c r="A2907" s="29">
        <v>40513</v>
      </c>
      <c r="B2907" s="30">
        <v>55.6</v>
      </c>
      <c r="C2907" s="30">
        <v>58.4</v>
      </c>
      <c r="D2907" s="30"/>
      <c r="E2907" s="30">
        <v>56.3</v>
      </c>
      <c r="F2907" s="30">
        <v>57.7</v>
      </c>
      <c r="G2907" s="30">
        <v>55.9</v>
      </c>
    </row>
    <row r="2908" spans="1:7" x14ac:dyDescent="0.25">
      <c r="A2908" s="29">
        <v>40514</v>
      </c>
      <c r="B2908" s="30">
        <v>39.799999999999997</v>
      </c>
      <c r="C2908" s="30">
        <v>40.799999999999997</v>
      </c>
      <c r="D2908" s="30"/>
      <c r="E2908" s="30">
        <v>38.6</v>
      </c>
      <c r="F2908" s="30">
        <v>37.200000000000003</v>
      </c>
      <c r="G2908" s="30">
        <v>39.299999999999997</v>
      </c>
    </row>
    <row r="2909" spans="1:7" x14ac:dyDescent="0.25">
      <c r="A2909" s="29">
        <v>40515</v>
      </c>
      <c r="B2909" s="30">
        <v>37.200000000000003</v>
      </c>
      <c r="C2909" s="30">
        <v>38.799999999999997</v>
      </c>
      <c r="D2909" s="30"/>
      <c r="E2909" s="30">
        <v>36.6</v>
      </c>
      <c r="F2909" s="30">
        <v>35.5</v>
      </c>
      <c r="G2909" s="30">
        <v>37.4</v>
      </c>
    </row>
    <row r="2910" spans="1:7" x14ac:dyDescent="0.25">
      <c r="A2910" s="29">
        <v>40516</v>
      </c>
      <c r="B2910" s="30">
        <v>36.200000000000003</v>
      </c>
      <c r="C2910" s="30">
        <v>37.700000000000003</v>
      </c>
      <c r="D2910" s="30"/>
      <c r="E2910" s="30">
        <v>35.1</v>
      </c>
      <c r="F2910" s="30">
        <v>34.1</v>
      </c>
      <c r="G2910" s="30">
        <v>35.6</v>
      </c>
    </row>
    <row r="2911" spans="1:7" x14ac:dyDescent="0.25">
      <c r="A2911" s="29">
        <v>40517</v>
      </c>
      <c r="B2911" s="30">
        <v>33.9</v>
      </c>
      <c r="C2911" s="30">
        <v>34.9</v>
      </c>
      <c r="D2911" s="30"/>
      <c r="E2911" s="30">
        <v>32.799999999999997</v>
      </c>
      <c r="F2911" s="30">
        <v>34.700000000000003</v>
      </c>
      <c r="G2911" s="30">
        <v>33.200000000000003</v>
      </c>
    </row>
    <row r="2912" spans="1:7" x14ac:dyDescent="0.25">
      <c r="A2912" s="29">
        <v>40518</v>
      </c>
      <c r="B2912" s="30">
        <v>33.299999999999997</v>
      </c>
      <c r="C2912" s="30">
        <v>34.700000000000003</v>
      </c>
      <c r="D2912" s="30"/>
      <c r="E2912" s="30">
        <v>32.4</v>
      </c>
      <c r="F2912" s="30">
        <v>32.799999999999997</v>
      </c>
      <c r="G2912" s="30">
        <v>33</v>
      </c>
    </row>
    <row r="2913" spans="1:7" x14ac:dyDescent="0.25">
      <c r="A2913" s="29">
        <v>40519</v>
      </c>
      <c r="B2913" s="30">
        <v>33.4</v>
      </c>
      <c r="C2913" s="30">
        <v>34.799999999999997</v>
      </c>
      <c r="D2913" s="30"/>
      <c r="E2913" s="30">
        <v>32.700000000000003</v>
      </c>
      <c r="F2913" s="30">
        <v>32.4</v>
      </c>
      <c r="G2913" s="30">
        <v>33.299999999999997</v>
      </c>
    </row>
    <row r="2914" spans="1:7" x14ac:dyDescent="0.25">
      <c r="A2914" s="29">
        <v>40520</v>
      </c>
      <c r="B2914" s="30">
        <v>32.5</v>
      </c>
      <c r="C2914" s="30">
        <v>33.5</v>
      </c>
      <c r="D2914" s="30"/>
      <c r="E2914" s="30">
        <v>31.2</v>
      </c>
      <c r="F2914" s="30">
        <v>30.8</v>
      </c>
      <c r="G2914" s="30">
        <v>32.299999999999997</v>
      </c>
    </row>
    <row r="2915" spans="1:7" x14ac:dyDescent="0.25">
      <c r="A2915" s="29">
        <v>40521</v>
      </c>
      <c r="B2915" s="30">
        <v>28.4</v>
      </c>
      <c r="C2915" s="30">
        <v>29.8</v>
      </c>
      <c r="D2915" s="30"/>
      <c r="E2915" s="30">
        <v>27.3</v>
      </c>
      <c r="F2915" s="30">
        <v>27.4</v>
      </c>
      <c r="G2915" s="30">
        <v>27.8</v>
      </c>
    </row>
    <row r="2916" spans="1:7" x14ac:dyDescent="0.25">
      <c r="A2916" s="29">
        <v>40522</v>
      </c>
      <c r="B2916" s="30">
        <v>26.3</v>
      </c>
      <c r="C2916" s="30">
        <v>28.4</v>
      </c>
      <c r="D2916" s="30"/>
      <c r="E2916" s="30">
        <v>27.3</v>
      </c>
      <c r="F2916" s="30">
        <v>25.4</v>
      </c>
      <c r="G2916" s="30">
        <v>26.7</v>
      </c>
    </row>
    <row r="2917" spans="1:7" x14ac:dyDescent="0.25">
      <c r="A2917" s="29">
        <v>40523</v>
      </c>
      <c r="B2917" s="30">
        <v>36.700000000000003</v>
      </c>
      <c r="C2917" s="30">
        <v>40.1</v>
      </c>
      <c r="D2917" s="30"/>
      <c r="E2917" s="30">
        <v>39.200000000000003</v>
      </c>
      <c r="F2917" s="30">
        <v>33.299999999999997</v>
      </c>
      <c r="G2917" s="30">
        <v>36.700000000000003</v>
      </c>
    </row>
    <row r="2918" spans="1:7" x14ac:dyDescent="0.25">
      <c r="A2918" s="29">
        <v>40524</v>
      </c>
      <c r="B2918" s="30">
        <v>46.7</v>
      </c>
      <c r="C2918" s="30">
        <v>48.5</v>
      </c>
      <c r="D2918" s="30"/>
      <c r="E2918" s="30">
        <v>47.2</v>
      </c>
      <c r="F2918" s="30">
        <v>50.2</v>
      </c>
      <c r="G2918" s="30">
        <v>47.3</v>
      </c>
    </row>
    <row r="2919" spans="1:7" x14ac:dyDescent="0.25">
      <c r="A2919" s="29">
        <v>40525</v>
      </c>
      <c r="B2919" s="30">
        <v>44.6</v>
      </c>
      <c r="C2919" s="30">
        <v>45.5</v>
      </c>
      <c r="D2919" s="30"/>
      <c r="E2919" s="30">
        <v>42.4</v>
      </c>
      <c r="F2919" s="30">
        <v>41.9</v>
      </c>
      <c r="G2919" s="30">
        <v>43</v>
      </c>
    </row>
    <row r="2920" spans="1:7" x14ac:dyDescent="0.25">
      <c r="A2920" s="29">
        <v>40526</v>
      </c>
      <c r="B2920" s="30">
        <v>23.1</v>
      </c>
      <c r="C2920" s="30">
        <v>24.3</v>
      </c>
      <c r="D2920" s="30"/>
      <c r="E2920" s="30">
        <v>21.5</v>
      </c>
      <c r="F2920" s="30">
        <v>23.2</v>
      </c>
      <c r="G2920" s="30">
        <v>23.1</v>
      </c>
    </row>
    <row r="2921" spans="1:7" x14ac:dyDescent="0.25">
      <c r="A2921" s="29">
        <v>40527</v>
      </c>
      <c r="B2921" s="30">
        <v>23.7</v>
      </c>
      <c r="C2921" s="30">
        <v>25.1</v>
      </c>
      <c r="D2921" s="30"/>
      <c r="E2921" s="30">
        <v>22.8</v>
      </c>
      <c r="F2921" s="30">
        <v>25.2</v>
      </c>
      <c r="G2921" s="30">
        <v>24</v>
      </c>
    </row>
    <row r="2922" spans="1:7" x14ac:dyDescent="0.25">
      <c r="A2922" s="29">
        <v>40528</v>
      </c>
      <c r="B2922" s="30">
        <v>26.9</v>
      </c>
      <c r="C2922" s="30">
        <v>28.6</v>
      </c>
      <c r="D2922" s="30"/>
      <c r="E2922" s="30">
        <v>26.3</v>
      </c>
      <c r="F2922" s="30">
        <v>24.2</v>
      </c>
      <c r="G2922" s="30">
        <v>26.3</v>
      </c>
    </row>
    <row r="2923" spans="1:7" x14ac:dyDescent="0.25">
      <c r="A2923" s="29">
        <v>40529</v>
      </c>
      <c r="B2923" s="30">
        <v>29.2</v>
      </c>
      <c r="C2923" s="30">
        <v>30.7</v>
      </c>
      <c r="D2923" s="30"/>
      <c r="E2923" s="30">
        <v>28.4</v>
      </c>
      <c r="F2923" s="30">
        <v>25.2</v>
      </c>
      <c r="G2923" s="30">
        <v>28.6</v>
      </c>
    </row>
    <row r="2924" spans="1:7" x14ac:dyDescent="0.25">
      <c r="A2924" s="29">
        <v>40530</v>
      </c>
      <c r="B2924" s="30">
        <v>31.8</v>
      </c>
      <c r="C2924" s="30">
        <v>34.299999999999997</v>
      </c>
      <c r="D2924" s="30"/>
      <c r="E2924" s="30">
        <v>31.7</v>
      </c>
      <c r="F2924" s="30">
        <v>28</v>
      </c>
      <c r="G2924" s="30">
        <v>30.9</v>
      </c>
    </row>
    <row r="2925" spans="1:7" x14ac:dyDescent="0.25">
      <c r="A2925" s="29">
        <v>40531</v>
      </c>
      <c r="B2925" s="30">
        <v>32.6</v>
      </c>
      <c r="C2925" s="30">
        <v>35.1</v>
      </c>
      <c r="D2925" s="30"/>
      <c r="E2925" s="30">
        <v>32.700000000000003</v>
      </c>
      <c r="F2925" s="30">
        <v>30.3</v>
      </c>
      <c r="G2925" s="30">
        <v>31.4</v>
      </c>
    </row>
    <row r="2926" spans="1:7" x14ac:dyDescent="0.25">
      <c r="A2926" s="29">
        <v>40532</v>
      </c>
      <c r="B2926" s="30">
        <v>31.3</v>
      </c>
      <c r="C2926" s="30">
        <v>33.1</v>
      </c>
      <c r="D2926" s="30"/>
      <c r="E2926" s="30">
        <v>30.4</v>
      </c>
      <c r="F2926" s="30">
        <v>30.3</v>
      </c>
      <c r="G2926" s="30">
        <v>31.3</v>
      </c>
    </row>
    <row r="2927" spans="1:7" x14ac:dyDescent="0.25">
      <c r="A2927" s="29">
        <v>40533</v>
      </c>
      <c r="B2927" s="30">
        <v>33.1</v>
      </c>
      <c r="C2927" s="30">
        <v>34.5</v>
      </c>
      <c r="D2927" s="30"/>
      <c r="E2927" s="30">
        <v>32</v>
      </c>
      <c r="F2927" s="30">
        <v>32.9</v>
      </c>
      <c r="G2927" s="30">
        <v>33.299999999999997</v>
      </c>
    </row>
    <row r="2928" spans="1:7" x14ac:dyDescent="0.25">
      <c r="A2928" s="29">
        <v>40534</v>
      </c>
      <c r="B2928" s="30">
        <v>33.4</v>
      </c>
      <c r="C2928" s="30">
        <v>34.5</v>
      </c>
      <c r="D2928" s="30"/>
      <c r="E2928" s="30">
        <v>31.9</v>
      </c>
      <c r="F2928" s="30">
        <v>31.7</v>
      </c>
      <c r="G2928" s="30">
        <v>32.799999999999997</v>
      </c>
    </row>
    <row r="2929" spans="1:7" x14ac:dyDescent="0.25">
      <c r="A2929" s="29">
        <v>40535</v>
      </c>
      <c r="B2929" s="30">
        <v>33.4</v>
      </c>
      <c r="C2929" s="30">
        <v>34.6</v>
      </c>
      <c r="D2929" s="30"/>
      <c r="E2929" s="30">
        <v>32.5</v>
      </c>
      <c r="F2929" s="30">
        <v>33.6</v>
      </c>
      <c r="G2929" s="30">
        <v>33.299999999999997</v>
      </c>
    </row>
    <row r="2930" spans="1:7" x14ac:dyDescent="0.25">
      <c r="A2930" s="29">
        <v>40536</v>
      </c>
      <c r="B2930" s="30">
        <v>33.5</v>
      </c>
      <c r="C2930" s="30">
        <v>34.799999999999997</v>
      </c>
      <c r="D2930" s="30"/>
      <c r="E2930" s="30">
        <v>32.700000000000003</v>
      </c>
      <c r="F2930" s="30">
        <v>33.4</v>
      </c>
      <c r="G2930" s="30">
        <v>33.799999999999997</v>
      </c>
    </row>
    <row r="2931" spans="1:7" x14ac:dyDescent="0.25">
      <c r="A2931" s="29">
        <v>40537</v>
      </c>
      <c r="B2931" s="30">
        <v>30.3</v>
      </c>
      <c r="C2931" s="30">
        <v>31.4</v>
      </c>
      <c r="D2931" s="30"/>
      <c r="E2931" s="30">
        <v>29</v>
      </c>
      <c r="F2931" s="30">
        <v>29.2</v>
      </c>
      <c r="G2931" s="30">
        <v>30.2</v>
      </c>
    </row>
    <row r="2932" spans="1:7" x14ac:dyDescent="0.25">
      <c r="A2932" s="29">
        <v>40538</v>
      </c>
      <c r="B2932" s="30">
        <v>29</v>
      </c>
      <c r="C2932" s="30">
        <v>29.4</v>
      </c>
      <c r="D2932" s="30"/>
      <c r="E2932" s="30">
        <v>26.8</v>
      </c>
      <c r="F2932" s="30">
        <v>27.9</v>
      </c>
      <c r="G2932" s="30">
        <v>28.1</v>
      </c>
    </row>
    <row r="2933" spans="1:7" x14ac:dyDescent="0.25">
      <c r="A2933" s="29">
        <v>40539</v>
      </c>
      <c r="B2933" s="30">
        <v>23.2</v>
      </c>
      <c r="C2933" s="30">
        <v>26</v>
      </c>
      <c r="D2933" s="30"/>
      <c r="E2933" s="30">
        <v>23.2</v>
      </c>
      <c r="F2933" s="30">
        <v>25.2</v>
      </c>
      <c r="G2933" s="30">
        <v>24.1</v>
      </c>
    </row>
    <row r="2934" spans="1:7" x14ac:dyDescent="0.25">
      <c r="A2934" s="29">
        <v>40540</v>
      </c>
      <c r="B2934" s="30">
        <v>28.9</v>
      </c>
      <c r="C2934" s="30">
        <v>31.9</v>
      </c>
      <c r="D2934" s="30"/>
      <c r="E2934" s="30">
        <v>29.8</v>
      </c>
      <c r="F2934" s="30">
        <v>29.3</v>
      </c>
      <c r="G2934" s="30">
        <v>30.1</v>
      </c>
    </row>
    <row r="2935" spans="1:7" x14ac:dyDescent="0.25">
      <c r="A2935" s="29">
        <v>40541</v>
      </c>
      <c r="B2935" s="30">
        <v>34.1</v>
      </c>
      <c r="C2935" s="30">
        <v>36.1</v>
      </c>
      <c r="D2935" s="30"/>
      <c r="E2935" s="30">
        <v>33.9</v>
      </c>
      <c r="F2935" s="30">
        <v>31.9</v>
      </c>
      <c r="G2935" s="30">
        <v>34.299999999999997</v>
      </c>
    </row>
    <row r="2936" spans="1:7" x14ac:dyDescent="0.25">
      <c r="A2936" s="29">
        <v>40542</v>
      </c>
      <c r="B2936" s="30">
        <v>30.5</v>
      </c>
      <c r="C2936" s="30">
        <v>35.4</v>
      </c>
      <c r="D2936" s="30"/>
      <c r="E2936" s="30">
        <v>33</v>
      </c>
      <c r="F2936" s="30">
        <v>25.8</v>
      </c>
      <c r="G2936" s="30">
        <v>31.9</v>
      </c>
    </row>
    <row r="2937" spans="1:7" x14ac:dyDescent="0.25">
      <c r="A2937" s="29">
        <v>40543</v>
      </c>
      <c r="B2937" s="30">
        <v>34.799999999999997</v>
      </c>
      <c r="C2937" s="30">
        <v>40.799999999999997</v>
      </c>
      <c r="D2937" s="30"/>
      <c r="E2937" s="30">
        <v>39.9</v>
      </c>
      <c r="F2937" s="30">
        <v>36.200000000000003</v>
      </c>
      <c r="G2937" s="30">
        <v>36.200000000000003</v>
      </c>
    </row>
    <row r="2938" spans="1:7" x14ac:dyDescent="0.25">
      <c r="A2938" s="29">
        <v>40544</v>
      </c>
      <c r="B2938" s="30">
        <v>37.700000000000003</v>
      </c>
      <c r="C2938" s="30">
        <v>44.3</v>
      </c>
      <c r="D2938" s="30"/>
      <c r="E2938" s="30">
        <v>44.8</v>
      </c>
      <c r="F2938" s="30">
        <v>39.700000000000003</v>
      </c>
      <c r="G2938" s="30">
        <v>40.299999999999997</v>
      </c>
    </row>
    <row r="2939" spans="1:7" x14ac:dyDescent="0.25">
      <c r="A2939" s="29">
        <v>40545</v>
      </c>
      <c r="B2939" s="30">
        <v>42.4</v>
      </c>
      <c r="C2939" s="30">
        <v>47.6</v>
      </c>
      <c r="D2939" s="30"/>
      <c r="E2939" s="30">
        <v>48.3</v>
      </c>
      <c r="F2939" s="30">
        <v>48.7</v>
      </c>
      <c r="G2939" s="30">
        <v>47.1</v>
      </c>
    </row>
    <row r="2940" spans="1:7" x14ac:dyDescent="0.25">
      <c r="A2940" s="29">
        <v>40546</v>
      </c>
      <c r="B2940" s="30">
        <v>34.200000000000003</v>
      </c>
      <c r="C2940" s="30">
        <v>36.4</v>
      </c>
      <c r="D2940" s="30"/>
      <c r="E2940" s="30">
        <v>33.700000000000003</v>
      </c>
      <c r="F2940" s="30">
        <v>33.700000000000003</v>
      </c>
      <c r="G2940" s="30">
        <v>35.1</v>
      </c>
    </row>
    <row r="2941" spans="1:7" x14ac:dyDescent="0.25">
      <c r="A2941" s="29">
        <v>40547</v>
      </c>
      <c r="B2941" s="30">
        <v>32.9</v>
      </c>
      <c r="C2941" s="30">
        <v>35.799999999999997</v>
      </c>
      <c r="D2941" s="30"/>
      <c r="E2941" s="30">
        <v>33.9</v>
      </c>
      <c r="F2941" s="30">
        <v>31.3</v>
      </c>
      <c r="G2941" s="30">
        <v>32.6</v>
      </c>
    </row>
    <row r="2942" spans="1:7" x14ac:dyDescent="0.25">
      <c r="A2942" s="29">
        <v>40548</v>
      </c>
      <c r="B2942" s="30">
        <v>35</v>
      </c>
      <c r="C2942" s="30">
        <v>38.6</v>
      </c>
      <c r="D2942" s="30"/>
      <c r="E2942" s="30">
        <v>35.6</v>
      </c>
      <c r="F2942" s="30">
        <v>33.9</v>
      </c>
      <c r="G2942" s="30">
        <v>34.5</v>
      </c>
    </row>
    <row r="2943" spans="1:7" x14ac:dyDescent="0.25">
      <c r="A2943" s="29">
        <v>40549</v>
      </c>
      <c r="B2943" s="30">
        <v>29.8</v>
      </c>
      <c r="C2943" s="30">
        <v>32.200000000000003</v>
      </c>
      <c r="D2943" s="30"/>
      <c r="E2943" s="30">
        <v>30.1</v>
      </c>
      <c r="F2943" s="30">
        <v>27.9</v>
      </c>
      <c r="G2943" s="30">
        <v>29.8</v>
      </c>
    </row>
    <row r="2944" spans="1:7" x14ac:dyDescent="0.25">
      <c r="A2944" s="29">
        <v>40550</v>
      </c>
      <c r="B2944" s="30">
        <v>30.8</v>
      </c>
      <c r="C2944" s="30">
        <v>33.299999999999997</v>
      </c>
      <c r="D2944" s="30"/>
      <c r="E2944" s="30">
        <v>31.4</v>
      </c>
      <c r="F2944" s="30">
        <v>29</v>
      </c>
      <c r="G2944" s="30">
        <v>31.6</v>
      </c>
    </row>
    <row r="2945" spans="1:7" x14ac:dyDescent="0.25">
      <c r="A2945" s="29">
        <v>40551</v>
      </c>
      <c r="B2945" s="30">
        <v>27.7</v>
      </c>
      <c r="C2945" s="30">
        <v>29.9</v>
      </c>
      <c r="D2945" s="30"/>
      <c r="E2945" s="30">
        <v>26.9</v>
      </c>
      <c r="F2945" s="30">
        <v>24.3</v>
      </c>
      <c r="G2945" s="30">
        <v>25.7</v>
      </c>
    </row>
    <row r="2946" spans="1:7" x14ac:dyDescent="0.25">
      <c r="A2946" s="29">
        <v>40552</v>
      </c>
      <c r="B2946" s="30">
        <v>29</v>
      </c>
      <c r="C2946" s="30">
        <v>30.7</v>
      </c>
      <c r="D2946" s="30"/>
      <c r="E2946" s="30">
        <v>28</v>
      </c>
      <c r="F2946" s="30">
        <v>25.1</v>
      </c>
      <c r="G2946" s="30">
        <v>28.7</v>
      </c>
    </row>
    <row r="2947" spans="1:7" x14ac:dyDescent="0.25">
      <c r="A2947" s="29">
        <v>40553</v>
      </c>
      <c r="B2947" s="30">
        <v>29.3</v>
      </c>
      <c r="C2947" s="30">
        <v>30.8</v>
      </c>
      <c r="D2947" s="30"/>
      <c r="E2947" s="30">
        <v>28.4</v>
      </c>
      <c r="F2947" s="30">
        <v>25.5</v>
      </c>
      <c r="G2947" s="30">
        <v>28.5</v>
      </c>
    </row>
    <row r="2948" spans="1:7" x14ac:dyDescent="0.25">
      <c r="A2948" s="29">
        <v>40554</v>
      </c>
      <c r="B2948" s="30">
        <v>28</v>
      </c>
      <c r="C2948" s="30">
        <v>29.2</v>
      </c>
      <c r="D2948" s="30"/>
      <c r="E2948" s="30">
        <v>27.2</v>
      </c>
      <c r="F2948" s="30">
        <v>24.7</v>
      </c>
      <c r="G2948" s="30">
        <v>27.2</v>
      </c>
    </row>
    <row r="2949" spans="1:7" x14ac:dyDescent="0.25">
      <c r="A2949" s="29">
        <v>40555</v>
      </c>
      <c r="B2949" s="30">
        <v>28.2</v>
      </c>
      <c r="C2949" s="30">
        <v>30</v>
      </c>
      <c r="D2949" s="30"/>
      <c r="E2949" s="30">
        <v>27.3</v>
      </c>
      <c r="F2949" s="30">
        <v>30.2</v>
      </c>
      <c r="G2949" s="30">
        <v>28.3</v>
      </c>
    </row>
    <row r="2950" spans="1:7" x14ac:dyDescent="0.25">
      <c r="A2950" s="29">
        <v>40556</v>
      </c>
      <c r="B2950" s="30">
        <v>26.2</v>
      </c>
      <c r="C2950" s="30">
        <v>28.5</v>
      </c>
      <c r="D2950" s="30"/>
      <c r="E2950" s="30">
        <v>25.6</v>
      </c>
      <c r="F2950" s="30">
        <v>26.1</v>
      </c>
      <c r="G2950" s="30">
        <v>26.6</v>
      </c>
    </row>
    <row r="2951" spans="1:7" x14ac:dyDescent="0.25">
      <c r="A2951" s="29">
        <v>40557</v>
      </c>
      <c r="B2951" s="30">
        <v>21.5</v>
      </c>
      <c r="C2951" s="30">
        <v>24.3</v>
      </c>
      <c r="D2951" s="30"/>
      <c r="E2951" s="30">
        <v>22</v>
      </c>
      <c r="F2951" s="30">
        <v>22.1</v>
      </c>
      <c r="G2951" s="30">
        <v>22.4</v>
      </c>
    </row>
    <row r="2952" spans="1:7" x14ac:dyDescent="0.25">
      <c r="A2952" s="29">
        <v>40558</v>
      </c>
      <c r="B2952" s="30">
        <v>27.6</v>
      </c>
      <c r="C2952" s="30">
        <v>30.2</v>
      </c>
      <c r="D2952" s="30"/>
      <c r="E2952" s="30">
        <v>28.4</v>
      </c>
      <c r="F2952" s="30">
        <v>26.2</v>
      </c>
      <c r="G2952" s="30">
        <v>26.5</v>
      </c>
    </row>
    <row r="2953" spans="1:7" x14ac:dyDescent="0.25">
      <c r="A2953" s="29">
        <v>40559</v>
      </c>
      <c r="B2953" s="30">
        <v>33.5</v>
      </c>
      <c r="C2953" s="30">
        <v>36.200000000000003</v>
      </c>
      <c r="D2953" s="30"/>
      <c r="E2953" s="30">
        <v>33.4</v>
      </c>
      <c r="F2953" s="30">
        <v>35.799999999999997</v>
      </c>
      <c r="G2953" s="30">
        <v>34.1</v>
      </c>
    </row>
    <row r="2954" spans="1:7" x14ac:dyDescent="0.25">
      <c r="A2954" s="29">
        <v>40560</v>
      </c>
      <c r="B2954" s="30">
        <v>25</v>
      </c>
      <c r="C2954" s="30">
        <v>26.4</v>
      </c>
      <c r="D2954" s="30"/>
      <c r="E2954" s="30">
        <v>24.2</v>
      </c>
      <c r="F2954" s="30">
        <v>25.9</v>
      </c>
      <c r="G2954" s="30">
        <v>25.4</v>
      </c>
    </row>
    <row r="2955" spans="1:7" x14ac:dyDescent="0.25">
      <c r="A2955" s="29">
        <v>40561</v>
      </c>
      <c r="B2955" s="30">
        <v>32.9</v>
      </c>
      <c r="C2955" s="30">
        <v>32.299999999999997</v>
      </c>
      <c r="D2955" s="30"/>
      <c r="E2955" s="30">
        <v>31.3</v>
      </c>
      <c r="F2955" s="30">
        <v>39.5</v>
      </c>
      <c r="G2955" s="30">
        <v>31.3</v>
      </c>
    </row>
    <row r="2956" spans="1:7" x14ac:dyDescent="0.25">
      <c r="A2956" s="29">
        <v>40562</v>
      </c>
      <c r="B2956" s="30">
        <v>37.799999999999997</v>
      </c>
      <c r="C2956" s="30">
        <v>39.299999999999997</v>
      </c>
      <c r="D2956" s="30"/>
      <c r="E2956" s="30">
        <v>37.5</v>
      </c>
      <c r="F2956" s="30">
        <v>38.5</v>
      </c>
      <c r="G2956" s="30">
        <v>38.200000000000003</v>
      </c>
    </row>
    <row r="2957" spans="1:7" x14ac:dyDescent="0.25">
      <c r="A2957" s="29">
        <v>40563</v>
      </c>
      <c r="B2957" s="30">
        <v>34.6</v>
      </c>
      <c r="C2957" s="30">
        <v>35</v>
      </c>
      <c r="D2957" s="30"/>
      <c r="E2957" s="30">
        <v>32.6</v>
      </c>
      <c r="F2957" s="30">
        <v>38</v>
      </c>
      <c r="G2957" s="30">
        <v>34.700000000000003</v>
      </c>
    </row>
    <row r="2958" spans="1:7" x14ac:dyDescent="0.25">
      <c r="A2958" s="29">
        <v>40564</v>
      </c>
      <c r="B2958" s="30">
        <v>30</v>
      </c>
      <c r="C2958" s="30">
        <v>31.5</v>
      </c>
      <c r="D2958" s="30"/>
      <c r="E2958" s="30">
        <v>28.8</v>
      </c>
      <c r="F2958" s="30">
        <v>34.700000000000003</v>
      </c>
      <c r="G2958" s="30">
        <v>30.9</v>
      </c>
    </row>
    <row r="2959" spans="1:7" x14ac:dyDescent="0.25">
      <c r="A2959" s="29">
        <v>40565</v>
      </c>
      <c r="B2959" s="30">
        <v>19.600000000000001</v>
      </c>
      <c r="C2959" s="30">
        <v>21.8</v>
      </c>
      <c r="D2959" s="30"/>
      <c r="E2959" s="30">
        <v>18.7</v>
      </c>
      <c r="F2959" s="30">
        <v>20.399999999999999</v>
      </c>
      <c r="G2959" s="30">
        <v>19.399999999999999</v>
      </c>
    </row>
    <row r="2960" spans="1:7" x14ac:dyDescent="0.25">
      <c r="A2960" s="29">
        <v>40566</v>
      </c>
      <c r="B2960" s="30">
        <v>20</v>
      </c>
      <c r="C2960" s="30">
        <v>22.7</v>
      </c>
      <c r="D2960" s="30"/>
      <c r="E2960" s="30">
        <v>19.399999999999999</v>
      </c>
      <c r="F2960" s="30">
        <v>19.399999999999999</v>
      </c>
      <c r="G2960" s="30">
        <v>19.3</v>
      </c>
    </row>
    <row r="2961" spans="1:7" x14ac:dyDescent="0.25">
      <c r="A2961" s="29">
        <v>40567</v>
      </c>
      <c r="B2961" s="30">
        <v>13.2</v>
      </c>
      <c r="C2961" s="30">
        <v>15.8</v>
      </c>
      <c r="D2961" s="30"/>
      <c r="E2961" s="30">
        <v>12.6</v>
      </c>
      <c r="F2961" s="30">
        <v>17.100000000000001</v>
      </c>
      <c r="G2961" s="30">
        <v>13.7</v>
      </c>
    </row>
    <row r="2962" spans="1:7" x14ac:dyDescent="0.25">
      <c r="A2962" s="29">
        <v>40568</v>
      </c>
      <c r="B2962" s="30">
        <v>28</v>
      </c>
      <c r="C2962" s="30">
        <v>29.9</v>
      </c>
      <c r="D2962" s="30"/>
      <c r="E2962" s="30">
        <v>28.6</v>
      </c>
      <c r="F2962" s="30">
        <v>32.4</v>
      </c>
      <c r="G2962" s="30">
        <v>27.5</v>
      </c>
    </row>
    <row r="2963" spans="1:7" x14ac:dyDescent="0.25">
      <c r="A2963" s="29">
        <v>40569</v>
      </c>
      <c r="B2963" s="30">
        <v>30.4</v>
      </c>
      <c r="C2963" s="30">
        <v>33.200000000000003</v>
      </c>
      <c r="D2963" s="30"/>
      <c r="E2963" s="30">
        <v>32.1</v>
      </c>
      <c r="F2963" s="30">
        <v>35</v>
      </c>
      <c r="G2963" s="30">
        <v>32</v>
      </c>
    </row>
    <row r="2964" spans="1:7" x14ac:dyDescent="0.25">
      <c r="A2964" s="29">
        <v>40570</v>
      </c>
      <c r="B2964" s="30">
        <v>33.1</v>
      </c>
      <c r="C2964" s="30">
        <v>34.700000000000003</v>
      </c>
      <c r="D2964" s="30"/>
      <c r="E2964" s="30">
        <v>31.9</v>
      </c>
      <c r="F2964" s="30">
        <v>33.9</v>
      </c>
      <c r="G2964" s="30">
        <v>33.4</v>
      </c>
    </row>
    <row r="2965" spans="1:7" x14ac:dyDescent="0.25">
      <c r="A2965" s="29">
        <v>40571</v>
      </c>
      <c r="B2965" s="30">
        <v>29.4</v>
      </c>
      <c r="C2965" s="30">
        <v>34.200000000000003</v>
      </c>
      <c r="D2965" s="30"/>
      <c r="E2965" s="30">
        <v>31.6</v>
      </c>
      <c r="F2965" s="30">
        <v>30.3</v>
      </c>
      <c r="G2965" s="30">
        <v>30.3</v>
      </c>
    </row>
    <row r="2966" spans="1:7" x14ac:dyDescent="0.25">
      <c r="A2966" s="29">
        <v>40572</v>
      </c>
      <c r="B2966" s="30">
        <v>31.1</v>
      </c>
      <c r="C2966" s="30">
        <v>34.299999999999997</v>
      </c>
      <c r="D2966" s="30"/>
      <c r="E2966" s="30">
        <v>31.8</v>
      </c>
      <c r="F2966" s="30">
        <v>33.5</v>
      </c>
      <c r="G2966" s="30">
        <v>31.7</v>
      </c>
    </row>
    <row r="2967" spans="1:7" x14ac:dyDescent="0.25">
      <c r="A2967" s="29">
        <v>40573</v>
      </c>
      <c r="B2967" s="30">
        <v>31.8</v>
      </c>
      <c r="C2967" s="30">
        <v>35.5</v>
      </c>
      <c r="D2967" s="30"/>
      <c r="E2967" s="30">
        <v>32.5</v>
      </c>
      <c r="F2967" s="30">
        <v>32</v>
      </c>
      <c r="G2967" s="30">
        <v>32.9</v>
      </c>
    </row>
    <row r="2968" spans="1:7" x14ac:dyDescent="0.25">
      <c r="A2968" s="29">
        <v>40574</v>
      </c>
      <c r="B2968" s="30">
        <v>27.4</v>
      </c>
      <c r="C2968" s="30">
        <v>30.2</v>
      </c>
      <c r="D2968" s="30"/>
      <c r="E2968" s="30">
        <v>27.3</v>
      </c>
      <c r="F2968" s="30">
        <v>27.3</v>
      </c>
      <c r="G2968" s="30">
        <v>28.2</v>
      </c>
    </row>
    <row r="2969" spans="1:7" x14ac:dyDescent="0.25">
      <c r="A2969" s="29">
        <v>40575</v>
      </c>
      <c r="B2969" s="30">
        <v>28.2</v>
      </c>
      <c r="C2969" s="30">
        <v>29.2</v>
      </c>
      <c r="D2969" s="30"/>
      <c r="E2969" s="30">
        <v>26.8</v>
      </c>
      <c r="F2969" s="30">
        <v>35.299999999999997</v>
      </c>
      <c r="G2969" s="30">
        <v>28.4</v>
      </c>
    </row>
    <row r="2970" spans="1:7" x14ac:dyDescent="0.25">
      <c r="A2970" s="29">
        <v>40576</v>
      </c>
      <c r="B2970" s="30">
        <v>32</v>
      </c>
      <c r="C2970" s="30">
        <v>32.200000000000003</v>
      </c>
      <c r="D2970" s="30"/>
      <c r="E2970" s="30">
        <v>30.8</v>
      </c>
      <c r="F2970" s="30">
        <v>43.2</v>
      </c>
      <c r="G2970" s="30">
        <v>32.4</v>
      </c>
    </row>
    <row r="2971" spans="1:7" x14ac:dyDescent="0.25">
      <c r="A2971" s="29">
        <v>40577</v>
      </c>
      <c r="B2971" s="30">
        <v>31.2</v>
      </c>
      <c r="C2971" s="30">
        <v>33.4</v>
      </c>
      <c r="D2971" s="30"/>
      <c r="E2971" s="30">
        <v>30.5</v>
      </c>
      <c r="F2971" s="30">
        <v>33.799999999999997</v>
      </c>
      <c r="G2971" s="30">
        <v>32.4</v>
      </c>
    </row>
    <row r="2972" spans="1:7" x14ac:dyDescent="0.25">
      <c r="A2972" s="29">
        <v>40578</v>
      </c>
      <c r="B2972" s="30">
        <v>27.1</v>
      </c>
      <c r="C2972" s="30">
        <v>31.3</v>
      </c>
      <c r="D2972" s="30"/>
      <c r="E2972" s="30">
        <v>28.3</v>
      </c>
      <c r="F2972" s="30">
        <v>29.8</v>
      </c>
      <c r="G2972" s="30">
        <v>26.7</v>
      </c>
    </row>
    <row r="2973" spans="1:7" x14ac:dyDescent="0.25">
      <c r="A2973" s="29">
        <v>40579</v>
      </c>
      <c r="B2973" s="30">
        <v>32.700000000000003</v>
      </c>
      <c r="C2973" s="30">
        <v>34.299999999999997</v>
      </c>
      <c r="D2973" s="30"/>
      <c r="E2973" s="30">
        <v>33.4</v>
      </c>
      <c r="F2973" s="30">
        <v>38</v>
      </c>
      <c r="G2973" s="30">
        <v>32.1</v>
      </c>
    </row>
    <row r="2974" spans="1:7" x14ac:dyDescent="0.25">
      <c r="A2974" s="29">
        <v>40580</v>
      </c>
      <c r="B2974" s="30">
        <v>39.700000000000003</v>
      </c>
      <c r="C2974" s="30">
        <v>41.9</v>
      </c>
      <c r="D2974" s="30"/>
      <c r="E2974" s="30">
        <v>40</v>
      </c>
      <c r="F2974" s="30">
        <v>43.3</v>
      </c>
      <c r="G2974" s="30">
        <v>40.299999999999997</v>
      </c>
    </row>
    <row r="2975" spans="1:7" x14ac:dyDescent="0.25">
      <c r="A2975" s="29">
        <v>40581</v>
      </c>
      <c r="B2975" s="30">
        <v>35.799999999999997</v>
      </c>
      <c r="C2975" s="30">
        <v>40.299999999999997</v>
      </c>
      <c r="D2975" s="30"/>
      <c r="E2975" s="30">
        <v>39.4</v>
      </c>
      <c r="F2975" s="30">
        <v>36.299999999999997</v>
      </c>
      <c r="G2975" s="30">
        <v>38</v>
      </c>
    </row>
    <row r="2976" spans="1:7" x14ac:dyDescent="0.25">
      <c r="A2976" s="29">
        <v>40582</v>
      </c>
      <c r="B2976" s="30">
        <v>36.9</v>
      </c>
      <c r="C2976" s="30">
        <v>38.1</v>
      </c>
      <c r="D2976" s="30"/>
      <c r="E2976" s="30">
        <v>36.299999999999997</v>
      </c>
      <c r="F2976" s="30">
        <v>39.299999999999997</v>
      </c>
      <c r="G2976" s="30">
        <v>37.6</v>
      </c>
    </row>
    <row r="2977" spans="1:7" x14ac:dyDescent="0.25">
      <c r="A2977" s="29">
        <v>40583</v>
      </c>
      <c r="B2977" s="30">
        <v>22.1</v>
      </c>
      <c r="C2977" s="30">
        <v>22</v>
      </c>
      <c r="D2977" s="30"/>
      <c r="E2977" s="30">
        <v>21.5</v>
      </c>
      <c r="F2977" s="30">
        <v>25.3</v>
      </c>
      <c r="G2977" s="30">
        <v>22.3</v>
      </c>
    </row>
    <row r="2978" spans="1:7" x14ac:dyDescent="0.25">
      <c r="A2978" s="29">
        <v>40584</v>
      </c>
      <c r="B2978" s="30">
        <v>27.9</v>
      </c>
      <c r="C2978" s="30">
        <v>27.2</v>
      </c>
      <c r="D2978" s="30"/>
      <c r="E2978" s="30">
        <v>26.3</v>
      </c>
      <c r="F2978" s="30">
        <v>29.4</v>
      </c>
      <c r="G2978" s="30">
        <v>27.8</v>
      </c>
    </row>
    <row r="2979" spans="1:7" x14ac:dyDescent="0.25">
      <c r="A2979" s="29">
        <v>40585</v>
      </c>
      <c r="B2979" s="30">
        <v>26.8</v>
      </c>
      <c r="C2979" s="30">
        <v>27.2</v>
      </c>
      <c r="D2979" s="30"/>
      <c r="E2979" s="30">
        <v>26.5</v>
      </c>
      <c r="F2979" s="30">
        <v>24.7</v>
      </c>
      <c r="G2979" s="30">
        <v>25.9</v>
      </c>
    </row>
    <row r="2980" spans="1:7" x14ac:dyDescent="0.25">
      <c r="A2980" s="29">
        <v>40586</v>
      </c>
      <c r="B2980" s="30">
        <v>32.700000000000003</v>
      </c>
      <c r="C2980" s="30">
        <v>34.299999999999997</v>
      </c>
      <c r="D2980" s="30"/>
      <c r="E2980" s="30">
        <v>34.200000000000003</v>
      </c>
      <c r="F2980" s="30">
        <v>32.299999999999997</v>
      </c>
      <c r="G2980" s="30">
        <v>33.200000000000003</v>
      </c>
    </row>
    <row r="2981" spans="1:7" x14ac:dyDescent="0.25">
      <c r="A2981" s="29">
        <v>40587</v>
      </c>
      <c r="B2981" s="30">
        <v>34.1</v>
      </c>
      <c r="C2981" s="30">
        <v>35</v>
      </c>
      <c r="D2981" s="30"/>
      <c r="E2981" s="30">
        <v>35.4</v>
      </c>
      <c r="F2981" s="30">
        <v>36.200000000000003</v>
      </c>
      <c r="G2981" s="30">
        <v>35.1</v>
      </c>
    </row>
    <row r="2982" spans="1:7" x14ac:dyDescent="0.25">
      <c r="A2982" s="29">
        <v>40588</v>
      </c>
      <c r="B2982" s="30">
        <v>44.8</v>
      </c>
      <c r="C2982" s="30">
        <v>48.1</v>
      </c>
      <c r="D2982" s="30"/>
      <c r="E2982" s="30">
        <v>48</v>
      </c>
      <c r="F2982" s="30">
        <v>51.9</v>
      </c>
      <c r="G2982" s="30">
        <v>47.9</v>
      </c>
    </row>
    <row r="2983" spans="1:7" x14ac:dyDescent="0.25">
      <c r="A2983" s="29">
        <v>40589</v>
      </c>
      <c r="B2983" s="30">
        <v>35.6</v>
      </c>
      <c r="C2983" s="30">
        <v>33.799999999999997</v>
      </c>
      <c r="D2983" s="30"/>
      <c r="E2983" s="30">
        <v>32.9</v>
      </c>
      <c r="F2983" s="30">
        <v>39.799999999999997</v>
      </c>
      <c r="G2983" s="30">
        <v>35.9</v>
      </c>
    </row>
    <row r="2984" spans="1:7" x14ac:dyDescent="0.25">
      <c r="A2984" s="29">
        <v>40590</v>
      </c>
      <c r="B2984" s="30">
        <v>32.1</v>
      </c>
      <c r="C2984" s="30">
        <v>33.6</v>
      </c>
      <c r="D2984" s="30"/>
      <c r="E2984" s="30">
        <v>34.700000000000003</v>
      </c>
      <c r="F2984" s="30">
        <v>32.4</v>
      </c>
      <c r="G2984" s="30">
        <v>34.700000000000003</v>
      </c>
    </row>
    <row r="2985" spans="1:7" x14ac:dyDescent="0.25">
      <c r="A2985" s="29">
        <v>40591</v>
      </c>
      <c r="B2985" s="30">
        <v>44.5</v>
      </c>
      <c r="C2985" s="30">
        <v>50.3</v>
      </c>
      <c r="D2985" s="30"/>
      <c r="E2985" s="30">
        <v>51.1</v>
      </c>
      <c r="F2985" s="30">
        <v>51.4</v>
      </c>
      <c r="G2985" s="30">
        <v>50.8</v>
      </c>
    </row>
    <row r="2986" spans="1:7" x14ac:dyDescent="0.25">
      <c r="A2986" s="29">
        <v>40592</v>
      </c>
      <c r="B2986" s="30">
        <v>49</v>
      </c>
      <c r="C2986" s="30">
        <v>53.5</v>
      </c>
      <c r="D2986" s="30"/>
      <c r="E2986" s="30">
        <v>57</v>
      </c>
      <c r="F2986" s="30">
        <v>56.5</v>
      </c>
      <c r="G2986" s="30">
        <v>56.8</v>
      </c>
    </row>
    <row r="2987" spans="1:7" x14ac:dyDescent="0.25">
      <c r="A2987" s="29">
        <v>40593</v>
      </c>
      <c r="B2987" s="30">
        <v>46</v>
      </c>
      <c r="C2987" s="30">
        <v>45.5</v>
      </c>
      <c r="D2987" s="30"/>
      <c r="E2987" s="30">
        <v>44.3</v>
      </c>
      <c r="F2987" s="30">
        <v>51.9</v>
      </c>
      <c r="G2987" s="30">
        <v>47</v>
      </c>
    </row>
    <row r="2988" spans="1:7" x14ac:dyDescent="0.25">
      <c r="A2988" s="29">
        <v>40594</v>
      </c>
      <c r="B2988" s="30">
        <v>28.8</v>
      </c>
      <c r="C2988" s="30">
        <v>27.7</v>
      </c>
      <c r="D2988" s="30"/>
      <c r="E2988" s="30">
        <v>28</v>
      </c>
      <c r="F2988" s="30">
        <v>34.1</v>
      </c>
      <c r="G2988" s="30">
        <v>30.3</v>
      </c>
    </row>
    <row r="2989" spans="1:7" x14ac:dyDescent="0.25">
      <c r="A2989" s="29">
        <v>40595</v>
      </c>
      <c r="B2989" s="30">
        <v>33.299999999999997</v>
      </c>
      <c r="C2989" s="30">
        <v>32.299999999999997</v>
      </c>
      <c r="D2989" s="30"/>
      <c r="E2989" s="30">
        <v>32.1</v>
      </c>
      <c r="F2989" s="30">
        <v>40.299999999999997</v>
      </c>
      <c r="G2989" s="30">
        <v>34.200000000000003</v>
      </c>
    </row>
    <row r="2990" spans="1:7" x14ac:dyDescent="0.25">
      <c r="A2990" s="29">
        <v>40596</v>
      </c>
      <c r="B2990" s="30">
        <v>25</v>
      </c>
      <c r="C2990" s="30">
        <v>24.8</v>
      </c>
      <c r="D2990" s="30"/>
      <c r="E2990" s="30">
        <v>25.1</v>
      </c>
      <c r="F2990" s="30">
        <v>29.3</v>
      </c>
      <c r="G2990" s="30">
        <v>26.1</v>
      </c>
    </row>
    <row r="2991" spans="1:7" x14ac:dyDescent="0.25">
      <c r="A2991" s="29">
        <v>40597</v>
      </c>
      <c r="B2991" s="30">
        <v>30.6</v>
      </c>
      <c r="C2991" s="30">
        <v>29.9</v>
      </c>
      <c r="D2991" s="30"/>
      <c r="E2991" s="30">
        <v>29.3</v>
      </c>
      <c r="F2991" s="30">
        <v>28.7</v>
      </c>
      <c r="G2991" s="30">
        <v>31.1</v>
      </c>
    </row>
    <row r="2992" spans="1:7" x14ac:dyDescent="0.25">
      <c r="A2992" s="29">
        <v>40598</v>
      </c>
      <c r="B2992" s="30">
        <v>33.200000000000003</v>
      </c>
      <c r="C2992" s="30">
        <v>34.5</v>
      </c>
      <c r="D2992" s="30"/>
      <c r="E2992" s="30">
        <v>36.5</v>
      </c>
      <c r="F2992" s="30">
        <v>32.700000000000003</v>
      </c>
      <c r="G2992" s="30">
        <v>35.200000000000003</v>
      </c>
    </row>
    <row r="2993" spans="1:7" x14ac:dyDescent="0.25">
      <c r="A2993" s="29">
        <v>40599</v>
      </c>
      <c r="B2993" s="30">
        <v>43.2</v>
      </c>
      <c r="C2993" s="30">
        <v>43</v>
      </c>
      <c r="D2993" s="30"/>
      <c r="E2993" s="30">
        <v>44.6</v>
      </c>
      <c r="F2993" s="30">
        <v>48.5</v>
      </c>
      <c r="G2993" s="30">
        <v>46.3</v>
      </c>
    </row>
    <row r="2994" spans="1:7" x14ac:dyDescent="0.25">
      <c r="A2994" s="29">
        <v>40600</v>
      </c>
      <c r="B2994" s="30">
        <v>36.1</v>
      </c>
      <c r="C2994" s="30">
        <v>35.299999999999997</v>
      </c>
      <c r="D2994" s="30"/>
      <c r="E2994" s="30">
        <v>35.5</v>
      </c>
      <c r="F2994" s="30">
        <v>37.9</v>
      </c>
      <c r="G2994" s="30">
        <v>37.4</v>
      </c>
    </row>
    <row r="2995" spans="1:7" x14ac:dyDescent="0.25">
      <c r="A2995" s="29">
        <v>40601</v>
      </c>
      <c r="B2995" s="30">
        <v>42.7</v>
      </c>
      <c r="C2995" s="30">
        <v>40.799999999999997</v>
      </c>
      <c r="D2995" s="30"/>
      <c r="E2995" s="30">
        <v>42.4</v>
      </c>
      <c r="F2995" s="30">
        <v>45.6</v>
      </c>
      <c r="G2995" s="30">
        <v>43.7</v>
      </c>
    </row>
    <row r="2996" spans="1:7" x14ac:dyDescent="0.25">
      <c r="A2996" s="29">
        <v>40602</v>
      </c>
      <c r="B2996" s="30">
        <v>45.5</v>
      </c>
      <c r="C2996" s="30">
        <v>46.2</v>
      </c>
      <c r="D2996" s="30"/>
      <c r="E2996" s="30">
        <v>47.3</v>
      </c>
      <c r="F2996" s="30">
        <v>51.6</v>
      </c>
      <c r="G2996" s="30">
        <v>48.7</v>
      </c>
    </row>
    <row r="2997" spans="1:7" x14ac:dyDescent="0.25">
      <c r="A2997" s="29">
        <v>40603</v>
      </c>
      <c r="B2997" s="30">
        <v>41.1</v>
      </c>
      <c r="C2997" s="30">
        <v>39.4</v>
      </c>
      <c r="D2997" s="30"/>
      <c r="E2997" s="30">
        <v>39.6</v>
      </c>
      <c r="F2997" s="30">
        <v>42.4</v>
      </c>
      <c r="G2997" s="30">
        <v>41.7</v>
      </c>
    </row>
    <row r="2998" spans="1:7" x14ac:dyDescent="0.25">
      <c r="A2998" s="29">
        <v>40604</v>
      </c>
      <c r="B2998" s="30">
        <v>41.2</v>
      </c>
      <c r="C2998" s="30">
        <v>41.6</v>
      </c>
      <c r="D2998" s="30"/>
      <c r="E2998" s="30">
        <v>42</v>
      </c>
      <c r="F2998" s="30">
        <v>41.5</v>
      </c>
      <c r="G2998" s="30">
        <v>42.3</v>
      </c>
    </row>
    <row r="2999" spans="1:7" x14ac:dyDescent="0.25">
      <c r="A2999" s="29">
        <v>40605</v>
      </c>
      <c r="B2999" s="30">
        <v>27.6</v>
      </c>
      <c r="C2999" s="30">
        <v>26.7</v>
      </c>
      <c r="D2999" s="30"/>
      <c r="E2999" s="30">
        <v>26.6</v>
      </c>
      <c r="F2999" s="30">
        <v>31.8</v>
      </c>
      <c r="G2999" s="30">
        <v>29.5</v>
      </c>
    </row>
    <row r="3000" spans="1:7" x14ac:dyDescent="0.25">
      <c r="A3000" s="29">
        <v>40606</v>
      </c>
      <c r="B3000" s="30">
        <v>31.5</v>
      </c>
      <c r="C3000" s="30">
        <v>32.4</v>
      </c>
      <c r="D3000" s="30"/>
      <c r="E3000" s="30">
        <v>32.9</v>
      </c>
      <c r="F3000" s="30">
        <v>31.6</v>
      </c>
      <c r="G3000" s="30">
        <v>34</v>
      </c>
    </row>
    <row r="3001" spans="1:7" x14ac:dyDescent="0.25">
      <c r="A3001" s="29">
        <v>40607</v>
      </c>
      <c r="B3001" s="30">
        <v>44.4</v>
      </c>
      <c r="C3001" s="30">
        <v>46.1</v>
      </c>
      <c r="D3001" s="30"/>
      <c r="E3001" s="30">
        <v>48</v>
      </c>
      <c r="F3001" s="30">
        <v>47.6</v>
      </c>
      <c r="G3001" s="30">
        <v>49.5</v>
      </c>
    </row>
    <row r="3002" spans="1:7" x14ac:dyDescent="0.25">
      <c r="A3002" s="29">
        <v>40608</v>
      </c>
      <c r="B3002" s="30">
        <v>47</v>
      </c>
      <c r="C3002" s="30">
        <v>49.7</v>
      </c>
      <c r="D3002" s="30"/>
      <c r="E3002" s="30">
        <v>51.8</v>
      </c>
      <c r="F3002" s="30">
        <v>52.9</v>
      </c>
      <c r="G3002" s="30">
        <v>54.5</v>
      </c>
    </row>
    <row r="3003" spans="1:7" x14ac:dyDescent="0.25">
      <c r="A3003" s="29">
        <v>40609</v>
      </c>
      <c r="B3003" s="30">
        <v>45</v>
      </c>
      <c r="C3003" s="30">
        <v>44.2</v>
      </c>
      <c r="D3003" s="30"/>
      <c r="E3003" s="30">
        <v>44.1</v>
      </c>
      <c r="F3003" s="30">
        <v>46.6</v>
      </c>
      <c r="G3003" s="30">
        <v>46.2</v>
      </c>
    </row>
    <row r="3004" spans="1:7" x14ac:dyDescent="0.25">
      <c r="A3004" s="29">
        <v>40610</v>
      </c>
      <c r="B3004" s="30">
        <v>37.1</v>
      </c>
      <c r="C3004" s="30">
        <v>37.4</v>
      </c>
      <c r="D3004" s="30"/>
      <c r="E3004" s="30">
        <v>37.5</v>
      </c>
      <c r="F3004" s="30">
        <v>37.1</v>
      </c>
      <c r="G3004" s="30">
        <v>38.6</v>
      </c>
    </row>
    <row r="3005" spans="1:7" x14ac:dyDescent="0.25">
      <c r="A3005" s="29">
        <v>40611</v>
      </c>
      <c r="B3005" s="30">
        <v>36.299999999999997</v>
      </c>
      <c r="C3005" s="30">
        <v>37.6</v>
      </c>
      <c r="D3005" s="30"/>
      <c r="E3005" s="30">
        <v>38</v>
      </c>
      <c r="F3005" s="30">
        <v>37.1</v>
      </c>
      <c r="G3005" s="30">
        <v>38.6</v>
      </c>
    </row>
    <row r="3006" spans="1:7" x14ac:dyDescent="0.25">
      <c r="A3006" s="29">
        <v>40612</v>
      </c>
      <c r="B3006" s="30">
        <v>42.1</v>
      </c>
      <c r="C3006" s="30">
        <v>42</v>
      </c>
      <c r="D3006" s="30"/>
      <c r="E3006" s="30">
        <v>43.1</v>
      </c>
      <c r="F3006" s="30">
        <v>48.7</v>
      </c>
      <c r="G3006" s="30">
        <v>44.6</v>
      </c>
    </row>
    <row r="3007" spans="1:7" x14ac:dyDescent="0.25">
      <c r="A3007" s="29">
        <v>40613</v>
      </c>
      <c r="B3007" s="30">
        <v>48.8</v>
      </c>
      <c r="C3007" s="30">
        <v>50.9</v>
      </c>
      <c r="D3007" s="30"/>
      <c r="E3007" s="30">
        <v>50.9</v>
      </c>
      <c r="F3007" s="30">
        <v>51.7</v>
      </c>
      <c r="G3007" s="30">
        <v>51.5</v>
      </c>
    </row>
    <row r="3008" spans="1:7" x14ac:dyDescent="0.25">
      <c r="A3008" s="29">
        <v>40614</v>
      </c>
      <c r="B3008" s="30">
        <v>45.6</v>
      </c>
      <c r="C3008" s="30">
        <v>45.3</v>
      </c>
      <c r="D3008" s="30"/>
      <c r="E3008" s="30">
        <v>45.5</v>
      </c>
      <c r="F3008" s="30">
        <v>47.4</v>
      </c>
      <c r="G3008" s="30">
        <v>46.5</v>
      </c>
    </row>
    <row r="3009" spans="1:7" x14ac:dyDescent="0.25">
      <c r="A3009" s="29">
        <v>40615</v>
      </c>
      <c r="B3009" s="30">
        <v>46.4</v>
      </c>
      <c r="C3009" s="30">
        <v>48.3</v>
      </c>
      <c r="D3009" s="30"/>
      <c r="E3009" s="30">
        <v>48.7</v>
      </c>
      <c r="F3009" s="30">
        <v>49.6</v>
      </c>
      <c r="G3009" s="30">
        <v>48.4</v>
      </c>
    </row>
    <row r="3010" spans="1:7" x14ac:dyDescent="0.25">
      <c r="A3010" s="29">
        <v>40616</v>
      </c>
      <c r="B3010" s="30">
        <v>42.3</v>
      </c>
      <c r="C3010" s="30">
        <v>41.1</v>
      </c>
      <c r="D3010" s="30"/>
      <c r="E3010" s="30">
        <v>41.7</v>
      </c>
      <c r="F3010" s="30">
        <v>41</v>
      </c>
      <c r="G3010" s="30">
        <v>43.3</v>
      </c>
    </row>
    <row r="3011" spans="1:7" x14ac:dyDescent="0.25">
      <c r="A3011" s="29">
        <v>40617</v>
      </c>
      <c r="B3011" s="30">
        <v>38.700000000000003</v>
      </c>
      <c r="C3011" s="30">
        <v>38.9</v>
      </c>
      <c r="D3011" s="30"/>
      <c r="E3011" s="30">
        <v>39.700000000000003</v>
      </c>
      <c r="F3011" s="30">
        <v>38.5</v>
      </c>
      <c r="G3011" s="30">
        <v>40.700000000000003</v>
      </c>
    </row>
    <row r="3012" spans="1:7" x14ac:dyDescent="0.25">
      <c r="A3012" s="29">
        <v>40618</v>
      </c>
      <c r="B3012" s="30">
        <v>44</v>
      </c>
      <c r="C3012" s="30">
        <v>42.5</v>
      </c>
      <c r="D3012" s="30"/>
      <c r="E3012" s="30">
        <v>43</v>
      </c>
      <c r="F3012" s="30">
        <v>49</v>
      </c>
      <c r="G3012" s="30">
        <v>46.3</v>
      </c>
    </row>
    <row r="3013" spans="1:7" x14ac:dyDescent="0.25">
      <c r="A3013" s="29">
        <v>40619</v>
      </c>
      <c r="B3013" s="30">
        <v>52.6</v>
      </c>
      <c r="C3013" s="30">
        <v>52</v>
      </c>
      <c r="D3013" s="30"/>
      <c r="E3013" s="30">
        <v>53.2</v>
      </c>
      <c r="F3013" s="30">
        <v>53.4</v>
      </c>
      <c r="G3013" s="30">
        <v>54.9</v>
      </c>
    </row>
    <row r="3014" spans="1:7" x14ac:dyDescent="0.25">
      <c r="A3014" s="29">
        <v>40620</v>
      </c>
      <c r="B3014" s="30">
        <v>56.7</v>
      </c>
      <c r="C3014" s="30">
        <v>59.5</v>
      </c>
      <c r="D3014" s="30"/>
      <c r="E3014" s="30">
        <v>61.3</v>
      </c>
      <c r="F3014" s="30">
        <v>60.2</v>
      </c>
      <c r="G3014" s="30">
        <v>62.5</v>
      </c>
    </row>
    <row r="3015" spans="1:7" x14ac:dyDescent="0.25">
      <c r="A3015" s="29">
        <v>40621</v>
      </c>
      <c r="B3015" s="30">
        <v>54.2</v>
      </c>
      <c r="C3015" s="30">
        <v>51.4</v>
      </c>
      <c r="D3015" s="30"/>
      <c r="E3015" s="30">
        <v>51.5</v>
      </c>
      <c r="F3015" s="30">
        <v>59.2</v>
      </c>
      <c r="G3015" s="30">
        <v>54.4</v>
      </c>
    </row>
    <row r="3016" spans="1:7" x14ac:dyDescent="0.25">
      <c r="A3016" s="29">
        <v>40622</v>
      </c>
      <c r="B3016" s="30">
        <v>40.5</v>
      </c>
      <c r="C3016" s="30">
        <v>40.200000000000003</v>
      </c>
      <c r="D3016" s="30"/>
      <c r="E3016" s="30">
        <v>40.700000000000003</v>
      </c>
      <c r="F3016" s="30">
        <v>40.5</v>
      </c>
      <c r="G3016" s="30">
        <v>40.9</v>
      </c>
    </row>
    <row r="3017" spans="1:7" x14ac:dyDescent="0.25">
      <c r="A3017" s="29">
        <v>40623</v>
      </c>
      <c r="B3017" s="30">
        <v>40.9</v>
      </c>
      <c r="C3017" s="30">
        <v>40.4</v>
      </c>
      <c r="D3017" s="30"/>
      <c r="E3017" s="30">
        <v>40.799999999999997</v>
      </c>
      <c r="F3017" s="30">
        <v>47.1</v>
      </c>
      <c r="G3017" s="30">
        <v>41.6</v>
      </c>
    </row>
    <row r="3018" spans="1:7" x14ac:dyDescent="0.25">
      <c r="A3018" s="29">
        <v>40624</v>
      </c>
      <c r="B3018" s="30">
        <v>46.8</v>
      </c>
      <c r="C3018" s="30">
        <v>44.5</v>
      </c>
      <c r="D3018" s="30"/>
      <c r="E3018" s="30">
        <v>45.1</v>
      </c>
      <c r="F3018" s="30">
        <v>48.7</v>
      </c>
      <c r="G3018" s="30">
        <v>46.4</v>
      </c>
    </row>
    <row r="3019" spans="1:7" x14ac:dyDescent="0.25">
      <c r="A3019" s="29">
        <v>40625</v>
      </c>
      <c r="B3019" s="30">
        <v>37.5</v>
      </c>
      <c r="C3019" s="30">
        <v>36.9</v>
      </c>
      <c r="D3019" s="30"/>
      <c r="E3019" s="30">
        <v>36.5</v>
      </c>
      <c r="F3019" s="30">
        <v>42.4</v>
      </c>
      <c r="G3019" s="30">
        <v>37.700000000000003</v>
      </c>
    </row>
    <row r="3020" spans="1:7" x14ac:dyDescent="0.25">
      <c r="A3020" s="29">
        <v>40626</v>
      </c>
      <c r="B3020" s="30">
        <v>36.299999999999997</v>
      </c>
      <c r="C3020" s="30">
        <v>35.299999999999997</v>
      </c>
      <c r="D3020" s="30"/>
      <c r="E3020" s="30">
        <v>35.1</v>
      </c>
      <c r="F3020" s="30">
        <v>38.6</v>
      </c>
      <c r="G3020" s="30">
        <v>36.6</v>
      </c>
    </row>
    <row r="3021" spans="1:7" x14ac:dyDescent="0.25">
      <c r="A3021" s="29">
        <v>40627</v>
      </c>
      <c r="B3021" s="30">
        <v>36.700000000000003</v>
      </c>
      <c r="C3021" s="30">
        <v>35.700000000000003</v>
      </c>
      <c r="D3021" s="30"/>
      <c r="E3021" s="30">
        <v>35.1</v>
      </c>
      <c r="F3021" s="30">
        <v>35</v>
      </c>
      <c r="G3021" s="30">
        <v>36.700000000000003</v>
      </c>
    </row>
    <row r="3022" spans="1:7" x14ac:dyDescent="0.25">
      <c r="A3022" s="29">
        <v>40628</v>
      </c>
      <c r="B3022" s="30">
        <v>33.6</v>
      </c>
      <c r="C3022" s="30">
        <v>32.299999999999997</v>
      </c>
      <c r="D3022" s="30"/>
      <c r="E3022" s="30">
        <v>32</v>
      </c>
      <c r="F3022" s="30">
        <v>34.799999999999997</v>
      </c>
      <c r="G3022" s="30">
        <v>34.200000000000003</v>
      </c>
    </row>
    <row r="3023" spans="1:7" x14ac:dyDescent="0.25">
      <c r="A3023" s="29">
        <v>40629</v>
      </c>
      <c r="B3023" s="30">
        <v>35.6</v>
      </c>
      <c r="C3023" s="30">
        <v>33.9</v>
      </c>
      <c r="D3023" s="30"/>
      <c r="E3023" s="30">
        <v>34</v>
      </c>
      <c r="F3023" s="30">
        <v>36.200000000000003</v>
      </c>
      <c r="G3023" s="30">
        <v>36.200000000000003</v>
      </c>
    </row>
    <row r="3024" spans="1:7" x14ac:dyDescent="0.25">
      <c r="A3024" s="29">
        <v>40630</v>
      </c>
      <c r="B3024" s="30">
        <v>36.200000000000003</v>
      </c>
      <c r="C3024" s="30">
        <v>34.9</v>
      </c>
      <c r="D3024" s="30"/>
      <c r="E3024" s="30">
        <v>34.9</v>
      </c>
      <c r="F3024" s="30">
        <v>34.6</v>
      </c>
      <c r="G3024" s="30">
        <v>36.700000000000003</v>
      </c>
    </row>
    <row r="3025" spans="1:7" x14ac:dyDescent="0.25">
      <c r="A3025" s="29">
        <v>40631</v>
      </c>
      <c r="B3025" s="30">
        <v>40.299999999999997</v>
      </c>
      <c r="C3025" s="30">
        <v>38.799999999999997</v>
      </c>
      <c r="D3025" s="30"/>
      <c r="E3025" s="30">
        <v>38.9</v>
      </c>
      <c r="F3025" s="30">
        <v>38</v>
      </c>
      <c r="G3025" s="30">
        <v>40.9</v>
      </c>
    </row>
    <row r="3026" spans="1:7" x14ac:dyDescent="0.25">
      <c r="A3026" s="29">
        <v>40632</v>
      </c>
      <c r="B3026" s="30">
        <v>42.1</v>
      </c>
      <c r="C3026" s="30">
        <v>43</v>
      </c>
      <c r="D3026" s="30"/>
      <c r="E3026" s="30">
        <v>43</v>
      </c>
      <c r="F3026" s="30">
        <v>38.700000000000003</v>
      </c>
      <c r="G3026" s="30">
        <v>44.5</v>
      </c>
    </row>
    <row r="3027" spans="1:7" x14ac:dyDescent="0.25">
      <c r="A3027" s="29">
        <v>40633</v>
      </c>
      <c r="B3027" s="30">
        <v>41.1</v>
      </c>
      <c r="C3027" s="30">
        <v>41</v>
      </c>
      <c r="D3027" s="30"/>
      <c r="E3027" s="30">
        <v>41</v>
      </c>
      <c r="F3027" s="30">
        <v>40.799999999999997</v>
      </c>
      <c r="G3027" s="30">
        <v>43.5</v>
      </c>
    </row>
    <row r="3028" spans="1:7" x14ac:dyDescent="0.25">
      <c r="A3028" s="29">
        <v>40634</v>
      </c>
      <c r="B3028" s="30">
        <v>38.5</v>
      </c>
      <c r="C3028" s="30">
        <v>38.1</v>
      </c>
      <c r="D3028" s="30"/>
      <c r="E3028" s="30">
        <v>38.4</v>
      </c>
      <c r="F3028" s="30">
        <v>40.700000000000003</v>
      </c>
      <c r="G3028" s="30">
        <v>40.1</v>
      </c>
    </row>
    <row r="3029" spans="1:7" x14ac:dyDescent="0.25">
      <c r="A3029" s="29">
        <v>40635</v>
      </c>
      <c r="B3029" s="30">
        <v>46.2</v>
      </c>
      <c r="C3029" s="30">
        <v>45.4</v>
      </c>
      <c r="D3029" s="30"/>
      <c r="E3029" s="30">
        <v>45.8</v>
      </c>
      <c r="F3029" s="30">
        <v>45.5</v>
      </c>
      <c r="G3029" s="30">
        <v>47.3</v>
      </c>
    </row>
    <row r="3030" spans="1:7" x14ac:dyDescent="0.25">
      <c r="A3030" s="29">
        <v>40636</v>
      </c>
      <c r="B3030" s="30">
        <v>50.5</v>
      </c>
      <c r="C3030" s="30">
        <v>48.5</v>
      </c>
      <c r="D3030" s="30"/>
      <c r="E3030" s="30">
        <v>49.5</v>
      </c>
      <c r="F3030" s="30">
        <v>48.5</v>
      </c>
      <c r="G3030" s="30">
        <v>51.1</v>
      </c>
    </row>
    <row r="3031" spans="1:7" x14ac:dyDescent="0.25">
      <c r="A3031" s="29">
        <v>40637</v>
      </c>
      <c r="B3031" s="30">
        <v>49.3</v>
      </c>
      <c r="C3031" s="30">
        <v>51</v>
      </c>
      <c r="D3031" s="30"/>
      <c r="E3031" s="30">
        <v>51.6</v>
      </c>
      <c r="F3031" s="30">
        <v>56.1</v>
      </c>
      <c r="G3031" s="30">
        <v>53.3</v>
      </c>
    </row>
    <row r="3032" spans="1:7" x14ac:dyDescent="0.25">
      <c r="A3032" s="29">
        <v>40638</v>
      </c>
      <c r="B3032" s="30">
        <v>49.5</v>
      </c>
      <c r="C3032" s="30">
        <v>50.8</v>
      </c>
      <c r="D3032" s="30"/>
      <c r="E3032" s="30">
        <v>53.8</v>
      </c>
      <c r="F3032" s="30">
        <v>55.2</v>
      </c>
      <c r="G3032" s="30">
        <v>56.2</v>
      </c>
    </row>
    <row r="3033" spans="1:7" x14ac:dyDescent="0.25">
      <c r="A3033" s="29">
        <v>40639</v>
      </c>
      <c r="B3033" s="30">
        <v>45.8</v>
      </c>
      <c r="C3033" s="30">
        <v>44.5</v>
      </c>
      <c r="D3033" s="30"/>
      <c r="E3033" s="30">
        <v>44.7</v>
      </c>
      <c r="F3033" s="30">
        <v>46.3</v>
      </c>
      <c r="G3033" s="30">
        <v>46.3</v>
      </c>
    </row>
    <row r="3034" spans="1:7" x14ac:dyDescent="0.25">
      <c r="A3034" s="29">
        <v>40640</v>
      </c>
      <c r="B3034" s="30">
        <v>44.7</v>
      </c>
      <c r="C3034" s="30">
        <v>43.5</v>
      </c>
      <c r="D3034" s="30"/>
      <c r="E3034" s="30">
        <v>44.5</v>
      </c>
      <c r="F3034" s="30">
        <v>47.6</v>
      </c>
      <c r="G3034" s="30">
        <v>45.6</v>
      </c>
    </row>
    <row r="3035" spans="1:7" x14ac:dyDescent="0.25">
      <c r="A3035" s="29">
        <v>40641</v>
      </c>
      <c r="B3035" s="30">
        <v>43.3</v>
      </c>
      <c r="C3035" s="30">
        <v>43.8</v>
      </c>
      <c r="D3035" s="30"/>
      <c r="E3035" s="30">
        <v>45.8</v>
      </c>
      <c r="F3035" s="30">
        <v>41.2</v>
      </c>
      <c r="G3035" s="30">
        <v>45.5</v>
      </c>
    </row>
    <row r="3036" spans="1:7" x14ac:dyDescent="0.25">
      <c r="A3036" s="29">
        <v>40642</v>
      </c>
      <c r="B3036" s="30">
        <v>44.8</v>
      </c>
      <c r="C3036" s="30">
        <v>45.2</v>
      </c>
      <c r="D3036" s="30"/>
      <c r="E3036" s="30">
        <v>47.2</v>
      </c>
      <c r="F3036" s="30">
        <v>46.8</v>
      </c>
      <c r="G3036" s="30">
        <v>47</v>
      </c>
    </row>
    <row r="3037" spans="1:7" x14ac:dyDescent="0.25">
      <c r="A3037" s="29">
        <v>40643</v>
      </c>
      <c r="B3037" s="30">
        <v>46.1</v>
      </c>
      <c r="C3037" s="30">
        <v>48.2</v>
      </c>
      <c r="D3037" s="30"/>
      <c r="E3037" s="30">
        <v>50.1</v>
      </c>
      <c r="F3037" s="30">
        <v>50.1</v>
      </c>
      <c r="G3037" s="30">
        <v>50.1</v>
      </c>
    </row>
    <row r="3038" spans="1:7" x14ac:dyDescent="0.25">
      <c r="A3038" s="29">
        <v>40644</v>
      </c>
      <c r="B3038" s="30">
        <v>50.9</v>
      </c>
      <c r="C3038" s="30">
        <v>55.8</v>
      </c>
      <c r="D3038" s="30"/>
      <c r="E3038" s="30">
        <v>60.6</v>
      </c>
      <c r="F3038" s="30">
        <v>59.8</v>
      </c>
      <c r="G3038" s="30">
        <v>63.4</v>
      </c>
    </row>
    <row r="3039" spans="1:7" x14ac:dyDescent="0.25">
      <c r="A3039" s="29">
        <v>40645</v>
      </c>
      <c r="B3039" s="30">
        <v>57.5</v>
      </c>
      <c r="C3039" s="30">
        <v>60.2</v>
      </c>
      <c r="D3039" s="30"/>
      <c r="E3039" s="30">
        <v>61.2</v>
      </c>
      <c r="F3039" s="30">
        <v>62.3</v>
      </c>
      <c r="G3039" s="30">
        <v>63.5</v>
      </c>
    </row>
    <row r="3040" spans="1:7" x14ac:dyDescent="0.25">
      <c r="A3040" s="29">
        <v>40646</v>
      </c>
      <c r="B3040" s="30">
        <v>49.5</v>
      </c>
      <c r="C3040" s="30">
        <v>46.1</v>
      </c>
      <c r="D3040" s="30"/>
      <c r="E3040" s="30">
        <v>46.3</v>
      </c>
      <c r="F3040" s="30">
        <v>52</v>
      </c>
      <c r="G3040" s="30">
        <v>48.8</v>
      </c>
    </row>
    <row r="3041" spans="1:7" x14ac:dyDescent="0.25">
      <c r="A3041" s="29">
        <v>40647</v>
      </c>
      <c r="B3041" s="30">
        <v>55.5</v>
      </c>
      <c r="C3041" s="30">
        <v>54.1</v>
      </c>
      <c r="D3041" s="30"/>
      <c r="E3041" s="30">
        <v>55.9</v>
      </c>
      <c r="F3041" s="30">
        <v>55.3</v>
      </c>
      <c r="G3041" s="30">
        <v>56.7</v>
      </c>
    </row>
    <row r="3042" spans="1:7" x14ac:dyDescent="0.25">
      <c r="A3042" s="29">
        <v>40648</v>
      </c>
      <c r="B3042" s="30">
        <v>50.1</v>
      </c>
      <c r="C3042" s="30">
        <v>51.2</v>
      </c>
      <c r="D3042" s="30"/>
      <c r="E3042" s="30">
        <v>51.5</v>
      </c>
      <c r="F3042" s="30">
        <v>49.8</v>
      </c>
      <c r="G3042" s="30">
        <v>52.8</v>
      </c>
    </row>
    <row r="3043" spans="1:7" x14ac:dyDescent="0.25">
      <c r="A3043" s="29">
        <v>40649</v>
      </c>
      <c r="B3043" s="30">
        <v>44.2</v>
      </c>
      <c r="C3043" s="30">
        <v>43.8</v>
      </c>
      <c r="D3043" s="30"/>
      <c r="E3043" s="30">
        <v>44.5</v>
      </c>
      <c r="F3043" s="30">
        <v>48.5</v>
      </c>
      <c r="G3043" s="30">
        <v>45.7</v>
      </c>
    </row>
    <row r="3044" spans="1:7" x14ac:dyDescent="0.25">
      <c r="A3044" s="29">
        <v>40650</v>
      </c>
      <c r="B3044" s="30">
        <v>54.9</v>
      </c>
      <c r="C3044" s="30">
        <v>55.1</v>
      </c>
      <c r="D3044" s="30"/>
      <c r="E3044" s="30">
        <v>54.9</v>
      </c>
      <c r="F3044" s="30">
        <v>57</v>
      </c>
      <c r="G3044" s="30">
        <v>56.2</v>
      </c>
    </row>
    <row r="3045" spans="1:7" x14ac:dyDescent="0.25">
      <c r="A3045" s="29">
        <v>40651</v>
      </c>
      <c r="B3045" s="30">
        <v>52.6</v>
      </c>
      <c r="C3045" s="30">
        <v>53.4</v>
      </c>
      <c r="D3045" s="30"/>
      <c r="E3045" s="30">
        <v>53.8</v>
      </c>
      <c r="F3045" s="30">
        <v>57.3</v>
      </c>
      <c r="G3045" s="30">
        <v>55.8</v>
      </c>
    </row>
    <row r="3046" spans="1:7" x14ac:dyDescent="0.25">
      <c r="A3046" s="29">
        <v>40652</v>
      </c>
      <c r="B3046" s="30">
        <v>51</v>
      </c>
      <c r="C3046" s="30">
        <v>49.7</v>
      </c>
      <c r="D3046" s="30"/>
      <c r="E3046" s="30">
        <v>50.5</v>
      </c>
      <c r="F3046" s="30">
        <v>58.9</v>
      </c>
      <c r="G3046" s="30">
        <v>50.8</v>
      </c>
    </row>
    <row r="3047" spans="1:7" x14ac:dyDescent="0.25">
      <c r="A3047" s="29">
        <v>40653</v>
      </c>
      <c r="B3047" s="30">
        <v>50.3</v>
      </c>
      <c r="C3047" s="30">
        <v>48.4</v>
      </c>
      <c r="D3047" s="30"/>
      <c r="E3047" s="30">
        <v>50.8</v>
      </c>
      <c r="F3047" s="30">
        <v>61.3</v>
      </c>
      <c r="G3047" s="30">
        <v>52.9</v>
      </c>
    </row>
    <row r="3048" spans="1:7" x14ac:dyDescent="0.25">
      <c r="A3048" s="29">
        <v>40654</v>
      </c>
      <c r="B3048" s="30">
        <v>55.2</v>
      </c>
      <c r="C3048" s="30">
        <v>54.6</v>
      </c>
      <c r="D3048" s="30"/>
      <c r="E3048" s="30">
        <v>55.5</v>
      </c>
      <c r="F3048" s="30">
        <v>62</v>
      </c>
      <c r="G3048" s="30">
        <v>57.3</v>
      </c>
    </row>
    <row r="3049" spans="1:7" x14ac:dyDescent="0.25">
      <c r="A3049" s="29">
        <v>40655</v>
      </c>
      <c r="B3049" s="30">
        <v>45.2</v>
      </c>
      <c r="C3049" s="30">
        <v>44.9</v>
      </c>
      <c r="D3049" s="30"/>
      <c r="E3049" s="30">
        <v>45.2</v>
      </c>
      <c r="F3049" s="30">
        <v>45.3</v>
      </c>
      <c r="G3049" s="30">
        <v>45.8</v>
      </c>
    </row>
    <row r="3050" spans="1:7" x14ac:dyDescent="0.25">
      <c r="A3050" s="29">
        <v>40656</v>
      </c>
      <c r="B3050" s="30">
        <v>47.7</v>
      </c>
      <c r="C3050" s="30">
        <v>48.5</v>
      </c>
      <c r="D3050" s="30"/>
      <c r="E3050" s="30">
        <v>49.6</v>
      </c>
      <c r="F3050" s="30">
        <v>52.4</v>
      </c>
      <c r="G3050" s="30">
        <v>50.4</v>
      </c>
    </row>
    <row r="3051" spans="1:7" x14ac:dyDescent="0.25">
      <c r="A3051" s="29">
        <v>40657</v>
      </c>
      <c r="B3051" s="30">
        <v>59.8</v>
      </c>
      <c r="C3051" s="30">
        <v>62.6</v>
      </c>
      <c r="D3051" s="30"/>
      <c r="E3051" s="30">
        <v>65.099999999999994</v>
      </c>
      <c r="F3051" s="30">
        <v>69.2</v>
      </c>
      <c r="G3051" s="30">
        <v>66.900000000000006</v>
      </c>
    </row>
    <row r="3052" spans="1:7" x14ac:dyDescent="0.25">
      <c r="A3052" s="29">
        <v>40658</v>
      </c>
      <c r="B3052" s="30">
        <v>61.7</v>
      </c>
      <c r="C3052" s="30">
        <v>60.9</v>
      </c>
      <c r="D3052" s="30"/>
      <c r="E3052" s="30">
        <v>63.4</v>
      </c>
      <c r="F3052" s="30">
        <v>71.099999999999994</v>
      </c>
      <c r="G3052" s="30">
        <v>63.9</v>
      </c>
    </row>
    <row r="3053" spans="1:7" x14ac:dyDescent="0.25">
      <c r="A3053" s="29">
        <v>40659</v>
      </c>
      <c r="B3053" s="30">
        <v>59</v>
      </c>
      <c r="C3053" s="30">
        <v>61.8</v>
      </c>
      <c r="D3053" s="30"/>
      <c r="E3053" s="30">
        <v>65.8</v>
      </c>
      <c r="F3053" s="30">
        <v>67.7</v>
      </c>
      <c r="G3053" s="30">
        <v>66.599999999999994</v>
      </c>
    </row>
    <row r="3054" spans="1:7" x14ac:dyDescent="0.25">
      <c r="A3054" s="29">
        <v>40660</v>
      </c>
      <c r="B3054" s="30">
        <v>58.4</v>
      </c>
      <c r="C3054" s="30">
        <v>62.5</v>
      </c>
      <c r="D3054" s="30"/>
      <c r="E3054" s="30">
        <v>67.400000000000006</v>
      </c>
      <c r="F3054" s="30">
        <v>65.099999999999994</v>
      </c>
      <c r="G3054" s="30">
        <v>72.400000000000006</v>
      </c>
    </row>
    <row r="3055" spans="1:7" x14ac:dyDescent="0.25">
      <c r="A3055" s="29">
        <v>40661</v>
      </c>
      <c r="B3055" s="30">
        <v>58</v>
      </c>
      <c r="C3055" s="30">
        <v>61.4</v>
      </c>
      <c r="D3055" s="30"/>
      <c r="E3055" s="30">
        <v>64.3</v>
      </c>
      <c r="F3055" s="30">
        <v>65.8</v>
      </c>
      <c r="G3055" s="30">
        <v>70.099999999999994</v>
      </c>
    </row>
    <row r="3056" spans="1:7" x14ac:dyDescent="0.25">
      <c r="A3056" s="29">
        <v>40662</v>
      </c>
      <c r="B3056" s="30">
        <v>62.5</v>
      </c>
      <c r="C3056" s="30">
        <v>63.9</v>
      </c>
      <c r="D3056" s="30"/>
      <c r="E3056" s="30">
        <v>64.400000000000006</v>
      </c>
      <c r="F3056" s="30">
        <v>64.400000000000006</v>
      </c>
      <c r="G3056" s="30">
        <v>65.3</v>
      </c>
    </row>
    <row r="3057" spans="1:7" x14ac:dyDescent="0.25">
      <c r="A3057" s="29">
        <v>40663</v>
      </c>
      <c r="B3057" s="30">
        <v>57.7</v>
      </c>
      <c r="C3057" s="30">
        <v>56.3</v>
      </c>
      <c r="D3057" s="30"/>
      <c r="E3057" s="30">
        <v>57.4</v>
      </c>
      <c r="F3057" s="30">
        <v>56.2</v>
      </c>
      <c r="G3057" s="30">
        <v>58</v>
      </c>
    </row>
    <row r="3058" spans="1:7" x14ac:dyDescent="0.25">
      <c r="A3058" s="29">
        <v>40664</v>
      </c>
      <c r="B3058" s="30">
        <v>55.4</v>
      </c>
      <c r="C3058" s="30">
        <v>57</v>
      </c>
      <c r="D3058" s="30"/>
      <c r="E3058" s="30">
        <v>58.3</v>
      </c>
      <c r="F3058" s="30">
        <v>55.1</v>
      </c>
      <c r="G3058" s="30">
        <v>57.8</v>
      </c>
    </row>
    <row r="3059" spans="1:7" x14ac:dyDescent="0.25">
      <c r="A3059" s="29">
        <v>40665</v>
      </c>
      <c r="B3059" s="30">
        <v>53.1</v>
      </c>
      <c r="C3059" s="30">
        <v>53.6</v>
      </c>
      <c r="D3059" s="30"/>
      <c r="E3059" s="30">
        <v>54.9</v>
      </c>
      <c r="F3059" s="30">
        <v>58.6</v>
      </c>
      <c r="G3059" s="30">
        <v>55.6</v>
      </c>
    </row>
    <row r="3060" spans="1:7" x14ac:dyDescent="0.25">
      <c r="A3060" s="29">
        <v>40666</v>
      </c>
      <c r="B3060" s="30">
        <v>58.3</v>
      </c>
      <c r="C3060" s="30">
        <v>57.6</v>
      </c>
      <c r="D3060" s="30"/>
      <c r="E3060" s="30">
        <v>61.5</v>
      </c>
      <c r="F3060" s="30">
        <v>64.8</v>
      </c>
      <c r="G3060" s="30">
        <v>62.1</v>
      </c>
    </row>
    <row r="3061" spans="1:7" x14ac:dyDescent="0.25">
      <c r="A3061" s="29">
        <v>40667</v>
      </c>
      <c r="B3061" s="30">
        <v>55.6</v>
      </c>
      <c r="C3061" s="30">
        <v>55.6</v>
      </c>
      <c r="D3061" s="30"/>
      <c r="E3061" s="30">
        <v>56</v>
      </c>
      <c r="F3061" s="30">
        <v>58.3</v>
      </c>
      <c r="G3061" s="30">
        <v>60.4</v>
      </c>
    </row>
    <row r="3062" spans="1:7" x14ac:dyDescent="0.25">
      <c r="A3062" s="29">
        <v>40668</v>
      </c>
      <c r="B3062" s="30">
        <v>55.2</v>
      </c>
      <c r="C3062" s="30">
        <v>53.8</v>
      </c>
      <c r="D3062" s="30"/>
      <c r="E3062" s="30">
        <v>54.4</v>
      </c>
      <c r="F3062" s="30">
        <v>53.7</v>
      </c>
      <c r="G3062" s="30">
        <v>56.5</v>
      </c>
    </row>
    <row r="3063" spans="1:7" x14ac:dyDescent="0.25">
      <c r="A3063" s="29">
        <v>40669</v>
      </c>
      <c r="B3063" s="30">
        <v>57.1</v>
      </c>
      <c r="C3063" s="30">
        <v>59.6</v>
      </c>
      <c r="D3063" s="30"/>
      <c r="E3063" s="30">
        <v>59.9</v>
      </c>
      <c r="F3063" s="30">
        <v>58.4</v>
      </c>
      <c r="G3063" s="30">
        <v>60.2</v>
      </c>
    </row>
    <row r="3064" spans="1:7" x14ac:dyDescent="0.25">
      <c r="A3064" s="29">
        <v>40670</v>
      </c>
      <c r="B3064" s="30">
        <v>59.6</v>
      </c>
      <c r="C3064" s="30">
        <v>62</v>
      </c>
      <c r="D3064" s="30"/>
      <c r="E3064" s="30">
        <v>62</v>
      </c>
      <c r="F3064" s="30">
        <v>62</v>
      </c>
      <c r="G3064" s="30">
        <v>63</v>
      </c>
    </row>
    <row r="3065" spans="1:7" x14ac:dyDescent="0.25">
      <c r="A3065" s="29">
        <v>40671</v>
      </c>
      <c r="B3065" s="30">
        <v>62.5</v>
      </c>
      <c r="C3065" s="30">
        <v>61.3</v>
      </c>
      <c r="D3065" s="30"/>
      <c r="E3065" s="30">
        <v>61.9</v>
      </c>
      <c r="F3065" s="30">
        <v>59.7</v>
      </c>
      <c r="G3065" s="30">
        <v>62.3</v>
      </c>
    </row>
    <row r="3066" spans="1:7" x14ac:dyDescent="0.25">
      <c r="A3066" s="29">
        <v>40672</v>
      </c>
      <c r="B3066" s="30">
        <v>61.7</v>
      </c>
      <c r="C3066" s="30">
        <v>61.1</v>
      </c>
      <c r="D3066" s="30"/>
      <c r="E3066" s="30">
        <v>62.4</v>
      </c>
      <c r="F3066" s="30">
        <v>60.4</v>
      </c>
      <c r="G3066" s="30">
        <v>64</v>
      </c>
    </row>
    <row r="3067" spans="1:7" x14ac:dyDescent="0.25">
      <c r="A3067" s="29">
        <v>40673</v>
      </c>
      <c r="B3067" s="30">
        <v>62.1</v>
      </c>
      <c r="C3067" s="30">
        <v>62</v>
      </c>
      <c r="D3067" s="30"/>
      <c r="E3067" s="30">
        <v>62.5</v>
      </c>
      <c r="F3067" s="30">
        <v>57.9</v>
      </c>
      <c r="G3067" s="30">
        <v>64.400000000000006</v>
      </c>
    </row>
    <row r="3068" spans="1:7" x14ac:dyDescent="0.25">
      <c r="A3068" s="29">
        <v>40674</v>
      </c>
      <c r="B3068" s="30">
        <v>58.7</v>
      </c>
      <c r="C3068" s="30">
        <v>59.1</v>
      </c>
      <c r="D3068" s="30"/>
      <c r="E3068" s="30">
        <v>59.4</v>
      </c>
      <c r="F3068" s="30">
        <v>55.7</v>
      </c>
      <c r="G3068" s="30">
        <v>60.6</v>
      </c>
    </row>
    <row r="3069" spans="1:7" x14ac:dyDescent="0.25">
      <c r="A3069" s="29">
        <v>40675</v>
      </c>
      <c r="B3069" s="30">
        <v>59.3</v>
      </c>
      <c r="C3069" s="30">
        <v>60.8</v>
      </c>
      <c r="D3069" s="30"/>
      <c r="E3069" s="30">
        <v>61.2</v>
      </c>
      <c r="F3069" s="30">
        <v>58.3</v>
      </c>
      <c r="G3069" s="30">
        <v>62.6</v>
      </c>
    </row>
    <row r="3070" spans="1:7" x14ac:dyDescent="0.25">
      <c r="A3070" s="29">
        <v>40676</v>
      </c>
      <c r="B3070" s="30">
        <v>56.6</v>
      </c>
      <c r="C3070" s="30">
        <v>57.6</v>
      </c>
      <c r="D3070" s="30"/>
      <c r="E3070" s="30">
        <v>58</v>
      </c>
      <c r="F3070" s="30">
        <v>57.9</v>
      </c>
      <c r="G3070" s="30">
        <v>58.3</v>
      </c>
    </row>
    <row r="3071" spans="1:7" x14ac:dyDescent="0.25">
      <c r="A3071" s="29">
        <v>40677</v>
      </c>
      <c r="B3071" s="30">
        <v>58.7</v>
      </c>
      <c r="C3071" s="30">
        <v>58.9</v>
      </c>
      <c r="D3071" s="30"/>
      <c r="E3071" s="30">
        <v>59.8</v>
      </c>
      <c r="F3071" s="30">
        <v>60.1</v>
      </c>
      <c r="G3071" s="30">
        <v>60.2</v>
      </c>
    </row>
    <row r="3072" spans="1:7" x14ac:dyDescent="0.25">
      <c r="A3072" s="29">
        <v>40678</v>
      </c>
      <c r="B3072" s="30">
        <v>61.3</v>
      </c>
      <c r="C3072" s="30">
        <v>60.7</v>
      </c>
      <c r="D3072" s="30"/>
      <c r="E3072" s="30">
        <v>61.1</v>
      </c>
      <c r="F3072" s="30">
        <v>65.2</v>
      </c>
      <c r="G3072" s="30">
        <v>62.6</v>
      </c>
    </row>
    <row r="3073" spans="1:7" x14ac:dyDescent="0.25">
      <c r="A3073" s="29">
        <v>40679</v>
      </c>
      <c r="B3073" s="30">
        <v>60.7</v>
      </c>
      <c r="C3073" s="30">
        <v>57.6</v>
      </c>
      <c r="D3073" s="30"/>
      <c r="E3073" s="30">
        <v>58.8</v>
      </c>
      <c r="F3073" s="30">
        <v>65.400000000000006</v>
      </c>
      <c r="G3073" s="30">
        <v>60.4</v>
      </c>
    </row>
    <row r="3074" spans="1:7" x14ac:dyDescent="0.25">
      <c r="A3074" s="29">
        <v>40680</v>
      </c>
      <c r="B3074" s="30">
        <v>58.6</v>
      </c>
      <c r="C3074" s="30">
        <v>54.3</v>
      </c>
      <c r="D3074" s="30"/>
      <c r="E3074" s="30">
        <v>54.9</v>
      </c>
      <c r="F3074" s="30">
        <v>63.5</v>
      </c>
      <c r="G3074" s="30">
        <v>58.7</v>
      </c>
    </row>
    <row r="3075" spans="1:7" x14ac:dyDescent="0.25">
      <c r="A3075" s="29">
        <v>40681</v>
      </c>
      <c r="B3075" s="30">
        <v>63.6</v>
      </c>
      <c r="C3075" s="30">
        <v>56.5</v>
      </c>
      <c r="D3075" s="30"/>
      <c r="E3075" s="30">
        <v>58.7</v>
      </c>
      <c r="F3075" s="30">
        <v>63.6</v>
      </c>
      <c r="G3075" s="30">
        <v>61.9</v>
      </c>
    </row>
    <row r="3076" spans="1:7" x14ac:dyDescent="0.25">
      <c r="A3076" s="29">
        <v>40682</v>
      </c>
      <c r="B3076" s="30">
        <v>64.099999999999994</v>
      </c>
      <c r="C3076" s="30">
        <v>61.1</v>
      </c>
      <c r="D3076" s="30"/>
      <c r="E3076" s="30">
        <v>64.099999999999994</v>
      </c>
      <c r="F3076" s="30">
        <v>63.6</v>
      </c>
      <c r="G3076" s="30">
        <v>66.099999999999994</v>
      </c>
    </row>
    <row r="3077" spans="1:7" x14ac:dyDescent="0.25">
      <c r="A3077" s="29">
        <v>40683</v>
      </c>
      <c r="B3077" s="30">
        <v>60.9</v>
      </c>
      <c r="C3077" s="30">
        <v>61.4</v>
      </c>
      <c r="D3077" s="30"/>
      <c r="E3077" s="30">
        <v>61</v>
      </c>
      <c r="F3077" s="30">
        <v>62.6</v>
      </c>
      <c r="G3077" s="30">
        <v>62.6</v>
      </c>
    </row>
    <row r="3078" spans="1:7" x14ac:dyDescent="0.25">
      <c r="A3078" s="29">
        <v>40684</v>
      </c>
      <c r="B3078" s="30">
        <v>61.7</v>
      </c>
      <c r="C3078" s="30">
        <v>63.2</v>
      </c>
      <c r="D3078" s="30"/>
      <c r="E3078" s="30">
        <v>63.7</v>
      </c>
      <c r="F3078" s="30">
        <v>64.099999999999994</v>
      </c>
      <c r="G3078" s="30">
        <v>65.5</v>
      </c>
    </row>
    <row r="3079" spans="1:7" x14ac:dyDescent="0.25">
      <c r="A3079" s="29">
        <v>40685</v>
      </c>
      <c r="B3079" s="30">
        <v>55.8</v>
      </c>
      <c r="C3079" s="30">
        <v>57.1</v>
      </c>
      <c r="D3079" s="30"/>
      <c r="E3079" s="30">
        <v>57</v>
      </c>
      <c r="F3079" s="30">
        <v>60.9</v>
      </c>
      <c r="G3079" s="30">
        <v>58.5</v>
      </c>
    </row>
    <row r="3080" spans="1:7" x14ac:dyDescent="0.25">
      <c r="A3080" s="29">
        <v>40686</v>
      </c>
      <c r="B3080" s="30">
        <v>58</v>
      </c>
      <c r="C3080" s="30">
        <v>58.2</v>
      </c>
      <c r="D3080" s="30"/>
      <c r="E3080" s="30">
        <v>59</v>
      </c>
      <c r="F3080" s="30">
        <v>64.400000000000006</v>
      </c>
      <c r="G3080" s="30">
        <v>60.6</v>
      </c>
    </row>
    <row r="3081" spans="1:7" x14ac:dyDescent="0.25">
      <c r="A3081" s="29">
        <v>40687</v>
      </c>
      <c r="B3081" s="30">
        <v>68.8</v>
      </c>
      <c r="C3081" s="30">
        <v>71.099999999999994</v>
      </c>
      <c r="D3081" s="30"/>
      <c r="E3081" s="30">
        <v>71.8</v>
      </c>
      <c r="F3081" s="30">
        <v>75.7</v>
      </c>
      <c r="G3081" s="30">
        <v>74.3</v>
      </c>
    </row>
    <row r="3082" spans="1:7" x14ac:dyDescent="0.25">
      <c r="A3082" s="29">
        <v>40688</v>
      </c>
      <c r="B3082" s="30">
        <v>71.2</v>
      </c>
      <c r="C3082" s="30">
        <v>74</v>
      </c>
      <c r="D3082" s="30"/>
      <c r="E3082" s="30">
        <v>74</v>
      </c>
      <c r="F3082" s="30">
        <v>73.5</v>
      </c>
      <c r="G3082" s="30">
        <v>75.8</v>
      </c>
    </row>
    <row r="3083" spans="1:7" x14ac:dyDescent="0.25">
      <c r="A3083" s="29">
        <v>40689</v>
      </c>
      <c r="B3083" s="30">
        <v>66.3</v>
      </c>
      <c r="C3083" s="30">
        <v>69.400000000000006</v>
      </c>
      <c r="D3083" s="30"/>
      <c r="E3083" s="30">
        <v>69.900000000000006</v>
      </c>
      <c r="F3083" s="30">
        <v>71.400000000000006</v>
      </c>
      <c r="G3083" s="30">
        <v>71.5</v>
      </c>
    </row>
    <row r="3084" spans="1:7" x14ac:dyDescent="0.25">
      <c r="A3084" s="29">
        <v>40690</v>
      </c>
      <c r="B3084" s="30">
        <v>70</v>
      </c>
      <c r="C3084" s="30">
        <v>71.599999999999994</v>
      </c>
      <c r="D3084" s="30"/>
      <c r="E3084" s="30">
        <v>73.400000000000006</v>
      </c>
      <c r="F3084" s="30">
        <v>75.8</v>
      </c>
      <c r="G3084" s="30">
        <v>75.8</v>
      </c>
    </row>
    <row r="3085" spans="1:7" x14ac:dyDescent="0.25">
      <c r="A3085" s="29">
        <v>40691</v>
      </c>
      <c r="B3085" s="30">
        <v>69.5</v>
      </c>
      <c r="C3085" s="30">
        <v>72.900000000000006</v>
      </c>
      <c r="D3085" s="30"/>
      <c r="E3085" s="30">
        <v>74.3</v>
      </c>
      <c r="F3085" s="30">
        <v>73.7</v>
      </c>
      <c r="G3085" s="30">
        <v>77.2</v>
      </c>
    </row>
    <row r="3086" spans="1:7" x14ac:dyDescent="0.25">
      <c r="A3086" s="29">
        <v>40692</v>
      </c>
      <c r="B3086" s="30">
        <v>69.400000000000006</v>
      </c>
      <c r="C3086" s="30">
        <v>72.8</v>
      </c>
      <c r="D3086" s="30"/>
      <c r="E3086" s="30">
        <v>74.2</v>
      </c>
      <c r="F3086" s="30">
        <v>74.8</v>
      </c>
      <c r="G3086" s="30">
        <v>76.599999999999994</v>
      </c>
    </row>
    <row r="3087" spans="1:7" x14ac:dyDescent="0.25">
      <c r="A3087" s="29">
        <v>40693</v>
      </c>
      <c r="B3087" s="30">
        <v>73.400000000000006</v>
      </c>
      <c r="C3087" s="30">
        <v>77.3</v>
      </c>
      <c r="D3087" s="30"/>
      <c r="E3087" s="30">
        <v>77.7</v>
      </c>
      <c r="F3087" s="30">
        <v>77.900000000000006</v>
      </c>
      <c r="G3087" s="30">
        <v>80.7</v>
      </c>
    </row>
    <row r="3088" spans="1:7" x14ac:dyDescent="0.25">
      <c r="A3088" s="29">
        <v>40694</v>
      </c>
      <c r="B3088" s="30">
        <v>76.3</v>
      </c>
      <c r="C3088" s="30">
        <v>78.3</v>
      </c>
      <c r="D3088" s="30"/>
      <c r="E3088" s="30">
        <v>79.2</v>
      </c>
      <c r="F3088" s="30">
        <v>77.8</v>
      </c>
      <c r="G3088" s="30">
        <v>80.900000000000006</v>
      </c>
    </row>
    <row r="3089" spans="1:7" x14ac:dyDescent="0.25">
      <c r="A3089" s="29">
        <v>40695</v>
      </c>
      <c r="B3089" s="30">
        <v>70.8</v>
      </c>
      <c r="C3089" s="30">
        <v>76.5</v>
      </c>
      <c r="D3089" s="30"/>
      <c r="E3089" s="30">
        <v>77.599999999999994</v>
      </c>
      <c r="F3089" s="30">
        <v>77.3</v>
      </c>
      <c r="G3089" s="30">
        <v>79.2</v>
      </c>
    </row>
    <row r="3090" spans="1:7" x14ac:dyDescent="0.25">
      <c r="A3090" s="29">
        <v>40696</v>
      </c>
      <c r="B3090" s="30">
        <v>76.599999999999994</v>
      </c>
      <c r="C3090" s="30">
        <v>76.599999999999994</v>
      </c>
      <c r="D3090" s="30"/>
      <c r="E3090" s="30">
        <v>75.599999999999994</v>
      </c>
      <c r="F3090" s="30">
        <v>78.5</v>
      </c>
      <c r="G3090" s="30">
        <v>79.2</v>
      </c>
    </row>
    <row r="3091" spans="1:7" x14ac:dyDescent="0.25">
      <c r="A3091" s="29">
        <v>40697</v>
      </c>
      <c r="B3091" s="30">
        <v>67.7</v>
      </c>
      <c r="C3091" s="30">
        <v>65.7</v>
      </c>
      <c r="D3091" s="30"/>
      <c r="E3091" s="30">
        <v>66.099999999999994</v>
      </c>
      <c r="F3091" s="30">
        <v>66.7</v>
      </c>
      <c r="G3091" s="30">
        <v>68.5</v>
      </c>
    </row>
    <row r="3092" spans="1:7" x14ac:dyDescent="0.25">
      <c r="A3092" s="29">
        <v>40698</v>
      </c>
      <c r="B3092" s="30">
        <v>68.400000000000006</v>
      </c>
      <c r="C3092" s="30">
        <v>66.900000000000006</v>
      </c>
      <c r="D3092" s="30"/>
      <c r="E3092" s="30">
        <v>66.2</v>
      </c>
      <c r="F3092" s="30">
        <v>64.2</v>
      </c>
      <c r="G3092" s="30">
        <v>67.900000000000006</v>
      </c>
    </row>
    <row r="3093" spans="1:7" x14ac:dyDescent="0.25">
      <c r="A3093" s="29">
        <v>40699</v>
      </c>
      <c r="B3093" s="30">
        <v>62.8</v>
      </c>
      <c r="C3093" s="30">
        <v>61.8</v>
      </c>
      <c r="D3093" s="30"/>
      <c r="E3093" s="30">
        <v>62.9</v>
      </c>
      <c r="F3093" s="30">
        <v>67</v>
      </c>
      <c r="G3093" s="30">
        <v>64.900000000000006</v>
      </c>
    </row>
    <row r="3094" spans="1:7" x14ac:dyDescent="0.25">
      <c r="A3094" s="29">
        <v>40700</v>
      </c>
      <c r="B3094" s="30">
        <v>68.3</v>
      </c>
      <c r="C3094" s="30">
        <v>69.099999999999994</v>
      </c>
      <c r="D3094" s="30"/>
      <c r="E3094" s="30">
        <v>69.5</v>
      </c>
      <c r="F3094" s="30">
        <v>69.099999999999994</v>
      </c>
      <c r="G3094" s="30">
        <v>71.3</v>
      </c>
    </row>
    <row r="3095" spans="1:7" x14ac:dyDescent="0.25">
      <c r="A3095" s="29">
        <v>40701</v>
      </c>
      <c r="B3095" s="30">
        <v>73.900000000000006</v>
      </c>
      <c r="C3095" s="30">
        <v>77.2</v>
      </c>
      <c r="D3095" s="30"/>
      <c r="E3095" s="30">
        <v>76.400000000000006</v>
      </c>
      <c r="F3095" s="30">
        <v>75.2</v>
      </c>
      <c r="G3095" s="30">
        <v>78.5</v>
      </c>
    </row>
    <row r="3096" spans="1:7" x14ac:dyDescent="0.25">
      <c r="A3096" s="29">
        <v>40702</v>
      </c>
      <c r="B3096" s="30">
        <v>77.599999999999994</v>
      </c>
      <c r="C3096" s="30">
        <v>84.4</v>
      </c>
      <c r="D3096" s="30"/>
      <c r="E3096" s="30">
        <v>82.8</v>
      </c>
      <c r="F3096" s="30">
        <v>82.5</v>
      </c>
      <c r="G3096" s="30">
        <v>85.2</v>
      </c>
    </row>
    <row r="3097" spans="1:7" x14ac:dyDescent="0.25">
      <c r="A3097" s="29">
        <v>40703</v>
      </c>
      <c r="B3097" s="30">
        <v>79.2</v>
      </c>
      <c r="C3097" s="30">
        <v>86.2</v>
      </c>
      <c r="D3097" s="30"/>
      <c r="E3097" s="30">
        <v>85.7</v>
      </c>
      <c r="F3097" s="30">
        <v>87.7</v>
      </c>
      <c r="G3097" s="30">
        <v>90.2</v>
      </c>
    </row>
    <row r="3098" spans="1:7" x14ac:dyDescent="0.25">
      <c r="A3098" s="29">
        <v>40704</v>
      </c>
      <c r="B3098" s="30">
        <v>75.3</v>
      </c>
      <c r="C3098" s="30">
        <v>76.5</v>
      </c>
      <c r="D3098" s="30"/>
      <c r="E3098" s="30">
        <v>76</v>
      </c>
      <c r="F3098" s="30">
        <v>79.2</v>
      </c>
      <c r="G3098" s="30">
        <v>78.599999999999994</v>
      </c>
    </row>
    <row r="3099" spans="1:7" x14ac:dyDescent="0.25">
      <c r="A3099" s="29">
        <v>40705</v>
      </c>
      <c r="B3099" s="30">
        <v>68</v>
      </c>
      <c r="C3099" s="30">
        <v>66.900000000000006</v>
      </c>
      <c r="D3099" s="30"/>
      <c r="E3099" s="30">
        <v>66.7</v>
      </c>
      <c r="F3099" s="30">
        <v>74.599999999999994</v>
      </c>
      <c r="G3099" s="30">
        <v>70</v>
      </c>
    </row>
    <row r="3100" spans="1:7" x14ac:dyDescent="0.25">
      <c r="A3100" s="29">
        <v>40706</v>
      </c>
      <c r="B3100" s="30">
        <v>63.1</v>
      </c>
      <c r="C3100" s="30">
        <v>61.5</v>
      </c>
      <c r="D3100" s="30"/>
      <c r="E3100" s="30">
        <v>63.5</v>
      </c>
      <c r="F3100" s="30">
        <v>71.8</v>
      </c>
      <c r="G3100" s="30">
        <v>65.599999999999994</v>
      </c>
    </row>
    <row r="3101" spans="1:7" x14ac:dyDescent="0.25">
      <c r="A3101" s="29">
        <v>40707</v>
      </c>
      <c r="B3101" s="30">
        <v>66.900000000000006</v>
      </c>
      <c r="C3101" s="30">
        <v>65.7</v>
      </c>
      <c r="D3101" s="30"/>
      <c r="E3101" s="30">
        <v>65.599999999999994</v>
      </c>
      <c r="F3101" s="30">
        <v>70.599999999999994</v>
      </c>
      <c r="G3101" s="30">
        <v>68.599999999999994</v>
      </c>
    </row>
    <row r="3102" spans="1:7" x14ac:dyDescent="0.25">
      <c r="A3102" s="29">
        <v>40708</v>
      </c>
      <c r="B3102" s="30">
        <v>65</v>
      </c>
      <c r="C3102" s="30">
        <v>64.400000000000006</v>
      </c>
      <c r="D3102" s="30"/>
      <c r="E3102" s="30">
        <v>64</v>
      </c>
      <c r="F3102" s="30">
        <v>64.8</v>
      </c>
      <c r="G3102" s="30">
        <v>65.599999999999994</v>
      </c>
    </row>
    <row r="3103" spans="1:7" x14ac:dyDescent="0.25">
      <c r="A3103" s="29">
        <v>40709</v>
      </c>
      <c r="B3103" s="30">
        <v>68.8</v>
      </c>
      <c r="C3103" s="30">
        <v>67.900000000000006</v>
      </c>
      <c r="D3103" s="30"/>
      <c r="E3103" s="30">
        <v>67.900000000000006</v>
      </c>
      <c r="F3103" s="30">
        <v>68</v>
      </c>
      <c r="G3103" s="30">
        <v>69.400000000000006</v>
      </c>
    </row>
    <row r="3104" spans="1:7" x14ac:dyDescent="0.25">
      <c r="A3104" s="29">
        <v>40710</v>
      </c>
      <c r="B3104" s="30">
        <v>72.099999999999994</v>
      </c>
      <c r="C3104" s="30">
        <v>73.8</v>
      </c>
      <c r="D3104" s="30"/>
      <c r="E3104" s="30">
        <v>72.5</v>
      </c>
      <c r="F3104" s="30">
        <v>72.7</v>
      </c>
      <c r="G3104" s="30">
        <v>75.599999999999994</v>
      </c>
    </row>
    <row r="3105" spans="1:7" x14ac:dyDescent="0.25">
      <c r="A3105" s="29">
        <v>40711</v>
      </c>
      <c r="B3105" s="30">
        <v>71</v>
      </c>
      <c r="C3105" s="30">
        <v>70.599999999999994</v>
      </c>
      <c r="D3105" s="30"/>
      <c r="E3105" s="30">
        <v>68.8</v>
      </c>
      <c r="F3105" s="30">
        <v>75.599999999999994</v>
      </c>
      <c r="G3105" s="30">
        <v>72.3</v>
      </c>
    </row>
    <row r="3106" spans="1:7" x14ac:dyDescent="0.25">
      <c r="A3106" s="29">
        <v>40712</v>
      </c>
      <c r="B3106" s="30">
        <v>72</v>
      </c>
      <c r="C3106" s="30">
        <v>72.2</v>
      </c>
      <c r="D3106" s="30"/>
      <c r="E3106" s="30">
        <v>71.2</v>
      </c>
      <c r="F3106" s="30">
        <v>77</v>
      </c>
      <c r="G3106" s="30">
        <v>75.7</v>
      </c>
    </row>
    <row r="3107" spans="1:7" x14ac:dyDescent="0.25">
      <c r="A3107" s="29">
        <v>40713</v>
      </c>
      <c r="B3107" s="30">
        <v>74.5</v>
      </c>
      <c r="C3107" s="30">
        <v>75.3</v>
      </c>
      <c r="D3107" s="30"/>
      <c r="E3107" s="30">
        <v>75.7</v>
      </c>
      <c r="F3107" s="30">
        <v>75.8</v>
      </c>
      <c r="G3107" s="30">
        <v>77.7</v>
      </c>
    </row>
    <row r="3108" spans="1:7" x14ac:dyDescent="0.25">
      <c r="A3108" s="29">
        <v>40714</v>
      </c>
      <c r="B3108" s="30">
        <v>70.8</v>
      </c>
      <c r="C3108" s="30">
        <v>71.8</v>
      </c>
      <c r="D3108" s="30"/>
      <c r="E3108" s="30">
        <v>72.2</v>
      </c>
      <c r="F3108" s="30">
        <v>70</v>
      </c>
      <c r="G3108" s="30">
        <v>74.8</v>
      </c>
    </row>
    <row r="3109" spans="1:7" x14ac:dyDescent="0.25">
      <c r="A3109" s="29">
        <v>40715</v>
      </c>
      <c r="B3109" s="30">
        <v>72.900000000000006</v>
      </c>
      <c r="C3109" s="30">
        <v>75.5</v>
      </c>
      <c r="D3109" s="30"/>
      <c r="E3109" s="30">
        <v>74.8</v>
      </c>
      <c r="F3109" s="30">
        <v>72.099999999999994</v>
      </c>
      <c r="G3109" s="30">
        <v>76.599999999999994</v>
      </c>
    </row>
    <row r="3110" spans="1:7" x14ac:dyDescent="0.25">
      <c r="A3110" s="29">
        <v>40716</v>
      </c>
      <c r="B3110" s="30">
        <v>72.7</v>
      </c>
      <c r="C3110" s="30">
        <v>75.7</v>
      </c>
      <c r="D3110" s="30"/>
      <c r="E3110" s="30">
        <v>74.900000000000006</v>
      </c>
      <c r="F3110" s="30">
        <v>78.099999999999994</v>
      </c>
      <c r="G3110" s="30">
        <v>76.8</v>
      </c>
    </row>
    <row r="3111" spans="1:7" x14ac:dyDescent="0.25">
      <c r="A3111" s="29">
        <v>40717</v>
      </c>
      <c r="B3111" s="30">
        <v>71.3</v>
      </c>
      <c r="C3111" s="30">
        <v>69.900000000000006</v>
      </c>
      <c r="D3111" s="30"/>
      <c r="E3111" s="30">
        <v>70.3</v>
      </c>
      <c r="F3111" s="30">
        <v>82</v>
      </c>
      <c r="G3111" s="30">
        <v>74.8</v>
      </c>
    </row>
    <row r="3112" spans="1:7" x14ac:dyDescent="0.25">
      <c r="A3112" s="29">
        <v>40718</v>
      </c>
      <c r="B3112" s="30">
        <v>67.3</v>
      </c>
      <c r="C3112" s="30">
        <v>66.099999999999994</v>
      </c>
      <c r="D3112" s="30"/>
      <c r="E3112" s="30">
        <v>67.2</v>
      </c>
      <c r="F3112" s="30">
        <v>78.2</v>
      </c>
      <c r="G3112" s="30">
        <v>70.400000000000006</v>
      </c>
    </row>
    <row r="3113" spans="1:7" x14ac:dyDescent="0.25">
      <c r="A3113" s="29">
        <v>40719</v>
      </c>
      <c r="B3113" s="30">
        <v>70.900000000000006</v>
      </c>
      <c r="C3113" s="30">
        <v>69.3</v>
      </c>
      <c r="D3113" s="30"/>
      <c r="E3113" s="30">
        <v>70.099999999999994</v>
      </c>
      <c r="F3113" s="30">
        <v>77.8</v>
      </c>
      <c r="G3113" s="30">
        <v>73.900000000000006</v>
      </c>
    </row>
    <row r="3114" spans="1:7" x14ac:dyDescent="0.25">
      <c r="A3114" s="29">
        <v>40720</v>
      </c>
      <c r="B3114" s="30">
        <v>75.599999999999994</v>
      </c>
      <c r="C3114" s="30">
        <v>74.400000000000006</v>
      </c>
      <c r="D3114" s="30"/>
      <c r="E3114" s="30">
        <v>72.900000000000006</v>
      </c>
      <c r="F3114" s="30">
        <v>75.900000000000006</v>
      </c>
      <c r="G3114" s="30">
        <v>76.099999999999994</v>
      </c>
    </row>
    <row r="3115" spans="1:7" x14ac:dyDescent="0.25">
      <c r="A3115" s="29">
        <v>40721</v>
      </c>
      <c r="B3115" s="30">
        <v>74.7</v>
      </c>
      <c r="C3115" s="30">
        <v>74.900000000000006</v>
      </c>
      <c r="D3115" s="30"/>
      <c r="E3115" s="30">
        <v>73.400000000000006</v>
      </c>
      <c r="F3115" s="30">
        <v>75.5</v>
      </c>
      <c r="G3115" s="30">
        <v>76.400000000000006</v>
      </c>
    </row>
    <row r="3116" spans="1:7" x14ac:dyDescent="0.25">
      <c r="A3116" s="29">
        <v>40722</v>
      </c>
      <c r="B3116" s="30">
        <v>75.400000000000006</v>
      </c>
      <c r="C3116" s="30">
        <v>77.099999999999994</v>
      </c>
      <c r="D3116" s="30"/>
      <c r="E3116" s="30">
        <v>76.5</v>
      </c>
      <c r="F3116" s="30">
        <v>74.400000000000006</v>
      </c>
      <c r="G3116" s="30">
        <v>79.099999999999994</v>
      </c>
    </row>
    <row r="3117" spans="1:7" x14ac:dyDescent="0.25">
      <c r="A3117" s="29">
        <v>40723</v>
      </c>
      <c r="B3117" s="30">
        <v>78</v>
      </c>
      <c r="C3117" s="30">
        <v>76.5</v>
      </c>
      <c r="D3117" s="30"/>
      <c r="E3117" s="30">
        <v>75.599999999999994</v>
      </c>
      <c r="F3117" s="30">
        <v>79.5</v>
      </c>
      <c r="G3117" s="30">
        <v>80</v>
      </c>
    </row>
    <row r="3118" spans="1:7" x14ac:dyDescent="0.25">
      <c r="A3118" s="29">
        <v>40724</v>
      </c>
      <c r="B3118" s="30">
        <v>75</v>
      </c>
      <c r="C3118" s="30">
        <v>73.8</v>
      </c>
      <c r="D3118" s="30"/>
      <c r="E3118" s="30">
        <v>73.7</v>
      </c>
      <c r="F3118" s="30">
        <v>73.900000000000006</v>
      </c>
      <c r="G3118" s="30">
        <v>76.599999999999994</v>
      </c>
    </row>
    <row r="3119" spans="1:7" x14ac:dyDescent="0.25">
      <c r="A3119" s="29">
        <v>40725</v>
      </c>
      <c r="B3119" s="30">
        <v>75.7</v>
      </c>
      <c r="C3119" s="30">
        <v>75.2</v>
      </c>
      <c r="D3119" s="30"/>
      <c r="E3119" s="30">
        <v>73.8</v>
      </c>
      <c r="F3119" s="30">
        <v>74.400000000000006</v>
      </c>
      <c r="G3119" s="30">
        <v>77.3</v>
      </c>
    </row>
    <row r="3120" spans="1:7" x14ac:dyDescent="0.25">
      <c r="A3120" s="29">
        <v>40726</v>
      </c>
      <c r="B3120" s="30">
        <v>76</v>
      </c>
      <c r="C3120" s="30">
        <v>76.5</v>
      </c>
      <c r="D3120" s="30"/>
      <c r="E3120" s="30">
        <v>76.2</v>
      </c>
      <c r="F3120" s="30">
        <v>75.3</v>
      </c>
      <c r="G3120" s="30">
        <v>79</v>
      </c>
    </row>
    <row r="3121" spans="1:7" x14ac:dyDescent="0.25">
      <c r="A3121" s="29">
        <v>40727</v>
      </c>
      <c r="B3121" s="30">
        <v>73</v>
      </c>
      <c r="C3121" s="30">
        <v>73.7</v>
      </c>
      <c r="D3121" s="30"/>
      <c r="E3121" s="30">
        <v>72.400000000000006</v>
      </c>
      <c r="F3121" s="30">
        <v>76.7</v>
      </c>
      <c r="G3121" s="30">
        <v>74.7</v>
      </c>
    </row>
    <row r="3122" spans="1:7" x14ac:dyDescent="0.25">
      <c r="A3122" s="29">
        <v>40728</v>
      </c>
      <c r="B3122" s="30">
        <v>75.400000000000006</v>
      </c>
      <c r="C3122" s="30">
        <v>76.599999999999994</v>
      </c>
      <c r="D3122" s="30"/>
      <c r="E3122" s="30">
        <v>76.2</v>
      </c>
      <c r="F3122" s="30">
        <v>79.7</v>
      </c>
      <c r="G3122" s="30">
        <v>79.2</v>
      </c>
    </row>
    <row r="3123" spans="1:7" x14ac:dyDescent="0.25">
      <c r="A3123" s="29">
        <v>40729</v>
      </c>
      <c r="B3123" s="30">
        <v>81.3</v>
      </c>
      <c r="C3123" s="30">
        <v>79.8</v>
      </c>
      <c r="D3123" s="30"/>
      <c r="E3123" s="30">
        <v>78.900000000000006</v>
      </c>
      <c r="F3123" s="30">
        <v>80.8</v>
      </c>
      <c r="G3123" s="30">
        <v>82.5</v>
      </c>
    </row>
    <row r="3124" spans="1:7" x14ac:dyDescent="0.25">
      <c r="A3124" s="29">
        <v>40730</v>
      </c>
      <c r="B3124" s="30">
        <v>78.400000000000006</v>
      </c>
      <c r="C3124" s="30">
        <v>82.2</v>
      </c>
      <c r="D3124" s="30"/>
      <c r="E3124" s="30">
        <v>80.2</v>
      </c>
      <c r="F3124" s="30">
        <v>79.099999999999994</v>
      </c>
      <c r="G3124" s="30">
        <v>83.1</v>
      </c>
    </row>
    <row r="3125" spans="1:7" x14ac:dyDescent="0.25">
      <c r="A3125" s="29">
        <v>40731</v>
      </c>
      <c r="B3125" s="30">
        <v>80</v>
      </c>
      <c r="C3125" s="30">
        <v>81.3</v>
      </c>
      <c r="D3125" s="30"/>
      <c r="E3125" s="30">
        <v>80.400000000000006</v>
      </c>
      <c r="F3125" s="30">
        <v>80.400000000000006</v>
      </c>
      <c r="G3125" s="30">
        <v>83.4</v>
      </c>
    </row>
    <row r="3126" spans="1:7" x14ac:dyDescent="0.25">
      <c r="A3126" s="29">
        <v>40732</v>
      </c>
      <c r="B3126" s="30">
        <v>76.900000000000006</v>
      </c>
      <c r="C3126" s="30">
        <v>77.599999999999994</v>
      </c>
      <c r="D3126" s="30"/>
      <c r="E3126" s="30">
        <v>77.3</v>
      </c>
      <c r="F3126" s="30">
        <v>77.900000000000006</v>
      </c>
      <c r="G3126" s="30">
        <v>79.400000000000006</v>
      </c>
    </row>
    <row r="3127" spans="1:7" x14ac:dyDescent="0.25">
      <c r="A3127" s="29">
        <v>40733</v>
      </c>
      <c r="B3127" s="30">
        <v>78.099999999999994</v>
      </c>
      <c r="C3127" s="30">
        <v>76.099999999999994</v>
      </c>
      <c r="D3127" s="30"/>
      <c r="E3127" s="30">
        <v>75.5</v>
      </c>
      <c r="F3127" s="30">
        <v>78</v>
      </c>
      <c r="G3127" s="30">
        <v>79</v>
      </c>
    </row>
    <row r="3128" spans="1:7" x14ac:dyDescent="0.25">
      <c r="A3128" s="29">
        <v>40734</v>
      </c>
      <c r="B3128" s="30">
        <v>77.900000000000006</v>
      </c>
      <c r="C3128" s="30">
        <v>77.3</v>
      </c>
      <c r="D3128" s="30"/>
      <c r="E3128" s="30">
        <v>77.5</v>
      </c>
      <c r="F3128" s="30">
        <v>77.7</v>
      </c>
      <c r="G3128" s="30">
        <v>79.2</v>
      </c>
    </row>
    <row r="3129" spans="1:7" x14ac:dyDescent="0.25">
      <c r="A3129" s="29">
        <v>40735</v>
      </c>
      <c r="B3129" s="30">
        <v>78.8</v>
      </c>
      <c r="C3129" s="30">
        <v>82</v>
      </c>
      <c r="D3129" s="30"/>
      <c r="E3129" s="30">
        <v>80.7</v>
      </c>
      <c r="F3129" s="30">
        <v>81.400000000000006</v>
      </c>
      <c r="G3129" s="30">
        <v>83.4</v>
      </c>
    </row>
    <row r="3130" spans="1:7" x14ac:dyDescent="0.25">
      <c r="A3130" s="29">
        <v>40736</v>
      </c>
      <c r="B3130" s="30">
        <v>84.7</v>
      </c>
      <c r="C3130" s="30">
        <v>84.5</v>
      </c>
      <c r="D3130" s="30"/>
      <c r="E3130" s="30">
        <v>84.7</v>
      </c>
      <c r="F3130" s="30">
        <v>84.1</v>
      </c>
      <c r="G3130" s="30">
        <v>87.5</v>
      </c>
    </row>
    <row r="3131" spans="1:7" x14ac:dyDescent="0.25">
      <c r="A3131" s="29">
        <v>40737</v>
      </c>
      <c r="B3131" s="30">
        <v>85.3</v>
      </c>
      <c r="C3131" s="30">
        <v>81.400000000000006</v>
      </c>
      <c r="D3131" s="30"/>
      <c r="E3131" s="30">
        <v>81.2</v>
      </c>
      <c r="F3131" s="30">
        <v>83</v>
      </c>
      <c r="G3131" s="30">
        <v>84.9</v>
      </c>
    </row>
    <row r="3132" spans="1:7" x14ac:dyDescent="0.25">
      <c r="A3132" s="29">
        <v>40738</v>
      </c>
      <c r="B3132" s="30">
        <v>73.8</v>
      </c>
      <c r="C3132" s="30">
        <v>73.3</v>
      </c>
      <c r="D3132" s="30"/>
      <c r="E3132" s="30">
        <v>72.7</v>
      </c>
      <c r="F3132" s="30">
        <v>74</v>
      </c>
      <c r="G3132" s="30">
        <v>75.8</v>
      </c>
    </row>
    <row r="3133" spans="1:7" x14ac:dyDescent="0.25">
      <c r="A3133" s="29">
        <v>40739</v>
      </c>
      <c r="B3133" s="30">
        <v>74.8</v>
      </c>
      <c r="C3133" s="30">
        <v>75.3</v>
      </c>
      <c r="D3133" s="30"/>
      <c r="E3133" s="30">
        <v>74.7</v>
      </c>
      <c r="F3133" s="30">
        <v>73.2</v>
      </c>
      <c r="G3133" s="30">
        <v>76.7</v>
      </c>
    </row>
    <row r="3134" spans="1:7" x14ac:dyDescent="0.25">
      <c r="A3134" s="29">
        <v>40740</v>
      </c>
      <c r="B3134" s="30">
        <v>77.7</v>
      </c>
      <c r="C3134" s="30">
        <v>79.2</v>
      </c>
      <c r="D3134" s="30"/>
      <c r="E3134" s="30">
        <v>78.3</v>
      </c>
      <c r="F3134" s="30">
        <v>77.099999999999994</v>
      </c>
      <c r="G3134" s="30">
        <v>81.5</v>
      </c>
    </row>
    <row r="3135" spans="1:7" x14ac:dyDescent="0.25">
      <c r="A3135" s="29">
        <v>40741</v>
      </c>
      <c r="B3135" s="30">
        <v>78.099999999999994</v>
      </c>
      <c r="C3135" s="30">
        <v>82.1</v>
      </c>
      <c r="D3135" s="30"/>
      <c r="E3135" s="30">
        <v>80.7</v>
      </c>
      <c r="F3135" s="30">
        <v>77.099999999999994</v>
      </c>
      <c r="G3135" s="30">
        <v>83.3</v>
      </c>
    </row>
    <row r="3136" spans="1:7" x14ac:dyDescent="0.25">
      <c r="A3136" s="29">
        <v>40742</v>
      </c>
      <c r="B3136" s="30">
        <v>80</v>
      </c>
      <c r="C3136" s="30">
        <v>84</v>
      </c>
      <c r="D3136" s="30"/>
      <c r="E3136" s="30">
        <v>83.3</v>
      </c>
      <c r="F3136" s="30">
        <v>80.5</v>
      </c>
      <c r="G3136" s="30">
        <v>86.2</v>
      </c>
    </row>
    <row r="3137" spans="1:7" x14ac:dyDescent="0.25">
      <c r="A3137" s="29">
        <v>40743</v>
      </c>
      <c r="B3137" s="30">
        <v>82.1</v>
      </c>
      <c r="C3137" s="30">
        <v>82.4</v>
      </c>
      <c r="D3137" s="30"/>
      <c r="E3137" s="30">
        <v>81.900000000000006</v>
      </c>
      <c r="F3137" s="30">
        <v>83.1</v>
      </c>
      <c r="G3137" s="30">
        <v>85.9</v>
      </c>
    </row>
    <row r="3138" spans="1:7" x14ac:dyDescent="0.25">
      <c r="A3138" s="29">
        <v>40744</v>
      </c>
      <c r="B3138" s="30">
        <v>78.3</v>
      </c>
      <c r="C3138" s="30">
        <v>80.400000000000006</v>
      </c>
      <c r="D3138" s="30"/>
      <c r="E3138" s="30">
        <v>81.2</v>
      </c>
      <c r="F3138" s="30">
        <v>77.900000000000006</v>
      </c>
      <c r="G3138" s="30">
        <v>82.8</v>
      </c>
    </row>
    <row r="3139" spans="1:7" x14ac:dyDescent="0.25">
      <c r="A3139" s="29">
        <v>40745</v>
      </c>
      <c r="B3139" s="30">
        <v>78.400000000000006</v>
      </c>
      <c r="C3139" s="30">
        <v>82.3</v>
      </c>
      <c r="D3139" s="30"/>
      <c r="E3139" s="30">
        <v>83.5</v>
      </c>
      <c r="F3139" s="30">
        <v>82.2</v>
      </c>
      <c r="G3139" s="30">
        <v>86.5</v>
      </c>
    </row>
    <row r="3140" spans="1:7" x14ac:dyDescent="0.25">
      <c r="A3140" s="29">
        <v>40746</v>
      </c>
      <c r="B3140" s="30">
        <v>87.3</v>
      </c>
      <c r="C3140" s="30">
        <v>92.7</v>
      </c>
      <c r="D3140" s="30"/>
      <c r="E3140" s="30">
        <v>92.6</v>
      </c>
      <c r="F3140" s="30">
        <v>90.1</v>
      </c>
      <c r="G3140" s="30">
        <v>95.6</v>
      </c>
    </row>
    <row r="3141" spans="1:7" x14ac:dyDescent="0.25">
      <c r="A3141" s="29">
        <v>40747</v>
      </c>
      <c r="B3141" s="30">
        <v>90.1</v>
      </c>
      <c r="C3141" s="30">
        <v>89.2</v>
      </c>
      <c r="D3141" s="30"/>
      <c r="E3141" s="30">
        <v>90.3</v>
      </c>
      <c r="F3141" s="30">
        <v>93.3</v>
      </c>
      <c r="G3141" s="30">
        <v>94.8</v>
      </c>
    </row>
    <row r="3142" spans="1:7" x14ac:dyDescent="0.25">
      <c r="A3142" s="29">
        <v>40748</v>
      </c>
      <c r="B3142" s="30">
        <v>86.5</v>
      </c>
      <c r="C3142" s="30">
        <v>85.8</v>
      </c>
      <c r="D3142" s="30"/>
      <c r="E3142" s="30">
        <v>86.1</v>
      </c>
      <c r="F3142" s="30">
        <v>87.9</v>
      </c>
      <c r="G3142" s="30">
        <v>89</v>
      </c>
    </row>
    <row r="3143" spans="1:7" x14ac:dyDescent="0.25">
      <c r="A3143" s="29">
        <v>40749</v>
      </c>
      <c r="B3143" s="30">
        <v>75.5</v>
      </c>
      <c r="C3143" s="30">
        <v>77.2</v>
      </c>
      <c r="D3143" s="30"/>
      <c r="E3143" s="30">
        <v>76</v>
      </c>
      <c r="F3143" s="30">
        <v>77.5</v>
      </c>
      <c r="G3143" s="30">
        <v>78.599999999999994</v>
      </c>
    </row>
    <row r="3144" spans="1:7" x14ac:dyDescent="0.25">
      <c r="A3144" s="29">
        <v>40750</v>
      </c>
      <c r="B3144" s="30">
        <v>76.2</v>
      </c>
      <c r="C3144" s="30">
        <v>76.8</v>
      </c>
      <c r="D3144" s="30"/>
      <c r="E3144" s="30">
        <v>77</v>
      </c>
      <c r="F3144" s="30">
        <v>82</v>
      </c>
      <c r="G3144" s="30">
        <v>80</v>
      </c>
    </row>
    <row r="3145" spans="1:7" x14ac:dyDescent="0.25">
      <c r="A3145" s="29">
        <v>40751</v>
      </c>
      <c r="B3145" s="30">
        <v>77.8</v>
      </c>
      <c r="C3145" s="30">
        <v>76.7</v>
      </c>
      <c r="D3145" s="30"/>
      <c r="E3145" s="30">
        <v>75.8</v>
      </c>
      <c r="F3145" s="30">
        <v>81.7</v>
      </c>
      <c r="G3145" s="30">
        <v>79.099999999999994</v>
      </c>
    </row>
    <row r="3146" spans="1:7" x14ac:dyDescent="0.25">
      <c r="A3146" s="29">
        <v>40752</v>
      </c>
      <c r="B3146" s="30">
        <v>78</v>
      </c>
      <c r="C3146" s="30">
        <v>77.8</v>
      </c>
      <c r="D3146" s="30"/>
      <c r="E3146" s="30">
        <v>78.400000000000006</v>
      </c>
      <c r="F3146" s="30">
        <v>79.099999999999994</v>
      </c>
      <c r="G3146" s="30">
        <v>80.5</v>
      </c>
    </row>
    <row r="3147" spans="1:7" x14ac:dyDescent="0.25">
      <c r="A3147" s="29">
        <v>40753</v>
      </c>
      <c r="B3147" s="30">
        <v>76.900000000000006</v>
      </c>
      <c r="C3147" s="30">
        <v>78.099999999999994</v>
      </c>
      <c r="D3147" s="30"/>
      <c r="E3147" s="30">
        <v>77.599999999999994</v>
      </c>
      <c r="F3147" s="30">
        <v>81.599999999999994</v>
      </c>
      <c r="G3147" s="30">
        <v>80.099999999999994</v>
      </c>
    </row>
    <row r="3148" spans="1:7" x14ac:dyDescent="0.25">
      <c r="A3148" s="29">
        <v>40754</v>
      </c>
      <c r="B3148" s="30">
        <v>82.6</v>
      </c>
      <c r="C3148" s="30">
        <v>81.099999999999994</v>
      </c>
      <c r="D3148" s="30"/>
      <c r="E3148" s="30">
        <v>80.5</v>
      </c>
      <c r="F3148" s="30">
        <v>83.6</v>
      </c>
      <c r="G3148" s="30">
        <v>84.3</v>
      </c>
    </row>
    <row r="3149" spans="1:7" x14ac:dyDescent="0.25">
      <c r="A3149" s="29">
        <v>40755</v>
      </c>
      <c r="B3149" s="30">
        <v>81.099999999999994</v>
      </c>
      <c r="C3149" s="30">
        <v>80.8</v>
      </c>
      <c r="D3149" s="30"/>
      <c r="E3149" s="30">
        <v>80.8</v>
      </c>
      <c r="F3149" s="30">
        <v>80.099999999999994</v>
      </c>
      <c r="G3149" s="30">
        <v>83</v>
      </c>
    </row>
    <row r="3150" spans="1:7" x14ac:dyDescent="0.25">
      <c r="A3150" s="29">
        <v>40756</v>
      </c>
      <c r="B3150" s="30">
        <v>80.400000000000006</v>
      </c>
      <c r="C3150" s="30">
        <v>81.5</v>
      </c>
      <c r="D3150" s="30"/>
      <c r="E3150" s="30">
        <v>80.3</v>
      </c>
      <c r="F3150" s="30">
        <v>85</v>
      </c>
      <c r="G3150" s="30">
        <v>83.8</v>
      </c>
    </row>
    <row r="3151" spans="1:7" x14ac:dyDescent="0.25">
      <c r="A3151" s="29">
        <v>40757</v>
      </c>
      <c r="B3151" s="30">
        <v>82.1</v>
      </c>
      <c r="C3151" s="30">
        <v>80.3</v>
      </c>
      <c r="D3151" s="30"/>
      <c r="E3151" s="30">
        <v>80.900000000000006</v>
      </c>
      <c r="F3151" s="30">
        <v>79.2</v>
      </c>
      <c r="G3151" s="30">
        <v>83.6</v>
      </c>
    </row>
    <row r="3152" spans="1:7" x14ac:dyDescent="0.25">
      <c r="A3152" s="29">
        <v>40758</v>
      </c>
      <c r="B3152" s="30">
        <v>78.8</v>
      </c>
      <c r="C3152" s="30">
        <v>77.8</v>
      </c>
      <c r="D3152" s="30"/>
      <c r="E3152" s="30">
        <v>77.7</v>
      </c>
      <c r="F3152" s="30">
        <v>78.3</v>
      </c>
      <c r="G3152" s="30">
        <v>80.3</v>
      </c>
    </row>
    <row r="3153" spans="1:7" x14ac:dyDescent="0.25">
      <c r="A3153" s="29">
        <v>40759</v>
      </c>
      <c r="B3153" s="30">
        <v>73.3</v>
      </c>
      <c r="C3153" s="30">
        <v>73.3</v>
      </c>
      <c r="D3153" s="30"/>
      <c r="E3153" s="30">
        <v>73.2</v>
      </c>
      <c r="F3153" s="30">
        <v>75.2</v>
      </c>
      <c r="G3153" s="30">
        <v>75.400000000000006</v>
      </c>
    </row>
    <row r="3154" spans="1:7" x14ac:dyDescent="0.25">
      <c r="A3154" s="29">
        <v>40760</v>
      </c>
      <c r="B3154" s="30">
        <v>75.3</v>
      </c>
      <c r="C3154" s="30">
        <v>76.900000000000006</v>
      </c>
      <c r="D3154" s="30"/>
      <c r="E3154" s="30">
        <v>76.3</v>
      </c>
      <c r="F3154" s="30">
        <v>73.5</v>
      </c>
      <c r="G3154" s="30">
        <v>78</v>
      </c>
    </row>
    <row r="3155" spans="1:7" x14ac:dyDescent="0.25">
      <c r="A3155" s="29">
        <v>40761</v>
      </c>
      <c r="B3155" s="30">
        <v>76.099999999999994</v>
      </c>
      <c r="C3155" s="30">
        <v>76.5</v>
      </c>
      <c r="D3155" s="30"/>
      <c r="E3155" s="30">
        <v>76</v>
      </c>
      <c r="F3155" s="30">
        <v>76.400000000000006</v>
      </c>
      <c r="G3155" s="30">
        <v>78.3</v>
      </c>
    </row>
    <row r="3156" spans="1:7" x14ac:dyDescent="0.25">
      <c r="A3156" s="29">
        <v>40762</v>
      </c>
      <c r="B3156" s="30">
        <v>79.2</v>
      </c>
      <c r="C3156" s="30">
        <v>79.599999999999994</v>
      </c>
      <c r="D3156" s="30"/>
      <c r="E3156" s="30">
        <v>78.400000000000006</v>
      </c>
      <c r="F3156" s="30">
        <v>83.3</v>
      </c>
      <c r="G3156" s="30">
        <v>82</v>
      </c>
    </row>
    <row r="3157" spans="1:7" x14ac:dyDescent="0.25">
      <c r="A3157" s="29">
        <v>40763</v>
      </c>
      <c r="B3157" s="30">
        <v>81.7</v>
      </c>
      <c r="C3157" s="30">
        <v>80.7</v>
      </c>
      <c r="D3157" s="30"/>
      <c r="E3157" s="30">
        <v>80.3</v>
      </c>
      <c r="F3157" s="30">
        <v>84.9</v>
      </c>
      <c r="G3157" s="30">
        <v>84</v>
      </c>
    </row>
    <row r="3158" spans="1:7" x14ac:dyDescent="0.25">
      <c r="A3158" s="29">
        <v>40764</v>
      </c>
      <c r="B3158" s="30">
        <v>77.7</v>
      </c>
      <c r="C3158" s="30">
        <v>76.5</v>
      </c>
      <c r="D3158" s="30"/>
      <c r="E3158" s="30">
        <v>75.900000000000006</v>
      </c>
      <c r="F3158" s="30">
        <v>79.099999999999994</v>
      </c>
      <c r="G3158" s="30">
        <v>78.7</v>
      </c>
    </row>
    <row r="3159" spans="1:7" x14ac:dyDescent="0.25">
      <c r="A3159" s="29">
        <v>40765</v>
      </c>
      <c r="B3159" s="30">
        <v>78.400000000000006</v>
      </c>
      <c r="C3159" s="30">
        <v>78</v>
      </c>
      <c r="D3159" s="30"/>
      <c r="E3159" s="30">
        <v>76.3</v>
      </c>
      <c r="F3159" s="30">
        <v>79.3</v>
      </c>
      <c r="G3159" s="30">
        <v>79.400000000000006</v>
      </c>
    </row>
    <row r="3160" spans="1:7" x14ac:dyDescent="0.25">
      <c r="A3160" s="29">
        <v>40766</v>
      </c>
      <c r="B3160" s="30">
        <v>77.7</v>
      </c>
      <c r="C3160" s="30">
        <v>77.2</v>
      </c>
      <c r="D3160" s="30"/>
      <c r="E3160" s="30">
        <v>76.099999999999994</v>
      </c>
      <c r="F3160" s="30">
        <v>75.900000000000006</v>
      </c>
      <c r="G3160" s="30">
        <v>78.7</v>
      </c>
    </row>
    <row r="3161" spans="1:7" x14ac:dyDescent="0.25">
      <c r="A3161" s="29">
        <v>40767</v>
      </c>
      <c r="B3161" s="30">
        <v>75.400000000000006</v>
      </c>
      <c r="C3161" s="30">
        <v>75.3</v>
      </c>
      <c r="D3161" s="30"/>
      <c r="E3161" s="30">
        <v>74</v>
      </c>
      <c r="F3161" s="30">
        <v>73.8</v>
      </c>
      <c r="G3161" s="30">
        <v>76.900000000000006</v>
      </c>
    </row>
    <row r="3162" spans="1:7" x14ac:dyDescent="0.25">
      <c r="A3162" s="29">
        <v>40768</v>
      </c>
      <c r="B3162" s="30">
        <v>75.8</v>
      </c>
      <c r="C3162" s="30">
        <v>77.900000000000006</v>
      </c>
      <c r="D3162" s="30"/>
      <c r="E3162" s="30">
        <v>76.2</v>
      </c>
      <c r="F3162" s="30">
        <v>74.7</v>
      </c>
      <c r="G3162" s="30">
        <v>78</v>
      </c>
    </row>
    <row r="3163" spans="1:7" x14ac:dyDescent="0.25">
      <c r="A3163" s="29">
        <v>40769</v>
      </c>
      <c r="B3163" s="30">
        <v>71.599999999999994</v>
      </c>
      <c r="C3163" s="30">
        <v>71.7</v>
      </c>
      <c r="D3163" s="30"/>
      <c r="E3163" s="30">
        <v>70.2</v>
      </c>
      <c r="F3163" s="30">
        <v>77</v>
      </c>
      <c r="G3163" s="30">
        <v>72.599999999999994</v>
      </c>
    </row>
    <row r="3164" spans="1:7" x14ac:dyDescent="0.25">
      <c r="A3164" s="29">
        <v>40770</v>
      </c>
      <c r="B3164" s="30">
        <v>74.2</v>
      </c>
      <c r="C3164" s="30">
        <v>72.099999999999994</v>
      </c>
      <c r="D3164" s="30"/>
      <c r="E3164" s="30">
        <v>71</v>
      </c>
      <c r="F3164" s="30">
        <v>73.8</v>
      </c>
      <c r="G3164" s="30">
        <v>74.099999999999994</v>
      </c>
    </row>
    <row r="3165" spans="1:7" x14ac:dyDescent="0.25">
      <c r="A3165" s="29">
        <v>40771</v>
      </c>
      <c r="B3165" s="30">
        <v>71.5</v>
      </c>
      <c r="C3165" s="30">
        <v>70.2</v>
      </c>
      <c r="D3165" s="30"/>
      <c r="E3165" s="30">
        <v>69.8</v>
      </c>
      <c r="F3165" s="30">
        <v>71.599999999999994</v>
      </c>
      <c r="G3165" s="30">
        <v>71.8</v>
      </c>
    </row>
    <row r="3166" spans="1:7" x14ac:dyDescent="0.25">
      <c r="A3166" s="29">
        <v>40772</v>
      </c>
      <c r="B3166" s="30">
        <v>75.400000000000006</v>
      </c>
      <c r="C3166" s="30">
        <v>76.7</v>
      </c>
      <c r="D3166" s="30"/>
      <c r="E3166" s="30">
        <v>75.5</v>
      </c>
      <c r="F3166" s="30">
        <v>75.3</v>
      </c>
      <c r="G3166" s="30">
        <v>78.2</v>
      </c>
    </row>
    <row r="3167" spans="1:7" x14ac:dyDescent="0.25">
      <c r="A3167" s="29">
        <v>40773</v>
      </c>
      <c r="B3167" s="30">
        <v>74.400000000000006</v>
      </c>
      <c r="C3167" s="30">
        <v>76.3</v>
      </c>
      <c r="D3167" s="30"/>
      <c r="E3167" s="30">
        <v>75</v>
      </c>
      <c r="F3167" s="30">
        <v>76</v>
      </c>
      <c r="G3167" s="30">
        <v>76.8</v>
      </c>
    </row>
    <row r="3168" spans="1:7" x14ac:dyDescent="0.25">
      <c r="A3168" s="29">
        <v>40774</v>
      </c>
      <c r="B3168" s="30">
        <v>74.8</v>
      </c>
      <c r="C3168" s="30">
        <v>76.099999999999994</v>
      </c>
      <c r="D3168" s="30"/>
      <c r="E3168" s="30">
        <v>75.2</v>
      </c>
      <c r="F3168" s="30">
        <v>75.8</v>
      </c>
      <c r="G3168" s="30">
        <v>76.900000000000006</v>
      </c>
    </row>
    <row r="3169" spans="1:7" x14ac:dyDescent="0.25">
      <c r="A3169" s="29">
        <v>40775</v>
      </c>
      <c r="B3169" s="30">
        <v>72.7</v>
      </c>
      <c r="C3169" s="30">
        <v>73.5</v>
      </c>
      <c r="D3169" s="30"/>
      <c r="E3169" s="30">
        <v>71.7</v>
      </c>
      <c r="F3169" s="30">
        <v>74.3</v>
      </c>
      <c r="G3169" s="30">
        <v>74.8</v>
      </c>
    </row>
    <row r="3170" spans="1:7" x14ac:dyDescent="0.25">
      <c r="A3170" s="29">
        <v>40776</v>
      </c>
      <c r="B3170" s="30">
        <v>75.599999999999994</v>
      </c>
      <c r="C3170" s="30">
        <v>77.5</v>
      </c>
      <c r="D3170" s="30"/>
      <c r="E3170" s="30">
        <v>76.2</v>
      </c>
      <c r="F3170" s="30">
        <v>76.7</v>
      </c>
      <c r="G3170" s="30">
        <v>78.3</v>
      </c>
    </row>
    <row r="3171" spans="1:7" x14ac:dyDescent="0.25">
      <c r="A3171" s="29">
        <v>40777</v>
      </c>
      <c r="B3171" s="30">
        <v>73.5</v>
      </c>
      <c r="C3171" s="30">
        <v>72.7</v>
      </c>
      <c r="D3171" s="30"/>
      <c r="E3171" s="30">
        <v>71.599999999999994</v>
      </c>
      <c r="F3171" s="30">
        <v>76.3</v>
      </c>
      <c r="G3171" s="30">
        <v>74.2</v>
      </c>
    </row>
    <row r="3172" spans="1:7" x14ac:dyDescent="0.25">
      <c r="A3172" s="29">
        <v>40778</v>
      </c>
      <c r="B3172" s="30">
        <v>71.5</v>
      </c>
      <c r="C3172" s="30">
        <v>71.400000000000006</v>
      </c>
      <c r="D3172" s="30"/>
      <c r="E3172" s="30">
        <v>70.2</v>
      </c>
      <c r="F3172" s="30">
        <v>69.599999999999994</v>
      </c>
      <c r="G3172" s="30">
        <v>72.7</v>
      </c>
    </row>
    <row r="3173" spans="1:7" x14ac:dyDescent="0.25">
      <c r="A3173" s="29">
        <v>40779</v>
      </c>
      <c r="B3173" s="30">
        <v>71.7</v>
      </c>
      <c r="C3173" s="30">
        <v>73.8</v>
      </c>
      <c r="D3173" s="30"/>
      <c r="E3173" s="30">
        <v>72.400000000000006</v>
      </c>
      <c r="F3173" s="30">
        <v>70.599999999999994</v>
      </c>
      <c r="G3173" s="30">
        <v>73.599999999999994</v>
      </c>
    </row>
    <row r="3174" spans="1:7" x14ac:dyDescent="0.25">
      <c r="A3174" s="29">
        <v>40780</v>
      </c>
      <c r="B3174" s="30">
        <v>74.599999999999994</v>
      </c>
      <c r="C3174" s="30">
        <v>75.2</v>
      </c>
      <c r="D3174" s="30"/>
      <c r="E3174" s="30">
        <v>73.900000000000006</v>
      </c>
      <c r="F3174" s="30">
        <v>77.8</v>
      </c>
      <c r="G3174" s="30">
        <v>76.099999999999994</v>
      </c>
    </row>
    <row r="3175" spans="1:7" x14ac:dyDescent="0.25">
      <c r="A3175" s="29">
        <v>40781</v>
      </c>
      <c r="B3175" s="30">
        <v>75.7</v>
      </c>
      <c r="C3175" s="30">
        <v>76.599999999999994</v>
      </c>
      <c r="D3175" s="30"/>
      <c r="E3175" s="30">
        <v>75.2</v>
      </c>
      <c r="F3175" s="30">
        <v>76.099999999999994</v>
      </c>
      <c r="G3175" s="30">
        <v>77.400000000000006</v>
      </c>
    </row>
    <row r="3176" spans="1:7" x14ac:dyDescent="0.25">
      <c r="A3176" s="29">
        <v>40782</v>
      </c>
      <c r="B3176" s="30">
        <v>75.7</v>
      </c>
      <c r="C3176" s="30">
        <v>75</v>
      </c>
      <c r="D3176" s="30"/>
      <c r="E3176" s="30">
        <v>74.7</v>
      </c>
      <c r="F3176" s="30">
        <v>76</v>
      </c>
      <c r="G3176" s="30">
        <v>77.5</v>
      </c>
    </row>
    <row r="3177" spans="1:7" x14ac:dyDescent="0.25">
      <c r="A3177" s="29">
        <v>40783</v>
      </c>
      <c r="B3177" s="30">
        <v>73.599999999999994</v>
      </c>
      <c r="C3177" s="30">
        <v>73</v>
      </c>
      <c r="D3177" s="30"/>
      <c r="E3177" s="30">
        <v>71.900000000000006</v>
      </c>
      <c r="F3177" s="30">
        <v>73.900000000000006</v>
      </c>
      <c r="G3177" s="30">
        <v>74.5</v>
      </c>
    </row>
    <row r="3178" spans="1:7" x14ac:dyDescent="0.25">
      <c r="A3178" s="29">
        <v>40784</v>
      </c>
      <c r="B3178" s="30">
        <v>68.900000000000006</v>
      </c>
      <c r="C3178" s="30">
        <v>68.900000000000006</v>
      </c>
      <c r="D3178" s="30"/>
      <c r="E3178" s="30">
        <v>67.900000000000006</v>
      </c>
      <c r="F3178" s="30">
        <v>69.7</v>
      </c>
      <c r="G3178" s="30">
        <v>68.900000000000006</v>
      </c>
    </row>
    <row r="3179" spans="1:7" x14ac:dyDescent="0.25">
      <c r="A3179" s="29">
        <v>40785</v>
      </c>
      <c r="B3179" s="30">
        <v>70.599999999999994</v>
      </c>
      <c r="C3179" s="30">
        <v>72.099999999999994</v>
      </c>
      <c r="D3179" s="30"/>
      <c r="E3179" s="30">
        <v>70.5</v>
      </c>
      <c r="F3179" s="30">
        <v>68.8</v>
      </c>
      <c r="G3179" s="30">
        <v>72.7</v>
      </c>
    </row>
    <row r="3180" spans="1:7" x14ac:dyDescent="0.25">
      <c r="A3180" s="29">
        <v>40786</v>
      </c>
      <c r="B3180" s="30">
        <v>72.400000000000006</v>
      </c>
      <c r="C3180" s="30">
        <v>74.400000000000006</v>
      </c>
      <c r="D3180" s="30"/>
      <c r="E3180" s="30">
        <v>73.3</v>
      </c>
      <c r="F3180" s="30">
        <v>69.900000000000006</v>
      </c>
      <c r="G3180" s="30">
        <v>74.400000000000006</v>
      </c>
    </row>
    <row r="3181" spans="1:7" x14ac:dyDescent="0.25">
      <c r="A3181" s="29">
        <v>40787</v>
      </c>
      <c r="B3181" s="30">
        <v>72.8</v>
      </c>
      <c r="C3181" s="30">
        <v>75.5</v>
      </c>
      <c r="D3181" s="30"/>
      <c r="E3181" s="30">
        <v>73.5</v>
      </c>
      <c r="F3181" s="30">
        <v>69.7</v>
      </c>
      <c r="G3181" s="30">
        <v>75.099999999999994</v>
      </c>
    </row>
    <row r="3182" spans="1:7" x14ac:dyDescent="0.25">
      <c r="A3182" s="29">
        <v>40788</v>
      </c>
      <c r="B3182" s="30">
        <v>68.900000000000006</v>
      </c>
      <c r="C3182" s="30">
        <v>70.8</v>
      </c>
      <c r="D3182" s="30"/>
      <c r="E3182" s="30">
        <v>69.900000000000006</v>
      </c>
      <c r="F3182" s="30">
        <v>68.400000000000006</v>
      </c>
      <c r="G3182" s="30">
        <v>72.599999999999994</v>
      </c>
    </row>
    <row r="3183" spans="1:7" x14ac:dyDescent="0.25">
      <c r="A3183" s="29">
        <v>40789</v>
      </c>
      <c r="B3183" s="30">
        <v>71.099999999999994</v>
      </c>
      <c r="C3183" s="30">
        <v>73</v>
      </c>
      <c r="D3183" s="30"/>
      <c r="E3183" s="30">
        <v>72.599999999999994</v>
      </c>
      <c r="F3183" s="30">
        <v>70.2</v>
      </c>
      <c r="G3183" s="30">
        <v>74</v>
      </c>
    </row>
    <row r="3184" spans="1:7" x14ac:dyDescent="0.25">
      <c r="A3184" s="29">
        <v>40790</v>
      </c>
      <c r="B3184" s="30">
        <v>73.900000000000006</v>
      </c>
      <c r="C3184" s="30">
        <v>77.3</v>
      </c>
      <c r="D3184" s="30"/>
      <c r="E3184" s="30">
        <v>77.3</v>
      </c>
      <c r="F3184" s="30">
        <v>75.3</v>
      </c>
      <c r="G3184" s="30">
        <v>79</v>
      </c>
    </row>
    <row r="3185" spans="1:7" x14ac:dyDescent="0.25">
      <c r="A3185" s="29">
        <v>40791</v>
      </c>
      <c r="B3185" s="30">
        <v>73.7</v>
      </c>
      <c r="C3185" s="30">
        <v>75.8</v>
      </c>
      <c r="D3185" s="30"/>
      <c r="E3185" s="30">
        <v>75.7</v>
      </c>
      <c r="F3185" s="30">
        <v>75.599999999999994</v>
      </c>
      <c r="G3185" s="30">
        <v>78.400000000000006</v>
      </c>
    </row>
    <row r="3186" spans="1:7" x14ac:dyDescent="0.25">
      <c r="A3186" s="29">
        <v>40792</v>
      </c>
      <c r="B3186" s="30">
        <v>66.400000000000006</v>
      </c>
      <c r="C3186" s="30">
        <v>65.900000000000006</v>
      </c>
      <c r="D3186" s="30"/>
      <c r="E3186" s="30">
        <v>64.599999999999994</v>
      </c>
      <c r="F3186" s="30">
        <v>68.900000000000006</v>
      </c>
      <c r="G3186" s="30">
        <v>67.2</v>
      </c>
    </row>
    <row r="3187" spans="1:7" x14ac:dyDescent="0.25">
      <c r="A3187" s="29">
        <v>40793</v>
      </c>
      <c r="B3187" s="30">
        <v>66.099999999999994</v>
      </c>
      <c r="C3187" s="30">
        <v>64.900000000000006</v>
      </c>
      <c r="D3187" s="30"/>
      <c r="E3187" s="30">
        <v>63.8</v>
      </c>
      <c r="F3187" s="30">
        <v>74.5</v>
      </c>
      <c r="G3187" s="30">
        <v>65.599999999999994</v>
      </c>
    </row>
    <row r="3188" spans="1:7" x14ac:dyDescent="0.25">
      <c r="A3188" s="29">
        <v>40794</v>
      </c>
      <c r="B3188" s="30">
        <v>70.5</v>
      </c>
      <c r="C3188" s="30">
        <v>68.3</v>
      </c>
      <c r="D3188" s="30"/>
      <c r="E3188" s="30">
        <v>68.900000000000006</v>
      </c>
      <c r="F3188" s="30">
        <v>74.8</v>
      </c>
      <c r="G3188" s="30">
        <v>71.099999999999994</v>
      </c>
    </row>
    <row r="3189" spans="1:7" x14ac:dyDescent="0.25">
      <c r="A3189" s="29">
        <v>40795</v>
      </c>
      <c r="B3189" s="30">
        <v>74.099999999999994</v>
      </c>
      <c r="C3189" s="30">
        <v>73.8</v>
      </c>
      <c r="D3189" s="30"/>
      <c r="E3189" s="30">
        <v>73.7</v>
      </c>
      <c r="F3189" s="30">
        <v>74.8</v>
      </c>
      <c r="G3189" s="30">
        <v>75.900000000000006</v>
      </c>
    </row>
    <row r="3190" spans="1:7" x14ac:dyDescent="0.25">
      <c r="A3190" s="29">
        <v>40796</v>
      </c>
      <c r="B3190" s="30">
        <v>73.599999999999994</v>
      </c>
      <c r="C3190" s="30">
        <v>75</v>
      </c>
      <c r="D3190" s="30"/>
      <c r="E3190" s="30">
        <v>74.099999999999994</v>
      </c>
      <c r="F3190" s="30">
        <v>76.099999999999994</v>
      </c>
      <c r="G3190" s="30">
        <v>76.7</v>
      </c>
    </row>
    <row r="3191" spans="1:7" x14ac:dyDescent="0.25">
      <c r="A3191" s="29">
        <v>40797</v>
      </c>
      <c r="B3191" s="30">
        <v>67.2</v>
      </c>
      <c r="C3191" s="30">
        <v>68</v>
      </c>
      <c r="D3191" s="30"/>
      <c r="E3191" s="30">
        <v>67.7</v>
      </c>
      <c r="F3191" s="30">
        <v>71.7</v>
      </c>
      <c r="G3191" s="30">
        <v>70.3</v>
      </c>
    </row>
    <row r="3192" spans="1:7" x14ac:dyDescent="0.25">
      <c r="A3192" s="29">
        <v>40798</v>
      </c>
      <c r="B3192" s="30">
        <v>70.5</v>
      </c>
      <c r="C3192" s="30">
        <v>71.900000000000006</v>
      </c>
      <c r="D3192" s="30"/>
      <c r="E3192" s="30">
        <v>71.2</v>
      </c>
      <c r="F3192" s="30">
        <v>72.5</v>
      </c>
      <c r="G3192" s="30">
        <v>73.099999999999994</v>
      </c>
    </row>
    <row r="3193" spans="1:7" x14ac:dyDescent="0.25">
      <c r="A3193" s="29">
        <v>40799</v>
      </c>
      <c r="B3193" s="30">
        <v>72.599999999999994</v>
      </c>
      <c r="C3193" s="30">
        <v>75.900000000000006</v>
      </c>
      <c r="D3193" s="30"/>
      <c r="E3193" s="30">
        <v>74.8</v>
      </c>
      <c r="F3193" s="30">
        <v>73.599999999999994</v>
      </c>
      <c r="G3193" s="30">
        <v>75.7</v>
      </c>
    </row>
    <row r="3194" spans="1:7" x14ac:dyDescent="0.25">
      <c r="A3194" s="29">
        <v>40800</v>
      </c>
      <c r="B3194" s="30">
        <v>74.2</v>
      </c>
      <c r="C3194" s="30">
        <v>77.2</v>
      </c>
      <c r="D3194" s="30"/>
      <c r="E3194" s="30">
        <v>76.099999999999994</v>
      </c>
      <c r="F3194" s="30">
        <v>76.3</v>
      </c>
      <c r="G3194" s="30">
        <v>78.099999999999994</v>
      </c>
    </row>
    <row r="3195" spans="1:7" x14ac:dyDescent="0.25">
      <c r="A3195" s="29">
        <v>40801</v>
      </c>
      <c r="B3195" s="30">
        <v>71.599999999999994</v>
      </c>
      <c r="C3195" s="30">
        <v>72.2</v>
      </c>
      <c r="D3195" s="30"/>
      <c r="E3195" s="30">
        <v>70.7</v>
      </c>
      <c r="F3195" s="30">
        <v>74.8</v>
      </c>
      <c r="G3195" s="30">
        <v>73.099999999999994</v>
      </c>
    </row>
    <row r="3196" spans="1:7" x14ac:dyDescent="0.25">
      <c r="A3196" s="29">
        <v>40802</v>
      </c>
      <c r="B3196" s="30">
        <v>58</v>
      </c>
      <c r="C3196" s="30">
        <v>58.2</v>
      </c>
      <c r="D3196" s="30"/>
      <c r="E3196" s="30">
        <v>57.1</v>
      </c>
      <c r="F3196" s="30">
        <v>57.1</v>
      </c>
      <c r="G3196" s="30">
        <v>58.6</v>
      </c>
    </row>
    <row r="3197" spans="1:7" x14ac:dyDescent="0.25">
      <c r="A3197" s="29">
        <v>40803</v>
      </c>
      <c r="B3197" s="30">
        <v>59.6</v>
      </c>
      <c r="C3197" s="30">
        <v>59.2</v>
      </c>
      <c r="D3197" s="30"/>
      <c r="E3197" s="30">
        <v>58.4</v>
      </c>
      <c r="F3197" s="30">
        <v>57.1</v>
      </c>
      <c r="G3197" s="30">
        <v>59.8</v>
      </c>
    </row>
    <row r="3198" spans="1:7" x14ac:dyDescent="0.25">
      <c r="A3198" s="29">
        <v>40804</v>
      </c>
      <c r="B3198" s="30">
        <v>59.9</v>
      </c>
      <c r="C3198" s="30">
        <v>60.9</v>
      </c>
      <c r="D3198" s="30"/>
      <c r="E3198" s="30">
        <v>59.2</v>
      </c>
      <c r="F3198" s="30">
        <v>60.6</v>
      </c>
      <c r="G3198" s="30">
        <v>59.9</v>
      </c>
    </row>
    <row r="3199" spans="1:7" x14ac:dyDescent="0.25">
      <c r="A3199" s="29">
        <v>40805</v>
      </c>
      <c r="B3199" s="30">
        <v>59.8</v>
      </c>
      <c r="C3199" s="30">
        <v>60.4</v>
      </c>
      <c r="D3199" s="30"/>
      <c r="E3199" s="30">
        <v>59.5</v>
      </c>
      <c r="F3199" s="30">
        <v>58.8</v>
      </c>
      <c r="G3199" s="30">
        <v>61.9</v>
      </c>
    </row>
    <row r="3200" spans="1:7" x14ac:dyDescent="0.25">
      <c r="A3200" s="29">
        <v>40806</v>
      </c>
      <c r="B3200" s="30">
        <v>64.099999999999994</v>
      </c>
      <c r="C3200" s="30">
        <v>63.7</v>
      </c>
      <c r="D3200" s="30"/>
      <c r="E3200" s="30">
        <v>63.1</v>
      </c>
      <c r="F3200" s="30">
        <v>62.6</v>
      </c>
      <c r="G3200" s="30">
        <v>64.2</v>
      </c>
    </row>
    <row r="3201" spans="1:7" x14ac:dyDescent="0.25">
      <c r="A3201" s="29">
        <v>40807</v>
      </c>
      <c r="B3201" s="30">
        <v>67.5</v>
      </c>
      <c r="C3201" s="30">
        <v>68.3</v>
      </c>
      <c r="D3201" s="30"/>
      <c r="E3201" s="30">
        <v>67.599999999999994</v>
      </c>
      <c r="F3201" s="30">
        <v>65.2</v>
      </c>
      <c r="G3201" s="30">
        <v>68.5</v>
      </c>
    </row>
    <row r="3202" spans="1:7" x14ac:dyDescent="0.25">
      <c r="A3202" s="29">
        <v>40808</v>
      </c>
      <c r="B3202" s="30">
        <v>70.3</v>
      </c>
      <c r="C3202" s="30">
        <v>71.2</v>
      </c>
      <c r="D3202" s="30"/>
      <c r="E3202" s="30">
        <v>70.900000000000006</v>
      </c>
      <c r="F3202" s="30">
        <v>72.599999999999994</v>
      </c>
      <c r="G3202" s="30">
        <v>72.8</v>
      </c>
    </row>
    <row r="3203" spans="1:7" x14ac:dyDescent="0.25">
      <c r="A3203" s="29">
        <v>40809</v>
      </c>
      <c r="B3203" s="30">
        <v>70</v>
      </c>
      <c r="C3203" s="30">
        <v>71.099999999999994</v>
      </c>
      <c r="D3203" s="30"/>
      <c r="E3203" s="30">
        <v>71.099999999999994</v>
      </c>
      <c r="F3203" s="30">
        <v>72.7</v>
      </c>
      <c r="G3203" s="30">
        <v>72.8</v>
      </c>
    </row>
    <row r="3204" spans="1:7" x14ac:dyDescent="0.25">
      <c r="A3204" s="29">
        <v>40810</v>
      </c>
      <c r="B3204" s="30">
        <v>71.8</v>
      </c>
      <c r="C3204" s="30">
        <v>72.8</v>
      </c>
      <c r="D3204" s="30"/>
      <c r="E3204" s="30">
        <v>72.099999999999994</v>
      </c>
      <c r="F3204" s="30">
        <v>72.8</v>
      </c>
      <c r="G3204" s="30">
        <v>73.5</v>
      </c>
    </row>
    <row r="3205" spans="1:7" x14ac:dyDescent="0.25">
      <c r="A3205" s="29">
        <v>40811</v>
      </c>
      <c r="B3205" s="30">
        <v>72.7</v>
      </c>
      <c r="C3205" s="30">
        <v>74</v>
      </c>
      <c r="D3205" s="30"/>
      <c r="E3205" s="30">
        <v>73.5</v>
      </c>
      <c r="F3205" s="30">
        <v>72.400000000000006</v>
      </c>
      <c r="G3205" s="30">
        <v>75.099999999999994</v>
      </c>
    </row>
    <row r="3206" spans="1:7" x14ac:dyDescent="0.25">
      <c r="A3206" s="29">
        <v>40812</v>
      </c>
      <c r="B3206" s="30">
        <v>71.8</v>
      </c>
      <c r="C3206" s="30">
        <v>73.7</v>
      </c>
      <c r="D3206" s="30"/>
      <c r="E3206" s="30">
        <v>73.3</v>
      </c>
      <c r="F3206" s="30">
        <v>71.900000000000006</v>
      </c>
      <c r="G3206" s="30">
        <v>75.8</v>
      </c>
    </row>
    <row r="3207" spans="1:7" x14ac:dyDescent="0.25">
      <c r="A3207" s="29">
        <v>40813</v>
      </c>
      <c r="B3207" s="30">
        <v>70.599999999999994</v>
      </c>
      <c r="C3207" s="30">
        <v>72</v>
      </c>
      <c r="D3207" s="30"/>
      <c r="E3207" s="30">
        <v>72.3</v>
      </c>
      <c r="F3207" s="30">
        <v>70.900000000000006</v>
      </c>
      <c r="G3207" s="30">
        <v>73.8</v>
      </c>
    </row>
    <row r="3208" spans="1:7" x14ac:dyDescent="0.25">
      <c r="A3208" s="29">
        <v>40814</v>
      </c>
      <c r="B3208" s="30">
        <v>70.7</v>
      </c>
      <c r="C3208" s="30">
        <v>70.900000000000006</v>
      </c>
      <c r="D3208" s="30"/>
      <c r="E3208" s="30">
        <v>70.7</v>
      </c>
      <c r="F3208" s="30">
        <v>73.7</v>
      </c>
      <c r="G3208" s="30">
        <v>72.099999999999994</v>
      </c>
    </row>
    <row r="3209" spans="1:7" x14ac:dyDescent="0.25">
      <c r="A3209" s="29">
        <v>40815</v>
      </c>
      <c r="B3209" s="30">
        <v>70.8</v>
      </c>
      <c r="C3209" s="30">
        <v>71.2</v>
      </c>
      <c r="D3209" s="30"/>
      <c r="E3209" s="30">
        <v>69.599999999999994</v>
      </c>
      <c r="F3209" s="30">
        <v>73.099999999999994</v>
      </c>
      <c r="G3209" s="30">
        <v>72.099999999999994</v>
      </c>
    </row>
    <row r="3210" spans="1:7" x14ac:dyDescent="0.25">
      <c r="A3210" s="29">
        <v>40816</v>
      </c>
      <c r="B3210" s="30">
        <v>67.7</v>
      </c>
      <c r="C3210" s="30">
        <v>68.3</v>
      </c>
      <c r="D3210" s="30"/>
      <c r="E3210" s="30">
        <v>66.7</v>
      </c>
      <c r="F3210" s="30">
        <v>68.599999999999994</v>
      </c>
      <c r="G3210" s="30">
        <v>67.599999999999994</v>
      </c>
    </row>
    <row r="3211" spans="1:7" x14ac:dyDescent="0.25">
      <c r="A3211" s="29">
        <v>40817</v>
      </c>
      <c r="B3211" s="30">
        <v>63.4</v>
      </c>
      <c r="C3211" s="30">
        <v>62.1</v>
      </c>
      <c r="D3211" s="30"/>
      <c r="E3211" s="30">
        <v>59.8</v>
      </c>
      <c r="F3211" s="30">
        <v>62</v>
      </c>
      <c r="G3211" s="30">
        <v>63.3</v>
      </c>
    </row>
    <row r="3212" spans="1:7" x14ac:dyDescent="0.25">
      <c r="A3212" s="29">
        <v>40818</v>
      </c>
      <c r="B3212" s="30">
        <v>58</v>
      </c>
      <c r="C3212" s="30">
        <v>56.3</v>
      </c>
      <c r="D3212" s="30"/>
      <c r="E3212" s="30">
        <v>54.7</v>
      </c>
      <c r="F3212" s="30">
        <v>55.3</v>
      </c>
      <c r="G3212" s="30">
        <v>55.7</v>
      </c>
    </row>
    <row r="3213" spans="1:7" x14ac:dyDescent="0.25">
      <c r="A3213" s="29">
        <v>40819</v>
      </c>
      <c r="B3213" s="30">
        <v>53.3</v>
      </c>
      <c r="C3213" s="30">
        <v>53.3</v>
      </c>
      <c r="D3213" s="30"/>
      <c r="E3213" s="30">
        <v>52.7</v>
      </c>
      <c r="F3213" s="30">
        <v>51.4</v>
      </c>
      <c r="G3213" s="30">
        <v>53.6</v>
      </c>
    </row>
    <row r="3214" spans="1:7" x14ac:dyDescent="0.25">
      <c r="A3214" s="29">
        <v>40820</v>
      </c>
      <c r="B3214" s="30">
        <v>55.7</v>
      </c>
      <c r="C3214" s="30">
        <v>55.9</v>
      </c>
      <c r="D3214" s="30"/>
      <c r="E3214" s="30">
        <v>54.9</v>
      </c>
      <c r="F3214" s="30">
        <v>53.4</v>
      </c>
      <c r="G3214" s="30">
        <v>57.6</v>
      </c>
    </row>
    <row r="3215" spans="1:7" x14ac:dyDescent="0.25">
      <c r="A3215" s="29">
        <v>40821</v>
      </c>
      <c r="B3215" s="30">
        <v>64.2</v>
      </c>
      <c r="C3215" s="30">
        <v>63.4</v>
      </c>
      <c r="D3215" s="30"/>
      <c r="E3215" s="30">
        <v>62.3</v>
      </c>
      <c r="F3215" s="30">
        <v>61.4</v>
      </c>
      <c r="G3215" s="30">
        <v>65</v>
      </c>
    </row>
    <row r="3216" spans="1:7" x14ac:dyDescent="0.25">
      <c r="A3216" s="29">
        <v>40822</v>
      </c>
      <c r="B3216" s="30">
        <v>58.8</v>
      </c>
      <c r="C3216" s="30">
        <v>59.2</v>
      </c>
      <c r="D3216" s="30"/>
      <c r="E3216" s="30">
        <v>57</v>
      </c>
      <c r="F3216" s="30">
        <v>56.4</v>
      </c>
      <c r="G3216" s="30">
        <v>59.3</v>
      </c>
    </row>
    <row r="3217" spans="1:7" x14ac:dyDescent="0.25">
      <c r="A3217" s="29">
        <v>40823</v>
      </c>
      <c r="B3217" s="30">
        <v>57.9</v>
      </c>
      <c r="C3217" s="30">
        <v>59</v>
      </c>
      <c r="D3217" s="30"/>
      <c r="E3217" s="30">
        <v>56.9</v>
      </c>
      <c r="F3217" s="30">
        <v>55.2</v>
      </c>
      <c r="G3217" s="30">
        <v>58.4</v>
      </c>
    </row>
    <row r="3218" spans="1:7" x14ac:dyDescent="0.25">
      <c r="A3218" s="29">
        <v>40824</v>
      </c>
      <c r="B3218" s="30">
        <v>61.8</v>
      </c>
      <c r="C3218" s="30">
        <v>64.099999999999994</v>
      </c>
      <c r="D3218" s="30"/>
      <c r="E3218" s="30">
        <v>63</v>
      </c>
      <c r="F3218" s="30">
        <v>58.1</v>
      </c>
      <c r="G3218" s="30">
        <v>63.1</v>
      </c>
    </row>
    <row r="3219" spans="1:7" x14ac:dyDescent="0.25">
      <c r="A3219" s="29">
        <v>40825</v>
      </c>
      <c r="B3219" s="30">
        <v>69.3</v>
      </c>
      <c r="C3219" s="30">
        <v>72</v>
      </c>
      <c r="D3219" s="30"/>
      <c r="E3219" s="30">
        <v>70</v>
      </c>
      <c r="F3219" s="30">
        <v>66.2</v>
      </c>
      <c r="G3219" s="30">
        <v>70.599999999999994</v>
      </c>
    </row>
    <row r="3220" spans="1:7" x14ac:dyDescent="0.25">
      <c r="A3220" s="29">
        <v>40826</v>
      </c>
      <c r="B3220" s="30">
        <v>71.2</v>
      </c>
      <c r="C3220" s="30">
        <v>72.8</v>
      </c>
      <c r="D3220" s="30"/>
      <c r="E3220" s="30">
        <v>71.400000000000006</v>
      </c>
      <c r="F3220" s="30">
        <v>67.7</v>
      </c>
      <c r="G3220" s="30">
        <v>73.099999999999994</v>
      </c>
    </row>
    <row r="3221" spans="1:7" x14ac:dyDescent="0.25">
      <c r="A3221" s="29">
        <v>40827</v>
      </c>
      <c r="B3221" s="30">
        <v>68.7</v>
      </c>
      <c r="C3221" s="30">
        <v>69.400000000000006</v>
      </c>
      <c r="D3221" s="30"/>
      <c r="E3221" s="30">
        <v>68.400000000000006</v>
      </c>
      <c r="F3221" s="30">
        <v>65.7</v>
      </c>
      <c r="G3221" s="30">
        <v>69.900000000000006</v>
      </c>
    </row>
    <row r="3222" spans="1:7" x14ac:dyDescent="0.25">
      <c r="A3222" s="29">
        <v>40828</v>
      </c>
      <c r="B3222" s="30">
        <v>61.8</v>
      </c>
      <c r="C3222" s="30">
        <v>61.9</v>
      </c>
      <c r="D3222" s="30"/>
      <c r="E3222" s="30">
        <v>61.3</v>
      </c>
      <c r="F3222" s="30">
        <v>64.2</v>
      </c>
      <c r="G3222" s="30">
        <v>63.8</v>
      </c>
    </row>
    <row r="3223" spans="1:7" x14ac:dyDescent="0.25">
      <c r="A3223" s="29">
        <v>40829</v>
      </c>
      <c r="B3223" s="30">
        <v>63</v>
      </c>
      <c r="C3223" s="30">
        <v>61.4</v>
      </c>
      <c r="D3223" s="30"/>
      <c r="E3223" s="30">
        <v>60.9</v>
      </c>
      <c r="F3223" s="30">
        <v>66.099999999999994</v>
      </c>
      <c r="G3223" s="30">
        <v>62.1</v>
      </c>
    </row>
    <row r="3224" spans="1:7" x14ac:dyDescent="0.25">
      <c r="A3224" s="29">
        <v>40830</v>
      </c>
      <c r="B3224" s="30">
        <v>66.900000000000006</v>
      </c>
      <c r="C3224" s="30">
        <v>66.3</v>
      </c>
      <c r="D3224" s="30"/>
      <c r="E3224" s="30">
        <v>66.099999999999994</v>
      </c>
      <c r="F3224" s="30">
        <v>69.2</v>
      </c>
      <c r="G3224" s="30">
        <v>68.400000000000006</v>
      </c>
    </row>
    <row r="3225" spans="1:7" x14ac:dyDescent="0.25">
      <c r="A3225" s="29">
        <v>40831</v>
      </c>
      <c r="B3225" s="30">
        <v>61.7</v>
      </c>
      <c r="C3225" s="30">
        <v>60.8</v>
      </c>
      <c r="D3225" s="30"/>
      <c r="E3225" s="30">
        <v>59.1</v>
      </c>
      <c r="F3225" s="30">
        <v>62.4</v>
      </c>
      <c r="G3225" s="30">
        <v>61</v>
      </c>
    </row>
    <row r="3226" spans="1:7" x14ac:dyDescent="0.25">
      <c r="A3226" s="29">
        <v>40832</v>
      </c>
      <c r="B3226" s="30">
        <v>61.8</v>
      </c>
      <c r="C3226" s="30">
        <v>61.9</v>
      </c>
      <c r="D3226" s="30"/>
      <c r="E3226" s="30">
        <v>59.9</v>
      </c>
      <c r="F3226" s="30">
        <v>63</v>
      </c>
      <c r="G3226" s="30">
        <v>60.9</v>
      </c>
    </row>
    <row r="3227" spans="1:7" x14ac:dyDescent="0.25">
      <c r="A3227" s="29">
        <v>40833</v>
      </c>
      <c r="B3227" s="30">
        <v>62.8</v>
      </c>
      <c r="C3227" s="30">
        <v>62.6</v>
      </c>
      <c r="D3227" s="30"/>
      <c r="E3227" s="30">
        <v>61.4</v>
      </c>
      <c r="F3227" s="30">
        <v>65.7</v>
      </c>
      <c r="G3227" s="30">
        <v>63.3</v>
      </c>
    </row>
    <row r="3228" spans="1:7" x14ac:dyDescent="0.25">
      <c r="A3228" s="29">
        <v>40834</v>
      </c>
      <c r="B3228" s="30">
        <v>60.8</v>
      </c>
      <c r="C3228" s="30">
        <v>62</v>
      </c>
      <c r="D3228" s="30"/>
      <c r="E3228" s="30">
        <v>60.4</v>
      </c>
      <c r="F3228" s="30">
        <v>59.3</v>
      </c>
      <c r="G3228" s="30">
        <v>60.5</v>
      </c>
    </row>
    <row r="3229" spans="1:7" x14ac:dyDescent="0.25">
      <c r="A3229" s="29">
        <v>40835</v>
      </c>
      <c r="B3229" s="30">
        <v>62.1</v>
      </c>
      <c r="C3229" s="30">
        <v>61.7</v>
      </c>
      <c r="D3229" s="30"/>
      <c r="E3229" s="30">
        <v>60.8</v>
      </c>
      <c r="F3229" s="30">
        <v>64.400000000000006</v>
      </c>
      <c r="G3229" s="30">
        <v>62.4</v>
      </c>
    </row>
    <row r="3230" spans="1:7" x14ac:dyDescent="0.25">
      <c r="A3230" s="29">
        <v>40836</v>
      </c>
      <c r="B3230" s="30">
        <v>65.099999999999994</v>
      </c>
      <c r="C3230" s="30">
        <v>63.9</v>
      </c>
      <c r="D3230" s="30"/>
      <c r="E3230" s="30">
        <v>62.5</v>
      </c>
      <c r="F3230" s="30">
        <v>65.400000000000006</v>
      </c>
      <c r="G3230" s="30">
        <v>65</v>
      </c>
    </row>
    <row r="3231" spans="1:7" x14ac:dyDescent="0.25">
      <c r="A3231" s="29">
        <v>40837</v>
      </c>
      <c r="B3231" s="30">
        <v>55.6</v>
      </c>
      <c r="C3231" s="30">
        <v>54.9</v>
      </c>
      <c r="D3231" s="30"/>
      <c r="E3231" s="30">
        <v>53.8</v>
      </c>
      <c r="F3231" s="30">
        <v>56.2</v>
      </c>
      <c r="G3231" s="30">
        <v>55.2</v>
      </c>
    </row>
    <row r="3232" spans="1:7" x14ac:dyDescent="0.25">
      <c r="A3232" s="29">
        <v>40838</v>
      </c>
      <c r="B3232" s="30">
        <v>54.4</v>
      </c>
      <c r="C3232" s="30">
        <v>54.2</v>
      </c>
      <c r="D3232" s="30"/>
      <c r="E3232" s="30">
        <v>52.7</v>
      </c>
      <c r="F3232" s="30">
        <v>52.1</v>
      </c>
      <c r="G3232" s="30">
        <v>53.5</v>
      </c>
    </row>
    <row r="3233" spans="1:7" x14ac:dyDescent="0.25">
      <c r="A3233" s="29">
        <v>40839</v>
      </c>
      <c r="B3233" s="30">
        <v>54.4</v>
      </c>
      <c r="C3233" s="30">
        <v>54.4</v>
      </c>
      <c r="D3233" s="30"/>
      <c r="E3233" s="30">
        <v>53.3</v>
      </c>
      <c r="F3233" s="30">
        <v>51.4</v>
      </c>
      <c r="G3233" s="30">
        <v>55.1</v>
      </c>
    </row>
    <row r="3234" spans="1:7" x14ac:dyDescent="0.25">
      <c r="A3234" s="29">
        <v>40840</v>
      </c>
      <c r="B3234" s="30">
        <v>54.8</v>
      </c>
      <c r="C3234" s="30">
        <v>55.3</v>
      </c>
      <c r="D3234" s="30"/>
      <c r="E3234" s="30">
        <v>55.1</v>
      </c>
      <c r="F3234" s="30">
        <v>51.1</v>
      </c>
      <c r="G3234" s="30">
        <v>55</v>
      </c>
    </row>
    <row r="3235" spans="1:7" x14ac:dyDescent="0.25">
      <c r="A3235" s="29">
        <v>40841</v>
      </c>
      <c r="B3235" s="30">
        <v>57.9</v>
      </c>
      <c r="C3235" s="30">
        <v>57.7</v>
      </c>
      <c r="D3235" s="30"/>
      <c r="E3235" s="30">
        <v>56.6</v>
      </c>
      <c r="F3235" s="30">
        <v>56.3</v>
      </c>
      <c r="G3235" s="30">
        <v>58.1</v>
      </c>
    </row>
    <row r="3236" spans="1:7" x14ac:dyDescent="0.25">
      <c r="A3236" s="29">
        <v>40842</v>
      </c>
      <c r="B3236" s="30">
        <v>54.6</v>
      </c>
      <c r="C3236" s="30">
        <v>56.7</v>
      </c>
      <c r="D3236" s="30"/>
      <c r="E3236" s="30">
        <v>55.7</v>
      </c>
      <c r="F3236" s="30">
        <v>59</v>
      </c>
      <c r="G3236" s="30">
        <v>55.9</v>
      </c>
    </row>
    <row r="3237" spans="1:7" x14ac:dyDescent="0.25">
      <c r="A3237" s="29">
        <v>40843</v>
      </c>
      <c r="B3237" s="30">
        <v>54.4</v>
      </c>
      <c r="C3237" s="30">
        <v>54.8</v>
      </c>
      <c r="D3237" s="30"/>
      <c r="E3237" s="30">
        <v>53.4</v>
      </c>
      <c r="F3237" s="30">
        <v>61.6</v>
      </c>
      <c r="G3237" s="30">
        <v>54.5</v>
      </c>
    </row>
    <row r="3238" spans="1:7" x14ac:dyDescent="0.25">
      <c r="A3238" s="29">
        <v>40844</v>
      </c>
      <c r="B3238" s="30">
        <v>42.5</v>
      </c>
      <c r="C3238" s="30">
        <v>42.5</v>
      </c>
      <c r="D3238" s="30"/>
      <c r="E3238" s="30">
        <v>41.7</v>
      </c>
      <c r="F3238" s="30">
        <v>44.1</v>
      </c>
      <c r="G3238" s="30">
        <v>43.6</v>
      </c>
    </row>
    <row r="3239" spans="1:7" x14ac:dyDescent="0.25">
      <c r="A3239" s="29">
        <v>40845</v>
      </c>
      <c r="B3239" s="30">
        <v>40.9</v>
      </c>
      <c r="C3239" s="30">
        <v>41.1</v>
      </c>
      <c r="D3239" s="30"/>
      <c r="E3239" s="30">
        <v>39.700000000000003</v>
      </c>
      <c r="F3239" s="30">
        <v>43.6</v>
      </c>
      <c r="G3239" s="30">
        <v>41.4</v>
      </c>
    </row>
    <row r="3240" spans="1:7" x14ac:dyDescent="0.25">
      <c r="A3240" s="29">
        <v>40846</v>
      </c>
      <c r="B3240" s="30">
        <v>38.6</v>
      </c>
      <c r="C3240" s="30">
        <v>39.5</v>
      </c>
      <c r="D3240" s="30"/>
      <c r="E3240" s="30">
        <v>37.700000000000003</v>
      </c>
      <c r="F3240" s="30">
        <v>40.299999999999997</v>
      </c>
      <c r="G3240" s="30">
        <v>39.4</v>
      </c>
    </row>
    <row r="3241" spans="1:7" x14ac:dyDescent="0.25">
      <c r="A3241" s="29">
        <v>40847</v>
      </c>
      <c r="B3241" s="30">
        <v>44.2</v>
      </c>
      <c r="C3241" s="30">
        <v>46.2</v>
      </c>
      <c r="D3241" s="30"/>
      <c r="E3241" s="30">
        <v>44.6</v>
      </c>
      <c r="F3241" s="30">
        <v>41.3</v>
      </c>
      <c r="G3241" s="30">
        <v>43.2</v>
      </c>
    </row>
    <row r="3242" spans="1:7" x14ac:dyDescent="0.25">
      <c r="A3242" s="29">
        <v>40848</v>
      </c>
      <c r="B3242" s="30">
        <v>49.6</v>
      </c>
      <c r="C3242" s="30">
        <v>50.1</v>
      </c>
      <c r="D3242" s="30"/>
      <c r="E3242" s="30">
        <v>49.3</v>
      </c>
      <c r="F3242" s="30">
        <v>50.9</v>
      </c>
      <c r="G3242" s="30">
        <v>49.5</v>
      </c>
    </row>
    <row r="3243" spans="1:7" x14ac:dyDescent="0.25">
      <c r="A3243" s="29">
        <v>40849</v>
      </c>
      <c r="B3243" s="30">
        <v>47.2</v>
      </c>
      <c r="C3243" s="30">
        <v>49.5</v>
      </c>
      <c r="D3243" s="30"/>
      <c r="E3243" s="30">
        <v>48.4</v>
      </c>
      <c r="F3243" s="30">
        <v>45.3</v>
      </c>
      <c r="G3243" s="30">
        <v>47.4</v>
      </c>
    </row>
    <row r="3244" spans="1:7" x14ac:dyDescent="0.25">
      <c r="A3244" s="29">
        <v>40850</v>
      </c>
      <c r="B3244" s="30">
        <v>50.1</v>
      </c>
      <c r="C3244" s="30">
        <v>52.3</v>
      </c>
      <c r="D3244" s="30"/>
      <c r="E3244" s="30">
        <v>51.9</v>
      </c>
      <c r="F3244" s="30">
        <v>47</v>
      </c>
      <c r="G3244" s="30">
        <v>50.7</v>
      </c>
    </row>
    <row r="3245" spans="1:7" x14ac:dyDescent="0.25">
      <c r="A3245" s="29">
        <v>40851</v>
      </c>
      <c r="B3245" s="30">
        <v>50.1</v>
      </c>
      <c r="C3245" s="30">
        <v>51.5</v>
      </c>
      <c r="D3245" s="30"/>
      <c r="E3245" s="30">
        <v>51.2</v>
      </c>
      <c r="F3245" s="30">
        <v>47</v>
      </c>
      <c r="G3245" s="30">
        <v>50.5</v>
      </c>
    </row>
    <row r="3246" spans="1:7" x14ac:dyDescent="0.25">
      <c r="A3246" s="29">
        <v>40852</v>
      </c>
      <c r="B3246" s="30">
        <v>43.5</v>
      </c>
      <c r="C3246" s="30">
        <v>43.1</v>
      </c>
      <c r="D3246" s="30"/>
      <c r="E3246" s="30">
        <v>42.8</v>
      </c>
      <c r="F3246" s="30">
        <v>41.8</v>
      </c>
      <c r="G3246" s="30">
        <v>43</v>
      </c>
    </row>
    <row r="3247" spans="1:7" x14ac:dyDescent="0.25">
      <c r="A3247" s="29">
        <v>40853</v>
      </c>
      <c r="B3247" s="30">
        <v>43.8</v>
      </c>
      <c r="C3247" s="30">
        <v>46.9</v>
      </c>
      <c r="D3247" s="30"/>
      <c r="E3247" s="30">
        <v>45.5</v>
      </c>
      <c r="F3247" s="30">
        <v>43.1</v>
      </c>
      <c r="G3247" s="30">
        <v>44.2</v>
      </c>
    </row>
    <row r="3248" spans="1:7" x14ac:dyDescent="0.25">
      <c r="A3248" s="29">
        <v>40854</v>
      </c>
      <c r="B3248" s="30">
        <v>48.9</v>
      </c>
      <c r="C3248" s="30">
        <v>51.9</v>
      </c>
      <c r="D3248" s="30"/>
      <c r="E3248" s="30">
        <v>51.7</v>
      </c>
      <c r="F3248" s="30">
        <v>46.5</v>
      </c>
      <c r="G3248" s="30">
        <v>49.5</v>
      </c>
    </row>
    <row r="3249" spans="1:7" x14ac:dyDescent="0.25">
      <c r="A3249" s="29">
        <v>40855</v>
      </c>
      <c r="B3249" s="30">
        <v>55.5</v>
      </c>
      <c r="C3249" s="30">
        <v>59.3</v>
      </c>
      <c r="D3249" s="30"/>
      <c r="E3249" s="30">
        <v>59.1</v>
      </c>
      <c r="F3249" s="30">
        <v>51.5</v>
      </c>
      <c r="G3249" s="30">
        <v>57</v>
      </c>
    </row>
    <row r="3250" spans="1:7" x14ac:dyDescent="0.25">
      <c r="A3250" s="29">
        <v>40856</v>
      </c>
      <c r="B3250" s="30">
        <v>53.7</v>
      </c>
      <c r="C3250" s="30">
        <v>55.3</v>
      </c>
      <c r="D3250" s="30"/>
      <c r="E3250" s="30">
        <v>57.1</v>
      </c>
      <c r="F3250" s="30">
        <v>49.4</v>
      </c>
      <c r="G3250" s="30">
        <v>56.3</v>
      </c>
    </row>
    <row r="3251" spans="1:7" x14ac:dyDescent="0.25">
      <c r="A3251" s="29">
        <v>40857</v>
      </c>
      <c r="B3251" s="30">
        <v>57.7</v>
      </c>
      <c r="C3251" s="30">
        <v>57.7</v>
      </c>
      <c r="D3251" s="30"/>
      <c r="E3251" s="30">
        <v>58.9</v>
      </c>
      <c r="F3251" s="30">
        <v>55.1</v>
      </c>
      <c r="G3251" s="30">
        <v>59.4</v>
      </c>
    </row>
    <row r="3252" spans="1:7" x14ac:dyDescent="0.25">
      <c r="A3252" s="29">
        <v>40858</v>
      </c>
      <c r="B3252" s="30">
        <v>48.5</v>
      </c>
      <c r="C3252" s="30">
        <v>47.9</v>
      </c>
      <c r="D3252" s="30"/>
      <c r="E3252" s="30">
        <v>46.4</v>
      </c>
      <c r="F3252" s="30">
        <v>46.4</v>
      </c>
      <c r="G3252" s="30">
        <v>47.8</v>
      </c>
    </row>
    <row r="3253" spans="1:7" x14ac:dyDescent="0.25">
      <c r="A3253" s="29">
        <v>40859</v>
      </c>
      <c r="B3253" s="30">
        <v>46.8</v>
      </c>
      <c r="C3253" s="30">
        <v>46.8</v>
      </c>
      <c r="D3253" s="30"/>
      <c r="E3253" s="30">
        <v>46.2</v>
      </c>
      <c r="F3253" s="30">
        <v>45.8</v>
      </c>
      <c r="G3253" s="30">
        <v>45.5</v>
      </c>
    </row>
    <row r="3254" spans="1:7" x14ac:dyDescent="0.25">
      <c r="A3254" s="29">
        <v>40860</v>
      </c>
      <c r="B3254" s="30">
        <v>51.1</v>
      </c>
      <c r="C3254" s="30">
        <v>52.7</v>
      </c>
      <c r="D3254" s="30"/>
      <c r="E3254" s="30">
        <v>53.9</v>
      </c>
      <c r="F3254" s="30">
        <v>53.2</v>
      </c>
      <c r="G3254" s="30">
        <v>51.3</v>
      </c>
    </row>
    <row r="3255" spans="1:7" x14ac:dyDescent="0.25">
      <c r="A3255" s="29">
        <v>40861</v>
      </c>
      <c r="B3255" s="30">
        <v>56.8</v>
      </c>
      <c r="C3255" s="30">
        <v>58.5</v>
      </c>
      <c r="D3255" s="30"/>
      <c r="E3255" s="30">
        <v>59.7</v>
      </c>
      <c r="F3255" s="30">
        <v>62</v>
      </c>
      <c r="G3255" s="30">
        <v>59</v>
      </c>
    </row>
    <row r="3256" spans="1:7" x14ac:dyDescent="0.25">
      <c r="A3256" s="29">
        <v>40862</v>
      </c>
      <c r="B3256" s="30">
        <v>59.7</v>
      </c>
      <c r="C3256" s="30">
        <v>63.4</v>
      </c>
      <c r="D3256" s="30"/>
      <c r="E3256" s="30">
        <v>63.6</v>
      </c>
      <c r="F3256" s="30">
        <v>65.2</v>
      </c>
      <c r="G3256" s="30">
        <v>63</v>
      </c>
    </row>
    <row r="3257" spans="1:7" x14ac:dyDescent="0.25">
      <c r="A3257" s="29">
        <v>40863</v>
      </c>
      <c r="B3257" s="30">
        <v>56.5</v>
      </c>
      <c r="C3257" s="30">
        <v>57.3</v>
      </c>
      <c r="D3257" s="30"/>
      <c r="E3257" s="30">
        <v>57</v>
      </c>
      <c r="F3257" s="30">
        <v>60.2</v>
      </c>
      <c r="G3257" s="30">
        <v>57.2</v>
      </c>
    </row>
    <row r="3258" spans="1:7" x14ac:dyDescent="0.25">
      <c r="A3258" s="29">
        <v>40864</v>
      </c>
      <c r="B3258" s="30">
        <v>49.6</v>
      </c>
      <c r="C3258" s="30">
        <v>49.4</v>
      </c>
      <c r="D3258" s="30"/>
      <c r="E3258" s="30">
        <v>48.2</v>
      </c>
      <c r="F3258" s="30">
        <v>49.4</v>
      </c>
      <c r="G3258" s="30">
        <v>49.5</v>
      </c>
    </row>
    <row r="3259" spans="1:7" x14ac:dyDescent="0.25">
      <c r="A3259" s="29">
        <v>40865</v>
      </c>
      <c r="B3259" s="30">
        <v>41.5</v>
      </c>
      <c r="C3259" s="30">
        <v>41.6</v>
      </c>
      <c r="D3259" s="30"/>
      <c r="E3259" s="30">
        <v>40.700000000000003</v>
      </c>
      <c r="F3259" s="30">
        <v>39.200000000000003</v>
      </c>
      <c r="G3259" s="30">
        <v>41</v>
      </c>
    </row>
    <row r="3260" spans="1:7" x14ac:dyDescent="0.25">
      <c r="A3260" s="29">
        <v>40866</v>
      </c>
      <c r="B3260" s="30">
        <v>44.3</v>
      </c>
      <c r="C3260" s="30">
        <v>44</v>
      </c>
      <c r="D3260" s="30"/>
      <c r="E3260" s="30">
        <v>43.9</v>
      </c>
      <c r="F3260" s="30">
        <v>41.3</v>
      </c>
      <c r="G3260" s="30">
        <v>41.8</v>
      </c>
    </row>
    <row r="3261" spans="1:7" x14ac:dyDescent="0.25">
      <c r="A3261" s="29">
        <v>40867</v>
      </c>
      <c r="B3261" s="30">
        <v>54</v>
      </c>
      <c r="C3261" s="30">
        <v>53.8</v>
      </c>
      <c r="D3261" s="30"/>
      <c r="E3261" s="30">
        <v>54.6</v>
      </c>
      <c r="F3261" s="30">
        <v>57.7</v>
      </c>
      <c r="G3261" s="30">
        <v>53</v>
      </c>
    </row>
    <row r="3262" spans="1:7" x14ac:dyDescent="0.25">
      <c r="A3262" s="29">
        <v>40868</v>
      </c>
      <c r="B3262" s="30">
        <v>54.1</v>
      </c>
      <c r="C3262" s="30">
        <v>54.9</v>
      </c>
      <c r="D3262" s="30"/>
      <c r="E3262" s="30">
        <v>54</v>
      </c>
      <c r="F3262" s="30">
        <v>56.9</v>
      </c>
      <c r="G3262" s="30">
        <v>54.4</v>
      </c>
    </row>
    <row r="3263" spans="1:7" x14ac:dyDescent="0.25">
      <c r="A3263" s="29">
        <v>40869</v>
      </c>
      <c r="B3263" s="30">
        <v>49.4</v>
      </c>
      <c r="C3263" s="30">
        <v>48.4</v>
      </c>
      <c r="D3263" s="30"/>
      <c r="E3263" s="30">
        <v>47.5</v>
      </c>
      <c r="F3263" s="30">
        <v>53.1</v>
      </c>
      <c r="G3263" s="30">
        <v>46.7</v>
      </c>
    </row>
    <row r="3264" spans="1:7" x14ac:dyDescent="0.25">
      <c r="A3264" s="29">
        <v>40870</v>
      </c>
      <c r="B3264" s="30">
        <v>50</v>
      </c>
      <c r="C3264" s="30">
        <v>47.8</v>
      </c>
      <c r="D3264" s="30"/>
      <c r="E3264" s="30">
        <v>47.6</v>
      </c>
      <c r="F3264" s="30">
        <v>59.8</v>
      </c>
      <c r="G3264" s="30">
        <v>48.6</v>
      </c>
    </row>
    <row r="3265" spans="1:7" x14ac:dyDescent="0.25">
      <c r="A3265" s="29">
        <v>40871</v>
      </c>
      <c r="B3265" s="30">
        <v>44</v>
      </c>
      <c r="C3265" s="30">
        <v>44.3</v>
      </c>
      <c r="D3265" s="30"/>
      <c r="E3265" s="30">
        <v>43.8</v>
      </c>
      <c r="F3265" s="30">
        <v>45.9</v>
      </c>
      <c r="G3265" s="30">
        <v>44.4</v>
      </c>
    </row>
    <row r="3266" spans="1:7" x14ac:dyDescent="0.25">
      <c r="A3266" s="29">
        <v>40872</v>
      </c>
      <c r="B3266" s="30">
        <v>50.3</v>
      </c>
      <c r="C3266" s="30">
        <v>52.5</v>
      </c>
      <c r="D3266" s="30"/>
      <c r="E3266" s="30">
        <v>52</v>
      </c>
      <c r="F3266" s="30">
        <v>52.3</v>
      </c>
      <c r="G3266" s="30">
        <v>49.7</v>
      </c>
    </row>
    <row r="3267" spans="1:7" x14ac:dyDescent="0.25">
      <c r="A3267" s="29">
        <v>40873</v>
      </c>
      <c r="B3267" s="30">
        <v>52.1</v>
      </c>
      <c r="C3267" s="30">
        <v>55.6</v>
      </c>
      <c r="D3267" s="30"/>
      <c r="E3267" s="30">
        <v>56.5</v>
      </c>
      <c r="F3267" s="30">
        <v>51.6</v>
      </c>
      <c r="G3267" s="30">
        <v>52.5</v>
      </c>
    </row>
    <row r="3268" spans="1:7" x14ac:dyDescent="0.25">
      <c r="A3268" s="29">
        <v>40874</v>
      </c>
      <c r="B3268" s="30">
        <v>49.6</v>
      </c>
      <c r="C3268" s="30">
        <v>52.9</v>
      </c>
      <c r="D3268" s="30"/>
      <c r="E3268" s="30">
        <v>55.5</v>
      </c>
      <c r="F3268" s="30">
        <v>50.1</v>
      </c>
      <c r="G3268" s="30">
        <v>52.2</v>
      </c>
    </row>
    <row r="3269" spans="1:7" x14ac:dyDescent="0.25">
      <c r="A3269" s="29">
        <v>40875</v>
      </c>
      <c r="B3269" s="30">
        <v>57.2</v>
      </c>
      <c r="C3269" s="30">
        <v>59.8</v>
      </c>
      <c r="D3269" s="30"/>
      <c r="E3269" s="30">
        <v>62</v>
      </c>
      <c r="F3269" s="30">
        <v>61.3</v>
      </c>
      <c r="G3269" s="30">
        <v>60.5</v>
      </c>
    </row>
    <row r="3270" spans="1:7" x14ac:dyDescent="0.25">
      <c r="A3270" s="29">
        <v>40876</v>
      </c>
      <c r="B3270" s="30">
        <v>59.1</v>
      </c>
      <c r="C3270" s="30">
        <v>58.7</v>
      </c>
      <c r="D3270" s="30"/>
      <c r="E3270" s="30">
        <v>60.5</v>
      </c>
      <c r="F3270" s="30">
        <v>61.9</v>
      </c>
      <c r="G3270" s="30">
        <v>60</v>
      </c>
    </row>
    <row r="3271" spans="1:7" x14ac:dyDescent="0.25">
      <c r="A3271" s="29">
        <v>40877</v>
      </c>
      <c r="B3271" s="30">
        <v>50.6</v>
      </c>
      <c r="C3271" s="30">
        <v>50.5</v>
      </c>
      <c r="D3271" s="30"/>
      <c r="E3271" s="30">
        <v>50.3</v>
      </c>
      <c r="F3271" s="30">
        <v>49.6</v>
      </c>
      <c r="G3271" s="30">
        <v>50.1</v>
      </c>
    </row>
    <row r="3272" spans="1:7" x14ac:dyDescent="0.25">
      <c r="A3272" s="29">
        <v>40878</v>
      </c>
      <c r="B3272" s="30">
        <v>44.3</v>
      </c>
      <c r="C3272" s="30">
        <v>44.1</v>
      </c>
      <c r="D3272" s="30"/>
      <c r="E3272" s="30">
        <v>43.5</v>
      </c>
      <c r="F3272" s="30">
        <v>43.6</v>
      </c>
      <c r="G3272" s="30">
        <v>44.2</v>
      </c>
    </row>
    <row r="3273" spans="1:7" x14ac:dyDescent="0.25">
      <c r="A3273" s="29">
        <v>40879</v>
      </c>
      <c r="B3273" s="30">
        <v>43.9</v>
      </c>
      <c r="C3273" s="30">
        <v>45.8</v>
      </c>
      <c r="D3273" s="30"/>
      <c r="E3273" s="30">
        <v>45.8</v>
      </c>
      <c r="F3273" s="30">
        <v>40.299999999999997</v>
      </c>
      <c r="G3273" s="30">
        <v>45</v>
      </c>
    </row>
    <row r="3274" spans="1:7" x14ac:dyDescent="0.25">
      <c r="A3274" s="29">
        <v>40880</v>
      </c>
      <c r="B3274" s="30">
        <v>42.1</v>
      </c>
      <c r="C3274" s="30">
        <v>42.2</v>
      </c>
      <c r="D3274" s="30"/>
      <c r="E3274" s="30">
        <v>42.2</v>
      </c>
      <c r="F3274" s="30">
        <v>39</v>
      </c>
      <c r="G3274" s="30">
        <v>41.9</v>
      </c>
    </row>
    <row r="3275" spans="1:7" x14ac:dyDescent="0.25">
      <c r="A3275" s="29">
        <v>40881</v>
      </c>
      <c r="B3275" s="30">
        <v>43.9</v>
      </c>
      <c r="C3275" s="30">
        <v>45.2</v>
      </c>
      <c r="D3275" s="30"/>
      <c r="E3275" s="30">
        <v>47.5</v>
      </c>
      <c r="F3275" s="30">
        <v>42.7</v>
      </c>
      <c r="G3275" s="30">
        <v>44.3</v>
      </c>
    </row>
    <row r="3276" spans="1:7" x14ac:dyDescent="0.25">
      <c r="A3276" s="29">
        <v>40882</v>
      </c>
      <c r="B3276" s="30">
        <v>50.2</v>
      </c>
      <c r="C3276" s="30">
        <v>51.3</v>
      </c>
      <c r="D3276" s="30"/>
      <c r="E3276" s="30">
        <v>52.6</v>
      </c>
      <c r="F3276" s="30">
        <v>49.1</v>
      </c>
      <c r="G3276" s="30">
        <v>49.1</v>
      </c>
    </row>
    <row r="3277" spans="1:7" x14ac:dyDescent="0.25">
      <c r="A3277" s="29">
        <v>40883</v>
      </c>
      <c r="B3277" s="30">
        <v>54.2</v>
      </c>
      <c r="C3277" s="30">
        <v>56</v>
      </c>
      <c r="D3277" s="30"/>
      <c r="E3277" s="30">
        <v>58.2</v>
      </c>
      <c r="F3277" s="30">
        <v>59.8</v>
      </c>
      <c r="G3277" s="30">
        <v>57.3</v>
      </c>
    </row>
    <row r="3278" spans="1:7" x14ac:dyDescent="0.25">
      <c r="A3278" s="29">
        <v>40884</v>
      </c>
      <c r="B3278" s="30">
        <v>54.6</v>
      </c>
      <c r="C3278" s="30">
        <v>55</v>
      </c>
      <c r="D3278" s="30"/>
      <c r="E3278" s="30">
        <v>55.6</v>
      </c>
      <c r="F3278" s="30">
        <v>60.4</v>
      </c>
      <c r="G3278" s="30">
        <v>56.8</v>
      </c>
    </row>
    <row r="3279" spans="1:7" x14ac:dyDescent="0.25">
      <c r="A3279" s="29">
        <v>40885</v>
      </c>
      <c r="B3279" s="30">
        <v>43.4</v>
      </c>
      <c r="C3279" s="30">
        <v>42.3</v>
      </c>
      <c r="D3279" s="30"/>
      <c r="E3279" s="30">
        <v>41.6</v>
      </c>
      <c r="F3279" s="30">
        <v>45.4</v>
      </c>
      <c r="G3279" s="30">
        <v>42.3</v>
      </c>
    </row>
    <row r="3280" spans="1:7" x14ac:dyDescent="0.25">
      <c r="A3280" s="29">
        <v>40886</v>
      </c>
      <c r="B3280" s="30">
        <v>42.2</v>
      </c>
      <c r="C3280" s="30">
        <v>42.2</v>
      </c>
      <c r="D3280" s="30"/>
      <c r="E3280" s="30">
        <v>42.3</v>
      </c>
      <c r="F3280" s="30">
        <v>39.1</v>
      </c>
      <c r="G3280" s="30">
        <v>40.6</v>
      </c>
    </row>
    <row r="3281" spans="1:7" x14ac:dyDescent="0.25">
      <c r="A3281" s="29">
        <v>40887</v>
      </c>
      <c r="B3281" s="30">
        <v>45</v>
      </c>
      <c r="C3281" s="30">
        <v>44.1</v>
      </c>
      <c r="D3281" s="30"/>
      <c r="E3281" s="30">
        <v>42.6</v>
      </c>
      <c r="F3281" s="30">
        <v>44.9</v>
      </c>
      <c r="G3281" s="30">
        <v>43.3</v>
      </c>
    </row>
    <row r="3282" spans="1:7" x14ac:dyDescent="0.25">
      <c r="A3282" s="29">
        <v>40888</v>
      </c>
      <c r="B3282" s="30">
        <v>33.799999999999997</v>
      </c>
      <c r="C3282" s="30">
        <v>34.799999999999997</v>
      </c>
      <c r="D3282" s="30"/>
      <c r="E3282" s="30">
        <v>33.799999999999997</v>
      </c>
      <c r="F3282" s="30">
        <v>32.299999999999997</v>
      </c>
      <c r="G3282" s="30">
        <v>33.700000000000003</v>
      </c>
    </row>
    <row r="3283" spans="1:7" x14ac:dyDescent="0.25">
      <c r="A3283" s="29">
        <v>40889</v>
      </c>
      <c r="B3283" s="30">
        <v>36.799999999999997</v>
      </c>
      <c r="C3283" s="30">
        <v>37.9</v>
      </c>
      <c r="D3283" s="30"/>
      <c r="E3283" s="30">
        <v>37.700000000000003</v>
      </c>
      <c r="F3283" s="30">
        <v>33.1</v>
      </c>
      <c r="G3283" s="30">
        <v>34.5</v>
      </c>
    </row>
    <row r="3284" spans="1:7" x14ac:dyDescent="0.25">
      <c r="A3284" s="29">
        <v>40890</v>
      </c>
      <c r="B3284" s="30">
        <v>38.6</v>
      </c>
      <c r="C3284" s="30">
        <v>39.700000000000003</v>
      </c>
      <c r="D3284" s="30"/>
      <c r="E3284" s="30">
        <v>39</v>
      </c>
      <c r="F3284" s="30">
        <v>37.200000000000003</v>
      </c>
      <c r="G3284" s="30">
        <v>37.700000000000003</v>
      </c>
    </row>
    <row r="3285" spans="1:7" x14ac:dyDescent="0.25">
      <c r="A3285" s="29">
        <v>40891</v>
      </c>
      <c r="B3285" s="30">
        <v>41.9</v>
      </c>
      <c r="C3285" s="30">
        <v>43.2</v>
      </c>
      <c r="D3285" s="30"/>
      <c r="E3285" s="30">
        <v>43</v>
      </c>
      <c r="F3285" s="30">
        <v>40.299999999999997</v>
      </c>
      <c r="G3285" s="30">
        <v>42.9</v>
      </c>
    </row>
    <row r="3286" spans="1:7" x14ac:dyDescent="0.25">
      <c r="A3286" s="29">
        <v>40892</v>
      </c>
      <c r="B3286" s="30">
        <v>49.6</v>
      </c>
      <c r="C3286" s="30">
        <v>50.3</v>
      </c>
      <c r="D3286" s="30"/>
      <c r="E3286" s="30">
        <v>51.3</v>
      </c>
      <c r="F3286" s="30">
        <v>51.7</v>
      </c>
      <c r="G3286" s="30">
        <v>50.3</v>
      </c>
    </row>
    <row r="3287" spans="1:7" x14ac:dyDescent="0.25">
      <c r="A3287" s="29">
        <v>40893</v>
      </c>
      <c r="B3287" s="30">
        <v>50.2</v>
      </c>
      <c r="C3287" s="30">
        <v>51.2</v>
      </c>
      <c r="D3287" s="30"/>
      <c r="E3287" s="30">
        <v>50.6</v>
      </c>
      <c r="F3287" s="30">
        <v>54.5</v>
      </c>
      <c r="G3287" s="30">
        <v>51.3</v>
      </c>
    </row>
    <row r="3288" spans="1:7" x14ac:dyDescent="0.25">
      <c r="A3288" s="29">
        <v>40894</v>
      </c>
      <c r="B3288" s="30">
        <v>40.6</v>
      </c>
      <c r="C3288" s="30">
        <v>40.200000000000003</v>
      </c>
      <c r="D3288" s="30"/>
      <c r="E3288" s="30">
        <v>38.799999999999997</v>
      </c>
      <c r="F3288" s="30">
        <v>39.9</v>
      </c>
      <c r="G3288" s="30">
        <v>40</v>
      </c>
    </row>
    <row r="3289" spans="1:7" x14ac:dyDescent="0.25">
      <c r="A3289" s="29">
        <v>40895</v>
      </c>
      <c r="B3289" s="30">
        <v>29.1</v>
      </c>
      <c r="C3289" s="30">
        <v>28.8</v>
      </c>
      <c r="D3289" s="30"/>
      <c r="E3289" s="30">
        <v>28.3</v>
      </c>
      <c r="F3289" s="30">
        <v>31</v>
      </c>
      <c r="G3289" s="30">
        <v>29.8</v>
      </c>
    </row>
    <row r="3290" spans="1:7" x14ac:dyDescent="0.25">
      <c r="A3290" s="29">
        <v>40896</v>
      </c>
      <c r="B3290" s="30">
        <v>33.700000000000003</v>
      </c>
      <c r="C3290" s="30">
        <v>34.5</v>
      </c>
      <c r="D3290" s="30"/>
      <c r="E3290" s="30">
        <v>36</v>
      </c>
      <c r="F3290" s="30">
        <v>31.9</v>
      </c>
      <c r="G3290" s="30">
        <v>33.9</v>
      </c>
    </row>
    <row r="3291" spans="1:7" x14ac:dyDescent="0.25">
      <c r="A3291" s="29">
        <v>40897</v>
      </c>
      <c r="B3291" s="30">
        <v>45.8</v>
      </c>
      <c r="C3291" s="30">
        <v>45.6</v>
      </c>
      <c r="D3291" s="30"/>
      <c r="E3291" s="30">
        <v>45.4</v>
      </c>
      <c r="F3291" s="30">
        <v>48.1</v>
      </c>
      <c r="G3291" s="30">
        <v>45.6</v>
      </c>
    </row>
    <row r="3292" spans="1:7" x14ac:dyDescent="0.25">
      <c r="A3292" s="29">
        <v>40898</v>
      </c>
      <c r="B3292" s="30">
        <v>47.4</v>
      </c>
      <c r="C3292" s="30">
        <v>46.8</v>
      </c>
      <c r="D3292" s="30"/>
      <c r="E3292" s="30">
        <v>48.7</v>
      </c>
      <c r="F3292" s="30">
        <v>52.2</v>
      </c>
      <c r="G3292" s="30">
        <v>47.7</v>
      </c>
    </row>
    <row r="3293" spans="1:7" x14ac:dyDescent="0.25">
      <c r="A3293" s="29">
        <v>40899</v>
      </c>
      <c r="B3293" s="30">
        <v>54.4</v>
      </c>
      <c r="C3293" s="30">
        <v>55</v>
      </c>
      <c r="D3293" s="30"/>
      <c r="E3293" s="30">
        <v>55</v>
      </c>
      <c r="F3293" s="30">
        <v>57.8</v>
      </c>
      <c r="G3293" s="30">
        <v>55.4</v>
      </c>
    </row>
    <row r="3294" spans="1:7" x14ac:dyDescent="0.25">
      <c r="A3294" s="29">
        <v>40900</v>
      </c>
      <c r="B3294" s="30">
        <v>47.8</v>
      </c>
      <c r="C3294" s="30">
        <v>47.8</v>
      </c>
      <c r="D3294" s="30"/>
      <c r="E3294" s="30">
        <v>47.4</v>
      </c>
      <c r="F3294" s="30">
        <v>51.5</v>
      </c>
      <c r="G3294" s="30">
        <v>48.2</v>
      </c>
    </row>
    <row r="3295" spans="1:7" x14ac:dyDescent="0.25">
      <c r="A3295" s="29">
        <v>40901</v>
      </c>
      <c r="B3295" s="30">
        <v>34.9</v>
      </c>
      <c r="C3295" s="30">
        <v>34.6</v>
      </c>
      <c r="D3295" s="30"/>
      <c r="E3295" s="30">
        <v>33.799999999999997</v>
      </c>
      <c r="F3295" s="30">
        <v>38.299999999999997</v>
      </c>
      <c r="G3295" s="30">
        <v>35.1</v>
      </c>
    </row>
    <row r="3296" spans="1:7" x14ac:dyDescent="0.25">
      <c r="A3296" s="29">
        <v>40902</v>
      </c>
      <c r="B3296" s="30">
        <v>35.9</v>
      </c>
      <c r="C3296" s="30">
        <v>36.5</v>
      </c>
      <c r="D3296" s="30"/>
      <c r="E3296" s="30">
        <v>37.5</v>
      </c>
      <c r="F3296" s="30">
        <v>33.5</v>
      </c>
      <c r="G3296" s="30">
        <v>35.700000000000003</v>
      </c>
    </row>
    <row r="3297" spans="1:7" x14ac:dyDescent="0.25">
      <c r="A3297" s="29">
        <v>40903</v>
      </c>
      <c r="B3297" s="30">
        <v>43.6</v>
      </c>
      <c r="C3297" s="30">
        <v>43.2</v>
      </c>
      <c r="D3297" s="30"/>
      <c r="E3297" s="30">
        <v>42.7</v>
      </c>
      <c r="F3297" s="30">
        <v>42.8</v>
      </c>
      <c r="G3297" s="30">
        <v>42.4</v>
      </c>
    </row>
    <row r="3298" spans="1:7" x14ac:dyDescent="0.25">
      <c r="A3298" s="29">
        <v>40904</v>
      </c>
      <c r="B3298" s="30">
        <v>42.9</v>
      </c>
      <c r="C3298" s="30">
        <v>42.9</v>
      </c>
      <c r="D3298" s="30"/>
      <c r="E3298" s="30">
        <v>43.8</v>
      </c>
      <c r="F3298" s="30">
        <v>41</v>
      </c>
      <c r="G3298" s="30">
        <v>40.799999999999997</v>
      </c>
    </row>
    <row r="3299" spans="1:7" x14ac:dyDescent="0.25">
      <c r="A3299" s="29">
        <v>40905</v>
      </c>
      <c r="B3299" s="30">
        <v>46.2</v>
      </c>
      <c r="C3299" s="30">
        <v>46</v>
      </c>
      <c r="D3299" s="30"/>
      <c r="E3299" s="30">
        <v>45.7</v>
      </c>
      <c r="F3299" s="30">
        <v>47</v>
      </c>
      <c r="G3299" s="30">
        <v>45.6</v>
      </c>
    </row>
    <row r="3300" spans="1:7" x14ac:dyDescent="0.25">
      <c r="A3300" s="29">
        <v>40906</v>
      </c>
      <c r="B3300" s="30">
        <v>30.8</v>
      </c>
      <c r="C3300" s="30">
        <v>30.6</v>
      </c>
      <c r="D3300" s="30"/>
      <c r="E3300" s="30">
        <v>30</v>
      </c>
      <c r="F3300" s="30">
        <v>32.299999999999997</v>
      </c>
      <c r="G3300" s="30">
        <v>30.7</v>
      </c>
    </row>
    <row r="3301" spans="1:7" x14ac:dyDescent="0.25">
      <c r="A3301" s="29">
        <v>40907</v>
      </c>
      <c r="B3301" s="30">
        <v>40.799999999999997</v>
      </c>
      <c r="C3301" s="30">
        <v>41.4</v>
      </c>
      <c r="D3301" s="30"/>
      <c r="E3301" s="30">
        <v>42.8</v>
      </c>
      <c r="F3301" s="30">
        <v>39.1</v>
      </c>
      <c r="G3301" s="30">
        <v>40.299999999999997</v>
      </c>
    </row>
    <row r="3302" spans="1:7" x14ac:dyDescent="0.25">
      <c r="A3302" s="29">
        <v>40908</v>
      </c>
      <c r="B3302" s="30">
        <v>49.8</v>
      </c>
      <c r="C3302" s="30">
        <v>49.1</v>
      </c>
      <c r="D3302" s="30"/>
      <c r="E3302" s="30">
        <v>50.6</v>
      </c>
      <c r="F3302" s="30">
        <v>53.4</v>
      </c>
      <c r="G3302" s="30">
        <v>48.5</v>
      </c>
    </row>
    <row r="3303" spans="1:7" x14ac:dyDescent="0.25">
      <c r="A3303" s="29">
        <v>40909</v>
      </c>
      <c r="B3303" s="30">
        <v>46.3</v>
      </c>
      <c r="C3303" s="30">
        <v>47.4</v>
      </c>
      <c r="D3303" s="30"/>
      <c r="E3303" s="30">
        <v>46.6</v>
      </c>
      <c r="F3303" s="30">
        <v>46.7</v>
      </c>
      <c r="G3303" s="30">
        <v>45.8</v>
      </c>
    </row>
    <row r="3304" spans="1:7" x14ac:dyDescent="0.25">
      <c r="A3304" s="29">
        <v>40910</v>
      </c>
      <c r="B3304" s="30">
        <v>43.2</v>
      </c>
      <c r="C3304" s="30">
        <v>42.9</v>
      </c>
      <c r="D3304" s="30"/>
      <c r="E3304" s="30">
        <v>42.1</v>
      </c>
      <c r="F3304" s="30">
        <v>44.9</v>
      </c>
      <c r="G3304" s="30">
        <v>42.6</v>
      </c>
    </row>
    <row r="3305" spans="1:7" x14ac:dyDescent="0.25">
      <c r="A3305" s="29">
        <v>40911</v>
      </c>
      <c r="B3305" s="30">
        <v>30.3</v>
      </c>
      <c r="C3305" s="30">
        <v>29.8</v>
      </c>
      <c r="D3305" s="30"/>
      <c r="E3305" s="30">
        <v>28.5</v>
      </c>
      <c r="F3305" s="30">
        <v>30.1</v>
      </c>
      <c r="G3305" s="30">
        <v>29.1</v>
      </c>
    </row>
    <row r="3306" spans="1:7" x14ac:dyDescent="0.25">
      <c r="A3306" s="29">
        <v>40912</v>
      </c>
      <c r="B3306" s="30">
        <v>19.2</v>
      </c>
      <c r="C3306" s="30">
        <v>19.100000000000001</v>
      </c>
      <c r="D3306" s="30"/>
      <c r="E3306" s="30">
        <v>18.399999999999999</v>
      </c>
      <c r="F3306" s="30">
        <v>20.5</v>
      </c>
      <c r="G3306" s="30">
        <v>18.8</v>
      </c>
    </row>
    <row r="3307" spans="1:7" x14ac:dyDescent="0.25">
      <c r="A3307" s="29">
        <v>40913</v>
      </c>
      <c r="B3307" s="30">
        <v>32.1</v>
      </c>
      <c r="C3307" s="30">
        <v>31.7</v>
      </c>
      <c r="D3307" s="30"/>
      <c r="E3307" s="30">
        <v>31.6</v>
      </c>
      <c r="F3307" s="30">
        <v>32.1</v>
      </c>
      <c r="G3307" s="30">
        <v>31.4</v>
      </c>
    </row>
    <row r="3308" spans="1:7" x14ac:dyDescent="0.25">
      <c r="A3308" s="29">
        <v>40914</v>
      </c>
      <c r="B3308" s="30">
        <v>41.2</v>
      </c>
      <c r="C3308" s="30">
        <v>41.5</v>
      </c>
      <c r="D3308" s="30"/>
      <c r="E3308" s="30">
        <v>41.8</v>
      </c>
      <c r="F3308" s="30">
        <v>38.9</v>
      </c>
      <c r="G3308" s="30">
        <v>39.299999999999997</v>
      </c>
    </row>
    <row r="3309" spans="1:7" x14ac:dyDescent="0.25">
      <c r="A3309" s="29">
        <v>40915</v>
      </c>
      <c r="B3309" s="30">
        <v>47</v>
      </c>
      <c r="C3309" s="30">
        <v>51.6</v>
      </c>
      <c r="D3309" s="30"/>
      <c r="E3309" s="30">
        <v>52.9</v>
      </c>
      <c r="F3309" s="30">
        <v>51.5</v>
      </c>
      <c r="G3309" s="30">
        <v>48.8</v>
      </c>
    </row>
    <row r="3310" spans="1:7" x14ac:dyDescent="0.25">
      <c r="A3310" s="29">
        <v>40916</v>
      </c>
      <c r="B3310" s="30">
        <v>46</v>
      </c>
      <c r="C3310" s="30">
        <v>45.1</v>
      </c>
      <c r="D3310" s="30"/>
      <c r="E3310" s="30">
        <v>44.3</v>
      </c>
      <c r="F3310" s="30">
        <v>45.1</v>
      </c>
      <c r="G3310" s="30">
        <v>44.3</v>
      </c>
    </row>
    <row r="3311" spans="1:7" x14ac:dyDescent="0.25">
      <c r="A3311" s="29">
        <v>40917</v>
      </c>
      <c r="B3311" s="30">
        <v>34.700000000000003</v>
      </c>
      <c r="C3311" s="30">
        <v>35</v>
      </c>
      <c r="D3311" s="30"/>
      <c r="E3311" s="30">
        <v>35</v>
      </c>
      <c r="F3311" s="30">
        <v>33.9</v>
      </c>
      <c r="G3311" s="30">
        <v>35.200000000000003</v>
      </c>
    </row>
    <row r="3312" spans="1:7" x14ac:dyDescent="0.25">
      <c r="A3312" s="29">
        <v>40918</v>
      </c>
      <c r="B3312" s="30">
        <v>39.4</v>
      </c>
      <c r="C3312" s="30">
        <v>39.4</v>
      </c>
      <c r="D3312" s="30"/>
      <c r="E3312" s="30">
        <v>39.5</v>
      </c>
      <c r="F3312" s="30">
        <v>39</v>
      </c>
      <c r="G3312" s="30">
        <v>38.9</v>
      </c>
    </row>
    <row r="3313" spans="1:7" x14ac:dyDescent="0.25">
      <c r="A3313" s="29">
        <v>40919</v>
      </c>
      <c r="B3313" s="30">
        <v>40.4</v>
      </c>
      <c r="C3313" s="30">
        <v>42.2</v>
      </c>
      <c r="D3313" s="30"/>
      <c r="E3313" s="30">
        <v>42.1</v>
      </c>
      <c r="F3313" s="30">
        <v>36.700000000000003</v>
      </c>
      <c r="G3313" s="30">
        <v>40.299999999999997</v>
      </c>
    </row>
    <row r="3314" spans="1:7" x14ac:dyDescent="0.25">
      <c r="A3314" s="29">
        <v>40920</v>
      </c>
      <c r="B3314" s="30">
        <v>45.4</v>
      </c>
      <c r="C3314" s="30">
        <v>43.3</v>
      </c>
      <c r="D3314" s="30"/>
      <c r="E3314" s="30">
        <v>43.1</v>
      </c>
      <c r="F3314" s="30">
        <v>51.9</v>
      </c>
      <c r="G3314" s="30">
        <v>44.6</v>
      </c>
    </row>
    <row r="3315" spans="1:7" x14ac:dyDescent="0.25">
      <c r="A3315" s="29">
        <v>40921</v>
      </c>
      <c r="B3315" s="30">
        <v>40.700000000000003</v>
      </c>
      <c r="C3315" s="30">
        <v>39.1</v>
      </c>
      <c r="D3315" s="30"/>
      <c r="E3315" s="30">
        <v>38.799999999999997</v>
      </c>
      <c r="F3315" s="30">
        <v>44.1</v>
      </c>
      <c r="G3315" s="30">
        <v>40.299999999999997</v>
      </c>
    </row>
    <row r="3316" spans="1:7" x14ac:dyDescent="0.25">
      <c r="A3316" s="29">
        <v>40922</v>
      </c>
      <c r="B3316" s="30">
        <v>30.4</v>
      </c>
      <c r="C3316" s="30">
        <v>29.7</v>
      </c>
      <c r="D3316" s="30"/>
      <c r="E3316" s="30">
        <v>29.6</v>
      </c>
      <c r="F3316" s="30">
        <v>32.4</v>
      </c>
      <c r="G3316" s="30">
        <v>30.1</v>
      </c>
    </row>
    <row r="3317" spans="1:7" x14ac:dyDescent="0.25">
      <c r="A3317" s="29">
        <v>40923</v>
      </c>
      <c r="B3317" s="30">
        <v>23.9</v>
      </c>
      <c r="C3317" s="30">
        <v>23.3</v>
      </c>
      <c r="D3317" s="30"/>
      <c r="E3317" s="30">
        <v>22.1</v>
      </c>
      <c r="F3317" s="30">
        <v>26.3</v>
      </c>
      <c r="G3317" s="30">
        <v>24</v>
      </c>
    </row>
    <row r="3318" spans="1:7" x14ac:dyDescent="0.25">
      <c r="A3318" s="29">
        <v>40924</v>
      </c>
      <c r="B3318" s="30">
        <v>22.6</v>
      </c>
      <c r="C3318" s="30">
        <v>22.7</v>
      </c>
      <c r="D3318" s="30"/>
      <c r="E3318" s="30">
        <v>22.9</v>
      </c>
      <c r="F3318" s="30">
        <v>23.8</v>
      </c>
      <c r="G3318" s="30">
        <v>22.3</v>
      </c>
    </row>
    <row r="3319" spans="1:7" x14ac:dyDescent="0.25">
      <c r="A3319" s="29">
        <v>40925</v>
      </c>
      <c r="B3319" s="30">
        <v>39.799999999999997</v>
      </c>
      <c r="C3319" s="30">
        <v>39</v>
      </c>
      <c r="D3319" s="30"/>
      <c r="E3319" s="30">
        <v>39.799999999999997</v>
      </c>
      <c r="F3319" s="30">
        <v>44.6</v>
      </c>
      <c r="G3319" s="30">
        <v>38.9</v>
      </c>
    </row>
    <row r="3320" spans="1:7" x14ac:dyDescent="0.25">
      <c r="A3320" s="29">
        <v>40926</v>
      </c>
      <c r="B3320" s="30">
        <v>43.2</v>
      </c>
      <c r="C3320" s="30">
        <v>42.9</v>
      </c>
      <c r="D3320" s="30"/>
      <c r="E3320" s="30">
        <v>42</v>
      </c>
      <c r="F3320" s="30">
        <v>48.1</v>
      </c>
      <c r="G3320" s="30">
        <v>43</v>
      </c>
    </row>
    <row r="3321" spans="1:7" x14ac:dyDescent="0.25">
      <c r="A3321" s="29">
        <v>40927</v>
      </c>
      <c r="B3321" s="30">
        <v>26.3</v>
      </c>
      <c r="C3321" s="30">
        <v>26.4</v>
      </c>
      <c r="D3321" s="30"/>
      <c r="E3321" s="30">
        <v>26.6</v>
      </c>
      <c r="F3321" s="30">
        <v>29.8</v>
      </c>
      <c r="G3321" s="30">
        <v>26</v>
      </c>
    </row>
    <row r="3322" spans="1:7" x14ac:dyDescent="0.25">
      <c r="A3322" s="29">
        <v>40928</v>
      </c>
      <c r="B3322" s="30">
        <v>32.799999999999997</v>
      </c>
      <c r="C3322" s="30">
        <v>31.9</v>
      </c>
      <c r="D3322" s="30"/>
      <c r="E3322" s="30">
        <v>31.2</v>
      </c>
      <c r="F3322" s="30">
        <v>36.5</v>
      </c>
      <c r="G3322" s="30">
        <v>31.9</v>
      </c>
    </row>
    <row r="3323" spans="1:7" x14ac:dyDescent="0.25">
      <c r="A3323" s="29">
        <v>40929</v>
      </c>
      <c r="B3323" s="30">
        <v>27.4</v>
      </c>
      <c r="C3323" s="30">
        <v>26.4</v>
      </c>
      <c r="D3323" s="30"/>
      <c r="E3323" s="30">
        <v>25.9</v>
      </c>
      <c r="F3323" s="30">
        <v>33.1</v>
      </c>
      <c r="G3323" s="30">
        <v>25.9</v>
      </c>
    </row>
    <row r="3324" spans="1:7" x14ac:dyDescent="0.25">
      <c r="A3324" s="29">
        <v>40930</v>
      </c>
      <c r="B3324" s="30">
        <v>25</v>
      </c>
      <c r="C3324" s="30">
        <v>24.4</v>
      </c>
      <c r="D3324" s="30"/>
      <c r="E3324" s="30">
        <v>24.4</v>
      </c>
      <c r="F3324" s="30">
        <v>31.6</v>
      </c>
      <c r="G3324" s="30">
        <v>23.2</v>
      </c>
    </row>
    <row r="3325" spans="1:7" x14ac:dyDescent="0.25">
      <c r="A3325" s="29">
        <v>40931</v>
      </c>
      <c r="B3325" s="30">
        <v>39.4</v>
      </c>
      <c r="C3325" s="30">
        <v>37.200000000000003</v>
      </c>
      <c r="D3325" s="30"/>
      <c r="E3325" s="30">
        <v>38.5</v>
      </c>
      <c r="F3325" s="30">
        <v>46</v>
      </c>
      <c r="G3325" s="30">
        <v>36.6</v>
      </c>
    </row>
    <row r="3326" spans="1:7" x14ac:dyDescent="0.25">
      <c r="A3326" s="29">
        <v>40932</v>
      </c>
      <c r="B3326" s="30">
        <v>48.7</v>
      </c>
      <c r="C3326" s="30">
        <v>49.1</v>
      </c>
      <c r="D3326" s="30"/>
      <c r="E3326" s="30">
        <v>49.3</v>
      </c>
      <c r="F3326" s="30">
        <v>52.8</v>
      </c>
      <c r="G3326" s="30">
        <v>49.6</v>
      </c>
    </row>
    <row r="3327" spans="1:7" x14ac:dyDescent="0.25">
      <c r="A3327" s="29">
        <v>40933</v>
      </c>
      <c r="B3327" s="30">
        <v>43</v>
      </c>
      <c r="C3327" s="30">
        <v>41.6</v>
      </c>
      <c r="D3327" s="30"/>
      <c r="E3327" s="30">
        <v>41.4</v>
      </c>
      <c r="F3327" s="30">
        <v>41</v>
      </c>
      <c r="G3327" s="30">
        <v>42.9</v>
      </c>
    </row>
    <row r="3328" spans="1:7" x14ac:dyDescent="0.25">
      <c r="A3328" s="29">
        <v>40934</v>
      </c>
      <c r="B3328" s="30">
        <v>37.1</v>
      </c>
      <c r="C3328" s="30">
        <v>36.5</v>
      </c>
      <c r="D3328" s="30"/>
      <c r="E3328" s="30">
        <v>36.5</v>
      </c>
      <c r="F3328" s="30">
        <v>41.6</v>
      </c>
      <c r="G3328" s="30">
        <v>37.200000000000003</v>
      </c>
    </row>
    <row r="3329" spans="1:7" x14ac:dyDescent="0.25">
      <c r="A3329" s="29">
        <v>40935</v>
      </c>
      <c r="B3329" s="30">
        <v>48.2</v>
      </c>
      <c r="C3329" s="30">
        <v>45.8</v>
      </c>
      <c r="D3329" s="30"/>
      <c r="E3329" s="30">
        <v>47.5</v>
      </c>
      <c r="F3329" s="30">
        <v>54.7</v>
      </c>
      <c r="G3329" s="30">
        <v>46.8</v>
      </c>
    </row>
    <row r="3330" spans="1:7" x14ac:dyDescent="0.25">
      <c r="A3330" s="29">
        <v>40936</v>
      </c>
      <c r="B3330" s="30">
        <v>43.7</v>
      </c>
      <c r="C3330" s="30">
        <v>43</v>
      </c>
      <c r="D3330" s="30"/>
      <c r="E3330" s="30">
        <v>42.4</v>
      </c>
      <c r="F3330" s="30">
        <v>43.3</v>
      </c>
      <c r="G3330" s="30">
        <v>43.7</v>
      </c>
    </row>
    <row r="3331" spans="1:7" x14ac:dyDescent="0.25">
      <c r="A3331" s="29">
        <v>40937</v>
      </c>
      <c r="B3331" s="30">
        <v>40.1</v>
      </c>
      <c r="C3331" s="30">
        <v>40.1</v>
      </c>
      <c r="D3331" s="30"/>
      <c r="E3331" s="30">
        <v>41</v>
      </c>
      <c r="F3331" s="30">
        <v>40.799999999999997</v>
      </c>
      <c r="G3331" s="30">
        <v>40.200000000000003</v>
      </c>
    </row>
    <row r="3332" spans="1:7" x14ac:dyDescent="0.25">
      <c r="A3332" s="29">
        <v>40938</v>
      </c>
      <c r="B3332" s="30">
        <v>38</v>
      </c>
      <c r="C3332" s="30">
        <v>37.799999999999997</v>
      </c>
      <c r="D3332" s="30"/>
      <c r="E3332" s="30">
        <v>39.700000000000003</v>
      </c>
      <c r="F3332" s="30">
        <v>39.200000000000003</v>
      </c>
      <c r="G3332" s="30">
        <v>37.6</v>
      </c>
    </row>
    <row r="3333" spans="1:7" x14ac:dyDescent="0.25">
      <c r="A3333" s="29">
        <v>40939</v>
      </c>
      <c r="B3333" s="30">
        <v>43.5</v>
      </c>
      <c r="C3333" s="30">
        <v>44.4</v>
      </c>
      <c r="D3333" s="30"/>
      <c r="E3333" s="30">
        <v>44.7</v>
      </c>
      <c r="F3333" s="30">
        <v>47.5</v>
      </c>
      <c r="G3333" s="30">
        <v>43.3</v>
      </c>
    </row>
    <row r="3334" spans="1:7" x14ac:dyDescent="0.25">
      <c r="A3334" s="29">
        <v>40940</v>
      </c>
      <c r="B3334" s="30">
        <v>50.4</v>
      </c>
      <c r="C3334" s="30">
        <v>55.4</v>
      </c>
      <c r="D3334" s="30"/>
      <c r="E3334" s="30">
        <v>55.1</v>
      </c>
      <c r="F3334" s="30">
        <v>56.1</v>
      </c>
      <c r="G3334" s="30">
        <v>54.1</v>
      </c>
    </row>
    <row r="3335" spans="1:7" x14ac:dyDescent="0.25">
      <c r="A3335" s="29">
        <v>40941</v>
      </c>
      <c r="B3335" s="30">
        <v>45.8</v>
      </c>
      <c r="C3335" s="30">
        <v>46.5</v>
      </c>
      <c r="D3335" s="30"/>
      <c r="E3335" s="30">
        <v>45.6</v>
      </c>
      <c r="F3335" s="30">
        <v>49.6</v>
      </c>
      <c r="G3335" s="30">
        <v>45.9</v>
      </c>
    </row>
    <row r="3336" spans="1:7" x14ac:dyDescent="0.25">
      <c r="A3336" s="29">
        <v>40942</v>
      </c>
      <c r="B3336" s="30">
        <v>37.5</v>
      </c>
      <c r="C3336" s="30">
        <v>37.5</v>
      </c>
      <c r="D3336" s="30"/>
      <c r="E3336" s="30">
        <v>36.700000000000003</v>
      </c>
      <c r="F3336" s="30">
        <v>39.700000000000003</v>
      </c>
      <c r="G3336" s="30">
        <v>37.799999999999997</v>
      </c>
    </row>
    <row r="3337" spans="1:7" x14ac:dyDescent="0.25">
      <c r="A3337" s="29">
        <v>40943</v>
      </c>
      <c r="B3337" s="30">
        <v>40.799999999999997</v>
      </c>
      <c r="C3337" s="30">
        <v>42.6</v>
      </c>
      <c r="D3337" s="30"/>
      <c r="E3337" s="30">
        <v>41.3</v>
      </c>
      <c r="F3337" s="30">
        <v>35.9</v>
      </c>
      <c r="G3337" s="30">
        <v>40.799999999999997</v>
      </c>
    </row>
    <row r="3338" spans="1:7" x14ac:dyDescent="0.25">
      <c r="A3338" s="29">
        <v>40944</v>
      </c>
      <c r="B3338" s="30">
        <v>36.5</v>
      </c>
      <c r="C3338" s="30">
        <v>36.9</v>
      </c>
      <c r="D3338" s="30"/>
      <c r="E3338" s="30">
        <v>36</v>
      </c>
      <c r="F3338" s="30">
        <v>38.4</v>
      </c>
      <c r="G3338" s="30">
        <v>36.5</v>
      </c>
    </row>
    <row r="3339" spans="1:7" x14ac:dyDescent="0.25">
      <c r="A3339" s="29">
        <v>40945</v>
      </c>
      <c r="B3339" s="30">
        <v>39.1</v>
      </c>
      <c r="C3339" s="30">
        <v>40.700000000000003</v>
      </c>
      <c r="D3339" s="30"/>
      <c r="E3339" s="30">
        <v>39.5</v>
      </c>
      <c r="F3339" s="30">
        <v>35.700000000000003</v>
      </c>
      <c r="G3339" s="30">
        <v>38.299999999999997</v>
      </c>
    </row>
    <row r="3340" spans="1:7" x14ac:dyDescent="0.25">
      <c r="A3340" s="29">
        <v>40946</v>
      </c>
      <c r="B3340" s="30">
        <v>43.2</v>
      </c>
      <c r="C3340" s="30">
        <v>45.1</v>
      </c>
      <c r="D3340" s="30"/>
      <c r="E3340" s="30">
        <v>43.7</v>
      </c>
      <c r="F3340" s="30">
        <v>43.6</v>
      </c>
      <c r="G3340" s="30">
        <v>42.5</v>
      </c>
    </row>
    <row r="3341" spans="1:7" x14ac:dyDescent="0.25">
      <c r="A3341" s="29">
        <v>40947</v>
      </c>
      <c r="B3341" s="30">
        <v>36.5</v>
      </c>
      <c r="C3341" s="30">
        <v>36.299999999999997</v>
      </c>
      <c r="D3341" s="30"/>
      <c r="E3341" s="30">
        <v>35.5</v>
      </c>
      <c r="F3341" s="30">
        <v>36.6</v>
      </c>
      <c r="G3341" s="30">
        <v>36.1</v>
      </c>
    </row>
    <row r="3342" spans="1:7" x14ac:dyDescent="0.25">
      <c r="A3342" s="29">
        <v>40948</v>
      </c>
      <c r="B3342" s="30">
        <v>36.5</v>
      </c>
      <c r="C3342" s="30">
        <v>36.700000000000003</v>
      </c>
      <c r="D3342" s="30"/>
      <c r="E3342" s="30">
        <v>35.700000000000003</v>
      </c>
      <c r="F3342" s="30">
        <v>36.5</v>
      </c>
      <c r="G3342" s="30">
        <v>35.9</v>
      </c>
    </row>
    <row r="3343" spans="1:7" x14ac:dyDescent="0.25">
      <c r="A3343" s="29">
        <v>40949</v>
      </c>
      <c r="B3343" s="30">
        <v>38.299999999999997</v>
      </c>
      <c r="C3343" s="30">
        <v>40.5</v>
      </c>
      <c r="D3343" s="30"/>
      <c r="E3343" s="30">
        <v>39.299999999999997</v>
      </c>
      <c r="F3343" s="30">
        <v>37.9</v>
      </c>
      <c r="G3343" s="30">
        <v>37.799999999999997</v>
      </c>
    </row>
    <row r="3344" spans="1:7" x14ac:dyDescent="0.25">
      <c r="A3344" s="29">
        <v>40950</v>
      </c>
      <c r="B3344" s="30">
        <v>36.9</v>
      </c>
      <c r="C3344" s="30">
        <v>36.799999999999997</v>
      </c>
      <c r="D3344" s="30"/>
      <c r="E3344" s="30">
        <v>36</v>
      </c>
      <c r="F3344" s="30">
        <v>37.6</v>
      </c>
      <c r="G3344" s="30">
        <v>36.4</v>
      </c>
    </row>
    <row r="3345" spans="1:7" x14ac:dyDescent="0.25">
      <c r="A3345" s="29">
        <v>40951</v>
      </c>
      <c r="B3345" s="30">
        <v>29.7</v>
      </c>
      <c r="C3345" s="30">
        <v>29.5</v>
      </c>
      <c r="D3345" s="30"/>
      <c r="E3345" s="30">
        <v>29.2</v>
      </c>
      <c r="F3345" s="30">
        <v>27.6</v>
      </c>
      <c r="G3345" s="30">
        <v>29</v>
      </c>
    </row>
    <row r="3346" spans="1:7" x14ac:dyDescent="0.25">
      <c r="A3346" s="29">
        <v>40952</v>
      </c>
      <c r="B3346" s="30">
        <v>33.1</v>
      </c>
      <c r="C3346" s="30">
        <v>33.5</v>
      </c>
      <c r="D3346" s="30"/>
      <c r="E3346" s="30">
        <v>33</v>
      </c>
      <c r="F3346" s="30">
        <v>31.9</v>
      </c>
      <c r="G3346" s="30">
        <v>32.700000000000003</v>
      </c>
    </row>
    <row r="3347" spans="1:7" x14ac:dyDescent="0.25">
      <c r="A3347" s="29">
        <v>40953</v>
      </c>
      <c r="B3347" s="30">
        <v>39.6</v>
      </c>
      <c r="C3347" s="30">
        <v>41.4</v>
      </c>
      <c r="D3347" s="30"/>
      <c r="E3347" s="30">
        <v>40.4</v>
      </c>
      <c r="F3347" s="30">
        <v>41.3</v>
      </c>
      <c r="G3347" s="30">
        <v>39.299999999999997</v>
      </c>
    </row>
    <row r="3348" spans="1:7" x14ac:dyDescent="0.25">
      <c r="A3348" s="29">
        <v>40954</v>
      </c>
      <c r="B3348" s="30">
        <v>42.3</v>
      </c>
      <c r="C3348" s="30">
        <v>42.2</v>
      </c>
      <c r="D3348" s="30"/>
      <c r="E3348" s="30">
        <v>42.3</v>
      </c>
      <c r="F3348" s="30">
        <v>44.5</v>
      </c>
      <c r="G3348" s="30">
        <v>42.3</v>
      </c>
    </row>
    <row r="3349" spans="1:7" x14ac:dyDescent="0.25">
      <c r="A3349" s="29">
        <v>40955</v>
      </c>
      <c r="B3349" s="30">
        <v>39.700000000000003</v>
      </c>
      <c r="C3349" s="30">
        <v>40.700000000000003</v>
      </c>
      <c r="D3349" s="30"/>
      <c r="E3349" s="30">
        <v>40.299999999999997</v>
      </c>
      <c r="F3349" s="30">
        <v>37.200000000000003</v>
      </c>
      <c r="G3349" s="30">
        <v>39.1</v>
      </c>
    </row>
    <row r="3350" spans="1:7" x14ac:dyDescent="0.25">
      <c r="A3350" s="29">
        <v>40956</v>
      </c>
      <c r="B3350" s="30">
        <v>46</v>
      </c>
      <c r="C3350" s="30">
        <v>45.5</v>
      </c>
      <c r="D3350" s="30"/>
      <c r="E3350" s="30">
        <v>45</v>
      </c>
      <c r="F3350" s="30">
        <v>47.1</v>
      </c>
      <c r="G3350" s="30">
        <v>45.3</v>
      </c>
    </row>
    <row r="3351" spans="1:7" x14ac:dyDescent="0.25">
      <c r="A3351" s="29">
        <v>40957</v>
      </c>
      <c r="B3351" s="30">
        <v>41.2</v>
      </c>
      <c r="C3351" s="30">
        <v>42.3</v>
      </c>
      <c r="D3351" s="30"/>
      <c r="E3351" s="30">
        <v>41.5</v>
      </c>
      <c r="F3351" s="30">
        <v>40.200000000000003</v>
      </c>
      <c r="G3351" s="30">
        <v>41.6</v>
      </c>
    </row>
    <row r="3352" spans="1:7" x14ac:dyDescent="0.25">
      <c r="A3352" s="29">
        <v>40958</v>
      </c>
      <c r="B3352" s="30">
        <v>39.799999999999997</v>
      </c>
      <c r="C3352" s="30">
        <v>40.1</v>
      </c>
      <c r="D3352" s="30"/>
      <c r="E3352" s="30">
        <v>39.1</v>
      </c>
      <c r="F3352" s="30">
        <v>40.1</v>
      </c>
      <c r="G3352" s="30">
        <v>39.5</v>
      </c>
    </row>
    <row r="3353" spans="1:7" x14ac:dyDescent="0.25">
      <c r="A3353" s="29">
        <v>40959</v>
      </c>
      <c r="B3353" s="30">
        <v>38.1</v>
      </c>
      <c r="C3353" s="30">
        <v>37.9</v>
      </c>
      <c r="D3353" s="30"/>
      <c r="E3353" s="30">
        <v>37.6</v>
      </c>
      <c r="F3353" s="30">
        <v>40.299999999999997</v>
      </c>
      <c r="G3353" s="30">
        <v>38</v>
      </c>
    </row>
    <row r="3354" spans="1:7" x14ac:dyDescent="0.25">
      <c r="A3354" s="29">
        <v>40960</v>
      </c>
      <c r="B3354" s="30">
        <v>37.1</v>
      </c>
      <c r="C3354" s="30">
        <v>38.9</v>
      </c>
      <c r="D3354" s="30"/>
      <c r="E3354" s="30">
        <v>38.5</v>
      </c>
      <c r="F3354" s="30">
        <v>36.700000000000003</v>
      </c>
      <c r="G3354" s="30">
        <v>37.5</v>
      </c>
    </row>
    <row r="3355" spans="1:7" x14ac:dyDescent="0.25">
      <c r="A3355" s="29">
        <v>40961</v>
      </c>
      <c r="B3355" s="30">
        <v>45.5</v>
      </c>
      <c r="C3355" s="30">
        <v>49</v>
      </c>
      <c r="D3355" s="30"/>
      <c r="E3355" s="30">
        <v>48.4</v>
      </c>
      <c r="F3355" s="30">
        <v>51</v>
      </c>
      <c r="G3355" s="30">
        <v>47.7</v>
      </c>
    </row>
    <row r="3356" spans="1:7" x14ac:dyDescent="0.25">
      <c r="A3356" s="29">
        <v>40962</v>
      </c>
      <c r="B3356" s="30">
        <v>50.6</v>
      </c>
      <c r="C3356" s="30">
        <v>51</v>
      </c>
      <c r="D3356" s="30"/>
      <c r="E3356" s="30">
        <v>51.5</v>
      </c>
      <c r="F3356" s="30">
        <v>55.2</v>
      </c>
      <c r="G3356" s="30">
        <v>51.4</v>
      </c>
    </row>
    <row r="3357" spans="1:7" x14ac:dyDescent="0.25">
      <c r="A3357" s="29">
        <v>40963</v>
      </c>
      <c r="B3357" s="30">
        <v>42.7</v>
      </c>
      <c r="C3357" s="30">
        <v>42.1</v>
      </c>
      <c r="D3357" s="30"/>
      <c r="E3357" s="30">
        <v>41.8</v>
      </c>
      <c r="F3357" s="30">
        <v>47.6</v>
      </c>
      <c r="G3357" s="30">
        <v>43.4</v>
      </c>
    </row>
    <row r="3358" spans="1:7" x14ac:dyDescent="0.25">
      <c r="A3358" s="29">
        <v>40964</v>
      </c>
      <c r="B3358" s="30">
        <v>42.6</v>
      </c>
      <c r="C3358" s="30">
        <v>42.6</v>
      </c>
      <c r="D3358" s="30"/>
      <c r="E3358" s="30">
        <v>41.3</v>
      </c>
      <c r="F3358" s="30">
        <v>44.4</v>
      </c>
      <c r="G3358" s="30">
        <v>41.9</v>
      </c>
    </row>
    <row r="3359" spans="1:7" x14ac:dyDescent="0.25">
      <c r="A3359" s="29">
        <v>40965</v>
      </c>
      <c r="B3359" s="30">
        <v>36.9</v>
      </c>
      <c r="C3359" s="30">
        <v>36.700000000000003</v>
      </c>
      <c r="D3359" s="30"/>
      <c r="E3359" s="30">
        <v>35.700000000000003</v>
      </c>
      <c r="F3359" s="30">
        <v>39.700000000000003</v>
      </c>
      <c r="G3359" s="30">
        <v>37.1</v>
      </c>
    </row>
    <row r="3360" spans="1:7" x14ac:dyDescent="0.25">
      <c r="A3360" s="29">
        <v>40966</v>
      </c>
      <c r="B3360" s="30">
        <v>40.9</v>
      </c>
      <c r="C3360" s="30">
        <v>43.3</v>
      </c>
      <c r="D3360" s="30"/>
      <c r="E3360" s="30">
        <v>43.2</v>
      </c>
      <c r="F3360" s="30">
        <v>42.6</v>
      </c>
      <c r="G3360" s="30">
        <v>43.2</v>
      </c>
    </row>
    <row r="3361" spans="1:7" x14ac:dyDescent="0.25">
      <c r="A3361" s="29">
        <v>40967</v>
      </c>
      <c r="B3361" s="30">
        <v>45.9</v>
      </c>
      <c r="C3361" s="30">
        <v>46.4</v>
      </c>
      <c r="D3361" s="30"/>
      <c r="E3361" s="30">
        <v>45.5</v>
      </c>
      <c r="F3361" s="30">
        <v>48.4</v>
      </c>
      <c r="G3361" s="30">
        <v>46.8</v>
      </c>
    </row>
    <row r="3362" spans="1:7" x14ac:dyDescent="0.25">
      <c r="A3362" s="29">
        <v>40968</v>
      </c>
      <c r="B3362" s="30">
        <v>40.700000000000003</v>
      </c>
      <c r="C3362" s="30">
        <v>41</v>
      </c>
      <c r="D3362" s="30"/>
      <c r="E3362" s="30">
        <v>40.1</v>
      </c>
      <c r="F3362" s="30">
        <v>41.8</v>
      </c>
      <c r="G3362" s="30">
        <v>41.2</v>
      </c>
    </row>
    <row r="3363" spans="1:7" x14ac:dyDescent="0.25">
      <c r="A3363" s="29">
        <v>40969</v>
      </c>
      <c r="B3363" s="30">
        <v>41.3</v>
      </c>
      <c r="C3363" s="30">
        <v>40</v>
      </c>
      <c r="D3363" s="30"/>
      <c r="E3363" s="30">
        <v>39.200000000000003</v>
      </c>
      <c r="F3363" s="30">
        <v>52.8</v>
      </c>
      <c r="G3363" s="30">
        <v>40.9</v>
      </c>
    </row>
    <row r="3364" spans="1:7" x14ac:dyDescent="0.25">
      <c r="A3364" s="29">
        <v>40970</v>
      </c>
      <c r="B3364" s="30">
        <v>36.799999999999997</v>
      </c>
      <c r="C3364" s="30">
        <v>37</v>
      </c>
      <c r="D3364" s="30"/>
      <c r="E3364" s="30">
        <v>36.9</v>
      </c>
      <c r="F3364" s="30">
        <v>42.1</v>
      </c>
      <c r="G3364" s="30">
        <v>38</v>
      </c>
    </row>
    <row r="3365" spans="1:7" x14ac:dyDescent="0.25">
      <c r="A3365" s="29">
        <v>40971</v>
      </c>
      <c r="B3365" s="30">
        <v>47.6</v>
      </c>
      <c r="C3365" s="30">
        <v>46.3</v>
      </c>
      <c r="D3365" s="30"/>
      <c r="E3365" s="30">
        <v>46.9</v>
      </c>
      <c r="F3365" s="30">
        <v>52.8</v>
      </c>
      <c r="G3365" s="30">
        <v>47.4</v>
      </c>
    </row>
    <row r="3366" spans="1:7" x14ac:dyDescent="0.25">
      <c r="A3366" s="29">
        <v>40972</v>
      </c>
      <c r="B3366" s="30">
        <v>44.2</v>
      </c>
      <c r="C3366" s="30">
        <v>44.3</v>
      </c>
      <c r="D3366" s="30"/>
      <c r="E3366" s="30">
        <v>43.1</v>
      </c>
      <c r="F3366" s="30">
        <v>44.5</v>
      </c>
      <c r="G3366" s="30">
        <v>44</v>
      </c>
    </row>
    <row r="3367" spans="1:7" x14ac:dyDescent="0.25">
      <c r="A3367" s="29">
        <v>40973</v>
      </c>
      <c r="B3367" s="30">
        <v>38.5</v>
      </c>
      <c r="C3367" s="30">
        <v>37.9</v>
      </c>
      <c r="D3367" s="30"/>
      <c r="E3367" s="30">
        <v>36.700000000000003</v>
      </c>
      <c r="F3367" s="30">
        <v>38.6</v>
      </c>
      <c r="G3367" s="30">
        <v>38.1</v>
      </c>
    </row>
    <row r="3368" spans="1:7" x14ac:dyDescent="0.25">
      <c r="A3368" s="29">
        <v>40974</v>
      </c>
      <c r="B3368" s="30">
        <v>32.9</v>
      </c>
      <c r="C3368" s="30">
        <v>33.4</v>
      </c>
      <c r="D3368" s="30"/>
      <c r="E3368" s="30">
        <v>32.5</v>
      </c>
      <c r="F3368" s="30">
        <v>34.9</v>
      </c>
      <c r="G3368" s="30">
        <v>33.799999999999997</v>
      </c>
    </row>
    <row r="3369" spans="1:7" x14ac:dyDescent="0.25">
      <c r="A3369" s="29">
        <v>40975</v>
      </c>
      <c r="B3369" s="30">
        <v>43.3</v>
      </c>
      <c r="C3369" s="30">
        <v>45.5</v>
      </c>
      <c r="D3369" s="30"/>
      <c r="E3369" s="30">
        <v>46.3</v>
      </c>
      <c r="F3369" s="30">
        <v>47.3</v>
      </c>
      <c r="G3369" s="30">
        <v>45.2</v>
      </c>
    </row>
    <row r="3370" spans="1:7" x14ac:dyDescent="0.25">
      <c r="A3370" s="29">
        <v>40976</v>
      </c>
      <c r="B3370" s="30">
        <v>51.2</v>
      </c>
      <c r="C3370" s="30">
        <v>58.7</v>
      </c>
      <c r="D3370" s="30"/>
      <c r="E3370" s="30">
        <v>59.9</v>
      </c>
      <c r="F3370" s="30">
        <v>58.1</v>
      </c>
      <c r="G3370" s="30">
        <v>59.6</v>
      </c>
    </row>
    <row r="3371" spans="1:7" x14ac:dyDescent="0.25">
      <c r="A3371" s="29">
        <v>40977</v>
      </c>
      <c r="B3371" s="30">
        <v>47.8</v>
      </c>
      <c r="C3371" s="30">
        <v>49.8</v>
      </c>
      <c r="D3371" s="30"/>
      <c r="E3371" s="30">
        <v>49.2</v>
      </c>
      <c r="F3371" s="30">
        <v>53.5</v>
      </c>
      <c r="G3371" s="30">
        <v>51.5</v>
      </c>
    </row>
    <row r="3372" spans="1:7" x14ac:dyDescent="0.25">
      <c r="A3372" s="29">
        <v>40978</v>
      </c>
      <c r="B3372" s="30">
        <v>37.200000000000003</v>
      </c>
      <c r="C3372" s="30">
        <v>37.1</v>
      </c>
      <c r="D3372" s="30"/>
      <c r="E3372" s="30">
        <v>36.1</v>
      </c>
      <c r="F3372" s="30">
        <v>39.1</v>
      </c>
      <c r="G3372" s="30">
        <v>37.200000000000003</v>
      </c>
    </row>
    <row r="3373" spans="1:7" x14ac:dyDescent="0.25">
      <c r="A3373" s="29">
        <v>40979</v>
      </c>
      <c r="B3373" s="30">
        <v>42.9</v>
      </c>
      <c r="C3373" s="30">
        <v>45.3</v>
      </c>
      <c r="D3373" s="30"/>
      <c r="E3373" s="30">
        <v>44.9</v>
      </c>
      <c r="F3373" s="30">
        <v>39.799999999999997</v>
      </c>
      <c r="G3373" s="30">
        <v>43.5</v>
      </c>
    </row>
    <row r="3374" spans="1:7" x14ac:dyDescent="0.25">
      <c r="A3374" s="29">
        <v>40980</v>
      </c>
      <c r="B3374" s="30">
        <v>48.8</v>
      </c>
      <c r="C3374" s="30">
        <v>55.6</v>
      </c>
      <c r="D3374" s="30"/>
      <c r="E3374" s="30">
        <v>55.6</v>
      </c>
      <c r="F3374" s="30">
        <v>52</v>
      </c>
      <c r="G3374" s="30">
        <v>54.4</v>
      </c>
    </row>
    <row r="3375" spans="1:7" x14ac:dyDescent="0.25">
      <c r="A3375" s="29">
        <v>40981</v>
      </c>
      <c r="B3375" s="30">
        <v>52.6</v>
      </c>
      <c r="C3375" s="30">
        <v>60.1</v>
      </c>
      <c r="D3375" s="30"/>
      <c r="E3375" s="30">
        <v>62.5</v>
      </c>
      <c r="F3375" s="30">
        <v>60.8</v>
      </c>
      <c r="G3375" s="30">
        <v>62.5</v>
      </c>
    </row>
    <row r="3376" spans="1:7" x14ac:dyDescent="0.25">
      <c r="A3376" s="29">
        <v>40982</v>
      </c>
      <c r="B3376" s="30">
        <v>60.5</v>
      </c>
      <c r="C3376" s="30">
        <v>63.3</v>
      </c>
      <c r="D3376" s="30"/>
      <c r="E3376" s="30">
        <v>64.900000000000006</v>
      </c>
      <c r="F3376" s="30">
        <v>65.400000000000006</v>
      </c>
      <c r="G3376" s="30">
        <v>65.3</v>
      </c>
    </row>
    <row r="3377" spans="1:7" x14ac:dyDescent="0.25">
      <c r="A3377" s="29">
        <v>40983</v>
      </c>
      <c r="B3377" s="30">
        <v>47.2</v>
      </c>
      <c r="C3377" s="30">
        <v>48.6</v>
      </c>
      <c r="D3377" s="30"/>
      <c r="E3377" s="30">
        <v>49.3</v>
      </c>
      <c r="F3377" s="30">
        <v>50.3</v>
      </c>
      <c r="G3377" s="30">
        <v>50.4</v>
      </c>
    </row>
    <row r="3378" spans="1:7" x14ac:dyDescent="0.25">
      <c r="A3378" s="29">
        <v>40984</v>
      </c>
      <c r="B3378" s="30">
        <v>44.7</v>
      </c>
      <c r="C3378" s="30">
        <v>44.5</v>
      </c>
      <c r="D3378" s="30"/>
      <c r="E3378" s="30">
        <v>45.3</v>
      </c>
      <c r="F3378" s="30">
        <v>51.2</v>
      </c>
      <c r="G3378" s="30">
        <v>45.9</v>
      </c>
    </row>
    <row r="3379" spans="1:7" x14ac:dyDescent="0.25">
      <c r="A3379" s="29">
        <v>40985</v>
      </c>
      <c r="B3379" s="30">
        <v>48.2</v>
      </c>
      <c r="C3379" s="30">
        <v>49.9</v>
      </c>
      <c r="D3379" s="30"/>
      <c r="E3379" s="30">
        <v>52.2</v>
      </c>
      <c r="F3379" s="30">
        <v>49.8</v>
      </c>
      <c r="G3379" s="30">
        <v>50.7</v>
      </c>
    </row>
    <row r="3380" spans="1:7" x14ac:dyDescent="0.25">
      <c r="A3380" s="29">
        <v>40986</v>
      </c>
      <c r="B3380" s="30">
        <v>48.2</v>
      </c>
      <c r="C3380" s="30">
        <v>50.9</v>
      </c>
      <c r="D3380" s="30"/>
      <c r="E3380" s="30">
        <v>51.1</v>
      </c>
      <c r="F3380" s="30">
        <v>51.4</v>
      </c>
      <c r="G3380" s="30">
        <v>51.5</v>
      </c>
    </row>
    <row r="3381" spans="1:7" x14ac:dyDescent="0.25">
      <c r="A3381" s="29">
        <v>40987</v>
      </c>
      <c r="B3381" s="30">
        <v>53.1</v>
      </c>
      <c r="C3381" s="30">
        <v>59.3</v>
      </c>
      <c r="D3381" s="30"/>
      <c r="E3381" s="30">
        <v>60.9</v>
      </c>
      <c r="F3381" s="30">
        <v>55.3</v>
      </c>
      <c r="G3381" s="30">
        <v>59.8</v>
      </c>
    </row>
    <row r="3382" spans="1:7" x14ac:dyDescent="0.25">
      <c r="A3382" s="29">
        <v>40988</v>
      </c>
      <c r="B3382" s="30">
        <v>57.8</v>
      </c>
      <c r="C3382" s="30">
        <v>60</v>
      </c>
      <c r="D3382" s="30"/>
      <c r="E3382" s="30">
        <v>62.9</v>
      </c>
      <c r="F3382" s="30">
        <v>59.3</v>
      </c>
      <c r="G3382" s="30">
        <v>63.1</v>
      </c>
    </row>
    <row r="3383" spans="1:7" x14ac:dyDescent="0.25">
      <c r="A3383" s="29">
        <v>40989</v>
      </c>
      <c r="B3383" s="30">
        <v>57.5</v>
      </c>
      <c r="C3383" s="30">
        <v>57.8</v>
      </c>
      <c r="D3383" s="30"/>
      <c r="E3383" s="30">
        <v>60.6</v>
      </c>
      <c r="F3383" s="30">
        <v>59.5</v>
      </c>
      <c r="G3383" s="30">
        <v>59.6</v>
      </c>
    </row>
    <row r="3384" spans="1:7" x14ac:dyDescent="0.25">
      <c r="A3384" s="29">
        <v>40990</v>
      </c>
      <c r="B3384" s="30">
        <v>57.3</v>
      </c>
      <c r="C3384" s="30">
        <v>61.2</v>
      </c>
      <c r="D3384" s="30"/>
      <c r="E3384" s="30">
        <v>62.9</v>
      </c>
      <c r="F3384" s="30">
        <v>62.4</v>
      </c>
      <c r="G3384" s="30">
        <v>62.7</v>
      </c>
    </row>
    <row r="3385" spans="1:7" x14ac:dyDescent="0.25">
      <c r="A3385" s="29">
        <v>40991</v>
      </c>
      <c r="B3385" s="30">
        <v>61.7</v>
      </c>
      <c r="C3385" s="30">
        <v>65.099999999999994</v>
      </c>
      <c r="D3385" s="30"/>
      <c r="E3385" s="30">
        <v>67.5</v>
      </c>
      <c r="F3385" s="30">
        <v>63.5</v>
      </c>
      <c r="G3385" s="30">
        <v>65.8</v>
      </c>
    </row>
    <row r="3386" spans="1:7" x14ac:dyDescent="0.25">
      <c r="A3386" s="29">
        <v>40992</v>
      </c>
      <c r="B3386" s="30">
        <v>55.8</v>
      </c>
      <c r="C3386" s="30">
        <v>58.1</v>
      </c>
      <c r="D3386" s="30"/>
      <c r="E3386" s="30">
        <v>59.1</v>
      </c>
      <c r="F3386" s="30">
        <v>55.7</v>
      </c>
      <c r="G3386" s="30">
        <v>58.7</v>
      </c>
    </row>
    <row r="3387" spans="1:7" x14ac:dyDescent="0.25">
      <c r="A3387" s="29">
        <v>40993</v>
      </c>
      <c r="B3387" s="30">
        <v>48.4</v>
      </c>
      <c r="C3387" s="30">
        <v>48.3</v>
      </c>
      <c r="D3387" s="30"/>
      <c r="E3387" s="30">
        <v>48.6</v>
      </c>
      <c r="F3387" s="30">
        <v>52.4</v>
      </c>
      <c r="G3387" s="30">
        <v>49.6</v>
      </c>
    </row>
    <row r="3388" spans="1:7" x14ac:dyDescent="0.25">
      <c r="A3388" s="29">
        <v>40994</v>
      </c>
      <c r="B3388" s="30">
        <v>49.8</v>
      </c>
      <c r="C3388" s="30">
        <v>50</v>
      </c>
      <c r="D3388" s="30"/>
      <c r="E3388" s="30">
        <v>49.7</v>
      </c>
      <c r="F3388" s="30">
        <v>51.5</v>
      </c>
      <c r="G3388" s="30">
        <v>51.1</v>
      </c>
    </row>
    <row r="3389" spans="1:7" x14ac:dyDescent="0.25">
      <c r="A3389" s="29">
        <v>40995</v>
      </c>
      <c r="B3389" s="30">
        <v>39.6</v>
      </c>
      <c r="C3389" s="30">
        <v>39.700000000000003</v>
      </c>
      <c r="D3389" s="30"/>
      <c r="E3389" s="30">
        <v>38.9</v>
      </c>
      <c r="F3389" s="30">
        <v>41.4</v>
      </c>
      <c r="G3389" s="30">
        <v>40.1</v>
      </c>
    </row>
    <row r="3390" spans="1:7" x14ac:dyDescent="0.25">
      <c r="A3390" s="29">
        <v>40996</v>
      </c>
      <c r="B3390" s="30">
        <v>49.7</v>
      </c>
      <c r="C3390" s="30">
        <v>52.7</v>
      </c>
      <c r="D3390" s="30"/>
      <c r="E3390" s="30">
        <v>52.2</v>
      </c>
      <c r="F3390" s="30">
        <v>53</v>
      </c>
      <c r="G3390" s="30">
        <v>51.7</v>
      </c>
    </row>
    <row r="3391" spans="1:7" x14ac:dyDescent="0.25">
      <c r="A3391" s="29">
        <v>40997</v>
      </c>
      <c r="B3391" s="30">
        <v>56.8</v>
      </c>
      <c r="C3391" s="30">
        <v>56.1</v>
      </c>
      <c r="D3391" s="30"/>
      <c r="E3391" s="30">
        <v>54.8</v>
      </c>
      <c r="F3391" s="30">
        <v>61.3</v>
      </c>
      <c r="G3391" s="30">
        <v>57.1</v>
      </c>
    </row>
    <row r="3392" spans="1:7" x14ac:dyDescent="0.25">
      <c r="A3392" s="29">
        <v>40998</v>
      </c>
      <c r="B3392" s="30">
        <v>46.5</v>
      </c>
      <c r="C3392" s="30">
        <v>46.9</v>
      </c>
      <c r="D3392" s="30"/>
      <c r="E3392" s="30">
        <v>46.2</v>
      </c>
      <c r="F3392" s="30">
        <v>44.9</v>
      </c>
      <c r="G3392" s="30">
        <v>47.1</v>
      </c>
    </row>
    <row r="3393" spans="1:7" x14ac:dyDescent="0.25">
      <c r="A3393" s="29">
        <v>40999</v>
      </c>
      <c r="B3393" s="30">
        <v>42.2</v>
      </c>
      <c r="C3393" s="30">
        <v>42.6</v>
      </c>
      <c r="D3393" s="30"/>
      <c r="E3393" s="30">
        <v>41.3</v>
      </c>
      <c r="F3393" s="30">
        <v>47.6</v>
      </c>
      <c r="G3393" s="30">
        <v>43</v>
      </c>
    </row>
    <row r="3394" spans="1:7" x14ac:dyDescent="0.25">
      <c r="A3394" s="29">
        <v>41000</v>
      </c>
      <c r="B3394" s="30">
        <v>45.3</v>
      </c>
      <c r="C3394" s="30">
        <v>46.3</v>
      </c>
      <c r="D3394" s="30"/>
      <c r="E3394" s="30">
        <v>45.7</v>
      </c>
      <c r="F3394" s="30">
        <v>46.8</v>
      </c>
      <c r="G3394" s="30">
        <v>46.5</v>
      </c>
    </row>
    <row r="3395" spans="1:7" x14ac:dyDescent="0.25">
      <c r="A3395" s="29">
        <v>41001</v>
      </c>
      <c r="B3395" s="30">
        <v>48.1</v>
      </c>
      <c r="C3395" s="30">
        <v>48.1</v>
      </c>
      <c r="D3395" s="30"/>
      <c r="E3395" s="30">
        <v>48</v>
      </c>
      <c r="F3395" s="30">
        <v>50.3</v>
      </c>
      <c r="G3395" s="30">
        <v>48.8</v>
      </c>
    </row>
    <row r="3396" spans="1:7" x14ac:dyDescent="0.25">
      <c r="A3396" s="29">
        <v>41002</v>
      </c>
      <c r="B3396" s="30">
        <v>51.2</v>
      </c>
      <c r="C3396" s="30">
        <v>51</v>
      </c>
      <c r="D3396" s="30"/>
      <c r="E3396" s="30">
        <v>50.5</v>
      </c>
      <c r="F3396" s="30">
        <v>51.7</v>
      </c>
      <c r="G3396" s="30">
        <v>51.8</v>
      </c>
    </row>
    <row r="3397" spans="1:7" x14ac:dyDescent="0.25">
      <c r="A3397" s="29">
        <v>41003</v>
      </c>
      <c r="B3397" s="30">
        <v>61</v>
      </c>
      <c r="C3397" s="30">
        <v>59.8</v>
      </c>
      <c r="D3397" s="30"/>
      <c r="E3397" s="30">
        <v>59.8</v>
      </c>
      <c r="F3397" s="30">
        <v>62.1</v>
      </c>
      <c r="G3397" s="30">
        <v>62</v>
      </c>
    </row>
    <row r="3398" spans="1:7" x14ac:dyDescent="0.25">
      <c r="A3398" s="29">
        <v>41004</v>
      </c>
      <c r="B3398" s="30">
        <v>50.7</v>
      </c>
      <c r="C3398" s="30">
        <v>50.8</v>
      </c>
      <c r="D3398" s="30"/>
      <c r="E3398" s="30">
        <v>49.6</v>
      </c>
      <c r="F3398" s="30">
        <v>51.7</v>
      </c>
      <c r="G3398" s="30">
        <v>51.7</v>
      </c>
    </row>
    <row r="3399" spans="1:7" x14ac:dyDescent="0.25">
      <c r="A3399" s="29">
        <v>41005</v>
      </c>
      <c r="B3399" s="30">
        <v>48</v>
      </c>
      <c r="C3399" s="30">
        <v>48.3</v>
      </c>
      <c r="D3399" s="30"/>
      <c r="E3399" s="30">
        <v>47.1</v>
      </c>
      <c r="F3399" s="30">
        <v>47.4</v>
      </c>
      <c r="G3399" s="30">
        <v>48.7</v>
      </c>
    </row>
    <row r="3400" spans="1:7" x14ac:dyDescent="0.25">
      <c r="A3400" s="29">
        <v>41006</v>
      </c>
      <c r="B3400" s="30">
        <v>51.1</v>
      </c>
      <c r="C3400" s="30">
        <v>50.9</v>
      </c>
      <c r="D3400" s="30"/>
      <c r="E3400" s="30">
        <v>49.9</v>
      </c>
      <c r="F3400" s="30">
        <v>49.9</v>
      </c>
      <c r="G3400" s="30">
        <v>51.4</v>
      </c>
    </row>
    <row r="3401" spans="1:7" x14ac:dyDescent="0.25">
      <c r="A3401" s="29">
        <v>41007</v>
      </c>
      <c r="B3401" s="30">
        <v>55.7</v>
      </c>
      <c r="C3401" s="30">
        <v>55.2</v>
      </c>
      <c r="D3401" s="30"/>
      <c r="E3401" s="30">
        <v>54.6</v>
      </c>
      <c r="F3401" s="30">
        <v>54.7</v>
      </c>
      <c r="G3401" s="30">
        <v>56</v>
      </c>
    </row>
    <row r="3402" spans="1:7" x14ac:dyDescent="0.25">
      <c r="A3402" s="29">
        <v>41008</v>
      </c>
      <c r="B3402" s="30">
        <v>58.3</v>
      </c>
      <c r="C3402" s="30">
        <v>58.2</v>
      </c>
      <c r="D3402" s="30"/>
      <c r="E3402" s="30">
        <v>56.5</v>
      </c>
      <c r="F3402" s="30">
        <v>59.8</v>
      </c>
      <c r="G3402" s="30">
        <v>58.3</v>
      </c>
    </row>
    <row r="3403" spans="1:7" x14ac:dyDescent="0.25">
      <c r="A3403" s="29">
        <v>41009</v>
      </c>
      <c r="B3403" s="30">
        <v>55</v>
      </c>
      <c r="C3403" s="30">
        <v>55.8</v>
      </c>
      <c r="D3403" s="30"/>
      <c r="E3403" s="30">
        <v>53.6</v>
      </c>
      <c r="F3403" s="30">
        <v>57.3</v>
      </c>
      <c r="G3403" s="30">
        <v>54.7</v>
      </c>
    </row>
    <row r="3404" spans="1:7" x14ac:dyDescent="0.25">
      <c r="A3404" s="29">
        <v>41010</v>
      </c>
      <c r="B3404" s="30">
        <v>49</v>
      </c>
      <c r="C3404" s="30">
        <v>48.9</v>
      </c>
      <c r="D3404" s="30"/>
      <c r="E3404" s="30">
        <v>47.6</v>
      </c>
      <c r="F3404" s="30">
        <v>49.1</v>
      </c>
      <c r="G3404" s="30">
        <v>49.3</v>
      </c>
    </row>
    <row r="3405" spans="1:7" x14ac:dyDescent="0.25">
      <c r="A3405" s="29">
        <v>41011</v>
      </c>
      <c r="B3405" s="30">
        <v>51.7</v>
      </c>
      <c r="C3405" s="30">
        <v>51.2</v>
      </c>
      <c r="D3405" s="30"/>
      <c r="E3405" s="30">
        <v>50.1</v>
      </c>
      <c r="F3405" s="30">
        <v>48.1</v>
      </c>
      <c r="G3405" s="30">
        <v>51</v>
      </c>
    </row>
    <row r="3406" spans="1:7" x14ac:dyDescent="0.25">
      <c r="A3406" s="29">
        <v>41012</v>
      </c>
      <c r="B3406" s="30">
        <v>53.1</v>
      </c>
      <c r="C3406" s="30">
        <v>54.4</v>
      </c>
      <c r="D3406" s="30"/>
      <c r="E3406" s="30">
        <v>53.2</v>
      </c>
      <c r="F3406" s="30">
        <v>49.3</v>
      </c>
      <c r="G3406" s="30">
        <v>55</v>
      </c>
    </row>
    <row r="3407" spans="1:7" x14ac:dyDescent="0.25">
      <c r="A3407" s="29">
        <v>41013</v>
      </c>
      <c r="B3407" s="30">
        <v>55.2</v>
      </c>
      <c r="C3407" s="30">
        <v>59.9</v>
      </c>
      <c r="D3407" s="30"/>
      <c r="E3407" s="30">
        <v>60.1</v>
      </c>
      <c r="F3407" s="30">
        <v>56.8</v>
      </c>
      <c r="G3407" s="30">
        <v>60.2</v>
      </c>
    </row>
    <row r="3408" spans="1:7" x14ac:dyDescent="0.25">
      <c r="A3408" s="29">
        <v>41014</v>
      </c>
      <c r="B3408" s="30">
        <v>62.3</v>
      </c>
      <c r="C3408" s="30">
        <v>68.5</v>
      </c>
      <c r="D3408" s="30"/>
      <c r="E3408" s="30">
        <v>67.7</v>
      </c>
      <c r="F3408" s="30">
        <v>66.599999999999994</v>
      </c>
      <c r="G3408" s="30">
        <v>69</v>
      </c>
    </row>
    <row r="3409" spans="1:7" x14ac:dyDescent="0.25">
      <c r="A3409" s="29">
        <v>41015</v>
      </c>
      <c r="B3409" s="30">
        <v>62.9</v>
      </c>
      <c r="C3409" s="30">
        <v>73.099999999999994</v>
      </c>
      <c r="D3409" s="30"/>
      <c r="E3409" s="30">
        <v>73.599999999999994</v>
      </c>
      <c r="F3409" s="30">
        <v>68.900000000000006</v>
      </c>
      <c r="G3409" s="30">
        <v>74.2</v>
      </c>
    </row>
    <row r="3410" spans="1:7" x14ac:dyDescent="0.25">
      <c r="A3410" s="29">
        <v>41016</v>
      </c>
      <c r="B3410" s="30">
        <v>69.3</v>
      </c>
      <c r="C3410" s="30">
        <v>72.7</v>
      </c>
      <c r="D3410" s="30"/>
      <c r="E3410" s="30">
        <v>73.3</v>
      </c>
      <c r="F3410" s="30">
        <v>72.400000000000006</v>
      </c>
      <c r="G3410" s="30">
        <v>75.2</v>
      </c>
    </row>
    <row r="3411" spans="1:7" x14ac:dyDescent="0.25">
      <c r="A3411" s="29">
        <v>41017</v>
      </c>
      <c r="B3411" s="30">
        <v>59</v>
      </c>
      <c r="C3411" s="30">
        <v>58.8</v>
      </c>
      <c r="D3411" s="30"/>
      <c r="E3411" s="30">
        <v>57.6</v>
      </c>
      <c r="F3411" s="30">
        <v>56.8</v>
      </c>
      <c r="G3411" s="30">
        <v>60.2</v>
      </c>
    </row>
    <row r="3412" spans="1:7" x14ac:dyDescent="0.25">
      <c r="A3412" s="29">
        <v>41018</v>
      </c>
      <c r="B3412" s="30">
        <v>54.1</v>
      </c>
      <c r="C3412" s="30">
        <v>56.8</v>
      </c>
      <c r="D3412" s="30"/>
      <c r="E3412" s="30">
        <v>56</v>
      </c>
      <c r="F3412" s="30">
        <v>54.6</v>
      </c>
      <c r="G3412" s="30">
        <v>56.8</v>
      </c>
    </row>
    <row r="3413" spans="1:7" x14ac:dyDescent="0.25">
      <c r="A3413" s="29">
        <v>41019</v>
      </c>
      <c r="B3413" s="30">
        <v>56.5</v>
      </c>
      <c r="C3413" s="30">
        <v>61.1</v>
      </c>
      <c r="D3413" s="30"/>
      <c r="E3413" s="30">
        <v>60.9</v>
      </c>
      <c r="F3413" s="30">
        <v>53.4</v>
      </c>
      <c r="G3413" s="30">
        <v>59.7</v>
      </c>
    </row>
    <row r="3414" spans="1:7" x14ac:dyDescent="0.25">
      <c r="A3414" s="29">
        <v>41020</v>
      </c>
      <c r="B3414" s="30">
        <v>58.2</v>
      </c>
      <c r="C3414" s="30">
        <v>62</v>
      </c>
      <c r="D3414" s="30"/>
      <c r="E3414" s="30">
        <v>61.6</v>
      </c>
      <c r="F3414" s="2">
        <v>51.5</v>
      </c>
      <c r="G3414" s="30">
        <v>62.8</v>
      </c>
    </row>
    <row r="3415" spans="1:7" x14ac:dyDescent="0.25">
      <c r="A3415" s="29">
        <v>41021</v>
      </c>
      <c r="B3415" s="30">
        <v>52.4</v>
      </c>
      <c r="C3415" s="30">
        <v>52.6</v>
      </c>
      <c r="D3415" s="30"/>
      <c r="E3415" s="30">
        <v>51.3</v>
      </c>
      <c r="F3415" s="2">
        <v>51.5</v>
      </c>
      <c r="G3415" s="30">
        <v>54.1</v>
      </c>
    </row>
    <row r="3416" spans="1:7" x14ac:dyDescent="0.25">
      <c r="A3416" s="29">
        <v>41022</v>
      </c>
      <c r="B3416" s="30">
        <v>51.6</v>
      </c>
      <c r="C3416" s="30">
        <v>51.3</v>
      </c>
      <c r="D3416" s="30"/>
      <c r="E3416" s="30">
        <v>50</v>
      </c>
      <c r="F3416" s="30">
        <v>48.7</v>
      </c>
      <c r="G3416" s="30">
        <v>49.3</v>
      </c>
    </row>
    <row r="3417" spans="1:7" x14ac:dyDescent="0.25">
      <c r="A3417" s="29">
        <v>41023</v>
      </c>
      <c r="B3417" s="30">
        <v>49.3</v>
      </c>
      <c r="C3417" s="30">
        <v>49.7</v>
      </c>
      <c r="D3417" s="30"/>
      <c r="E3417" s="30">
        <v>48.5</v>
      </c>
      <c r="F3417" s="30">
        <v>49.3</v>
      </c>
      <c r="G3417" s="30">
        <v>49.5</v>
      </c>
    </row>
    <row r="3418" spans="1:7" x14ac:dyDescent="0.25">
      <c r="A3418" s="29">
        <v>41024</v>
      </c>
      <c r="B3418" s="30">
        <v>52.5</v>
      </c>
      <c r="C3418" s="30">
        <v>54.6</v>
      </c>
      <c r="D3418" s="30"/>
      <c r="E3418" s="30">
        <v>52.9</v>
      </c>
      <c r="F3418" s="30">
        <v>51.6</v>
      </c>
      <c r="G3418" s="30">
        <v>53.5</v>
      </c>
    </row>
    <row r="3419" spans="1:7" x14ac:dyDescent="0.25">
      <c r="A3419" s="29">
        <v>41025</v>
      </c>
      <c r="B3419" s="30">
        <v>50.5</v>
      </c>
      <c r="C3419" s="30">
        <v>53.7</v>
      </c>
      <c r="D3419" s="30"/>
      <c r="E3419" s="30">
        <v>52</v>
      </c>
      <c r="F3419" s="30">
        <v>51</v>
      </c>
      <c r="G3419" s="30">
        <v>52.1</v>
      </c>
    </row>
    <row r="3420" spans="1:7" x14ac:dyDescent="0.25">
      <c r="A3420" s="29">
        <v>41026</v>
      </c>
      <c r="B3420" s="30">
        <v>51.9</v>
      </c>
      <c r="C3420" s="30">
        <v>51.4</v>
      </c>
      <c r="D3420" s="30"/>
      <c r="E3420" s="30">
        <v>50.4</v>
      </c>
      <c r="F3420" s="30">
        <v>55.1</v>
      </c>
      <c r="G3420" s="30">
        <v>52.8</v>
      </c>
    </row>
    <row r="3421" spans="1:7" x14ac:dyDescent="0.25">
      <c r="A3421" s="29">
        <v>41027</v>
      </c>
      <c r="B3421" s="30">
        <v>47.4</v>
      </c>
      <c r="C3421" s="30">
        <v>47.9</v>
      </c>
      <c r="D3421" s="30"/>
      <c r="E3421" s="30">
        <v>47</v>
      </c>
      <c r="F3421" s="30">
        <v>43.6</v>
      </c>
      <c r="G3421" s="30">
        <v>48</v>
      </c>
    </row>
    <row r="3422" spans="1:7" x14ac:dyDescent="0.25">
      <c r="A3422" s="29">
        <v>41028</v>
      </c>
      <c r="B3422" s="30">
        <v>54.1</v>
      </c>
      <c r="C3422" s="30">
        <v>54.7</v>
      </c>
      <c r="D3422" s="30"/>
      <c r="E3422" s="30">
        <v>53.4</v>
      </c>
      <c r="F3422" s="2">
        <v>59.524999999999999</v>
      </c>
      <c r="G3422" s="30">
        <v>54.5</v>
      </c>
    </row>
    <row r="3423" spans="1:7" x14ac:dyDescent="0.25">
      <c r="A3423" s="29">
        <v>41029</v>
      </c>
      <c r="B3423" s="30">
        <v>51.9</v>
      </c>
      <c r="C3423" s="30">
        <v>53</v>
      </c>
      <c r="D3423" s="30"/>
      <c r="E3423" s="30">
        <v>52</v>
      </c>
      <c r="F3423" s="2">
        <v>59.524999999999999</v>
      </c>
      <c r="G3423" s="30">
        <v>52.3</v>
      </c>
    </row>
    <row r="3424" spans="1:7" x14ac:dyDescent="0.25">
      <c r="A3424" s="29">
        <v>41030</v>
      </c>
      <c r="B3424" s="30">
        <v>57.4</v>
      </c>
      <c r="C3424" s="30">
        <v>57.2</v>
      </c>
      <c r="D3424" s="30"/>
      <c r="E3424" s="30">
        <v>56.9</v>
      </c>
      <c r="F3424" s="2">
        <v>59.524999999999999</v>
      </c>
      <c r="G3424" s="30">
        <v>58.9</v>
      </c>
    </row>
    <row r="3425" spans="1:7" x14ac:dyDescent="0.25">
      <c r="A3425" s="29">
        <v>41031</v>
      </c>
      <c r="B3425" s="30">
        <v>53.7</v>
      </c>
      <c r="C3425" s="30">
        <v>53.6</v>
      </c>
      <c r="D3425" s="30"/>
      <c r="E3425" s="30">
        <v>52.5</v>
      </c>
      <c r="F3425" s="2">
        <v>59.524999999999999</v>
      </c>
      <c r="G3425" s="30">
        <v>55.9</v>
      </c>
    </row>
    <row r="3426" spans="1:7" x14ac:dyDescent="0.25">
      <c r="A3426" s="29">
        <v>41032</v>
      </c>
      <c r="B3426" s="30">
        <v>53.1</v>
      </c>
      <c r="C3426" s="30">
        <v>54.3</v>
      </c>
      <c r="D3426" s="30"/>
      <c r="E3426" s="30">
        <v>53.4</v>
      </c>
      <c r="F3426" s="2">
        <v>59.524999999999999</v>
      </c>
      <c r="G3426" s="30">
        <v>54</v>
      </c>
    </row>
    <row r="3427" spans="1:7" x14ac:dyDescent="0.25">
      <c r="A3427" s="29">
        <v>41033</v>
      </c>
      <c r="B3427" s="30">
        <v>57.2</v>
      </c>
      <c r="C3427" s="30">
        <v>60</v>
      </c>
      <c r="D3427" s="30"/>
      <c r="E3427" s="30">
        <v>59.5</v>
      </c>
      <c r="F3427" s="30">
        <v>77.5</v>
      </c>
      <c r="G3427" s="30">
        <v>60.3</v>
      </c>
    </row>
    <row r="3428" spans="1:7" x14ac:dyDescent="0.25">
      <c r="A3428" s="29">
        <v>41034</v>
      </c>
      <c r="B3428" s="30">
        <v>57</v>
      </c>
      <c r="C3428" s="30">
        <v>57.9</v>
      </c>
      <c r="D3428" s="30"/>
      <c r="E3428" s="30">
        <v>59.1</v>
      </c>
      <c r="F3428" s="30">
        <v>61.9</v>
      </c>
      <c r="G3428" s="30">
        <v>60.8</v>
      </c>
    </row>
    <row r="3429" spans="1:7" x14ac:dyDescent="0.25">
      <c r="A3429" s="29">
        <v>41035</v>
      </c>
      <c r="B3429" s="30">
        <v>56.6</v>
      </c>
      <c r="C3429" s="30">
        <v>58.5</v>
      </c>
      <c r="D3429" s="30"/>
      <c r="E3429" s="30">
        <v>58.4</v>
      </c>
      <c r="F3429" s="30">
        <v>56.1</v>
      </c>
      <c r="G3429" s="30">
        <v>58.7</v>
      </c>
    </row>
    <row r="3430" spans="1:7" x14ac:dyDescent="0.25">
      <c r="A3430" s="29">
        <v>41036</v>
      </c>
      <c r="B3430" s="30">
        <v>54.6</v>
      </c>
      <c r="C3430" s="30">
        <v>57.5</v>
      </c>
      <c r="D3430" s="30"/>
      <c r="E3430" s="30">
        <v>56.8</v>
      </c>
      <c r="F3430" s="30">
        <v>52.9</v>
      </c>
      <c r="G3430" s="30">
        <v>56.8</v>
      </c>
    </row>
    <row r="3431" spans="1:7" x14ac:dyDescent="0.25">
      <c r="A3431" s="29">
        <v>41037</v>
      </c>
      <c r="B3431" s="30">
        <v>57.9</v>
      </c>
      <c r="C3431" s="30">
        <v>58.9</v>
      </c>
      <c r="D3431" s="30"/>
      <c r="E3431" s="30">
        <v>58.5</v>
      </c>
      <c r="F3431" s="30">
        <v>61.4</v>
      </c>
      <c r="G3431" s="30">
        <v>61.3</v>
      </c>
    </row>
    <row r="3432" spans="1:7" x14ac:dyDescent="0.25">
      <c r="A3432" s="29">
        <v>41038</v>
      </c>
      <c r="B3432" s="30">
        <v>59.2</v>
      </c>
      <c r="C3432" s="30">
        <v>62.3</v>
      </c>
      <c r="D3432" s="30"/>
      <c r="E3432" s="30">
        <v>62.9</v>
      </c>
      <c r="F3432" s="30">
        <v>63.6</v>
      </c>
      <c r="G3432" s="30">
        <v>65</v>
      </c>
    </row>
    <row r="3433" spans="1:7" x14ac:dyDescent="0.25">
      <c r="A3433" s="29">
        <v>41039</v>
      </c>
      <c r="B3433" s="30">
        <v>61.1</v>
      </c>
      <c r="C3433" s="30">
        <v>60.7</v>
      </c>
      <c r="D3433" s="30"/>
      <c r="E3433" s="30">
        <v>59.1</v>
      </c>
      <c r="F3433" s="30">
        <v>61.1</v>
      </c>
      <c r="G3433" s="30">
        <v>62.2</v>
      </c>
    </row>
    <row r="3434" spans="1:7" x14ac:dyDescent="0.25">
      <c r="A3434" s="29">
        <v>41040</v>
      </c>
      <c r="B3434" s="30">
        <v>59.7</v>
      </c>
      <c r="C3434" s="30">
        <v>59.5</v>
      </c>
      <c r="D3434" s="30"/>
      <c r="E3434" s="30">
        <v>58.2</v>
      </c>
      <c r="F3434" s="30">
        <v>58.2</v>
      </c>
      <c r="G3434" s="30">
        <v>59.7</v>
      </c>
    </row>
    <row r="3435" spans="1:7" x14ac:dyDescent="0.25">
      <c r="A3435" s="29">
        <v>41041</v>
      </c>
      <c r="B3435" s="30">
        <v>64.099999999999994</v>
      </c>
      <c r="C3435" s="30">
        <v>66.8</v>
      </c>
      <c r="D3435" s="30"/>
      <c r="E3435" s="30">
        <v>65</v>
      </c>
      <c r="F3435" s="30">
        <v>63.5</v>
      </c>
      <c r="G3435" s="30">
        <v>66.7</v>
      </c>
    </row>
    <row r="3436" spans="1:7" x14ac:dyDescent="0.25">
      <c r="A3436" s="29">
        <v>41042</v>
      </c>
      <c r="B3436" s="30">
        <v>65.3</v>
      </c>
      <c r="C3436" s="30">
        <v>72.7</v>
      </c>
      <c r="D3436" s="30"/>
      <c r="E3436" s="30">
        <v>70.900000000000006</v>
      </c>
      <c r="F3436" s="30">
        <v>67.2</v>
      </c>
      <c r="G3436" s="30">
        <v>71.900000000000006</v>
      </c>
    </row>
    <row r="3437" spans="1:7" x14ac:dyDescent="0.25">
      <c r="A3437" s="29">
        <v>41043</v>
      </c>
      <c r="B3437" s="30">
        <v>64.2</v>
      </c>
      <c r="C3437" s="30">
        <v>69.5</v>
      </c>
      <c r="D3437" s="30"/>
      <c r="E3437" s="30">
        <v>67.7</v>
      </c>
      <c r="F3437" s="30">
        <v>66.3</v>
      </c>
      <c r="G3437" s="30">
        <v>69</v>
      </c>
    </row>
    <row r="3438" spans="1:7" x14ac:dyDescent="0.25">
      <c r="A3438" s="29">
        <v>41044</v>
      </c>
      <c r="B3438" s="30">
        <v>62</v>
      </c>
      <c r="C3438" s="30">
        <v>63.9</v>
      </c>
      <c r="D3438" s="30"/>
      <c r="E3438" s="30">
        <v>62.8</v>
      </c>
      <c r="F3438" s="30">
        <v>65.5</v>
      </c>
      <c r="G3438" s="30">
        <v>63.9</v>
      </c>
    </row>
    <row r="3439" spans="1:7" x14ac:dyDescent="0.25">
      <c r="A3439" s="29">
        <v>41045</v>
      </c>
      <c r="B3439" s="30">
        <v>63.8</v>
      </c>
      <c r="C3439" s="30">
        <v>66.099999999999994</v>
      </c>
      <c r="D3439" s="30"/>
      <c r="E3439" s="30">
        <v>66.400000000000006</v>
      </c>
      <c r="F3439" s="30">
        <v>69.900000000000006</v>
      </c>
      <c r="G3439" s="30">
        <v>68.7</v>
      </c>
    </row>
    <row r="3440" spans="1:7" x14ac:dyDescent="0.25">
      <c r="A3440" s="29">
        <v>41046</v>
      </c>
      <c r="B3440" s="30">
        <v>64.5</v>
      </c>
      <c r="C3440" s="30">
        <v>65.7</v>
      </c>
      <c r="D3440" s="30"/>
      <c r="E3440" s="30">
        <v>65</v>
      </c>
      <c r="F3440" s="30">
        <v>64.5</v>
      </c>
      <c r="G3440" s="30">
        <v>67.099999999999994</v>
      </c>
    </row>
    <row r="3441" spans="1:7" x14ac:dyDescent="0.25">
      <c r="A3441" s="29">
        <v>41047</v>
      </c>
      <c r="B3441" s="30">
        <v>61</v>
      </c>
      <c r="C3441" s="30">
        <v>63.1</v>
      </c>
      <c r="D3441" s="30"/>
      <c r="E3441" s="30">
        <v>62.1</v>
      </c>
      <c r="F3441" s="30">
        <v>57.4</v>
      </c>
      <c r="G3441" s="30">
        <v>62.8</v>
      </c>
    </row>
    <row r="3442" spans="1:7" x14ac:dyDescent="0.25">
      <c r="A3442" s="29">
        <v>41048</v>
      </c>
      <c r="B3442" s="30">
        <v>62.6</v>
      </c>
      <c r="C3442" s="30">
        <v>65.3</v>
      </c>
      <c r="D3442" s="30"/>
      <c r="E3442" s="30">
        <v>64.2</v>
      </c>
      <c r="F3442" s="30">
        <v>58.7</v>
      </c>
      <c r="G3442" s="30">
        <v>64.7</v>
      </c>
    </row>
    <row r="3443" spans="1:7" x14ac:dyDescent="0.25">
      <c r="A3443" s="29">
        <v>41049</v>
      </c>
      <c r="B3443" s="30">
        <v>66.2</v>
      </c>
      <c r="C3443" s="30">
        <v>65.900000000000006</v>
      </c>
      <c r="D3443" s="30"/>
      <c r="E3443" s="30">
        <v>66.900000000000006</v>
      </c>
      <c r="F3443" s="30">
        <v>59.8</v>
      </c>
      <c r="G3443" s="30">
        <v>68.2</v>
      </c>
    </row>
    <row r="3444" spans="1:7" x14ac:dyDescent="0.25">
      <c r="A3444" s="29">
        <v>41050</v>
      </c>
      <c r="B3444" s="30">
        <v>62.7</v>
      </c>
      <c r="C3444" s="30">
        <v>60.4</v>
      </c>
      <c r="D3444" s="30"/>
      <c r="E3444" s="30">
        <v>60.4</v>
      </c>
      <c r="F3444" s="30">
        <v>62.2</v>
      </c>
      <c r="G3444" s="30">
        <v>63.8</v>
      </c>
    </row>
    <row r="3445" spans="1:7" x14ac:dyDescent="0.25">
      <c r="A3445" s="29">
        <v>41051</v>
      </c>
      <c r="B3445" s="30">
        <v>63.7</v>
      </c>
      <c r="C3445" s="30">
        <v>62.7</v>
      </c>
      <c r="D3445" s="30"/>
      <c r="E3445" s="30">
        <v>63.4</v>
      </c>
      <c r="F3445" s="30">
        <v>65</v>
      </c>
      <c r="G3445" s="30">
        <v>65.5</v>
      </c>
    </row>
    <row r="3446" spans="1:7" x14ac:dyDescent="0.25">
      <c r="A3446" s="29">
        <v>41052</v>
      </c>
      <c r="B3446" s="30">
        <v>66.400000000000006</v>
      </c>
      <c r="C3446" s="30">
        <v>68.3</v>
      </c>
      <c r="D3446" s="30"/>
      <c r="E3446" s="30">
        <v>67.900000000000006</v>
      </c>
      <c r="F3446" s="30">
        <v>65.099999999999994</v>
      </c>
      <c r="G3446" s="30">
        <v>70.3</v>
      </c>
    </row>
    <row r="3447" spans="1:7" x14ac:dyDescent="0.25">
      <c r="A3447" s="29">
        <v>41053</v>
      </c>
      <c r="B3447" s="30">
        <v>64.5</v>
      </c>
      <c r="C3447" s="30">
        <v>65.2</v>
      </c>
      <c r="D3447" s="30"/>
      <c r="E3447" s="30">
        <v>64.599999999999994</v>
      </c>
      <c r="F3447" s="30">
        <v>68.8</v>
      </c>
      <c r="G3447" s="30">
        <v>65.8</v>
      </c>
    </row>
    <row r="3448" spans="1:7" x14ac:dyDescent="0.25">
      <c r="A3448" s="29">
        <v>41054</v>
      </c>
      <c r="B3448" s="30">
        <v>65.400000000000006</v>
      </c>
      <c r="C3448" s="30">
        <v>63.4</v>
      </c>
      <c r="D3448" s="30"/>
      <c r="E3448" s="30">
        <v>64.7</v>
      </c>
      <c r="F3448" s="30">
        <v>70.5</v>
      </c>
      <c r="G3448" s="30">
        <v>66.5</v>
      </c>
    </row>
    <row r="3449" spans="1:7" x14ac:dyDescent="0.25">
      <c r="A3449" s="29">
        <v>41055</v>
      </c>
      <c r="B3449" s="30">
        <v>69.400000000000006</v>
      </c>
      <c r="C3449" s="30">
        <v>73.3</v>
      </c>
      <c r="D3449" s="30"/>
      <c r="E3449" s="30">
        <v>72.2</v>
      </c>
      <c r="F3449" s="30">
        <v>72.2</v>
      </c>
      <c r="G3449" s="30">
        <v>74.2</v>
      </c>
    </row>
    <row r="3450" spans="1:7" x14ac:dyDescent="0.25">
      <c r="A3450" s="29">
        <v>41056</v>
      </c>
      <c r="B3450" s="30">
        <v>71.900000000000006</v>
      </c>
      <c r="C3450" s="30">
        <v>74.5</v>
      </c>
      <c r="D3450" s="30"/>
      <c r="E3450" s="30">
        <v>73.3</v>
      </c>
      <c r="F3450" s="30">
        <v>74.099999999999994</v>
      </c>
      <c r="G3450" s="30">
        <v>75.2</v>
      </c>
    </row>
    <row r="3451" spans="1:7" x14ac:dyDescent="0.25">
      <c r="A3451" s="29">
        <v>41057</v>
      </c>
      <c r="B3451" s="30">
        <v>74.400000000000006</v>
      </c>
      <c r="C3451" s="30">
        <v>78.099999999999994</v>
      </c>
      <c r="D3451" s="30"/>
      <c r="E3451" s="30">
        <v>76.8</v>
      </c>
      <c r="F3451" s="30">
        <v>78</v>
      </c>
      <c r="G3451" s="30">
        <v>78.900000000000006</v>
      </c>
    </row>
    <row r="3452" spans="1:7" x14ac:dyDescent="0.25">
      <c r="A3452" s="29">
        <v>41058</v>
      </c>
      <c r="B3452" s="30">
        <v>75.900000000000006</v>
      </c>
      <c r="C3452" s="30">
        <v>82.6</v>
      </c>
      <c r="D3452" s="30"/>
      <c r="E3452" s="30">
        <v>81.099999999999994</v>
      </c>
      <c r="F3452" s="30">
        <v>80.2</v>
      </c>
      <c r="G3452" s="30">
        <v>83.2</v>
      </c>
    </row>
    <row r="3453" spans="1:7" x14ac:dyDescent="0.25">
      <c r="A3453" s="29">
        <v>41059</v>
      </c>
      <c r="B3453" s="30">
        <v>72.900000000000006</v>
      </c>
      <c r="C3453" s="30">
        <v>75</v>
      </c>
      <c r="D3453" s="30"/>
      <c r="E3453" s="30">
        <v>71.599999999999994</v>
      </c>
      <c r="F3453" s="30">
        <v>72.099999999999994</v>
      </c>
      <c r="G3453" s="30">
        <v>74.2</v>
      </c>
    </row>
    <row r="3454" spans="1:7" x14ac:dyDescent="0.25">
      <c r="A3454" s="29">
        <v>41060</v>
      </c>
      <c r="B3454" s="30">
        <v>72.5</v>
      </c>
      <c r="C3454" s="30">
        <v>73.5</v>
      </c>
      <c r="D3454" s="30"/>
      <c r="E3454" s="30">
        <v>72.5</v>
      </c>
      <c r="F3454" s="30">
        <v>70.8</v>
      </c>
      <c r="G3454" s="30">
        <v>74.7</v>
      </c>
    </row>
    <row r="3455" spans="1:7" x14ac:dyDescent="0.25">
      <c r="A3455" s="29">
        <v>41061</v>
      </c>
      <c r="B3455" s="30">
        <v>67.2</v>
      </c>
      <c r="C3455" s="30">
        <v>68.2</v>
      </c>
      <c r="D3455" s="30"/>
      <c r="E3455" s="30">
        <v>66.7</v>
      </c>
      <c r="F3455" s="30">
        <v>67.8</v>
      </c>
      <c r="G3455" s="30">
        <v>68.099999999999994</v>
      </c>
    </row>
    <row r="3456" spans="1:7" x14ac:dyDescent="0.25">
      <c r="A3456" s="29">
        <v>41062</v>
      </c>
      <c r="B3456" s="30">
        <v>68.3</v>
      </c>
      <c r="C3456" s="30">
        <v>69</v>
      </c>
      <c r="D3456" s="30"/>
      <c r="E3456" s="30">
        <v>67</v>
      </c>
      <c r="F3456" s="30">
        <v>69.400000000000006</v>
      </c>
      <c r="G3456" s="30">
        <v>69.2</v>
      </c>
    </row>
    <row r="3457" spans="1:7" x14ac:dyDescent="0.25">
      <c r="A3457" s="29">
        <v>41063</v>
      </c>
      <c r="B3457" s="30">
        <v>67.7</v>
      </c>
      <c r="C3457" s="30">
        <v>67.8</v>
      </c>
      <c r="D3457" s="30"/>
      <c r="E3457" s="30">
        <v>64.900000000000006</v>
      </c>
      <c r="F3457" s="30">
        <v>66.2</v>
      </c>
      <c r="G3457" s="30">
        <v>67.2</v>
      </c>
    </row>
    <row r="3458" spans="1:7" x14ac:dyDescent="0.25">
      <c r="A3458" s="29">
        <v>41064</v>
      </c>
      <c r="B3458" s="30">
        <v>61.9</v>
      </c>
      <c r="C3458" s="30">
        <v>62</v>
      </c>
      <c r="D3458" s="30"/>
      <c r="E3458" s="30">
        <v>59.9</v>
      </c>
      <c r="F3458" s="30">
        <v>62.1</v>
      </c>
      <c r="G3458" s="30">
        <v>61.2</v>
      </c>
    </row>
    <row r="3459" spans="1:7" x14ac:dyDescent="0.25">
      <c r="A3459" s="29">
        <v>41065</v>
      </c>
      <c r="B3459" s="30">
        <v>58.3</v>
      </c>
      <c r="C3459" s="30">
        <v>58.3</v>
      </c>
      <c r="D3459" s="30"/>
      <c r="E3459" s="30">
        <v>57.2</v>
      </c>
      <c r="F3459" s="30">
        <v>58</v>
      </c>
      <c r="G3459" s="30">
        <v>58.4</v>
      </c>
    </row>
    <row r="3460" spans="1:7" x14ac:dyDescent="0.25">
      <c r="A3460" s="29">
        <v>41066</v>
      </c>
      <c r="B3460" s="30">
        <v>61.7</v>
      </c>
      <c r="C3460" s="30">
        <v>63.6</v>
      </c>
      <c r="D3460" s="30"/>
      <c r="E3460" s="30">
        <v>62.2</v>
      </c>
      <c r="F3460" s="30">
        <v>60.1</v>
      </c>
      <c r="G3460" s="30">
        <v>63.6</v>
      </c>
    </row>
    <row r="3461" spans="1:7" x14ac:dyDescent="0.25">
      <c r="A3461" s="29">
        <v>41067</v>
      </c>
      <c r="B3461" s="30">
        <v>66.7</v>
      </c>
      <c r="C3461" s="30">
        <v>67.5</v>
      </c>
      <c r="D3461" s="30"/>
      <c r="E3461" s="30">
        <v>65.7</v>
      </c>
      <c r="F3461" s="30">
        <v>65.900000000000006</v>
      </c>
      <c r="G3461" s="30">
        <v>67.400000000000006</v>
      </c>
    </row>
    <row r="3462" spans="1:7" x14ac:dyDescent="0.25">
      <c r="A3462" s="29">
        <v>41068</v>
      </c>
      <c r="B3462" s="30">
        <v>68.7</v>
      </c>
      <c r="C3462" s="30">
        <v>71.5</v>
      </c>
      <c r="D3462" s="30"/>
      <c r="E3462" s="30">
        <v>69.900000000000006</v>
      </c>
      <c r="F3462" s="30">
        <v>67.900000000000006</v>
      </c>
      <c r="G3462" s="30">
        <v>71.599999999999994</v>
      </c>
    </row>
    <row r="3463" spans="1:7" x14ac:dyDescent="0.25">
      <c r="A3463" s="29">
        <v>41069</v>
      </c>
      <c r="B3463" s="30">
        <v>72.2</v>
      </c>
      <c r="C3463" s="30">
        <v>74.400000000000006</v>
      </c>
      <c r="D3463" s="30"/>
      <c r="E3463" s="30">
        <v>71.7</v>
      </c>
      <c r="F3463" s="30">
        <v>74.7</v>
      </c>
      <c r="G3463" s="30">
        <v>73.5</v>
      </c>
    </row>
    <row r="3464" spans="1:7" x14ac:dyDescent="0.25">
      <c r="A3464" s="29">
        <v>41070</v>
      </c>
      <c r="B3464" s="30">
        <v>72.599999999999994</v>
      </c>
      <c r="C3464" s="30">
        <v>74.2</v>
      </c>
      <c r="D3464" s="30"/>
      <c r="E3464" s="30">
        <v>73.400000000000006</v>
      </c>
      <c r="F3464" s="30">
        <v>75.400000000000006</v>
      </c>
      <c r="G3464" s="30">
        <v>76.2</v>
      </c>
    </row>
    <row r="3465" spans="1:7" x14ac:dyDescent="0.25">
      <c r="A3465" s="29">
        <v>41071</v>
      </c>
      <c r="B3465" s="30">
        <v>69.2</v>
      </c>
      <c r="C3465" s="30">
        <v>71.599999999999994</v>
      </c>
      <c r="D3465" s="30"/>
      <c r="E3465" s="30">
        <v>70.2</v>
      </c>
      <c r="F3465" s="30">
        <v>71.900000000000006</v>
      </c>
      <c r="G3465" s="30">
        <v>70.8</v>
      </c>
    </row>
    <row r="3466" spans="1:7" x14ac:dyDescent="0.25">
      <c r="A3466" s="29">
        <v>41072</v>
      </c>
      <c r="B3466" s="30">
        <v>66.900000000000006</v>
      </c>
      <c r="C3466" s="30">
        <v>68.5</v>
      </c>
      <c r="D3466" s="30"/>
      <c r="E3466" s="30">
        <v>66.599999999999994</v>
      </c>
      <c r="F3466" s="30">
        <v>70</v>
      </c>
      <c r="G3466" s="30">
        <v>68.599999999999994</v>
      </c>
    </row>
    <row r="3467" spans="1:7" x14ac:dyDescent="0.25">
      <c r="A3467" s="29">
        <v>41073</v>
      </c>
      <c r="B3467" s="30">
        <v>66.7</v>
      </c>
      <c r="C3467" s="30">
        <v>67.2</v>
      </c>
      <c r="D3467" s="30"/>
      <c r="E3467" s="30">
        <v>66.099999999999994</v>
      </c>
      <c r="F3467" s="30">
        <v>69.7</v>
      </c>
      <c r="G3467" s="30">
        <v>68.400000000000006</v>
      </c>
    </row>
    <row r="3468" spans="1:7" x14ac:dyDescent="0.25">
      <c r="A3468" s="29">
        <v>41074</v>
      </c>
      <c r="B3468" s="30">
        <v>67.7</v>
      </c>
      <c r="C3468" s="30">
        <v>69.3</v>
      </c>
      <c r="D3468" s="30"/>
      <c r="E3468" s="30">
        <v>68.099999999999994</v>
      </c>
      <c r="F3468" s="30">
        <v>66.599999999999994</v>
      </c>
      <c r="G3468" s="30">
        <v>69.400000000000006</v>
      </c>
    </row>
    <row r="3469" spans="1:7" x14ac:dyDescent="0.25">
      <c r="A3469" s="29">
        <v>41075</v>
      </c>
      <c r="B3469" s="30">
        <v>68.5</v>
      </c>
      <c r="C3469" s="30">
        <v>70.3</v>
      </c>
      <c r="D3469" s="30"/>
      <c r="E3469" s="30">
        <v>68.599999999999994</v>
      </c>
      <c r="F3469" s="30">
        <v>65</v>
      </c>
      <c r="G3469" s="30">
        <v>70</v>
      </c>
    </row>
    <row r="3470" spans="1:7" x14ac:dyDescent="0.25">
      <c r="A3470" s="29">
        <v>41076</v>
      </c>
      <c r="B3470" s="30">
        <v>67.5</v>
      </c>
      <c r="C3470" s="30">
        <v>70.2</v>
      </c>
      <c r="D3470" s="30"/>
      <c r="E3470" s="30">
        <v>68.3</v>
      </c>
      <c r="F3470" s="30">
        <v>64</v>
      </c>
      <c r="G3470" s="30">
        <v>70</v>
      </c>
    </row>
    <row r="3471" spans="1:7" x14ac:dyDescent="0.25">
      <c r="A3471" s="29">
        <v>41077</v>
      </c>
      <c r="B3471" s="30">
        <v>64.2</v>
      </c>
      <c r="C3471" s="30">
        <v>65.3</v>
      </c>
      <c r="D3471" s="30"/>
      <c r="E3471" s="30">
        <v>64.8</v>
      </c>
      <c r="F3471" s="30">
        <v>63.6</v>
      </c>
      <c r="G3471" s="30">
        <v>65.599999999999994</v>
      </c>
    </row>
    <row r="3472" spans="1:7" x14ac:dyDescent="0.25">
      <c r="A3472" s="29">
        <v>41078</v>
      </c>
      <c r="B3472" s="30">
        <v>61.7</v>
      </c>
      <c r="C3472" s="30">
        <v>63.9</v>
      </c>
      <c r="D3472" s="30"/>
      <c r="E3472" s="30">
        <v>62.7</v>
      </c>
      <c r="F3472" s="30">
        <v>60.4</v>
      </c>
      <c r="G3472" s="30">
        <v>64</v>
      </c>
    </row>
    <row r="3473" spans="1:7" x14ac:dyDescent="0.25">
      <c r="A3473" s="29">
        <v>41079</v>
      </c>
      <c r="B3473" s="30">
        <v>66.400000000000006</v>
      </c>
      <c r="C3473" s="30">
        <v>68.3</v>
      </c>
      <c r="D3473" s="30"/>
      <c r="E3473" s="30">
        <v>67.5</v>
      </c>
      <c r="F3473" s="30">
        <v>68.5</v>
      </c>
      <c r="G3473" s="30">
        <v>69.2</v>
      </c>
    </row>
    <row r="3474" spans="1:7" x14ac:dyDescent="0.25">
      <c r="A3474" s="29">
        <v>41080</v>
      </c>
      <c r="B3474" s="30">
        <v>77.900000000000006</v>
      </c>
      <c r="C3474" s="30">
        <v>81.400000000000006</v>
      </c>
      <c r="D3474" s="30"/>
      <c r="E3474" s="30">
        <v>79.599999999999994</v>
      </c>
      <c r="F3474" s="30">
        <v>78.400000000000006</v>
      </c>
      <c r="G3474" s="30">
        <v>82.2</v>
      </c>
    </row>
    <row r="3475" spans="1:7" x14ac:dyDescent="0.25">
      <c r="A3475" s="29">
        <v>41081</v>
      </c>
      <c r="B3475" s="30">
        <v>88.3</v>
      </c>
      <c r="C3475" s="30">
        <v>89.2</v>
      </c>
      <c r="D3475" s="30"/>
      <c r="E3475" s="30">
        <v>86.9</v>
      </c>
      <c r="F3475" s="30">
        <v>85.1</v>
      </c>
      <c r="G3475" s="30">
        <v>90.1</v>
      </c>
    </row>
    <row r="3476" spans="1:7" x14ac:dyDescent="0.25">
      <c r="A3476" s="29">
        <v>41082</v>
      </c>
      <c r="B3476" s="30">
        <v>82.2</v>
      </c>
      <c r="C3476" s="30">
        <v>85.1</v>
      </c>
      <c r="D3476" s="30"/>
      <c r="E3476" s="30">
        <v>82.4</v>
      </c>
      <c r="F3476" s="30">
        <v>82.1</v>
      </c>
      <c r="G3476" s="30">
        <v>86</v>
      </c>
    </row>
    <row r="3477" spans="1:7" x14ac:dyDescent="0.25">
      <c r="A3477" s="29">
        <v>41083</v>
      </c>
      <c r="B3477" s="30">
        <v>77</v>
      </c>
      <c r="C3477" s="30">
        <v>76.599999999999994</v>
      </c>
      <c r="D3477" s="30"/>
      <c r="E3477" s="30">
        <v>74.599999999999994</v>
      </c>
      <c r="F3477" s="30">
        <v>74.599999999999994</v>
      </c>
      <c r="G3477" s="30">
        <v>77.7</v>
      </c>
    </row>
    <row r="3478" spans="1:7" x14ac:dyDescent="0.25">
      <c r="A3478" s="29">
        <v>41084</v>
      </c>
      <c r="B3478" s="30">
        <v>75.400000000000006</v>
      </c>
      <c r="C3478" s="30">
        <v>76.900000000000006</v>
      </c>
      <c r="D3478" s="30"/>
      <c r="E3478" s="30">
        <v>74.400000000000006</v>
      </c>
      <c r="F3478" s="30">
        <v>73</v>
      </c>
      <c r="G3478" s="30">
        <v>76.900000000000006</v>
      </c>
    </row>
    <row r="3479" spans="1:7" x14ac:dyDescent="0.25">
      <c r="A3479" s="29">
        <v>41085</v>
      </c>
      <c r="B3479" s="30">
        <v>70.900000000000006</v>
      </c>
      <c r="C3479" s="30">
        <v>71.8</v>
      </c>
      <c r="D3479" s="30"/>
      <c r="E3479" s="30">
        <v>68.8</v>
      </c>
      <c r="F3479" s="30">
        <v>73.400000000000006</v>
      </c>
      <c r="G3479" s="30">
        <v>71.8</v>
      </c>
    </row>
    <row r="3480" spans="1:7" x14ac:dyDescent="0.25">
      <c r="A3480" s="29">
        <v>41086</v>
      </c>
      <c r="B3480" s="30">
        <v>65.900000000000006</v>
      </c>
      <c r="C3480" s="30">
        <v>66.5</v>
      </c>
      <c r="D3480" s="30"/>
      <c r="E3480" s="30">
        <v>64.5</v>
      </c>
      <c r="F3480" s="30">
        <v>66.5</v>
      </c>
      <c r="G3480" s="30">
        <v>67.2</v>
      </c>
    </row>
    <row r="3481" spans="1:7" x14ac:dyDescent="0.25">
      <c r="A3481" s="29">
        <v>41087</v>
      </c>
      <c r="B3481" s="30">
        <v>73.5</v>
      </c>
      <c r="C3481" s="30">
        <v>73.5</v>
      </c>
      <c r="D3481" s="30"/>
      <c r="E3481" s="30">
        <v>71.3</v>
      </c>
      <c r="F3481" s="30">
        <v>69.2</v>
      </c>
      <c r="G3481" s="30">
        <v>73.099999999999994</v>
      </c>
    </row>
    <row r="3482" spans="1:7" x14ac:dyDescent="0.25">
      <c r="A3482" s="29">
        <v>41088</v>
      </c>
      <c r="B3482" s="30">
        <v>77.400000000000006</v>
      </c>
      <c r="C3482" s="30">
        <v>79.5</v>
      </c>
      <c r="D3482" s="30"/>
      <c r="E3482" s="30">
        <v>77.7</v>
      </c>
      <c r="F3482" s="30">
        <v>76.099999999999994</v>
      </c>
      <c r="G3482" s="30">
        <v>79.099999999999994</v>
      </c>
    </row>
    <row r="3483" spans="1:7" x14ac:dyDescent="0.25">
      <c r="A3483" s="29">
        <v>41089</v>
      </c>
      <c r="B3483" s="30">
        <v>79.599999999999994</v>
      </c>
      <c r="C3483" s="30">
        <v>85.7</v>
      </c>
      <c r="D3483" s="30"/>
      <c r="E3483" s="30">
        <v>82.4</v>
      </c>
      <c r="F3483" s="30">
        <v>80.8</v>
      </c>
      <c r="G3483" s="30">
        <v>84.8</v>
      </c>
    </row>
    <row r="3484" spans="1:7" x14ac:dyDescent="0.25">
      <c r="A3484" s="29">
        <v>41090</v>
      </c>
      <c r="B3484" s="30">
        <v>84.2</v>
      </c>
      <c r="C3484" s="30">
        <v>88.5</v>
      </c>
      <c r="D3484" s="30"/>
      <c r="E3484" s="30">
        <v>85.7</v>
      </c>
      <c r="F3484" s="30">
        <v>81.2</v>
      </c>
      <c r="G3484" s="30">
        <v>88.3</v>
      </c>
    </row>
    <row r="3485" spans="1:7" x14ac:dyDescent="0.25">
      <c r="A3485" s="29">
        <v>41091</v>
      </c>
      <c r="B3485" s="30">
        <v>81.8</v>
      </c>
      <c r="C3485" s="30">
        <v>86.7</v>
      </c>
      <c r="D3485" s="30"/>
      <c r="E3485" s="30">
        <v>83.6</v>
      </c>
      <c r="F3485" s="30">
        <v>78.8</v>
      </c>
      <c r="G3485" s="30">
        <v>85.1</v>
      </c>
    </row>
    <row r="3486" spans="1:7" x14ac:dyDescent="0.25">
      <c r="A3486" s="29">
        <v>41092</v>
      </c>
      <c r="B3486" s="30">
        <v>82.5</v>
      </c>
      <c r="C3486" s="30">
        <v>81.7</v>
      </c>
      <c r="D3486" s="30"/>
      <c r="E3486" s="30">
        <v>80.3</v>
      </c>
      <c r="F3486" s="2">
        <v>81.424999999999997</v>
      </c>
      <c r="G3486" s="30">
        <v>83.1</v>
      </c>
    </row>
    <row r="3487" spans="1:7" x14ac:dyDescent="0.25">
      <c r="A3487" s="29">
        <v>41093</v>
      </c>
      <c r="B3487" s="30">
        <v>80.2</v>
      </c>
      <c r="C3487" s="30">
        <v>81.400000000000006</v>
      </c>
      <c r="D3487" s="30"/>
      <c r="E3487" s="30">
        <v>79.8</v>
      </c>
      <c r="F3487" s="30">
        <v>85</v>
      </c>
      <c r="G3487" s="30">
        <v>83</v>
      </c>
    </row>
    <row r="3488" spans="1:7" x14ac:dyDescent="0.25">
      <c r="A3488" s="29">
        <v>41094</v>
      </c>
      <c r="B3488" s="30">
        <v>77.8</v>
      </c>
      <c r="C3488" s="30">
        <v>83.4</v>
      </c>
      <c r="D3488" s="30"/>
      <c r="E3488" s="30">
        <v>81.8</v>
      </c>
      <c r="F3488" s="30">
        <v>80.7</v>
      </c>
      <c r="G3488" s="30">
        <v>84.5</v>
      </c>
    </row>
    <row r="3489" spans="1:7" x14ac:dyDescent="0.25">
      <c r="A3489" s="29">
        <v>41095</v>
      </c>
      <c r="B3489" s="30">
        <v>86.1</v>
      </c>
      <c r="C3489" s="30">
        <v>87.8</v>
      </c>
      <c r="D3489" s="30"/>
      <c r="E3489" s="30">
        <v>86.7</v>
      </c>
      <c r="F3489" s="30">
        <v>85.7</v>
      </c>
      <c r="G3489" s="30">
        <v>89</v>
      </c>
    </row>
    <row r="3490" spans="1:7" x14ac:dyDescent="0.25">
      <c r="A3490" s="29">
        <v>41096</v>
      </c>
      <c r="B3490" s="30">
        <v>79.900000000000006</v>
      </c>
      <c r="C3490" s="30">
        <v>82.2</v>
      </c>
      <c r="D3490" s="30"/>
      <c r="E3490" s="30">
        <v>81.900000000000006</v>
      </c>
      <c r="F3490" s="30">
        <v>79.900000000000006</v>
      </c>
      <c r="G3490" s="30">
        <v>84.7</v>
      </c>
    </row>
    <row r="3491" spans="1:7" x14ac:dyDescent="0.25">
      <c r="A3491" s="29">
        <v>41097</v>
      </c>
      <c r="B3491" s="30">
        <v>83.5</v>
      </c>
      <c r="C3491" s="30">
        <v>86.2</v>
      </c>
      <c r="D3491" s="30"/>
      <c r="E3491" s="30">
        <v>84.9</v>
      </c>
      <c r="F3491" s="30">
        <v>85.1</v>
      </c>
      <c r="G3491" s="30">
        <v>88.3</v>
      </c>
    </row>
    <row r="3492" spans="1:7" x14ac:dyDescent="0.25">
      <c r="A3492" s="29">
        <v>41098</v>
      </c>
      <c r="B3492" s="30">
        <v>81.5</v>
      </c>
      <c r="C3492" s="30">
        <v>82.8</v>
      </c>
      <c r="D3492" s="30"/>
      <c r="E3492" s="30">
        <v>80.599999999999994</v>
      </c>
      <c r="F3492" s="30">
        <v>81.900000000000006</v>
      </c>
      <c r="G3492" s="30">
        <v>84.7</v>
      </c>
    </row>
    <row r="3493" spans="1:7" x14ac:dyDescent="0.25">
      <c r="A3493" s="29">
        <v>41099</v>
      </c>
      <c r="B3493" s="30">
        <v>77.8</v>
      </c>
      <c r="C3493" s="30">
        <v>79.7</v>
      </c>
      <c r="D3493" s="30"/>
      <c r="E3493" s="30">
        <v>78.5</v>
      </c>
      <c r="F3493" s="30">
        <v>77</v>
      </c>
      <c r="G3493" s="30">
        <v>80.900000000000006</v>
      </c>
    </row>
    <row r="3494" spans="1:7" x14ac:dyDescent="0.25">
      <c r="A3494" s="29">
        <v>41100</v>
      </c>
      <c r="B3494" s="30">
        <v>76.099999999999994</v>
      </c>
      <c r="C3494" s="30">
        <v>77.7</v>
      </c>
      <c r="D3494" s="30"/>
      <c r="E3494" s="30">
        <v>76.5</v>
      </c>
      <c r="F3494" s="30">
        <v>73.099999999999994</v>
      </c>
      <c r="G3494" s="30">
        <v>78.400000000000006</v>
      </c>
    </row>
    <row r="3495" spans="1:7" x14ac:dyDescent="0.25">
      <c r="A3495" s="29">
        <v>41101</v>
      </c>
      <c r="B3495" s="30">
        <v>76.3</v>
      </c>
      <c r="C3495" s="30">
        <v>78.099999999999994</v>
      </c>
      <c r="D3495" s="30"/>
      <c r="E3495" s="30">
        <v>77.099999999999994</v>
      </c>
      <c r="F3495" s="30">
        <v>74</v>
      </c>
      <c r="G3495" s="30">
        <v>78.599999999999994</v>
      </c>
    </row>
    <row r="3496" spans="1:7" x14ac:dyDescent="0.25">
      <c r="A3496" s="29">
        <v>41102</v>
      </c>
      <c r="B3496" s="30">
        <v>75.8</v>
      </c>
      <c r="C3496" s="30">
        <v>78.8</v>
      </c>
      <c r="D3496" s="30"/>
      <c r="E3496" s="30">
        <v>77.400000000000006</v>
      </c>
      <c r="F3496" s="30">
        <v>72.2</v>
      </c>
      <c r="G3496" s="30">
        <v>79.3</v>
      </c>
    </row>
    <row r="3497" spans="1:7" x14ac:dyDescent="0.25">
      <c r="A3497" s="29">
        <v>41103</v>
      </c>
      <c r="B3497" s="30">
        <v>77.2</v>
      </c>
      <c r="C3497" s="30">
        <v>80.900000000000006</v>
      </c>
      <c r="D3497" s="30"/>
      <c r="E3497" s="30">
        <v>78.900000000000006</v>
      </c>
      <c r="F3497" s="30">
        <v>74.400000000000006</v>
      </c>
      <c r="G3497" s="30">
        <v>80</v>
      </c>
    </row>
    <row r="3498" spans="1:7" x14ac:dyDescent="0.25">
      <c r="A3498" s="29">
        <v>41104</v>
      </c>
      <c r="B3498" s="30">
        <v>79.3</v>
      </c>
      <c r="C3498" s="30">
        <v>80.7</v>
      </c>
      <c r="D3498" s="30"/>
      <c r="E3498" s="30">
        <v>78.5</v>
      </c>
      <c r="F3498" s="30">
        <v>76</v>
      </c>
      <c r="G3498" s="30">
        <v>80.8</v>
      </c>
    </row>
    <row r="3499" spans="1:7" x14ac:dyDescent="0.25">
      <c r="A3499" s="29">
        <v>41105</v>
      </c>
      <c r="B3499" s="30">
        <v>78.900000000000006</v>
      </c>
      <c r="C3499" s="30">
        <v>81.400000000000006</v>
      </c>
      <c r="D3499" s="30"/>
      <c r="E3499" s="30">
        <v>79.7</v>
      </c>
      <c r="F3499" s="30">
        <v>81.099999999999994</v>
      </c>
      <c r="G3499" s="30">
        <v>81.5</v>
      </c>
    </row>
    <row r="3500" spans="1:7" x14ac:dyDescent="0.25">
      <c r="A3500" s="29">
        <v>41106</v>
      </c>
      <c r="B3500" s="30">
        <v>79.599999999999994</v>
      </c>
      <c r="C3500" s="30">
        <v>81</v>
      </c>
      <c r="D3500" s="30"/>
      <c r="E3500" s="30">
        <v>79</v>
      </c>
      <c r="F3500" s="30">
        <v>81.7</v>
      </c>
      <c r="G3500" s="30">
        <v>81.099999999999994</v>
      </c>
    </row>
    <row r="3501" spans="1:7" x14ac:dyDescent="0.25">
      <c r="A3501" s="29">
        <v>41107</v>
      </c>
      <c r="B3501" s="30">
        <v>83.3</v>
      </c>
      <c r="C3501" s="30">
        <v>87.2</v>
      </c>
      <c r="D3501" s="30"/>
      <c r="E3501" s="30">
        <v>84.6</v>
      </c>
      <c r="F3501" s="30">
        <v>85.2</v>
      </c>
      <c r="G3501" s="30">
        <v>87.4</v>
      </c>
    </row>
    <row r="3502" spans="1:7" x14ac:dyDescent="0.25">
      <c r="A3502" s="29">
        <v>41108</v>
      </c>
      <c r="B3502" s="30">
        <v>84.3</v>
      </c>
      <c r="C3502" s="30">
        <v>89</v>
      </c>
      <c r="D3502" s="30"/>
      <c r="E3502" s="30">
        <v>85.3</v>
      </c>
      <c r="F3502" s="30">
        <v>88.2</v>
      </c>
      <c r="G3502" s="30">
        <v>89.2</v>
      </c>
    </row>
    <row r="3503" spans="1:7" x14ac:dyDescent="0.25">
      <c r="A3503" s="29">
        <v>41109</v>
      </c>
      <c r="B3503" s="30">
        <v>75.099999999999994</v>
      </c>
      <c r="C3503" s="30">
        <v>75.3</v>
      </c>
      <c r="D3503" s="30"/>
      <c r="E3503" s="30">
        <v>73.3</v>
      </c>
      <c r="F3503" s="30">
        <v>77.7</v>
      </c>
      <c r="G3503" s="30">
        <v>75.5</v>
      </c>
    </row>
    <row r="3504" spans="1:7" x14ac:dyDescent="0.25">
      <c r="A3504" s="29">
        <v>41110</v>
      </c>
      <c r="B3504" s="30">
        <v>68.400000000000006</v>
      </c>
      <c r="C3504" s="30">
        <v>69.2</v>
      </c>
      <c r="D3504" s="30"/>
      <c r="E3504" s="30">
        <v>67.2</v>
      </c>
      <c r="F3504" s="30">
        <v>72.900000000000006</v>
      </c>
      <c r="G3504" s="30">
        <v>69.900000000000006</v>
      </c>
    </row>
    <row r="3505" spans="1:7" x14ac:dyDescent="0.25">
      <c r="A3505" s="29">
        <v>41111</v>
      </c>
      <c r="B3505" s="30">
        <v>68.400000000000006</v>
      </c>
      <c r="C3505" s="30">
        <v>69.3</v>
      </c>
      <c r="D3505" s="30"/>
      <c r="E3505" s="30">
        <v>68.099999999999994</v>
      </c>
      <c r="F3505" s="30">
        <v>69.400000000000006</v>
      </c>
      <c r="G3505" s="30">
        <v>69.3</v>
      </c>
    </row>
    <row r="3506" spans="1:7" x14ac:dyDescent="0.25">
      <c r="A3506" s="29">
        <v>41112</v>
      </c>
      <c r="B3506" s="30">
        <v>72.2</v>
      </c>
      <c r="C3506" s="30">
        <v>74.8</v>
      </c>
      <c r="D3506" s="30"/>
      <c r="E3506" s="30">
        <v>72.5</v>
      </c>
      <c r="F3506" s="30">
        <v>71</v>
      </c>
      <c r="G3506" s="30">
        <v>74.2</v>
      </c>
    </row>
    <row r="3507" spans="1:7" x14ac:dyDescent="0.25">
      <c r="A3507" s="29">
        <v>41113</v>
      </c>
      <c r="B3507" s="30">
        <v>75.599999999999994</v>
      </c>
      <c r="C3507" s="30">
        <v>77.400000000000006</v>
      </c>
      <c r="D3507" s="30"/>
      <c r="E3507" s="30">
        <v>76</v>
      </c>
      <c r="F3507" s="30">
        <v>77.099999999999994</v>
      </c>
      <c r="G3507" s="30">
        <v>78.5</v>
      </c>
    </row>
    <row r="3508" spans="1:7" x14ac:dyDescent="0.25">
      <c r="A3508" s="29">
        <v>41114</v>
      </c>
      <c r="B3508" s="30">
        <v>82.6</v>
      </c>
      <c r="C3508" s="30">
        <v>83.1</v>
      </c>
      <c r="D3508" s="30"/>
      <c r="E3508" s="30">
        <v>80.3</v>
      </c>
      <c r="F3508" s="30">
        <v>83.5</v>
      </c>
      <c r="G3508" s="30">
        <v>83.6</v>
      </c>
    </row>
    <row r="3509" spans="1:7" x14ac:dyDescent="0.25">
      <c r="A3509" s="29">
        <v>41115</v>
      </c>
      <c r="B3509" s="30">
        <v>78.400000000000006</v>
      </c>
      <c r="C3509" s="30">
        <v>78.2</v>
      </c>
      <c r="D3509" s="30"/>
      <c r="E3509" s="30">
        <v>76.5</v>
      </c>
      <c r="F3509" s="30">
        <v>76.3</v>
      </c>
      <c r="G3509" s="30">
        <v>79.2</v>
      </c>
    </row>
    <row r="3510" spans="1:7" x14ac:dyDescent="0.25">
      <c r="A3510" s="29">
        <v>41116</v>
      </c>
      <c r="B3510" s="30">
        <v>77</v>
      </c>
      <c r="C3510" s="30">
        <v>81.400000000000006</v>
      </c>
      <c r="D3510" s="30"/>
      <c r="E3510" s="30">
        <v>78</v>
      </c>
      <c r="F3510" s="30">
        <v>79.3</v>
      </c>
      <c r="G3510" s="30">
        <v>80.2</v>
      </c>
    </row>
    <row r="3511" spans="1:7" x14ac:dyDescent="0.25">
      <c r="A3511" s="29">
        <v>41117</v>
      </c>
      <c r="B3511" s="30">
        <v>79.400000000000006</v>
      </c>
      <c r="C3511" s="30">
        <v>80.3</v>
      </c>
      <c r="D3511" s="30"/>
      <c r="E3511" s="30">
        <v>76.599999999999994</v>
      </c>
      <c r="F3511" s="30">
        <v>81.8</v>
      </c>
      <c r="G3511" s="30">
        <v>79</v>
      </c>
    </row>
    <row r="3512" spans="1:7" x14ac:dyDescent="0.25">
      <c r="A3512" s="29">
        <v>41118</v>
      </c>
      <c r="B3512" s="30">
        <v>77.400000000000006</v>
      </c>
      <c r="C3512" s="30">
        <v>76.400000000000006</v>
      </c>
      <c r="D3512" s="30"/>
      <c r="E3512" s="30">
        <v>75.5</v>
      </c>
      <c r="F3512" s="30">
        <v>81</v>
      </c>
      <c r="G3512" s="30">
        <v>78.3</v>
      </c>
    </row>
    <row r="3513" spans="1:7" x14ac:dyDescent="0.25">
      <c r="A3513" s="29">
        <v>41119</v>
      </c>
      <c r="B3513" s="30">
        <v>72.5</v>
      </c>
      <c r="C3513" s="30">
        <v>72.7</v>
      </c>
      <c r="D3513" s="30"/>
      <c r="E3513" s="30">
        <v>71.7</v>
      </c>
      <c r="F3513" s="30">
        <v>72.900000000000006</v>
      </c>
      <c r="G3513" s="30">
        <v>73.8</v>
      </c>
    </row>
    <row r="3514" spans="1:7" x14ac:dyDescent="0.25">
      <c r="A3514" s="29">
        <v>41120</v>
      </c>
      <c r="B3514" s="30">
        <v>72.900000000000006</v>
      </c>
      <c r="C3514" s="30">
        <v>74.599999999999994</v>
      </c>
      <c r="D3514" s="30"/>
      <c r="E3514" s="30">
        <v>73.099999999999994</v>
      </c>
      <c r="F3514" s="30">
        <v>73.099999999999994</v>
      </c>
      <c r="G3514" s="30">
        <v>74.900000000000006</v>
      </c>
    </row>
    <row r="3515" spans="1:7" x14ac:dyDescent="0.25">
      <c r="A3515" s="29">
        <v>41121</v>
      </c>
      <c r="B3515" s="30">
        <v>73.599999999999994</v>
      </c>
      <c r="C3515" s="30">
        <v>74</v>
      </c>
      <c r="D3515" s="30"/>
      <c r="E3515" s="30">
        <v>73.400000000000006</v>
      </c>
      <c r="F3515" s="30">
        <v>73.8</v>
      </c>
      <c r="G3515" s="30">
        <v>75.599999999999994</v>
      </c>
    </row>
    <row r="3516" spans="1:7" x14ac:dyDescent="0.25">
      <c r="A3516" s="29">
        <v>41122</v>
      </c>
      <c r="B3516" s="30">
        <v>75</v>
      </c>
      <c r="C3516" s="30">
        <v>75.2</v>
      </c>
      <c r="D3516" s="30"/>
      <c r="E3516" s="30">
        <v>72.2</v>
      </c>
      <c r="F3516" s="30">
        <v>74.8</v>
      </c>
      <c r="G3516" s="30">
        <v>73.8</v>
      </c>
    </row>
    <row r="3517" spans="1:7" x14ac:dyDescent="0.25">
      <c r="A3517" s="29">
        <v>41123</v>
      </c>
      <c r="B3517" s="30">
        <v>77.7</v>
      </c>
      <c r="C3517" s="30">
        <v>79.099999999999994</v>
      </c>
      <c r="D3517" s="30"/>
      <c r="E3517" s="30">
        <v>75</v>
      </c>
      <c r="F3517" s="30">
        <v>76.099999999999994</v>
      </c>
      <c r="G3517" s="30">
        <v>78.900000000000006</v>
      </c>
    </row>
    <row r="3518" spans="1:7" x14ac:dyDescent="0.25">
      <c r="A3518" s="29">
        <v>41124</v>
      </c>
      <c r="B3518" s="30">
        <v>79.7</v>
      </c>
      <c r="C3518" s="30">
        <v>83.4</v>
      </c>
      <c r="D3518" s="30"/>
      <c r="E3518" s="30">
        <v>77.900000000000006</v>
      </c>
      <c r="F3518" s="30">
        <v>80.599999999999994</v>
      </c>
      <c r="G3518" s="30">
        <v>83.2</v>
      </c>
    </row>
    <row r="3519" spans="1:7" x14ac:dyDescent="0.25">
      <c r="A3519" s="29">
        <v>41125</v>
      </c>
      <c r="B3519" s="30">
        <v>79.599999999999994</v>
      </c>
      <c r="C3519" s="30">
        <v>83.4</v>
      </c>
      <c r="D3519" s="30"/>
      <c r="E3519" s="30">
        <v>77.900000000000006</v>
      </c>
      <c r="F3519" s="30">
        <v>79.8</v>
      </c>
      <c r="G3519" s="30">
        <v>82</v>
      </c>
    </row>
    <row r="3520" spans="1:7" x14ac:dyDescent="0.25">
      <c r="A3520" s="29">
        <v>41126</v>
      </c>
      <c r="B3520" s="30">
        <v>81.5</v>
      </c>
      <c r="C3520" s="30">
        <v>83.4</v>
      </c>
      <c r="D3520" s="30"/>
      <c r="E3520" s="30">
        <v>78.099999999999994</v>
      </c>
      <c r="F3520" s="30">
        <v>82.6</v>
      </c>
      <c r="G3520" s="30">
        <v>84.1</v>
      </c>
    </row>
    <row r="3521" spans="1:7" x14ac:dyDescent="0.25">
      <c r="A3521" s="29">
        <v>41127</v>
      </c>
      <c r="B3521" s="30">
        <v>80</v>
      </c>
      <c r="C3521" s="30">
        <v>80.2</v>
      </c>
      <c r="D3521" s="30"/>
      <c r="E3521" s="30">
        <v>77.3</v>
      </c>
      <c r="F3521" s="30">
        <v>79.3</v>
      </c>
      <c r="G3521" s="30">
        <v>80.2</v>
      </c>
    </row>
    <row r="3522" spans="1:7" x14ac:dyDescent="0.25">
      <c r="A3522" s="29">
        <v>41128</v>
      </c>
      <c r="B3522" s="30">
        <v>75.7</v>
      </c>
      <c r="C3522" s="30">
        <v>77.3</v>
      </c>
      <c r="D3522" s="30"/>
      <c r="E3522" s="30">
        <v>75.2</v>
      </c>
      <c r="F3522" s="30">
        <v>76.400000000000006</v>
      </c>
      <c r="G3522" s="30">
        <v>76.599999999999994</v>
      </c>
    </row>
    <row r="3523" spans="1:7" x14ac:dyDescent="0.25">
      <c r="A3523" s="29">
        <v>41129</v>
      </c>
      <c r="B3523" s="30">
        <v>77.8</v>
      </c>
      <c r="C3523" s="30">
        <v>79.8</v>
      </c>
      <c r="D3523" s="30"/>
      <c r="E3523" s="30">
        <v>77.8</v>
      </c>
      <c r="F3523" s="30">
        <v>77.3</v>
      </c>
      <c r="G3523" s="30">
        <v>79.3</v>
      </c>
    </row>
    <row r="3524" spans="1:7" x14ac:dyDescent="0.25">
      <c r="A3524" s="29">
        <v>41130</v>
      </c>
      <c r="B3524" s="30">
        <v>78.599999999999994</v>
      </c>
      <c r="C3524" s="30">
        <v>81.2</v>
      </c>
      <c r="D3524" s="30"/>
      <c r="E3524" s="30">
        <v>78.2</v>
      </c>
      <c r="F3524" s="30">
        <v>78</v>
      </c>
      <c r="G3524" s="30">
        <v>80.3</v>
      </c>
    </row>
    <row r="3525" spans="1:7" x14ac:dyDescent="0.25">
      <c r="A3525" s="29">
        <v>41131</v>
      </c>
      <c r="B3525" s="30">
        <v>77.8</v>
      </c>
      <c r="C3525" s="30">
        <v>79.2</v>
      </c>
      <c r="D3525" s="30"/>
      <c r="E3525" s="30">
        <v>75.3</v>
      </c>
      <c r="F3525" s="30">
        <v>78.8</v>
      </c>
      <c r="G3525" s="30">
        <v>78.400000000000006</v>
      </c>
    </row>
    <row r="3526" spans="1:7" x14ac:dyDescent="0.25">
      <c r="A3526" s="29">
        <v>41132</v>
      </c>
      <c r="B3526" s="30">
        <v>78.5</v>
      </c>
      <c r="C3526" s="30">
        <v>80.8</v>
      </c>
      <c r="D3526" s="30"/>
      <c r="E3526" s="30">
        <v>77.7</v>
      </c>
      <c r="F3526" s="30">
        <v>76.7</v>
      </c>
      <c r="G3526" s="30">
        <v>80.099999999999994</v>
      </c>
    </row>
    <row r="3527" spans="1:7" x14ac:dyDescent="0.25">
      <c r="A3527" s="29">
        <v>41133</v>
      </c>
      <c r="B3527" s="30">
        <v>78.8</v>
      </c>
      <c r="C3527" s="30">
        <v>81</v>
      </c>
      <c r="D3527" s="30"/>
      <c r="E3527" s="30">
        <v>77.8</v>
      </c>
      <c r="F3527" s="30">
        <v>76.7</v>
      </c>
      <c r="G3527" s="30">
        <v>79.8</v>
      </c>
    </row>
    <row r="3528" spans="1:7" x14ac:dyDescent="0.25">
      <c r="A3528" s="29">
        <v>41134</v>
      </c>
      <c r="B3528" s="30">
        <v>78.599999999999994</v>
      </c>
      <c r="C3528" s="30">
        <v>79.099999999999994</v>
      </c>
      <c r="D3528" s="30"/>
      <c r="E3528" s="30">
        <v>76.3</v>
      </c>
      <c r="F3528" s="30">
        <v>75.3</v>
      </c>
      <c r="G3528" s="30">
        <v>78.2</v>
      </c>
    </row>
    <row r="3529" spans="1:7" x14ac:dyDescent="0.25">
      <c r="A3529" s="29">
        <v>41135</v>
      </c>
      <c r="B3529" s="30">
        <v>76.8</v>
      </c>
      <c r="C3529" s="30">
        <v>78.900000000000006</v>
      </c>
      <c r="D3529" s="30"/>
      <c r="E3529" s="30">
        <v>76</v>
      </c>
      <c r="F3529" s="30">
        <v>73.599999999999994</v>
      </c>
      <c r="G3529" s="30">
        <v>76.5</v>
      </c>
    </row>
    <row r="3530" spans="1:7" x14ac:dyDescent="0.25">
      <c r="A3530" s="29">
        <v>41136</v>
      </c>
      <c r="B3530" s="30">
        <v>76.7</v>
      </c>
      <c r="C3530" s="30">
        <v>76.2</v>
      </c>
      <c r="D3530" s="30"/>
      <c r="E3530" s="30">
        <v>73.599999999999994</v>
      </c>
      <c r="F3530" s="30">
        <v>76.099999999999994</v>
      </c>
      <c r="G3530" s="30">
        <v>77.2</v>
      </c>
    </row>
    <row r="3531" spans="1:7" x14ac:dyDescent="0.25">
      <c r="A3531" s="29">
        <v>41137</v>
      </c>
      <c r="B3531" s="30">
        <v>75.900000000000006</v>
      </c>
      <c r="C3531" s="30">
        <v>75.599999999999994</v>
      </c>
      <c r="D3531" s="30"/>
      <c r="E3531" s="30">
        <v>74</v>
      </c>
      <c r="F3531" s="30">
        <v>74.599999999999994</v>
      </c>
      <c r="G3531" s="30">
        <v>76.099999999999994</v>
      </c>
    </row>
    <row r="3532" spans="1:7" x14ac:dyDescent="0.25">
      <c r="A3532" s="29">
        <v>41138</v>
      </c>
      <c r="B3532" s="30">
        <v>77.599999999999994</v>
      </c>
      <c r="C3532" s="30">
        <v>81.3</v>
      </c>
      <c r="D3532" s="30"/>
      <c r="E3532" s="30">
        <v>77.900000000000006</v>
      </c>
      <c r="F3532" s="30">
        <v>76.400000000000006</v>
      </c>
      <c r="G3532" s="30">
        <v>78.900000000000006</v>
      </c>
    </row>
    <row r="3533" spans="1:7" x14ac:dyDescent="0.25">
      <c r="A3533" s="29">
        <v>41139</v>
      </c>
      <c r="B3533" s="30">
        <v>72.599999999999994</v>
      </c>
      <c r="C3533" s="30">
        <v>72.7</v>
      </c>
      <c r="D3533" s="30"/>
      <c r="E3533" s="30">
        <v>69.8</v>
      </c>
      <c r="F3533" s="30">
        <v>73.099999999999994</v>
      </c>
      <c r="G3533" s="30">
        <v>72.900000000000006</v>
      </c>
    </row>
    <row r="3534" spans="1:7" x14ac:dyDescent="0.25">
      <c r="A3534" s="29">
        <v>41140</v>
      </c>
      <c r="B3534" s="30">
        <v>70.400000000000006</v>
      </c>
      <c r="C3534" s="30">
        <v>71.900000000000006</v>
      </c>
      <c r="D3534" s="30"/>
      <c r="E3534" s="30">
        <v>68.7</v>
      </c>
      <c r="F3534" s="30">
        <v>68.400000000000006</v>
      </c>
      <c r="G3534" s="30">
        <v>70.5</v>
      </c>
    </row>
    <row r="3535" spans="1:7" x14ac:dyDescent="0.25">
      <c r="A3535" s="29">
        <v>41141</v>
      </c>
      <c r="B3535" s="30">
        <v>71.8</v>
      </c>
      <c r="C3535" s="30">
        <v>73.599999999999994</v>
      </c>
      <c r="D3535" s="30"/>
      <c r="E3535" s="30">
        <v>71.400000000000006</v>
      </c>
      <c r="F3535" s="30">
        <v>70.099999999999994</v>
      </c>
      <c r="G3535" s="30">
        <v>72.599999999999994</v>
      </c>
    </row>
    <row r="3536" spans="1:7" x14ac:dyDescent="0.25">
      <c r="A3536" s="29">
        <v>41142</v>
      </c>
      <c r="B3536" s="30">
        <v>73.599999999999994</v>
      </c>
      <c r="C3536" s="30">
        <v>74.900000000000006</v>
      </c>
      <c r="D3536" s="30"/>
      <c r="E3536" s="30">
        <v>72.8</v>
      </c>
      <c r="F3536" s="30">
        <v>71.7</v>
      </c>
      <c r="G3536" s="30">
        <v>74.3</v>
      </c>
    </row>
    <row r="3537" spans="1:7" x14ac:dyDescent="0.25">
      <c r="A3537" s="29">
        <v>41143</v>
      </c>
      <c r="B3537" s="30">
        <v>74.7</v>
      </c>
      <c r="C3537" s="30">
        <v>76.599999999999994</v>
      </c>
      <c r="D3537" s="30"/>
      <c r="E3537" s="30">
        <v>73.8</v>
      </c>
      <c r="F3537" s="30">
        <v>71.400000000000006</v>
      </c>
      <c r="G3537" s="30">
        <v>75.599999999999994</v>
      </c>
    </row>
    <row r="3538" spans="1:7" x14ac:dyDescent="0.25">
      <c r="A3538" s="29">
        <v>41144</v>
      </c>
      <c r="B3538" s="30">
        <v>74.599999999999994</v>
      </c>
      <c r="C3538" s="30">
        <v>77.5</v>
      </c>
      <c r="D3538" s="30"/>
      <c r="E3538" s="30">
        <v>74.7</v>
      </c>
      <c r="F3538" s="30">
        <v>71</v>
      </c>
      <c r="G3538" s="30">
        <v>76</v>
      </c>
    </row>
    <row r="3539" spans="1:7" x14ac:dyDescent="0.25">
      <c r="A3539" s="29">
        <v>41145</v>
      </c>
      <c r="B3539" s="30">
        <v>76</v>
      </c>
      <c r="C3539" s="30">
        <v>78.7</v>
      </c>
      <c r="D3539" s="30"/>
      <c r="E3539" s="30">
        <v>77.3</v>
      </c>
      <c r="F3539" s="30">
        <v>72.400000000000006</v>
      </c>
      <c r="G3539" s="30">
        <v>78</v>
      </c>
    </row>
    <row r="3540" spans="1:7" x14ac:dyDescent="0.25">
      <c r="A3540" s="29">
        <v>41146</v>
      </c>
      <c r="B3540" s="30">
        <v>76.2</v>
      </c>
      <c r="C3540" s="30">
        <v>77.5</v>
      </c>
      <c r="D3540" s="30"/>
      <c r="E3540" s="30">
        <v>75.7</v>
      </c>
      <c r="F3540" s="30">
        <v>72.099999999999994</v>
      </c>
      <c r="G3540" s="30">
        <v>77.7</v>
      </c>
    </row>
    <row r="3541" spans="1:7" x14ac:dyDescent="0.25">
      <c r="A3541" s="29">
        <v>41147</v>
      </c>
      <c r="B3541" s="30">
        <v>73.400000000000006</v>
      </c>
      <c r="C3541" s="30">
        <v>74.5</v>
      </c>
      <c r="D3541" s="30"/>
      <c r="E3541" s="30">
        <v>73.900000000000006</v>
      </c>
      <c r="F3541" s="30">
        <v>74.900000000000006</v>
      </c>
      <c r="G3541" s="30">
        <v>75.3</v>
      </c>
    </row>
    <row r="3542" spans="1:7" x14ac:dyDescent="0.25">
      <c r="A3542" s="29">
        <v>41148</v>
      </c>
      <c r="B3542" s="30">
        <v>74.599999999999994</v>
      </c>
      <c r="C3542" s="30">
        <v>75.8</v>
      </c>
      <c r="D3542" s="30"/>
      <c r="E3542" s="30">
        <v>71.900000000000006</v>
      </c>
      <c r="F3542" s="30">
        <v>74.400000000000006</v>
      </c>
      <c r="G3542" s="30">
        <v>76</v>
      </c>
    </row>
    <row r="3543" spans="1:7" x14ac:dyDescent="0.25">
      <c r="A3543" s="29">
        <v>41149</v>
      </c>
      <c r="B3543" s="30">
        <v>79.400000000000006</v>
      </c>
      <c r="C3543" s="30">
        <v>79.900000000000006</v>
      </c>
      <c r="D3543" s="30"/>
      <c r="E3543" s="30">
        <v>77.900000000000006</v>
      </c>
      <c r="F3543" s="30">
        <v>79.099999999999994</v>
      </c>
      <c r="G3543" s="30">
        <v>79.8</v>
      </c>
    </row>
    <row r="3544" spans="1:7" x14ac:dyDescent="0.25">
      <c r="A3544" s="29">
        <v>41150</v>
      </c>
      <c r="B3544" s="30">
        <v>74.7</v>
      </c>
      <c r="C3544" s="30">
        <v>75.2</v>
      </c>
      <c r="D3544" s="30"/>
      <c r="E3544" s="30">
        <v>73.3</v>
      </c>
      <c r="F3544" s="30">
        <v>71.3</v>
      </c>
      <c r="G3544" s="30">
        <v>75.2</v>
      </c>
    </row>
    <row r="3545" spans="1:7" x14ac:dyDescent="0.25">
      <c r="A3545" s="29">
        <v>41151</v>
      </c>
      <c r="B3545" s="30">
        <v>73.5</v>
      </c>
      <c r="C3545" s="30">
        <v>75.2</v>
      </c>
      <c r="D3545" s="30"/>
      <c r="E3545" s="30">
        <v>72</v>
      </c>
      <c r="F3545" s="30">
        <v>71.900000000000006</v>
      </c>
      <c r="G3545" s="30">
        <v>74.5</v>
      </c>
    </row>
    <row r="3546" spans="1:7" x14ac:dyDescent="0.25">
      <c r="A3546" s="29">
        <v>41152</v>
      </c>
      <c r="B3546" s="30">
        <v>77.900000000000006</v>
      </c>
      <c r="C3546" s="30">
        <v>81.900000000000006</v>
      </c>
      <c r="D3546" s="30"/>
      <c r="E3546" s="30">
        <v>78.7</v>
      </c>
      <c r="F3546" s="30">
        <v>77.8</v>
      </c>
      <c r="G3546" s="30">
        <v>78.5</v>
      </c>
    </row>
    <row r="3547" spans="1:7" x14ac:dyDescent="0.25">
      <c r="A3547" s="29">
        <v>41153</v>
      </c>
      <c r="B3547" s="30">
        <v>80.7</v>
      </c>
      <c r="C3547" s="30">
        <v>83.4</v>
      </c>
      <c r="D3547" s="30"/>
      <c r="E3547" s="30">
        <v>81.599999999999994</v>
      </c>
      <c r="F3547" s="30">
        <v>80</v>
      </c>
      <c r="G3547" s="30">
        <v>82.1</v>
      </c>
    </row>
    <row r="3548" spans="1:7" x14ac:dyDescent="0.25">
      <c r="A3548" s="29">
        <v>41154</v>
      </c>
      <c r="B3548" s="30">
        <v>75.099999999999994</v>
      </c>
      <c r="C3548" s="30">
        <v>76.099999999999994</v>
      </c>
      <c r="D3548" s="30"/>
      <c r="E3548" s="30">
        <v>75.400000000000006</v>
      </c>
      <c r="F3548" s="30">
        <v>74.2</v>
      </c>
      <c r="G3548" s="30">
        <v>76.3</v>
      </c>
    </row>
    <row r="3549" spans="1:7" x14ac:dyDescent="0.25">
      <c r="A3549" s="29">
        <v>41155</v>
      </c>
      <c r="B3549" s="30">
        <v>73.5</v>
      </c>
      <c r="C3549" s="30">
        <v>75.099999999999994</v>
      </c>
      <c r="D3549" s="30"/>
      <c r="E3549" s="30">
        <v>73.8</v>
      </c>
      <c r="F3549" s="30">
        <v>75.400000000000006</v>
      </c>
      <c r="G3549" s="30">
        <v>74.3</v>
      </c>
    </row>
    <row r="3550" spans="1:7" x14ac:dyDescent="0.25">
      <c r="A3550" s="29">
        <v>41156</v>
      </c>
      <c r="B3550" s="30">
        <v>73.5</v>
      </c>
      <c r="C3550" s="30">
        <v>74.5</v>
      </c>
      <c r="D3550" s="30"/>
      <c r="E3550" s="30">
        <v>72.599999999999994</v>
      </c>
      <c r="F3550" s="30">
        <v>76.2</v>
      </c>
      <c r="G3550" s="30">
        <v>74.7</v>
      </c>
    </row>
    <row r="3551" spans="1:7" x14ac:dyDescent="0.25">
      <c r="A3551" s="29">
        <v>41157</v>
      </c>
      <c r="B3551" s="30">
        <v>77.7</v>
      </c>
      <c r="C3551" s="30">
        <v>78.599999999999994</v>
      </c>
      <c r="D3551" s="30"/>
      <c r="E3551" s="30">
        <v>75.2</v>
      </c>
      <c r="F3551" s="30">
        <v>79.7</v>
      </c>
      <c r="G3551" s="30">
        <v>78.8</v>
      </c>
    </row>
    <row r="3552" spans="1:7" x14ac:dyDescent="0.25">
      <c r="A3552" s="29">
        <v>41158</v>
      </c>
      <c r="B3552" s="30">
        <v>74.2</v>
      </c>
      <c r="C3552" s="30">
        <v>75.900000000000006</v>
      </c>
      <c r="D3552" s="30"/>
      <c r="E3552" s="30">
        <v>73.2</v>
      </c>
      <c r="F3552" s="30">
        <v>73.900000000000006</v>
      </c>
      <c r="G3552" s="30">
        <v>74.599999999999994</v>
      </c>
    </row>
    <row r="3553" spans="1:7" x14ac:dyDescent="0.25">
      <c r="A3553" s="29">
        <v>41159</v>
      </c>
      <c r="B3553" s="30">
        <v>76</v>
      </c>
      <c r="C3553" s="30">
        <v>79</v>
      </c>
      <c r="D3553" s="30"/>
      <c r="E3553" s="30">
        <v>77</v>
      </c>
      <c r="F3553" s="30">
        <v>74.3</v>
      </c>
      <c r="G3553" s="30">
        <v>78.099999999999994</v>
      </c>
    </row>
    <row r="3554" spans="1:7" x14ac:dyDescent="0.25">
      <c r="A3554" s="29">
        <v>41160</v>
      </c>
      <c r="B3554" s="30">
        <v>77.099999999999994</v>
      </c>
      <c r="C3554" s="30">
        <v>78.3</v>
      </c>
      <c r="D3554" s="30"/>
      <c r="E3554" s="30">
        <v>75.3</v>
      </c>
      <c r="F3554" s="30">
        <v>77.099999999999994</v>
      </c>
      <c r="G3554" s="30">
        <v>78.2</v>
      </c>
    </row>
    <row r="3555" spans="1:7" x14ac:dyDescent="0.25">
      <c r="A3555" s="29">
        <v>41161</v>
      </c>
      <c r="B3555" s="30">
        <v>69.7</v>
      </c>
      <c r="C3555" s="30">
        <v>70.900000000000006</v>
      </c>
      <c r="D3555" s="30"/>
      <c r="E3555" s="30">
        <v>68.400000000000006</v>
      </c>
      <c r="F3555" s="30">
        <v>68.8</v>
      </c>
      <c r="G3555" s="30">
        <v>70.400000000000006</v>
      </c>
    </row>
    <row r="3556" spans="1:7" x14ac:dyDescent="0.25">
      <c r="A3556" s="29">
        <v>41162</v>
      </c>
      <c r="B3556" s="30">
        <v>67.8</v>
      </c>
      <c r="C3556" s="30">
        <v>67.900000000000006</v>
      </c>
      <c r="D3556" s="30"/>
      <c r="E3556" s="30">
        <v>65.400000000000006</v>
      </c>
      <c r="F3556" s="30">
        <v>66</v>
      </c>
      <c r="G3556" s="30">
        <v>67.599999999999994</v>
      </c>
    </row>
    <row r="3557" spans="1:7" x14ac:dyDescent="0.25">
      <c r="A3557" s="29">
        <v>41163</v>
      </c>
      <c r="B3557" s="30">
        <v>64</v>
      </c>
      <c r="C3557" s="30">
        <v>65.099999999999994</v>
      </c>
      <c r="D3557" s="30"/>
      <c r="E3557" s="30">
        <v>62.8</v>
      </c>
      <c r="F3557" s="30">
        <v>60.9</v>
      </c>
      <c r="G3557" s="30">
        <v>64.3</v>
      </c>
    </row>
    <row r="3558" spans="1:7" x14ac:dyDescent="0.25">
      <c r="A3558" s="29">
        <v>41164</v>
      </c>
      <c r="B3558" s="30">
        <v>68.099999999999994</v>
      </c>
      <c r="C3558" s="30">
        <v>70.8</v>
      </c>
      <c r="D3558" s="30"/>
      <c r="E3558" s="30">
        <v>68.5</v>
      </c>
      <c r="F3558" s="30">
        <v>63.2</v>
      </c>
      <c r="G3558" s="30">
        <v>68.7</v>
      </c>
    </row>
    <row r="3559" spans="1:7" x14ac:dyDescent="0.25">
      <c r="A3559" s="29">
        <v>41165</v>
      </c>
      <c r="B3559" s="30">
        <v>69.3</v>
      </c>
      <c r="C3559" s="30">
        <v>71.900000000000006</v>
      </c>
      <c r="D3559" s="30"/>
      <c r="E3559" s="30">
        <v>70.400000000000006</v>
      </c>
      <c r="F3559" s="30">
        <v>64.599999999999994</v>
      </c>
      <c r="G3559" s="30">
        <v>70.099999999999994</v>
      </c>
    </row>
    <row r="3560" spans="1:7" x14ac:dyDescent="0.25">
      <c r="A3560" s="29">
        <v>41166</v>
      </c>
      <c r="B3560" s="30">
        <v>70</v>
      </c>
      <c r="C3560" s="30">
        <v>72.099999999999994</v>
      </c>
      <c r="D3560" s="30"/>
      <c r="E3560" s="30">
        <v>70.5</v>
      </c>
      <c r="F3560" s="30">
        <v>65</v>
      </c>
      <c r="G3560" s="30">
        <v>70.599999999999994</v>
      </c>
    </row>
    <row r="3561" spans="1:7" x14ac:dyDescent="0.25">
      <c r="A3561" s="29">
        <v>41167</v>
      </c>
      <c r="B3561" s="30">
        <v>69.3</v>
      </c>
      <c r="C3561" s="30">
        <v>69.3</v>
      </c>
      <c r="D3561" s="30"/>
      <c r="E3561" s="30">
        <v>67.2</v>
      </c>
      <c r="F3561" s="30">
        <v>67.3</v>
      </c>
      <c r="G3561" s="30">
        <v>68.7</v>
      </c>
    </row>
    <row r="3562" spans="1:7" x14ac:dyDescent="0.25">
      <c r="A3562" s="29">
        <v>41168</v>
      </c>
      <c r="B3562" s="30">
        <v>66.3</v>
      </c>
      <c r="C3562" s="30">
        <v>67.900000000000006</v>
      </c>
      <c r="D3562" s="30"/>
      <c r="E3562" s="30">
        <v>65.099999999999994</v>
      </c>
      <c r="F3562" s="30">
        <v>62.9</v>
      </c>
      <c r="G3562" s="30">
        <v>65.900000000000006</v>
      </c>
    </row>
    <row r="3563" spans="1:7" x14ac:dyDescent="0.25">
      <c r="A3563" s="29">
        <v>41169</v>
      </c>
      <c r="B3563" s="30">
        <v>67</v>
      </c>
      <c r="C3563" s="30">
        <v>70</v>
      </c>
      <c r="D3563" s="30"/>
      <c r="E3563" s="30">
        <v>66.5</v>
      </c>
      <c r="F3563" s="30">
        <v>62.8</v>
      </c>
      <c r="G3563" s="30">
        <v>67.099999999999994</v>
      </c>
    </row>
    <row r="3564" spans="1:7" x14ac:dyDescent="0.25">
      <c r="A3564" s="29">
        <v>41170</v>
      </c>
      <c r="B3564" s="30">
        <v>72.8</v>
      </c>
      <c r="C3564" s="30">
        <v>72.7</v>
      </c>
      <c r="D3564" s="30"/>
      <c r="E3564" s="30">
        <v>70.599999999999994</v>
      </c>
      <c r="F3564" s="30">
        <v>73.7</v>
      </c>
      <c r="G3564" s="30">
        <v>72.8</v>
      </c>
    </row>
    <row r="3565" spans="1:7" x14ac:dyDescent="0.25">
      <c r="A3565" s="29">
        <v>41171</v>
      </c>
      <c r="B3565" s="30">
        <v>67.2</v>
      </c>
      <c r="C3565" s="30">
        <v>67.5</v>
      </c>
      <c r="D3565" s="30"/>
      <c r="E3565" s="30">
        <v>66.7</v>
      </c>
      <c r="F3565" s="30">
        <v>67</v>
      </c>
      <c r="G3565" s="30">
        <v>66.7</v>
      </c>
    </row>
    <row r="3566" spans="1:7" x14ac:dyDescent="0.25">
      <c r="A3566" s="29">
        <v>41172</v>
      </c>
      <c r="B3566" s="30">
        <v>62.1</v>
      </c>
      <c r="C3566" s="30">
        <v>63.3</v>
      </c>
      <c r="D3566" s="30"/>
      <c r="E3566" s="30">
        <v>61</v>
      </c>
      <c r="F3566" s="30">
        <v>59.9</v>
      </c>
      <c r="G3566" s="30">
        <v>61.6</v>
      </c>
    </row>
    <row r="3567" spans="1:7" x14ac:dyDescent="0.25">
      <c r="A3567" s="29">
        <v>41173</v>
      </c>
      <c r="B3567" s="30">
        <v>64</v>
      </c>
      <c r="C3567" s="30">
        <v>66.099999999999994</v>
      </c>
      <c r="D3567" s="30"/>
      <c r="E3567" s="30">
        <v>64.7</v>
      </c>
      <c r="F3567" s="30">
        <v>63.2</v>
      </c>
      <c r="G3567" s="30">
        <v>67.3</v>
      </c>
    </row>
    <row r="3568" spans="1:7" x14ac:dyDescent="0.25">
      <c r="A3568" s="29">
        <v>41174</v>
      </c>
      <c r="B3568" s="30">
        <v>65.5</v>
      </c>
      <c r="C3568" s="30">
        <v>67.7</v>
      </c>
      <c r="D3568" s="30"/>
      <c r="E3568" s="30">
        <v>66.3</v>
      </c>
      <c r="F3568" s="30">
        <v>65.2</v>
      </c>
      <c r="G3568" s="30">
        <v>68.3</v>
      </c>
    </row>
    <row r="3569" spans="1:7" x14ac:dyDescent="0.25">
      <c r="A3569" s="29">
        <v>41175</v>
      </c>
      <c r="B3569" s="30">
        <v>65.7</v>
      </c>
      <c r="C3569" s="30">
        <v>66</v>
      </c>
      <c r="D3569" s="30"/>
      <c r="E3569" s="30">
        <v>63.8</v>
      </c>
      <c r="F3569" s="30">
        <v>64.900000000000006</v>
      </c>
      <c r="G3569" s="30">
        <v>65.2</v>
      </c>
    </row>
    <row r="3570" spans="1:7" x14ac:dyDescent="0.25">
      <c r="A3570" s="29">
        <v>41176</v>
      </c>
      <c r="B3570" s="30">
        <v>60.4</v>
      </c>
      <c r="C3570" s="30">
        <v>62.1</v>
      </c>
      <c r="D3570" s="30"/>
      <c r="E3570" s="30">
        <v>59</v>
      </c>
      <c r="F3570" s="30">
        <v>56.5</v>
      </c>
      <c r="G3570" s="30">
        <v>60.8</v>
      </c>
    </row>
    <row r="3571" spans="1:7" x14ac:dyDescent="0.25">
      <c r="A3571" s="29">
        <v>41177</v>
      </c>
      <c r="B3571" s="30">
        <v>63.2</v>
      </c>
      <c r="C3571" s="30">
        <v>64.099999999999994</v>
      </c>
      <c r="D3571" s="30"/>
      <c r="E3571" s="30">
        <v>62</v>
      </c>
      <c r="F3571" s="30">
        <v>56.9</v>
      </c>
      <c r="G3571" s="30">
        <v>60.7</v>
      </c>
    </row>
    <row r="3572" spans="1:7" x14ac:dyDescent="0.25">
      <c r="A3572" s="29">
        <v>41178</v>
      </c>
      <c r="B3572" s="30">
        <v>68.5</v>
      </c>
      <c r="C3572" s="30">
        <v>69.400000000000006</v>
      </c>
      <c r="D3572" s="30"/>
      <c r="E3572" s="30">
        <v>67.7</v>
      </c>
      <c r="F3572" s="30">
        <v>70.2</v>
      </c>
      <c r="G3572" s="30">
        <v>68.599999999999994</v>
      </c>
    </row>
    <row r="3573" spans="1:7" x14ac:dyDescent="0.25">
      <c r="A3573" s="29">
        <v>41179</v>
      </c>
      <c r="B3573" s="30">
        <v>69.2</v>
      </c>
      <c r="C3573" s="30">
        <v>71.400000000000006</v>
      </c>
      <c r="D3573" s="30"/>
      <c r="E3573" s="30">
        <v>69</v>
      </c>
      <c r="F3573" s="30">
        <v>70.8</v>
      </c>
      <c r="G3573" s="30">
        <v>69.8</v>
      </c>
    </row>
    <row r="3574" spans="1:7" x14ac:dyDescent="0.25">
      <c r="A3574" s="29">
        <v>41180</v>
      </c>
      <c r="B3574" s="30">
        <v>68.7</v>
      </c>
      <c r="C3574" s="30">
        <v>67.5</v>
      </c>
      <c r="D3574" s="30"/>
      <c r="E3574" s="30">
        <v>65.2</v>
      </c>
      <c r="F3574" s="30">
        <v>71.099999999999994</v>
      </c>
      <c r="G3574" s="30">
        <v>69</v>
      </c>
    </row>
    <row r="3575" spans="1:7" x14ac:dyDescent="0.25">
      <c r="A3575" s="29">
        <v>41181</v>
      </c>
      <c r="B3575" s="30">
        <v>62.5</v>
      </c>
      <c r="C3575" s="30">
        <v>62.1</v>
      </c>
      <c r="D3575" s="30"/>
      <c r="E3575" s="30">
        <v>62.4</v>
      </c>
      <c r="F3575" s="30">
        <v>63.3</v>
      </c>
      <c r="G3575" s="30">
        <v>62.3</v>
      </c>
    </row>
    <row r="3576" spans="1:7" x14ac:dyDescent="0.25">
      <c r="A3576" s="29">
        <v>41182</v>
      </c>
      <c r="B3576" s="30">
        <v>62.3</v>
      </c>
      <c r="C3576" s="30">
        <v>62.4</v>
      </c>
      <c r="D3576" s="30"/>
      <c r="E3576" s="30">
        <v>60.5</v>
      </c>
      <c r="F3576" s="30">
        <v>59.7</v>
      </c>
      <c r="G3576" s="30">
        <v>61.8</v>
      </c>
    </row>
    <row r="3577" spans="1:7" x14ac:dyDescent="0.25">
      <c r="A3577" s="29">
        <v>41183</v>
      </c>
      <c r="B3577" s="30">
        <v>62.2</v>
      </c>
      <c r="C3577" s="30">
        <v>63</v>
      </c>
      <c r="D3577" s="30"/>
      <c r="E3577" s="30">
        <v>60.6</v>
      </c>
      <c r="F3577" s="30">
        <v>59.7</v>
      </c>
      <c r="G3577" s="30">
        <v>60.8</v>
      </c>
    </row>
    <row r="3578" spans="1:7" x14ac:dyDescent="0.25">
      <c r="A3578" s="29">
        <v>41184</v>
      </c>
      <c r="B3578" s="30">
        <v>65.599999999999994</v>
      </c>
      <c r="C3578" s="30">
        <v>66.5</v>
      </c>
      <c r="D3578" s="30"/>
      <c r="E3578" s="30">
        <v>63.7</v>
      </c>
      <c r="F3578" s="30">
        <v>66.900000000000006</v>
      </c>
      <c r="G3578" s="30">
        <v>65.099999999999994</v>
      </c>
    </row>
    <row r="3579" spans="1:7" x14ac:dyDescent="0.25">
      <c r="A3579" s="29">
        <v>41185</v>
      </c>
      <c r="B3579" s="30">
        <v>67.900000000000006</v>
      </c>
      <c r="C3579" s="30">
        <v>66.3</v>
      </c>
      <c r="D3579" s="30"/>
      <c r="E3579" s="30">
        <v>65.599999999999994</v>
      </c>
      <c r="F3579" s="30">
        <v>75.2</v>
      </c>
      <c r="G3579" s="30">
        <v>66.2</v>
      </c>
    </row>
    <row r="3580" spans="1:7" x14ac:dyDescent="0.25">
      <c r="A3580" s="29">
        <v>41186</v>
      </c>
      <c r="B3580" s="30">
        <v>69.599999999999994</v>
      </c>
      <c r="C3580" s="30">
        <v>70.099999999999994</v>
      </c>
      <c r="D3580" s="30"/>
      <c r="E3580" s="30">
        <v>68.599999999999994</v>
      </c>
      <c r="F3580" s="30">
        <v>72.8</v>
      </c>
      <c r="G3580" s="30">
        <v>71.5</v>
      </c>
    </row>
    <row r="3581" spans="1:7" x14ac:dyDescent="0.25">
      <c r="A3581" s="29">
        <v>41187</v>
      </c>
      <c r="B3581" s="30">
        <v>69.3</v>
      </c>
      <c r="C3581" s="30">
        <v>71.400000000000006</v>
      </c>
      <c r="D3581" s="30"/>
      <c r="E3581" s="30">
        <v>67.8</v>
      </c>
      <c r="F3581" s="30">
        <v>68.8</v>
      </c>
      <c r="G3581" s="30">
        <v>70.099999999999994</v>
      </c>
    </row>
    <row r="3582" spans="1:7" x14ac:dyDescent="0.25">
      <c r="A3582" s="29">
        <v>41188</v>
      </c>
      <c r="B3582" s="30">
        <v>68.099999999999994</v>
      </c>
      <c r="C3582" s="30">
        <v>70.5</v>
      </c>
      <c r="D3582" s="30"/>
      <c r="E3582" s="30">
        <v>66.099999999999994</v>
      </c>
      <c r="F3582" s="30">
        <v>68.400000000000006</v>
      </c>
      <c r="G3582" s="30">
        <v>68.599999999999994</v>
      </c>
    </row>
    <row r="3583" spans="1:7" x14ac:dyDescent="0.25">
      <c r="A3583" s="29">
        <v>41189</v>
      </c>
      <c r="B3583" s="30">
        <v>54.1</v>
      </c>
      <c r="C3583" s="30">
        <v>54.8</v>
      </c>
      <c r="D3583" s="30"/>
      <c r="E3583" s="30">
        <v>52.5</v>
      </c>
      <c r="F3583" s="30">
        <v>51.6</v>
      </c>
      <c r="G3583" s="30">
        <v>52.9</v>
      </c>
    </row>
    <row r="3584" spans="1:7" x14ac:dyDescent="0.25">
      <c r="A3584" s="29">
        <v>41190</v>
      </c>
      <c r="B3584" s="30">
        <v>51</v>
      </c>
      <c r="C3584" s="30">
        <v>51.7</v>
      </c>
      <c r="D3584" s="30"/>
      <c r="E3584" s="30">
        <v>49.9</v>
      </c>
      <c r="F3584" s="30">
        <v>47.3</v>
      </c>
      <c r="G3584" s="30">
        <v>49.9</v>
      </c>
    </row>
    <row r="3585" spans="1:7" x14ac:dyDescent="0.25">
      <c r="A3585" s="29">
        <v>41191</v>
      </c>
      <c r="B3585" s="30">
        <v>55</v>
      </c>
      <c r="C3585" s="30">
        <v>55.4</v>
      </c>
      <c r="D3585" s="30"/>
      <c r="E3585" s="30">
        <v>53.8</v>
      </c>
      <c r="F3585" s="30">
        <v>53.7</v>
      </c>
      <c r="G3585" s="30">
        <v>53.9</v>
      </c>
    </row>
    <row r="3586" spans="1:7" x14ac:dyDescent="0.25">
      <c r="A3586" s="29">
        <v>41192</v>
      </c>
      <c r="B3586" s="30">
        <v>60</v>
      </c>
      <c r="C3586" s="30">
        <v>59.8</v>
      </c>
      <c r="D3586" s="30"/>
      <c r="E3586" s="30">
        <v>58.2</v>
      </c>
      <c r="F3586" s="30">
        <v>61.2</v>
      </c>
      <c r="G3586" s="30">
        <v>59</v>
      </c>
    </row>
    <row r="3587" spans="1:7" x14ac:dyDescent="0.25">
      <c r="A3587" s="29">
        <v>41193</v>
      </c>
      <c r="B3587" s="30">
        <v>55.4</v>
      </c>
      <c r="C3587" s="30">
        <v>56</v>
      </c>
      <c r="D3587" s="30"/>
      <c r="E3587" s="30">
        <v>53.4</v>
      </c>
      <c r="F3587" s="30">
        <v>53.1</v>
      </c>
      <c r="G3587" s="30">
        <v>54.9</v>
      </c>
    </row>
    <row r="3588" spans="1:7" x14ac:dyDescent="0.25">
      <c r="A3588" s="29">
        <v>41194</v>
      </c>
      <c r="B3588" s="30">
        <v>53.6</v>
      </c>
      <c r="C3588" s="30">
        <v>53.7</v>
      </c>
      <c r="D3588" s="30"/>
      <c r="E3588" s="30">
        <v>51.2</v>
      </c>
      <c r="F3588" s="30">
        <v>52</v>
      </c>
      <c r="G3588" s="30">
        <v>51.2</v>
      </c>
    </row>
    <row r="3589" spans="1:7" x14ac:dyDescent="0.25">
      <c r="A3589" s="29">
        <v>41195</v>
      </c>
      <c r="B3589" s="30">
        <v>46.1</v>
      </c>
      <c r="C3589" s="30">
        <v>47.3</v>
      </c>
      <c r="D3589" s="30"/>
      <c r="E3589" s="30">
        <v>45.2</v>
      </c>
      <c r="F3589" s="30">
        <v>44.3</v>
      </c>
      <c r="G3589" s="30">
        <v>45.3</v>
      </c>
    </row>
    <row r="3590" spans="1:7" x14ac:dyDescent="0.25">
      <c r="A3590" s="29">
        <v>41196</v>
      </c>
      <c r="B3590" s="30">
        <v>59.7</v>
      </c>
      <c r="C3590" s="30">
        <v>59.7</v>
      </c>
      <c r="D3590" s="30"/>
      <c r="E3590" s="30">
        <v>58.7</v>
      </c>
      <c r="F3590" s="30">
        <v>57.4</v>
      </c>
      <c r="G3590" s="30">
        <v>58.7</v>
      </c>
    </row>
    <row r="3591" spans="1:7" x14ac:dyDescent="0.25">
      <c r="A3591" s="29">
        <v>41197</v>
      </c>
      <c r="B3591" s="30">
        <v>65.099999999999994</v>
      </c>
      <c r="C3591" s="30">
        <v>67</v>
      </c>
      <c r="D3591" s="30"/>
      <c r="E3591" s="30">
        <v>65.3</v>
      </c>
      <c r="F3591" s="30">
        <v>67.3</v>
      </c>
      <c r="G3591" s="30">
        <v>66.099999999999994</v>
      </c>
    </row>
    <row r="3592" spans="1:7" x14ac:dyDescent="0.25">
      <c r="A3592" s="29">
        <v>41198</v>
      </c>
      <c r="B3592" s="30">
        <v>57.8</v>
      </c>
      <c r="C3592" s="30">
        <v>58.1</v>
      </c>
      <c r="D3592" s="30"/>
      <c r="E3592" s="30">
        <v>55.8</v>
      </c>
      <c r="F3592" s="30">
        <v>56.9</v>
      </c>
      <c r="G3592" s="30">
        <v>57.3</v>
      </c>
    </row>
    <row r="3593" spans="1:7" x14ac:dyDescent="0.25">
      <c r="A3593" s="29">
        <v>41199</v>
      </c>
      <c r="B3593" s="30">
        <v>51.6</v>
      </c>
      <c r="C3593" s="30">
        <v>53.9</v>
      </c>
      <c r="D3593" s="30"/>
      <c r="E3593" s="30">
        <v>51.9</v>
      </c>
      <c r="F3593" s="30">
        <v>49.5</v>
      </c>
      <c r="G3593" s="30">
        <v>52.9</v>
      </c>
    </row>
    <row r="3594" spans="1:7" x14ac:dyDescent="0.25">
      <c r="A3594" s="29">
        <v>41200</v>
      </c>
      <c r="B3594" s="30">
        <v>55.2</v>
      </c>
      <c r="C3594" s="30">
        <v>58.4</v>
      </c>
      <c r="D3594" s="30"/>
      <c r="E3594" s="30">
        <v>56.8</v>
      </c>
      <c r="F3594" s="30">
        <v>52.4</v>
      </c>
      <c r="G3594" s="30">
        <v>55.6</v>
      </c>
    </row>
    <row r="3595" spans="1:7" x14ac:dyDescent="0.25">
      <c r="A3595" s="29">
        <v>41201</v>
      </c>
      <c r="B3595" s="30">
        <v>64.3</v>
      </c>
      <c r="C3595" s="30">
        <v>64.900000000000006</v>
      </c>
      <c r="D3595" s="30"/>
      <c r="E3595" s="30">
        <v>63.2</v>
      </c>
      <c r="F3595" s="30">
        <v>66.3</v>
      </c>
      <c r="G3595" s="30">
        <v>65.099999999999994</v>
      </c>
    </row>
    <row r="3596" spans="1:7" x14ac:dyDescent="0.25">
      <c r="A3596" s="29">
        <v>41202</v>
      </c>
      <c r="B3596" s="30">
        <v>63.7</v>
      </c>
      <c r="C3596" s="30">
        <v>64.900000000000006</v>
      </c>
      <c r="D3596" s="30"/>
      <c r="E3596" s="30">
        <v>62.7</v>
      </c>
      <c r="F3596" s="30">
        <v>63.5</v>
      </c>
      <c r="G3596" s="30">
        <v>63.9</v>
      </c>
    </row>
    <row r="3597" spans="1:7" x14ac:dyDescent="0.25">
      <c r="A3597" s="29">
        <v>41203</v>
      </c>
      <c r="B3597" s="30">
        <v>58.4</v>
      </c>
      <c r="C3597" s="30">
        <v>58.9</v>
      </c>
      <c r="D3597" s="30"/>
      <c r="E3597" s="30">
        <v>56.5</v>
      </c>
      <c r="F3597" s="30">
        <v>54.9</v>
      </c>
      <c r="G3597" s="30">
        <v>57.3</v>
      </c>
    </row>
    <row r="3598" spans="1:7" x14ac:dyDescent="0.25">
      <c r="A3598" s="29">
        <v>41204</v>
      </c>
      <c r="B3598" s="30">
        <v>60</v>
      </c>
      <c r="C3598" s="30">
        <v>60.4</v>
      </c>
      <c r="D3598" s="30"/>
      <c r="E3598" s="30">
        <v>57.8</v>
      </c>
      <c r="F3598" s="30">
        <v>55.7</v>
      </c>
      <c r="G3598" s="30">
        <v>59.1</v>
      </c>
    </row>
    <row r="3599" spans="1:7" x14ac:dyDescent="0.25">
      <c r="A3599" s="29">
        <v>41205</v>
      </c>
      <c r="B3599" s="30">
        <v>59.1</v>
      </c>
      <c r="C3599" s="30">
        <v>61.9</v>
      </c>
      <c r="D3599" s="30"/>
      <c r="E3599" s="30">
        <v>59</v>
      </c>
      <c r="F3599" s="30">
        <v>58.8</v>
      </c>
      <c r="G3599" s="30">
        <v>58.7</v>
      </c>
    </row>
    <row r="3600" spans="1:7" x14ac:dyDescent="0.25">
      <c r="A3600" s="29">
        <v>41206</v>
      </c>
      <c r="B3600" s="30">
        <v>58.9</v>
      </c>
      <c r="C3600" s="30">
        <v>58.2</v>
      </c>
      <c r="D3600" s="30"/>
      <c r="E3600" s="30">
        <v>57.1</v>
      </c>
      <c r="F3600" s="30">
        <v>63</v>
      </c>
      <c r="G3600" s="30">
        <v>58.3</v>
      </c>
    </row>
    <row r="3601" spans="1:7" x14ac:dyDescent="0.25">
      <c r="A3601" s="29">
        <v>41207</v>
      </c>
      <c r="B3601" s="30">
        <v>58.3</v>
      </c>
      <c r="C3601" s="30">
        <v>58.9</v>
      </c>
      <c r="D3601" s="30"/>
      <c r="E3601" s="30">
        <v>58</v>
      </c>
      <c r="F3601" s="30">
        <v>61.1</v>
      </c>
      <c r="G3601" s="30">
        <v>60</v>
      </c>
    </row>
    <row r="3602" spans="1:7" x14ac:dyDescent="0.25">
      <c r="A3602" s="29">
        <v>41208</v>
      </c>
      <c r="B3602" s="30">
        <v>61.5</v>
      </c>
      <c r="C3602" s="30">
        <v>62.2</v>
      </c>
      <c r="D3602" s="30"/>
      <c r="E3602" s="30">
        <v>60.8</v>
      </c>
      <c r="F3602" s="30">
        <v>61.5</v>
      </c>
      <c r="G3602" s="30">
        <v>62.4</v>
      </c>
    </row>
    <row r="3603" spans="1:7" x14ac:dyDescent="0.25">
      <c r="A3603" s="29">
        <v>41209</v>
      </c>
      <c r="B3603" s="30">
        <v>62.5</v>
      </c>
      <c r="C3603" s="30">
        <v>63.2</v>
      </c>
      <c r="D3603" s="30"/>
      <c r="E3603" s="30">
        <v>61.9</v>
      </c>
      <c r="F3603" s="30">
        <v>57.9</v>
      </c>
      <c r="G3603" s="30">
        <v>63.7</v>
      </c>
    </row>
    <row r="3604" spans="1:7" x14ac:dyDescent="0.25">
      <c r="A3604" s="29">
        <v>41210</v>
      </c>
      <c r="B3604" s="30">
        <v>58.3</v>
      </c>
      <c r="C3604" s="30">
        <v>59.2</v>
      </c>
      <c r="D3604" s="30"/>
      <c r="E3604" s="30">
        <v>57.7</v>
      </c>
      <c r="F3604" s="30">
        <v>57.7</v>
      </c>
      <c r="G3604" s="30">
        <v>58.9</v>
      </c>
    </row>
    <row r="3605" spans="1:7" x14ac:dyDescent="0.25">
      <c r="A3605" s="29">
        <v>41211</v>
      </c>
      <c r="B3605" s="30">
        <v>57.1</v>
      </c>
      <c r="C3605" s="30">
        <v>58.4</v>
      </c>
      <c r="D3605" s="30"/>
      <c r="E3605" s="30">
        <v>56.9</v>
      </c>
      <c r="F3605" s="30">
        <v>55.6</v>
      </c>
      <c r="G3605" s="30">
        <v>57.2</v>
      </c>
    </row>
    <row r="3606" spans="1:7" x14ac:dyDescent="0.25">
      <c r="A3606" s="29">
        <v>41212</v>
      </c>
      <c r="B3606" s="30">
        <v>57.4</v>
      </c>
      <c r="C3606" s="30">
        <v>57.7</v>
      </c>
      <c r="D3606" s="30"/>
      <c r="E3606" s="30">
        <v>53.9</v>
      </c>
      <c r="F3606" s="30">
        <v>49.2</v>
      </c>
      <c r="G3606" s="30">
        <v>55.2</v>
      </c>
    </row>
    <row r="3607" spans="1:7" x14ac:dyDescent="0.25">
      <c r="A3607" s="29">
        <v>41213</v>
      </c>
      <c r="B3607" s="30">
        <v>48.5</v>
      </c>
      <c r="C3607" s="30">
        <v>51.4</v>
      </c>
      <c r="D3607" s="30"/>
      <c r="E3607" s="30">
        <v>49.7</v>
      </c>
      <c r="F3607" s="30">
        <v>46.2</v>
      </c>
      <c r="G3607" s="30">
        <v>47.4</v>
      </c>
    </row>
    <row r="3608" spans="1:7" x14ac:dyDescent="0.25">
      <c r="A3608" s="29">
        <v>41214</v>
      </c>
      <c r="B3608" s="30">
        <v>48.2</v>
      </c>
      <c r="C3608" s="30">
        <v>47.5</v>
      </c>
      <c r="D3608" s="30"/>
      <c r="E3608" s="30">
        <v>47.7</v>
      </c>
      <c r="F3608" s="30">
        <v>46.5</v>
      </c>
      <c r="G3608" s="30">
        <v>46.6</v>
      </c>
    </row>
    <row r="3609" spans="1:7" x14ac:dyDescent="0.25">
      <c r="A3609" s="29">
        <v>41215</v>
      </c>
      <c r="B3609" s="30">
        <v>49.4</v>
      </c>
      <c r="C3609" s="30">
        <v>49.2</v>
      </c>
      <c r="D3609" s="30"/>
      <c r="E3609" s="30">
        <v>48.2</v>
      </c>
      <c r="F3609" s="30">
        <v>47.3</v>
      </c>
      <c r="G3609" s="30">
        <v>49</v>
      </c>
    </row>
    <row r="3610" spans="1:7" x14ac:dyDescent="0.25">
      <c r="A3610" s="29">
        <v>41216</v>
      </c>
      <c r="B3610" s="30">
        <v>45.8</v>
      </c>
      <c r="C3610" s="30">
        <v>46.6</v>
      </c>
      <c r="D3610" s="30"/>
      <c r="E3610" s="30">
        <v>44.7</v>
      </c>
      <c r="F3610" s="30">
        <v>44.8</v>
      </c>
      <c r="G3610" s="30">
        <v>45.9</v>
      </c>
    </row>
    <row r="3611" spans="1:7" x14ac:dyDescent="0.25">
      <c r="A3611" s="29">
        <v>41217</v>
      </c>
      <c r="B3611" s="30">
        <v>44.7</v>
      </c>
      <c r="C3611" s="30">
        <v>45.3</v>
      </c>
      <c r="D3611" s="30"/>
      <c r="E3611" s="30">
        <v>43.2</v>
      </c>
      <c r="F3611" s="30">
        <v>41.9</v>
      </c>
      <c r="G3611" s="30">
        <v>44.1</v>
      </c>
    </row>
    <row r="3612" spans="1:7" x14ac:dyDescent="0.25">
      <c r="A3612" s="29">
        <v>41218</v>
      </c>
      <c r="B3612" s="30">
        <v>43</v>
      </c>
      <c r="C3612" s="30">
        <v>43.2</v>
      </c>
      <c r="D3612" s="30"/>
      <c r="E3612" s="30">
        <v>42.3</v>
      </c>
      <c r="F3612" s="30">
        <v>41.3</v>
      </c>
      <c r="G3612" s="30">
        <v>42.7</v>
      </c>
    </row>
    <row r="3613" spans="1:7" x14ac:dyDescent="0.25">
      <c r="A3613" s="29">
        <v>41219</v>
      </c>
      <c r="B3613" s="30">
        <v>38</v>
      </c>
      <c r="C3613" s="30">
        <v>38.4</v>
      </c>
      <c r="D3613" s="30"/>
      <c r="E3613" s="30">
        <v>36.6</v>
      </c>
      <c r="F3613" s="30">
        <v>35.700000000000003</v>
      </c>
      <c r="G3613" s="30">
        <v>36.700000000000003</v>
      </c>
    </row>
    <row r="3614" spans="1:7" x14ac:dyDescent="0.25">
      <c r="A3614" s="29">
        <v>41220</v>
      </c>
      <c r="B3614" s="30">
        <v>37.799999999999997</v>
      </c>
      <c r="C3614" s="30">
        <v>38.9</v>
      </c>
      <c r="D3614" s="30"/>
      <c r="E3614" s="30">
        <v>37.1</v>
      </c>
      <c r="F3614" s="30">
        <v>38.6</v>
      </c>
      <c r="G3614" s="30">
        <v>37.5</v>
      </c>
    </row>
    <row r="3615" spans="1:7" x14ac:dyDescent="0.25">
      <c r="A3615" s="29">
        <v>41221</v>
      </c>
      <c r="B3615" s="30">
        <v>37.1</v>
      </c>
      <c r="C3615" s="30">
        <v>40.1</v>
      </c>
      <c r="D3615" s="30"/>
      <c r="E3615" s="30">
        <v>41.2</v>
      </c>
      <c r="F3615" s="30">
        <v>37.4</v>
      </c>
      <c r="G3615" s="30">
        <v>38.5</v>
      </c>
    </row>
    <row r="3616" spans="1:7" x14ac:dyDescent="0.25">
      <c r="A3616" s="29">
        <v>41222</v>
      </c>
      <c r="B3616" s="30">
        <v>42.7</v>
      </c>
      <c r="C3616" s="30">
        <v>44.9</v>
      </c>
      <c r="D3616" s="30"/>
      <c r="E3616" s="30">
        <v>43.3</v>
      </c>
      <c r="F3616" s="30">
        <v>42.2</v>
      </c>
      <c r="G3616" s="30">
        <v>44.2</v>
      </c>
    </row>
    <row r="3617" spans="1:7" x14ac:dyDescent="0.25">
      <c r="A3617" s="29">
        <v>41223</v>
      </c>
      <c r="B3617" s="30">
        <v>47.3</v>
      </c>
      <c r="C3617" s="30">
        <v>49.6</v>
      </c>
      <c r="D3617" s="30"/>
      <c r="E3617" s="30">
        <v>48</v>
      </c>
      <c r="F3617" s="30">
        <v>43.9</v>
      </c>
      <c r="G3617" s="30">
        <v>47.6</v>
      </c>
    </row>
    <row r="3618" spans="1:7" x14ac:dyDescent="0.25">
      <c r="A3618" s="29">
        <v>41224</v>
      </c>
      <c r="B3618" s="30">
        <v>51.5</v>
      </c>
      <c r="C3618" s="30">
        <v>54.1</v>
      </c>
      <c r="D3618" s="30"/>
      <c r="E3618" s="30">
        <v>54.7</v>
      </c>
      <c r="F3618" s="30">
        <v>50.9</v>
      </c>
      <c r="G3618" s="30">
        <v>53</v>
      </c>
    </row>
    <row r="3619" spans="1:7" x14ac:dyDescent="0.25">
      <c r="A3619" s="29">
        <v>41225</v>
      </c>
      <c r="B3619" s="30">
        <v>55</v>
      </c>
      <c r="C3619" s="30">
        <v>56</v>
      </c>
      <c r="D3619" s="30"/>
      <c r="E3619" s="30">
        <v>56.7</v>
      </c>
      <c r="F3619" s="30">
        <v>57.2</v>
      </c>
      <c r="G3619" s="30">
        <v>55.1</v>
      </c>
    </row>
    <row r="3620" spans="1:7" x14ac:dyDescent="0.25">
      <c r="A3620" s="29">
        <v>41226</v>
      </c>
      <c r="B3620" s="30">
        <v>52.4</v>
      </c>
      <c r="C3620" s="30">
        <v>53.3</v>
      </c>
      <c r="D3620" s="30"/>
      <c r="E3620" s="30">
        <v>52.4</v>
      </c>
      <c r="F3620" s="30">
        <v>52.7</v>
      </c>
      <c r="G3620" s="30">
        <v>53.3</v>
      </c>
    </row>
    <row r="3621" spans="1:7" x14ac:dyDescent="0.25">
      <c r="A3621" s="29">
        <v>41227</v>
      </c>
      <c r="B3621" s="30">
        <v>42.3</v>
      </c>
      <c r="C3621" s="30">
        <v>43.3</v>
      </c>
      <c r="D3621" s="30"/>
      <c r="E3621" s="30">
        <v>42.8</v>
      </c>
      <c r="F3621" s="30">
        <v>39.799999999999997</v>
      </c>
      <c r="G3621" s="30">
        <v>42</v>
      </c>
    </row>
    <row r="3622" spans="1:7" x14ac:dyDescent="0.25">
      <c r="A3622" s="29">
        <v>41228</v>
      </c>
      <c r="B3622" s="30">
        <v>40.200000000000003</v>
      </c>
      <c r="C3622" s="30">
        <v>41.7</v>
      </c>
      <c r="D3622" s="30"/>
      <c r="E3622" s="30">
        <v>40.4</v>
      </c>
      <c r="F3622" s="30">
        <v>41.3</v>
      </c>
      <c r="G3622" s="30">
        <v>40.299999999999997</v>
      </c>
    </row>
    <row r="3623" spans="1:7" x14ac:dyDescent="0.25">
      <c r="A3623" s="29">
        <v>41229</v>
      </c>
      <c r="B3623" s="30">
        <v>41.3</v>
      </c>
      <c r="C3623" s="30">
        <v>42.6</v>
      </c>
      <c r="D3623" s="30"/>
      <c r="E3623" s="30">
        <v>41.9</v>
      </c>
      <c r="F3623" s="30">
        <v>40.1</v>
      </c>
      <c r="G3623" s="30">
        <v>41.3</v>
      </c>
    </row>
    <row r="3624" spans="1:7" x14ac:dyDescent="0.25">
      <c r="A3624" s="29">
        <v>41230</v>
      </c>
      <c r="B3624" s="30">
        <v>43.5</v>
      </c>
      <c r="C3624" s="30">
        <v>44.8</v>
      </c>
      <c r="D3624" s="30"/>
      <c r="E3624" s="30">
        <v>43.6</v>
      </c>
      <c r="F3624" s="30">
        <v>37.700000000000003</v>
      </c>
      <c r="G3624" s="30">
        <v>42.7</v>
      </c>
    </row>
    <row r="3625" spans="1:7" x14ac:dyDescent="0.25">
      <c r="A3625" s="29">
        <v>41231</v>
      </c>
      <c r="B3625" s="30">
        <v>43.4</v>
      </c>
      <c r="C3625" s="30">
        <v>44.7</v>
      </c>
      <c r="D3625" s="30"/>
      <c r="E3625" s="30">
        <v>43.2</v>
      </c>
      <c r="F3625" s="30">
        <v>42.6</v>
      </c>
      <c r="G3625" s="30">
        <v>42.1</v>
      </c>
    </row>
    <row r="3626" spans="1:7" x14ac:dyDescent="0.25">
      <c r="A3626" s="29">
        <v>41232</v>
      </c>
      <c r="B3626" s="30">
        <v>43.1</v>
      </c>
      <c r="C3626" s="30">
        <v>43.9</v>
      </c>
      <c r="D3626" s="30"/>
      <c r="E3626" s="30">
        <v>43</v>
      </c>
      <c r="F3626" s="30">
        <v>48.2</v>
      </c>
      <c r="G3626" s="30">
        <v>42.7</v>
      </c>
    </row>
    <row r="3627" spans="1:7" x14ac:dyDescent="0.25">
      <c r="A3627" s="29">
        <v>41233</v>
      </c>
      <c r="B3627" s="30">
        <v>44.3</v>
      </c>
      <c r="C3627" s="30">
        <v>45.3</v>
      </c>
      <c r="D3627" s="30"/>
      <c r="E3627" s="30">
        <v>44.4</v>
      </c>
      <c r="F3627" s="30">
        <v>47</v>
      </c>
      <c r="G3627" s="30">
        <v>42.4</v>
      </c>
    </row>
    <row r="3628" spans="1:7" x14ac:dyDescent="0.25">
      <c r="A3628" s="29">
        <v>41234</v>
      </c>
      <c r="B3628" s="30">
        <v>46</v>
      </c>
      <c r="C3628" s="30">
        <v>47.5</v>
      </c>
      <c r="D3628" s="30"/>
      <c r="E3628" s="30">
        <v>46.5</v>
      </c>
      <c r="F3628" s="30">
        <v>43.2</v>
      </c>
      <c r="G3628" s="30">
        <v>44.7</v>
      </c>
    </row>
    <row r="3629" spans="1:7" x14ac:dyDescent="0.25">
      <c r="A3629" s="29">
        <v>41235</v>
      </c>
      <c r="B3629" s="30">
        <v>45.5</v>
      </c>
      <c r="C3629" s="30">
        <v>47.6</v>
      </c>
      <c r="D3629" s="30"/>
      <c r="E3629" s="30">
        <v>47.3</v>
      </c>
      <c r="F3629" s="30">
        <v>41</v>
      </c>
      <c r="G3629" s="30">
        <v>44.8</v>
      </c>
    </row>
    <row r="3630" spans="1:7" x14ac:dyDescent="0.25">
      <c r="A3630" s="29">
        <v>41236</v>
      </c>
      <c r="B3630" s="30">
        <v>44.4</v>
      </c>
      <c r="C3630" s="30">
        <v>48.5</v>
      </c>
      <c r="D3630" s="30"/>
      <c r="E3630" s="30">
        <v>48.3</v>
      </c>
      <c r="F3630" s="30">
        <v>40.700000000000003</v>
      </c>
      <c r="G3630" s="30">
        <v>46.4</v>
      </c>
    </row>
    <row r="3631" spans="1:7" x14ac:dyDescent="0.25">
      <c r="A3631" s="29">
        <v>41237</v>
      </c>
      <c r="B3631" s="30">
        <v>44.8</v>
      </c>
      <c r="C3631" s="30">
        <v>46</v>
      </c>
      <c r="D3631" s="30"/>
      <c r="E3631" s="30">
        <v>44.1</v>
      </c>
      <c r="F3631" s="30">
        <v>43.4</v>
      </c>
      <c r="G3631" s="30">
        <v>44.4</v>
      </c>
    </row>
    <row r="3632" spans="1:7" x14ac:dyDescent="0.25">
      <c r="A3632" s="29">
        <v>41238</v>
      </c>
      <c r="B3632" s="30">
        <v>37.9</v>
      </c>
      <c r="C3632" s="30">
        <v>38.5</v>
      </c>
      <c r="D3632" s="30"/>
      <c r="E3632" s="30">
        <v>36.6</v>
      </c>
      <c r="F3632" s="30">
        <v>36</v>
      </c>
      <c r="G3632" s="30">
        <v>37.5</v>
      </c>
    </row>
    <row r="3633" spans="1:7" x14ac:dyDescent="0.25">
      <c r="A3633" s="29">
        <v>41239</v>
      </c>
      <c r="B3633" s="30">
        <v>40.6</v>
      </c>
      <c r="C3633" s="30">
        <v>42.3</v>
      </c>
      <c r="D3633" s="30"/>
      <c r="E3633" s="30">
        <v>40.299999999999997</v>
      </c>
      <c r="F3633" s="30">
        <v>36.799999999999997</v>
      </c>
      <c r="G3633" s="30">
        <v>39.200000000000003</v>
      </c>
    </row>
    <row r="3634" spans="1:7" x14ac:dyDescent="0.25">
      <c r="A3634" s="29">
        <v>41240</v>
      </c>
      <c r="B3634" s="30">
        <v>39</v>
      </c>
      <c r="C3634" s="30">
        <v>40.5</v>
      </c>
      <c r="D3634" s="30"/>
      <c r="E3634" s="30">
        <v>38.700000000000003</v>
      </c>
      <c r="F3634" s="30">
        <v>36.4</v>
      </c>
      <c r="G3634" s="30">
        <v>37.5</v>
      </c>
    </row>
    <row r="3635" spans="1:7" x14ac:dyDescent="0.25">
      <c r="A3635" s="29">
        <v>41241</v>
      </c>
      <c r="B3635" s="30">
        <v>37.9</v>
      </c>
      <c r="C3635" s="30">
        <v>38.5</v>
      </c>
      <c r="D3635" s="30"/>
      <c r="E3635" s="30">
        <v>37.5</v>
      </c>
      <c r="F3635" s="30">
        <v>37.5</v>
      </c>
      <c r="G3635" s="30">
        <v>37.5</v>
      </c>
    </row>
    <row r="3636" spans="1:7" x14ac:dyDescent="0.25">
      <c r="A3636" s="29">
        <v>41242</v>
      </c>
      <c r="B3636" s="30">
        <v>38.299999999999997</v>
      </c>
      <c r="C3636" s="30">
        <v>39.799999999999997</v>
      </c>
      <c r="D3636" s="30"/>
      <c r="E3636" s="30">
        <v>37.5</v>
      </c>
      <c r="F3636" s="30">
        <v>35</v>
      </c>
      <c r="G3636" s="30">
        <v>36.200000000000003</v>
      </c>
    </row>
    <row r="3637" spans="1:7" x14ac:dyDescent="0.25">
      <c r="A3637" s="29">
        <v>41243</v>
      </c>
      <c r="B3637" s="30">
        <v>40.4</v>
      </c>
      <c r="C3637" s="30">
        <v>43</v>
      </c>
      <c r="D3637" s="30"/>
      <c r="E3637" s="30">
        <v>41.3</v>
      </c>
      <c r="F3637" s="30">
        <v>37.799999999999997</v>
      </c>
      <c r="G3637" s="30">
        <v>39.6</v>
      </c>
    </row>
    <row r="3638" spans="1:7" x14ac:dyDescent="0.25">
      <c r="A3638" s="29">
        <v>41244</v>
      </c>
      <c r="B3638" s="30">
        <v>41</v>
      </c>
      <c r="C3638" s="30">
        <v>39.5</v>
      </c>
      <c r="D3638" s="30"/>
      <c r="E3638" s="30">
        <v>38.5</v>
      </c>
      <c r="F3638" s="30">
        <v>44.1</v>
      </c>
      <c r="G3638" s="30">
        <v>39.6</v>
      </c>
    </row>
    <row r="3639" spans="1:7" x14ac:dyDescent="0.25">
      <c r="A3639" s="29">
        <v>41245</v>
      </c>
      <c r="B3639" s="30">
        <v>44</v>
      </c>
      <c r="C3639" s="30">
        <v>44.3</v>
      </c>
      <c r="D3639" s="30"/>
      <c r="E3639" s="30">
        <v>44.3</v>
      </c>
      <c r="F3639" s="30">
        <v>44.6</v>
      </c>
      <c r="G3639" s="30">
        <v>42.9</v>
      </c>
    </row>
    <row r="3640" spans="1:7" x14ac:dyDescent="0.25">
      <c r="A3640" s="29">
        <v>41246</v>
      </c>
      <c r="B3640" s="30">
        <v>52.4</v>
      </c>
      <c r="C3640" s="30">
        <v>53.9</v>
      </c>
      <c r="D3640" s="30"/>
      <c r="E3640" s="30">
        <v>53.5</v>
      </c>
      <c r="F3640" s="30">
        <v>56.1</v>
      </c>
      <c r="G3640" s="30">
        <v>52.6</v>
      </c>
    </row>
    <row r="3641" spans="1:7" x14ac:dyDescent="0.25">
      <c r="A3641" s="29">
        <v>41247</v>
      </c>
      <c r="B3641" s="30">
        <v>50.7</v>
      </c>
      <c r="C3641" s="30">
        <v>51.4</v>
      </c>
      <c r="D3641" s="30"/>
      <c r="E3641" s="30">
        <v>51.9</v>
      </c>
      <c r="F3641" s="30">
        <v>53.1</v>
      </c>
      <c r="G3641" s="30">
        <v>52.4</v>
      </c>
    </row>
    <row r="3642" spans="1:7" x14ac:dyDescent="0.25">
      <c r="A3642" s="29">
        <v>41248</v>
      </c>
      <c r="B3642" s="30">
        <v>52</v>
      </c>
      <c r="C3642" s="30">
        <v>53</v>
      </c>
      <c r="D3642" s="30"/>
      <c r="E3642" s="30">
        <v>52.6</v>
      </c>
      <c r="F3642" s="30">
        <v>54.4</v>
      </c>
      <c r="G3642" s="30">
        <v>53.6</v>
      </c>
    </row>
    <row r="3643" spans="1:7" x14ac:dyDescent="0.25">
      <c r="A3643" s="29">
        <v>41249</v>
      </c>
      <c r="B3643" s="30">
        <v>35.9</v>
      </c>
      <c r="C3643" s="30">
        <v>36.700000000000003</v>
      </c>
      <c r="D3643" s="30"/>
      <c r="E3643" s="30">
        <v>35</v>
      </c>
      <c r="F3643" s="30">
        <v>35.299999999999997</v>
      </c>
      <c r="G3643" s="30">
        <v>36.299999999999997</v>
      </c>
    </row>
    <row r="3644" spans="1:7" x14ac:dyDescent="0.25">
      <c r="A3644" s="29">
        <v>41250</v>
      </c>
      <c r="B3644" s="30">
        <v>38.4</v>
      </c>
      <c r="C3644" s="30">
        <v>40.9</v>
      </c>
      <c r="D3644" s="30"/>
      <c r="E3644" s="30">
        <v>38.799999999999997</v>
      </c>
      <c r="F3644" s="30">
        <v>37.299999999999997</v>
      </c>
      <c r="G3644" s="30">
        <v>36.6</v>
      </c>
    </row>
    <row r="3645" spans="1:7" x14ac:dyDescent="0.25">
      <c r="A3645" s="29">
        <v>41251</v>
      </c>
      <c r="B3645" s="30">
        <v>47.6</v>
      </c>
      <c r="C3645" s="30">
        <v>46.9</v>
      </c>
      <c r="D3645" s="30"/>
      <c r="E3645" s="30">
        <v>47.3</v>
      </c>
      <c r="F3645" s="30">
        <v>51.2</v>
      </c>
      <c r="G3645" s="30">
        <v>45.4</v>
      </c>
    </row>
    <row r="3646" spans="1:7" x14ac:dyDescent="0.25">
      <c r="A3646" s="29">
        <v>41252</v>
      </c>
      <c r="B3646" s="30">
        <v>45.8</v>
      </c>
      <c r="C3646" s="30">
        <v>47.5</v>
      </c>
      <c r="D3646" s="30"/>
      <c r="E3646" s="30">
        <v>46.2</v>
      </c>
      <c r="F3646" s="30">
        <v>48.8</v>
      </c>
      <c r="G3646" s="30">
        <v>46.1</v>
      </c>
    </row>
    <row r="3647" spans="1:7" x14ac:dyDescent="0.25">
      <c r="A3647" s="29">
        <v>41253</v>
      </c>
      <c r="B3647" s="30">
        <v>49.9</v>
      </c>
      <c r="C3647" s="30">
        <v>50.6</v>
      </c>
      <c r="D3647" s="30"/>
      <c r="E3647" s="30">
        <v>50.3</v>
      </c>
      <c r="F3647" s="30">
        <v>55.7</v>
      </c>
      <c r="G3647" s="30">
        <v>49.3</v>
      </c>
    </row>
    <row r="3648" spans="1:7" x14ac:dyDescent="0.25">
      <c r="A3648" s="29">
        <v>41254</v>
      </c>
      <c r="B3648" s="30">
        <v>48.9</v>
      </c>
      <c r="C3648" s="30">
        <v>49.8</v>
      </c>
      <c r="D3648" s="30"/>
      <c r="E3648" s="30">
        <v>50.1</v>
      </c>
      <c r="F3648" s="30">
        <v>51.9</v>
      </c>
      <c r="G3648" s="30">
        <v>49.1</v>
      </c>
    </row>
    <row r="3649" spans="1:7" x14ac:dyDescent="0.25">
      <c r="A3649" s="29">
        <v>41255</v>
      </c>
      <c r="B3649" s="30">
        <v>41</v>
      </c>
      <c r="C3649" s="30">
        <v>41.7</v>
      </c>
      <c r="D3649" s="30"/>
      <c r="E3649" s="30">
        <v>40.1</v>
      </c>
      <c r="F3649" s="30">
        <v>38.5</v>
      </c>
      <c r="G3649" s="30">
        <v>41.3</v>
      </c>
    </row>
    <row r="3650" spans="1:7" x14ac:dyDescent="0.25">
      <c r="A3650" s="29">
        <v>41256</v>
      </c>
      <c r="B3650" s="30">
        <v>40.1</v>
      </c>
      <c r="C3650" s="30">
        <v>41.8</v>
      </c>
      <c r="D3650" s="30"/>
      <c r="E3650" s="30">
        <v>40.299999999999997</v>
      </c>
      <c r="F3650" s="30">
        <v>38.200000000000003</v>
      </c>
      <c r="G3650" s="30">
        <v>39.299999999999997</v>
      </c>
    </row>
    <row r="3651" spans="1:7" x14ac:dyDescent="0.25">
      <c r="A3651" s="29">
        <v>41257</v>
      </c>
      <c r="B3651" s="30">
        <v>39.9</v>
      </c>
      <c r="C3651" s="30">
        <v>42.9</v>
      </c>
      <c r="D3651" s="30"/>
      <c r="E3651" s="30">
        <v>41.4</v>
      </c>
      <c r="F3651" s="30">
        <v>35.200000000000003</v>
      </c>
      <c r="G3651" s="30">
        <v>39.299999999999997</v>
      </c>
    </row>
    <row r="3652" spans="1:7" x14ac:dyDescent="0.25">
      <c r="A3652" s="29">
        <v>41258</v>
      </c>
      <c r="B3652" s="30">
        <v>41.8</v>
      </c>
      <c r="C3652" s="30">
        <v>44</v>
      </c>
      <c r="D3652" s="30"/>
      <c r="E3652" s="30">
        <v>42.6</v>
      </c>
      <c r="F3652" s="30">
        <v>37.299999999999997</v>
      </c>
      <c r="G3652" s="30">
        <v>41</v>
      </c>
    </row>
    <row r="3653" spans="1:7" x14ac:dyDescent="0.25">
      <c r="A3653" s="29">
        <v>41259</v>
      </c>
      <c r="B3653" s="30">
        <v>45</v>
      </c>
      <c r="C3653" s="30">
        <v>45.3</v>
      </c>
      <c r="D3653" s="30"/>
      <c r="E3653" s="30">
        <v>44.5</v>
      </c>
      <c r="F3653" s="30">
        <v>47.9</v>
      </c>
      <c r="G3653" s="30">
        <v>46.4</v>
      </c>
    </row>
    <row r="3654" spans="1:7" x14ac:dyDescent="0.25">
      <c r="A3654" s="29">
        <v>41260</v>
      </c>
      <c r="B3654" s="30">
        <v>43.9</v>
      </c>
      <c r="C3654" s="30">
        <v>42.8</v>
      </c>
      <c r="D3654" s="30"/>
      <c r="E3654" s="30">
        <v>42</v>
      </c>
      <c r="F3654" s="30">
        <v>48.1</v>
      </c>
      <c r="G3654" s="30">
        <v>43.2</v>
      </c>
    </row>
    <row r="3655" spans="1:7" x14ac:dyDescent="0.25">
      <c r="A3655" s="29">
        <v>41261</v>
      </c>
      <c r="B3655" s="30">
        <v>48.3</v>
      </c>
      <c r="C3655" s="30">
        <v>47.3</v>
      </c>
      <c r="D3655" s="30"/>
      <c r="E3655" s="30">
        <v>47.3</v>
      </c>
      <c r="F3655" s="30">
        <v>54</v>
      </c>
      <c r="G3655" s="30">
        <v>47.8</v>
      </c>
    </row>
    <row r="3656" spans="1:7" x14ac:dyDescent="0.25">
      <c r="A3656" s="29">
        <v>41262</v>
      </c>
      <c r="B3656" s="30">
        <v>45.2</v>
      </c>
      <c r="C3656" s="30">
        <v>45.4</v>
      </c>
      <c r="D3656" s="30"/>
      <c r="E3656" s="30">
        <v>44</v>
      </c>
      <c r="F3656" s="30">
        <v>44</v>
      </c>
      <c r="G3656" s="30">
        <v>44.2</v>
      </c>
    </row>
    <row r="3657" spans="1:7" x14ac:dyDescent="0.25">
      <c r="A3657" s="29">
        <v>41263</v>
      </c>
      <c r="B3657" s="30">
        <v>39.4</v>
      </c>
      <c r="C3657" s="30">
        <v>40.700000000000003</v>
      </c>
      <c r="D3657" s="30"/>
      <c r="E3657" s="30">
        <v>39.799999999999997</v>
      </c>
      <c r="F3657" s="30">
        <v>37.799999999999997</v>
      </c>
      <c r="G3657" s="30">
        <v>39.6</v>
      </c>
    </row>
    <row r="3658" spans="1:7" x14ac:dyDescent="0.25">
      <c r="A3658" s="29">
        <v>41264</v>
      </c>
      <c r="B3658" s="30">
        <v>48.1</v>
      </c>
      <c r="C3658" s="30">
        <v>48.3</v>
      </c>
      <c r="D3658" s="30"/>
      <c r="E3658" s="30">
        <v>47.3</v>
      </c>
      <c r="F3658" s="30">
        <v>48.6</v>
      </c>
      <c r="G3658" s="30">
        <v>48</v>
      </c>
    </row>
    <row r="3659" spans="1:7" x14ac:dyDescent="0.25">
      <c r="A3659" s="29">
        <v>41265</v>
      </c>
      <c r="B3659" s="30">
        <v>38.200000000000003</v>
      </c>
      <c r="C3659" s="30">
        <v>38.4</v>
      </c>
      <c r="D3659" s="30"/>
      <c r="E3659" s="30">
        <v>37.4</v>
      </c>
      <c r="F3659" s="30">
        <v>39.1</v>
      </c>
      <c r="G3659" s="30">
        <v>38</v>
      </c>
    </row>
    <row r="3660" spans="1:7" x14ac:dyDescent="0.25">
      <c r="A3660" s="29">
        <v>41266</v>
      </c>
      <c r="B3660" s="30">
        <v>38.700000000000003</v>
      </c>
      <c r="C3660" s="30">
        <v>39.299999999999997</v>
      </c>
      <c r="D3660" s="30"/>
      <c r="E3660" s="30">
        <v>37.799999999999997</v>
      </c>
      <c r="F3660" s="30">
        <v>35.9</v>
      </c>
      <c r="G3660" s="30">
        <v>38.9</v>
      </c>
    </row>
    <row r="3661" spans="1:7" x14ac:dyDescent="0.25">
      <c r="A3661" s="29">
        <v>41267</v>
      </c>
      <c r="B3661" s="30">
        <v>37.4</v>
      </c>
      <c r="C3661" s="30">
        <v>38.799999999999997</v>
      </c>
      <c r="D3661" s="30"/>
      <c r="E3661" s="30">
        <v>37</v>
      </c>
      <c r="F3661" s="30">
        <v>33.5</v>
      </c>
      <c r="G3661" s="30">
        <v>35.9</v>
      </c>
    </row>
    <row r="3662" spans="1:7" x14ac:dyDescent="0.25">
      <c r="A3662" s="29">
        <v>41268</v>
      </c>
      <c r="B3662" s="30">
        <v>37.9</v>
      </c>
      <c r="C3662" s="30">
        <v>37.5</v>
      </c>
      <c r="D3662" s="30"/>
      <c r="E3662" s="30">
        <v>37.5</v>
      </c>
      <c r="F3662" s="30">
        <v>38.799999999999997</v>
      </c>
      <c r="G3662" s="30">
        <v>37.299999999999997</v>
      </c>
    </row>
    <row r="3663" spans="1:7" x14ac:dyDescent="0.25">
      <c r="A3663" s="29">
        <v>41269</v>
      </c>
      <c r="B3663" s="30">
        <v>32.9</v>
      </c>
      <c r="C3663" s="30">
        <v>33.200000000000003</v>
      </c>
      <c r="D3663" s="30"/>
      <c r="E3663" s="30">
        <v>32.200000000000003</v>
      </c>
      <c r="F3663" s="30">
        <v>37.4</v>
      </c>
      <c r="G3663" s="30">
        <v>32.1</v>
      </c>
    </row>
    <row r="3664" spans="1:7" x14ac:dyDescent="0.25">
      <c r="A3664" s="29">
        <v>41270</v>
      </c>
      <c r="B3664" s="30">
        <v>39.799999999999997</v>
      </c>
      <c r="C3664" s="30">
        <v>39.1</v>
      </c>
      <c r="D3664" s="30"/>
      <c r="E3664" s="30">
        <v>39.1</v>
      </c>
      <c r="F3664" s="30">
        <v>43.3</v>
      </c>
      <c r="G3664" s="30">
        <v>38.6</v>
      </c>
    </row>
    <row r="3665" spans="1:7" x14ac:dyDescent="0.25">
      <c r="A3665" s="29">
        <v>41271</v>
      </c>
      <c r="B3665" s="30">
        <v>33.799999999999997</v>
      </c>
      <c r="C3665" s="30">
        <v>33.799999999999997</v>
      </c>
      <c r="D3665" s="30"/>
      <c r="E3665" s="30">
        <v>33</v>
      </c>
      <c r="F3665" s="30">
        <v>35.299999999999997</v>
      </c>
      <c r="G3665" s="30">
        <v>33.5</v>
      </c>
    </row>
    <row r="3666" spans="1:7" x14ac:dyDescent="0.25">
      <c r="A3666" s="29">
        <v>41272</v>
      </c>
      <c r="B3666" s="30">
        <v>33.1</v>
      </c>
      <c r="C3666" s="30">
        <v>33.5</v>
      </c>
      <c r="D3666" s="30"/>
      <c r="E3666" s="30">
        <v>32.5</v>
      </c>
      <c r="F3666" s="30">
        <v>34.200000000000003</v>
      </c>
      <c r="G3666" s="30">
        <v>31.8</v>
      </c>
    </row>
    <row r="3667" spans="1:7" x14ac:dyDescent="0.25">
      <c r="A3667" s="29">
        <v>41273</v>
      </c>
      <c r="B3667" s="30">
        <v>33</v>
      </c>
      <c r="C3667" s="30">
        <v>33.5</v>
      </c>
      <c r="D3667" s="30"/>
      <c r="E3667" s="30">
        <v>32.4</v>
      </c>
      <c r="F3667" s="30">
        <v>34.799999999999997</v>
      </c>
      <c r="G3667" s="30">
        <v>32.299999999999997</v>
      </c>
    </row>
    <row r="3668" spans="1:7" x14ac:dyDescent="0.25">
      <c r="A3668" s="29">
        <v>41274</v>
      </c>
      <c r="B3668" s="30">
        <v>32.5</v>
      </c>
      <c r="C3668" s="30">
        <v>33</v>
      </c>
      <c r="D3668" s="30"/>
      <c r="E3668" s="30">
        <v>31.5</v>
      </c>
      <c r="F3668" s="30">
        <v>33.5</v>
      </c>
      <c r="G3668" s="30">
        <v>31.7</v>
      </c>
    </row>
    <row r="3669" spans="1:7" x14ac:dyDescent="0.25">
      <c r="A3669" s="29">
        <v>41275</v>
      </c>
      <c r="B3669" s="30">
        <v>39.1</v>
      </c>
      <c r="C3669" s="30">
        <v>39.5</v>
      </c>
      <c r="D3669" s="30">
        <v>37.799999999999997</v>
      </c>
      <c r="E3669" s="30"/>
      <c r="F3669" s="30">
        <v>41.3</v>
      </c>
      <c r="G3669" s="30">
        <v>38.6</v>
      </c>
    </row>
    <row r="3670" spans="1:7" x14ac:dyDescent="0.25">
      <c r="A3670" s="29">
        <v>41276</v>
      </c>
      <c r="B3670" s="30">
        <v>28.7</v>
      </c>
      <c r="C3670" s="30">
        <v>28.8</v>
      </c>
      <c r="D3670" s="30">
        <v>27.1</v>
      </c>
      <c r="E3670" s="30"/>
      <c r="F3670" s="30">
        <v>32</v>
      </c>
      <c r="G3670" s="30">
        <v>29</v>
      </c>
    </row>
    <row r="3671" spans="1:7" x14ac:dyDescent="0.25">
      <c r="A3671" s="29">
        <v>41277</v>
      </c>
      <c r="B3671" s="30">
        <v>29.8</v>
      </c>
      <c r="C3671" s="30">
        <v>29.7</v>
      </c>
      <c r="D3671" s="30">
        <v>28.4</v>
      </c>
      <c r="E3671" s="30"/>
      <c r="F3671" s="30">
        <v>27.7</v>
      </c>
      <c r="G3671" s="30">
        <v>29.5</v>
      </c>
    </row>
    <row r="3672" spans="1:7" x14ac:dyDescent="0.25">
      <c r="A3672" s="29">
        <v>41278</v>
      </c>
      <c r="B3672" s="30">
        <v>33.799999999999997</v>
      </c>
      <c r="C3672" s="30">
        <v>35.1</v>
      </c>
      <c r="D3672" s="30">
        <v>33.4</v>
      </c>
      <c r="E3672" s="30"/>
      <c r="F3672" s="30">
        <v>32.299999999999997</v>
      </c>
      <c r="G3672" s="30">
        <v>33.299999999999997</v>
      </c>
    </row>
    <row r="3673" spans="1:7" x14ac:dyDescent="0.25">
      <c r="A3673" s="29">
        <v>41279</v>
      </c>
      <c r="B3673" s="30">
        <v>36.9</v>
      </c>
      <c r="C3673" s="30">
        <v>37.6</v>
      </c>
      <c r="D3673" s="30">
        <v>36.1</v>
      </c>
      <c r="E3673" s="30"/>
      <c r="F3673" s="30">
        <v>34.5</v>
      </c>
      <c r="G3673" s="30">
        <v>36.6</v>
      </c>
    </row>
    <row r="3674" spans="1:7" x14ac:dyDescent="0.25">
      <c r="A3674" s="29">
        <v>41280</v>
      </c>
      <c r="B3674" s="30">
        <v>37.200000000000003</v>
      </c>
      <c r="C3674" s="30">
        <v>39.5</v>
      </c>
      <c r="D3674" s="30">
        <v>38.299999999999997</v>
      </c>
      <c r="E3674" s="30"/>
      <c r="F3674" s="30">
        <v>38.1</v>
      </c>
      <c r="G3674" s="30">
        <v>38</v>
      </c>
    </row>
    <row r="3675" spans="1:7" x14ac:dyDescent="0.25">
      <c r="A3675" s="29">
        <v>41281</v>
      </c>
      <c r="B3675" s="30">
        <v>42</v>
      </c>
      <c r="C3675" s="30">
        <v>42.4</v>
      </c>
      <c r="D3675" s="30">
        <v>40.9</v>
      </c>
      <c r="E3675" s="30"/>
      <c r="F3675" s="30">
        <v>39.5</v>
      </c>
      <c r="G3675" s="30">
        <v>41.4</v>
      </c>
    </row>
    <row r="3676" spans="1:7" x14ac:dyDescent="0.25">
      <c r="A3676" s="29">
        <v>41282</v>
      </c>
      <c r="B3676" s="30">
        <v>38.6</v>
      </c>
      <c r="C3676" s="30">
        <v>41.3</v>
      </c>
      <c r="D3676" s="30">
        <v>40.700000000000003</v>
      </c>
      <c r="E3676" s="30"/>
      <c r="F3676" s="30">
        <v>35.700000000000003</v>
      </c>
      <c r="G3676" s="30">
        <v>38.4</v>
      </c>
    </row>
    <row r="3677" spans="1:7" x14ac:dyDescent="0.25">
      <c r="A3677" s="29">
        <v>41283</v>
      </c>
      <c r="B3677" s="30">
        <v>40.6</v>
      </c>
      <c r="C3677" s="30">
        <v>43.6</v>
      </c>
      <c r="D3677" s="30">
        <v>43.8</v>
      </c>
      <c r="E3677" s="30"/>
      <c r="F3677" s="30">
        <v>44.1</v>
      </c>
      <c r="G3677" s="30">
        <v>40.4</v>
      </c>
    </row>
    <row r="3678" spans="1:7" x14ac:dyDescent="0.25">
      <c r="A3678" s="29">
        <v>41284</v>
      </c>
      <c r="B3678" s="30">
        <v>45.2</v>
      </c>
      <c r="C3678" s="30">
        <v>46</v>
      </c>
      <c r="D3678" s="30">
        <v>44.3</v>
      </c>
      <c r="E3678" s="30"/>
      <c r="F3678" s="30">
        <v>45.2</v>
      </c>
      <c r="G3678" s="30">
        <v>44.3</v>
      </c>
    </row>
    <row r="3679" spans="1:7" x14ac:dyDescent="0.25">
      <c r="A3679" s="29">
        <v>41285</v>
      </c>
      <c r="B3679" s="30">
        <v>40</v>
      </c>
      <c r="C3679" s="30">
        <v>40.1</v>
      </c>
      <c r="D3679" s="30">
        <v>40.5</v>
      </c>
      <c r="E3679" s="30"/>
      <c r="F3679" s="30">
        <v>39</v>
      </c>
      <c r="G3679" s="30">
        <v>41.3</v>
      </c>
    </row>
    <row r="3680" spans="1:7" x14ac:dyDescent="0.25">
      <c r="A3680" s="29">
        <v>41286</v>
      </c>
      <c r="B3680" s="30">
        <v>45.7</v>
      </c>
      <c r="C3680" s="30">
        <v>44</v>
      </c>
      <c r="D3680" s="30">
        <v>44.6</v>
      </c>
      <c r="E3680" s="30"/>
      <c r="F3680" s="30">
        <v>48</v>
      </c>
      <c r="G3680" s="30">
        <v>45.6</v>
      </c>
    </row>
    <row r="3681" spans="1:7" x14ac:dyDescent="0.25">
      <c r="A3681" s="29">
        <v>41287</v>
      </c>
      <c r="B3681" s="30">
        <v>43.9</v>
      </c>
      <c r="C3681" s="30">
        <v>44.1</v>
      </c>
      <c r="D3681" s="30">
        <v>45.3</v>
      </c>
      <c r="E3681" s="30"/>
      <c r="F3681" s="30">
        <v>45.1</v>
      </c>
      <c r="G3681" s="30">
        <v>45.7</v>
      </c>
    </row>
    <row r="3682" spans="1:7" x14ac:dyDescent="0.25">
      <c r="A3682" s="29">
        <v>41288</v>
      </c>
      <c r="B3682" s="30">
        <v>50.3</v>
      </c>
      <c r="C3682" s="30">
        <v>50.4</v>
      </c>
      <c r="D3682" s="30">
        <v>52.5</v>
      </c>
      <c r="E3682" s="30"/>
      <c r="F3682" s="30">
        <v>53.8</v>
      </c>
      <c r="G3682" s="30">
        <v>51.4</v>
      </c>
    </row>
    <row r="3683" spans="1:7" x14ac:dyDescent="0.25">
      <c r="A3683" s="29">
        <v>41289</v>
      </c>
      <c r="B3683" s="30">
        <v>39.6</v>
      </c>
      <c r="C3683" s="30">
        <v>39.4</v>
      </c>
      <c r="D3683" s="30">
        <v>37.9</v>
      </c>
      <c r="E3683" s="30"/>
      <c r="F3683" s="30">
        <v>40.6</v>
      </c>
      <c r="G3683" s="30">
        <v>39.799999999999997</v>
      </c>
    </row>
    <row r="3684" spans="1:7" x14ac:dyDescent="0.25">
      <c r="A3684" s="29">
        <v>41290</v>
      </c>
      <c r="B3684" s="30">
        <v>35.799999999999997</v>
      </c>
      <c r="C3684" s="30">
        <v>35.4</v>
      </c>
      <c r="D3684" s="30">
        <v>34.200000000000003</v>
      </c>
      <c r="E3684" s="30"/>
      <c r="F3684" s="30">
        <v>38.1</v>
      </c>
      <c r="G3684" s="30">
        <v>34.9</v>
      </c>
    </row>
    <row r="3685" spans="1:7" x14ac:dyDescent="0.25">
      <c r="A3685" s="29">
        <v>41291</v>
      </c>
      <c r="B3685" s="30">
        <v>40</v>
      </c>
      <c r="C3685" s="30">
        <v>40.299999999999997</v>
      </c>
      <c r="D3685" s="30">
        <v>39.200000000000003</v>
      </c>
      <c r="E3685" s="30"/>
      <c r="F3685" s="30">
        <v>40.200000000000003</v>
      </c>
      <c r="G3685" s="30">
        <v>39.700000000000003</v>
      </c>
    </row>
    <row r="3686" spans="1:7" x14ac:dyDescent="0.25">
      <c r="A3686" s="29">
        <v>41292</v>
      </c>
      <c r="B3686" s="30">
        <v>31.9</v>
      </c>
      <c r="C3686" s="30">
        <v>31.7</v>
      </c>
      <c r="D3686" s="30">
        <v>30.2</v>
      </c>
      <c r="E3686" s="30"/>
      <c r="F3686" s="30">
        <v>33.200000000000003</v>
      </c>
      <c r="G3686" s="30">
        <v>32.4</v>
      </c>
    </row>
    <row r="3687" spans="1:7" x14ac:dyDescent="0.25">
      <c r="A3687" s="29">
        <v>41293</v>
      </c>
      <c r="B3687" s="30">
        <v>37.5</v>
      </c>
      <c r="C3687" s="30">
        <v>37.5</v>
      </c>
      <c r="D3687" s="30">
        <v>37.299999999999997</v>
      </c>
      <c r="E3687" s="30"/>
      <c r="F3687" s="30">
        <v>36.200000000000003</v>
      </c>
      <c r="G3687" s="30">
        <v>36.200000000000003</v>
      </c>
    </row>
    <row r="3688" spans="1:7" x14ac:dyDescent="0.25">
      <c r="A3688" s="29">
        <v>41294</v>
      </c>
      <c r="B3688" s="30">
        <v>45.6</v>
      </c>
      <c r="C3688" s="30">
        <v>46.9</v>
      </c>
      <c r="D3688" s="30">
        <v>45.3</v>
      </c>
      <c r="E3688" s="30"/>
      <c r="F3688" s="30">
        <v>46.7</v>
      </c>
      <c r="G3688" s="30">
        <v>45.6</v>
      </c>
    </row>
    <row r="3689" spans="1:7" x14ac:dyDescent="0.25">
      <c r="A3689" s="29">
        <v>41295</v>
      </c>
      <c r="B3689" s="30">
        <v>31.4</v>
      </c>
      <c r="C3689" s="30">
        <v>31.5</v>
      </c>
      <c r="D3689" s="30">
        <v>29.8</v>
      </c>
      <c r="E3689" s="30"/>
      <c r="F3689" s="30">
        <v>33.5</v>
      </c>
      <c r="G3689" s="30">
        <v>30.6</v>
      </c>
    </row>
    <row r="3690" spans="1:7" x14ac:dyDescent="0.25">
      <c r="A3690" s="29">
        <v>41296</v>
      </c>
      <c r="B3690" s="30">
        <v>24</v>
      </c>
      <c r="C3690" s="30">
        <v>24.7</v>
      </c>
      <c r="D3690" s="30">
        <v>22.4</v>
      </c>
      <c r="E3690" s="30"/>
      <c r="F3690" s="30">
        <v>22.9</v>
      </c>
      <c r="G3690" s="30">
        <v>23.9</v>
      </c>
    </row>
    <row r="3691" spans="1:7" x14ac:dyDescent="0.25">
      <c r="A3691" s="29">
        <v>41297</v>
      </c>
      <c r="B3691" s="30">
        <v>15.7</v>
      </c>
      <c r="C3691" s="30">
        <v>16.100000000000001</v>
      </c>
      <c r="D3691" s="30">
        <v>14.4</v>
      </c>
      <c r="E3691" s="30"/>
      <c r="F3691" s="30">
        <v>15.5</v>
      </c>
      <c r="G3691" s="30">
        <v>15.5</v>
      </c>
    </row>
    <row r="3692" spans="1:7" x14ac:dyDescent="0.25">
      <c r="A3692" s="29">
        <v>41298</v>
      </c>
      <c r="B3692" s="30">
        <v>17.7</v>
      </c>
      <c r="C3692" s="30">
        <v>18.600000000000001</v>
      </c>
      <c r="D3692" s="30">
        <v>16.8</v>
      </c>
      <c r="E3692" s="30"/>
      <c r="F3692" s="30">
        <v>17.600000000000001</v>
      </c>
      <c r="G3692" s="30">
        <v>17.600000000000001</v>
      </c>
    </row>
    <row r="3693" spans="1:7" x14ac:dyDescent="0.25">
      <c r="A3693" s="29">
        <v>41299</v>
      </c>
      <c r="B3693" s="30">
        <v>18.3</v>
      </c>
      <c r="C3693" s="30">
        <v>18.600000000000001</v>
      </c>
      <c r="D3693" s="30">
        <v>17.100000000000001</v>
      </c>
      <c r="E3693" s="30"/>
      <c r="F3693" s="30">
        <v>17.399999999999999</v>
      </c>
      <c r="G3693" s="30">
        <v>17.8</v>
      </c>
    </row>
    <row r="3694" spans="1:7" x14ac:dyDescent="0.25">
      <c r="A3694" s="29">
        <v>41300</v>
      </c>
      <c r="B3694" s="30">
        <v>20.8</v>
      </c>
      <c r="C3694" s="30">
        <v>21.6</v>
      </c>
      <c r="D3694" s="30">
        <v>19.899999999999999</v>
      </c>
      <c r="E3694" s="30"/>
      <c r="F3694" s="30">
        <v>19.100000000000001</v>
      </c>
      <c r="G3694" s="30">
        <v>19.899999999999999</v>
      </c>
    </row>
    <row r="3695" spans="1:7" x14ac:dyDescent="0.25">
      <c r="A3695" s="29">
        <v>41301</v>
      </c>
      <c r="B3695" s="30">
        <v>25</v>
      </c>
      <c r="C3695" s="30">
        <v>25.7</v>
      </c>
      <c r="D3695" s="30">
        <v>24.5</v>
      </c>
      <c r="E3695" s="30"/>
      <c r="F3695" s="30">
        <v>22</v>
      </c>
      <c r="G3695" s="30">
        <v>25.1</v>
      </c>
    </row>
    <row r="3696" spans="1:7" x14ac:dyDescent="0.25">
      <c r="A3696" s="29">
        <v>41302</v>
      </c>
      <c r="B3696" s="30">
        <v>30.6</v>
      </c>
      <c r="C3696" s="30">
        <v>32.4</v>
      </c>
      <c r="D3696" s="30">
        <v>31.8</v>
      </c>
      <c r="E3696" s="30"/>
      <c r="F3696" s="30">
        <v>28.1</v>
      </c>
      <c r="G3696" s="30">
        <v>30.4</v>
      </c>
    </row>
    <row r="3697" spans="1:7" x14ac:dyDescent="0.25">
      <c r="A3697" s="29">
        <v>41303</v>
      </c>
      <c r="B3697" s="30">
        <v>39</v>
      </c>
      <c r="C3697" s="30">
        <v>39</v>
      </c>
      <c r="D3697" s="30">
        <v>40.299999999999997</v>
      </c>
      <c r="E3697" s="30"/>
      <c r="F3697" s="30">
        <v>43.6</v>
      </c>
      <c r="G3697" s="30">
        <v>40.799999999999997</v>
      </c>
    </row>
    <row r="3698" spans="1:7" x14ac:dyDescent="0.25">
      <c r="A3698" s="29">
        <v>41304</v>
      </c>
      <c r="B3698" s="30">
        <v>45</v>
      </c>
      <c r="C3698" s="30">
        <v>43.6</v>
      </c>
      <c r="D3698" s="30">
        <v>45.7</v>
      </c>
      <c r="E3698" s="30"/>
      <c r="F3698" s="30">
        <v>49.5</v>
      </c>
      <c r="G3698" s="30">
        <v>47</v>
      </c>
    </row>
    <row r="3699" spans="1:7" x14ac:dyDescent="0.25">
      <c r="A3699" s="29">
        <v>41305</v>
      </c>
      <c r="B3699" s="30">
        <v>48.1</v>
      </c>
      <c r="C3699" s="30">
        <v>49.9</v>
      </c>
      <c r="D3699" s="30">
        <v>49.1</v>
      </c>
      <c r="E3699" s="30"/>
      <c r="F3699" s="30">
        <v>50.7</v>
      </c>
      <c r="G3699" s="30">
        <v>52</v>
      </c>
    </row>
    <row r="3700" spans="1:7" x14ac:dyDescent="0.25">
      <c r="A3700" s="29">
        <v>41306</v>
      </c>
      <c r="B3700" s="30">
        <v>30.5</v>
      </c>
      <c r="C3700" s="30">
        <v>30.8</v>
      </c>
      <c r="D3700" s="30">
        <v>29.3</v>
      </c>
      <c r="E3700" s="30"/>
      <c r="F3700" s="30">
        <v>29.5</v>
      </c>
      <c r="G3700" s="30">
        <v>30.3</v>
      </c>
    </row>
    <row r="3701" spans="1:7" x14ac:dyDescent="0.25">
      <c r="A3701" s="29">
        <v>41307</v>
      </c>
      <c r="B3701" s="30">
        <v>25</v>
      </c>
      <c r="C3701" s="30">
        <v>25.3</v>
      </c>
      <c r="D3701" s="30">
        <v>24.1</v>
      </c>
      <c r="E3701" s="30"/>
      <c r="F3701" s="30">
        <v>22.1</v>
      </c>
      <c r="G3701" s="30">
        <v>24.5</v>
      </c>
    </row>
    <row r="3702" spans="1:7" x14ac:dyDescent="0.25">
      <c r="A3702" s="29">
        <v>41308</v>
      </c>
      <c r="B3702" s="30">
        <v>26.8</v>
      </c>
      <c r="C3702" s="30">
        <v>27</v>
      </c>
      <c r="D3702" s="30">
        <v>26.5</v>
      </c>
      <c r="E3702" s="30"/>
      <c r="F3702" s="30">
        <v>27.7</v>
      </c>
      <c r="G3702" s="30">
        <v>26.7</v>
      </c>
    </row>
    <row r="3703" spans="1:7" x14ac:dyDescent="0.25">
      <c r="A3703" s="29">
        <v>41309</v>
      </c>
      <c r="B3703" s="30">
        <v>28</v>
      </c>
      <c r="C3703" s="30">
        <v>28.3</v>
      </c>
      <c r="D3703" s="30">
        <v>26.8</v>
      </c>
      <c r="E3703" s="30"/>
      <c r="F3703" s="30">
        <v>27</v>
      </c>
      <c r="G3703" s="30">
        <v>27.4</v>
      </c>
    </row>
    <row r="3704" spans="1:7" x14ac:dyDescent="0.25">
      <c r="A3704" s="29">
        <v>41310</v>
      </c>
      <c r="B3704" s="30">
        <v>29.4</v>
      </c>
      <c r="C3704" s="30">
        <v>29.4</v>
      </c>
      <c r="D3704" s="30">
        <v>29.1</v>
      </c>
      <c r="E3704" s="30"/>
      <c r="F3704" s="30">
        <v>32.700000000000003</v>
      </c>
      <c r="G3704" s="30">
        <v>28.8</v>
      </c>
    </row>
    <row r="3705" spans="1:7" x14ac:dyDescent="0.25">
      <c r="A3705" s="29">
        <v>41311</v>
      </c>
      <c r="B3705" s="30">
        <v>33.700000000000003</v>
      </c>
      <c r="C3705" s="30">
        <v>33.4</v>
      </c>
      <c r="D3705" s="30">
        <v>33.299999999999997</v>
      </c>
      <c r="E3705" s="30"/>
      <c r="F3705" s="30">
        <v>33.9</v>
      </c>
      <c r="G3705" s="30">
        <v>33.799999999999997</v>
      </c>
    </row>
    <row r="3706" spans="1:7" x14ac:dyDescent="0.25">
      <c r="A3706" s="29">
        <v>41312</v>
      </c>
      <c r="B3706" s="30">
        <v>29.6</v>
      </c>
      <c r="C3706" s="30">
        <v>30.1</v>
      </c>
      <c r="D3706" s="30">
        <v>29.3</v>
      </c>
      <c r="E3706" s="30"/>
      <c r="F3706" s="30">
        <v>28.6</v>
      </c>
      <c r="G3706" s="30">
        <v>30</v>
      </c>
    </row>
    <row r="3707" spans="1:7" x14ac:dyDescent="0.25">
      <c r="A3707" s="29">
        <v>41313</v>
      </c>
      <c r="B3707" s="30">
        <v>33.799999999999997</v>
      </c>
      <c r="C3707" s="30">
        <v>33</v>
      </c>
      <c r="D3707" s="30">
        <v>32.299999999999997</v>
      </c>
      <c r="E3707" s="30"/>
      <c r="F3707" s="30">
        <v>40</v>
      </c>
      <c r="G3707" s="30">
        <v>33.700000000000003</v>
      </c>
    </row>
    <row r="3708" spans="1:7" x14ac:dyDescent="0.25">
      <c r="A3708" s="29">
        <v>41314</v>
      </c>
      <c r="B3708" s="30">
        <v>28.9</v>
      </c>
      <c r="C3708" s="30">
        <v>30</v>
      </c>
      <c r="D3708" s="30">
        <v>28.8</v>
      </c>
      <c r="E3708" s="30"/>
      <c r="F3708" s="30">
        <v>30.8</v>
      </c>
      <c r="G3708" s="30">
        <v>29.8</v>
      </c>
    </row>
    <row r="3709" spans="1:7" x14ac:dyDescent="0.25">
      <c r="A3709" s="29">
        <v>41315</v>
      </c>
      <c r="B3709" s="30">
        <v>24.2</v>
      </c>
      <c r="C3709" s="30">
        <v>26.4</v>
      </c>
      <c r="D3709" s="30">
        <v>25.2</v>
      </c>
      <c r="E3709" s="30"/>
      <c r="F3709" s="30">
        <v>26.6</v>
      </c>
      <c r="G3709" s="30">
        <v>24.9</v>
      </c>
    </row>
    <row r="3710" spans="1:7" x14ac:dyDescent="0.25">
      <c r="A3710" s="29">
        <v>41316</v>
      </c>
      <c r="B3710" s="30">
        <v>37.5</v>
      </c>
      <c r="C3710" s="30">
        <v>37.9</v>
      </c>
      <c r="D3710" s="30">
        <v>38.5</v>
      </c>
      <c r="E3710" s="30"/>
      <c r="F3710" s="30">
        <v>43.2</v>
      </c>
      <c r="G3710" s="30">
        <v>35.1</v>
      </c>
    </row>
    <row r="3711" spans="1:7" x14ac:dyDescent="0.25">
      <c r="A3711" s="29">
        <v>41317</v>
      </c>
      <c r="B3711" s="30">
        <v>42.3</v>
      </c>
      <c r="C3711" s="30">
        <v>42.6</v>
      </c>
      <c r="D3711" s="30">
        <v>41.9</v>
      </c>
      <c r="E3711" s="30"/>
      <c r="F3711" s="30">
        <v>45.6</v>
      </c>
      <c r="G3711" s="30">
        <v>41.8</v>
      </c>
    </row>
    <row r="3712" spans="1:7" x14ac:dyDescent="0.25">
      <c r="A3712" s="29">
        <v>41318</v>
      </c>
      <c r="B3712" s="30">
        <v>36.700000000000003</v>
      </c>
      <c r="C3712" s="30">
        <v>38.799999999999997</v>
      </c>
      <c r="D3712" s="30">
        <v>38.200000000000003</v>
      </c>
      <c r="E3712" s="30"/>
      <c r="F3712" s="30">
        <v>34.299999999999997</v>
      </c>
      <c r="G3712" s="30">
        <v>37.6</v>
      </c>
    </row>
    <row r="3713" spans="1:7" x14ac:dyDescent="0.25">
      <c r="A3713" s="29">
        <v>41319</v>
      </c>
      <c r="B3713" s="30">
        <v>37.700000000000003</v>
      </c>
      <c r="C3713" s="30">
        <v>38.700000000000003</v>
      </c>
      <c r="D3713" s="30">
        <v>38.200000000000003</v>
      </c>
      <c r="E3713" s="30"/>
      <c r="F3713" s="30">
        <v>36.6</v>
      </c>
      <c r="G3713" s="30">
        <v>39.9</v>
      </c>
    </row>
    <row r="3714" spans="1:7" x14ac:dyDescent="0.25">
      <c r="A3714" s="29">
        <v>41320</v>
      </c>
      <c r="B3714" s="30">
        <v>39.200000000000003</v>
      </c>
      <c r="C3714" s="30">
        <v>42.6</v>
      </c>
      <c r="D3714" s="30">
        <v>43</v>
      </c>
      <c r="E3714" s="30"/>
      <c r="F3714" s="30">
        <v>39.700000000000003</v>
      </c>
      <c r="G3714" s="30">
        <v>42</v>
      </c>
    </row>
    <row r="3715" spans="1:7" x14ac:dyDescent="0.25">
      <c r="A3715" s="29">
        <v>41321</v>
      </c>
      <c r="B3715" s="30">
        <v>38.799999999999997</v>
      </c>
      <c r="C3715" s="30">
        <v>38.299999999999997</v>
      </c>
      <c r="D3715" s="30">
        <v>37.9</v>
      </c>
      <c r="E3715" s="30"/>
      <c r="F3715" s="30">
        <v>38.4</v>
      </c>
      <c r="G3715" s="30">
        <v>39.200000000000003</v>
      </c>
    </row>
    <row r="3716" spans="1:7" x14ac:dyDescent="0.25">
      <c r="A3716" s="29">
        <v>41322</v>
      </c>
      <c r="B3716" s="30">
        <v>30.3</v>
      </c>
      <c r="C3716" s="30">
        <v>30.1</v>
      </c>
      <c r="D3716" s="30">
        <v>29</v>
      </c>
      <c r="E3716" s="30"/>
      <c r="F3716" s="30">
        <v>29.7</v>
      </c>
      <c r="G3716" s="30">
        <v>30.8</v>
      </c>
    </row>
    <row r="3717" spans="1:7" x14ac:dyDescent="0.25">
      <c r="A3717" s="29">
        <v>41323</v>
      </c>
      <c r="B3717" s="30">
        <v>24.2</v>
      </c>
      <c r="C3717" s="30">
        <v>24.5</v>
      </c>
      <c r="D3717" s="30">
        <v>23.4</v>
      </c>
      <c r="E3717" s="30"/>
      <c r="F3717" s="30">
        <v>27</v>
      </c>
      <c r="G3717" s="30">
        <v>24.5</v>
      </c>
    </row>
    <row r="3718" spans="1:7" x14ac:dyDescent="0.25">
      <c r="A3718" s="29">
        <v>41324</v>
      </c>
      <c r="B3718" s="30">
        <v>37.1</v>
      </c>
      <c r="C3718" s="30">
        <v>38.200000000000003</v>
      </c>
      <c r="D3718" s="30">
        <v>39.200000000000003</v>
      </c>
      <c r="E3718" s="30"/>
      <c r="F3718" s="30">
        <v>38.5</v>
      </c>
      <c r="G3718" s="30">
        <v>37</v>
      </c>
    </row>
    <row r="3719" spans="1:7" x14ac:dyDescent="0.25">
      <c r="A3719" s="29">
        <v>41325</v>
      </c>
      <c r="B3719" s="30">
        <v>34.9</v>
      </c>
      <c r="C3719" s="30">
        <v>35.6</v>
      </c>
      <c r="D3719" s="30">
        <v>33.799999999999997</v>
      </c>
      <c r="E3719" s="30"/>
      <c r="F3719" s="30">
        <v>35.299999999999997</v>
      </c>
      <c r="G3719" s="30">
        <v>34.700000000000003</v>
      </c>
    </row>
    <row r="3720" spans="1:7" x14ac:dyDescent="0.25">
      <c r="A3720" s="29">
        <v>41326</v>
      </c>
      <c r="B3720" s="30">
        <v>29.2</v>
      </c>
      <c r="C3720" s="30">
        <v>29.1</v>
      </c>
      <c r="D3720" s="30">
        <v>28</v>
      </c>
      <c r="E3720" s="30"/>
      <c r="F3720" s="30">
        <v>28.3</v>
      </c>
      <c r="G3720" s="30">
        <v>29.3</v>
      </c>
    </row>
    <row r="3721" spans="1:7" x14ac:dyDescent="0.25">
      <c r="A3721" s="29">
        <v>41327</v>
      </c>
      <c r="B3721" s="30">
        <v>30.5</v>
      </c>
      <c r="C3721" s="30">
        <v>29.9</v>
      </c>
      <c r="D3721" s="30">
        <v>30</v>
      </c>
      <c r="E3721" s="30"/>
      <c r="F3721" s="30">
        <v>30</v>
      </c>
      <c r="G3721" s="30">
        <v>29.7</v>
      </c>
    </row>
    <row r="3722" spans="1:7" x14ac:dyDescent="0.25">
      <c r="A3722" s="29">
        <v>41328</v>
      </c>
      <c r="B3722" s="30">
        <v>39.4</v>
      </c>
      <c r="C3722" s="30">
        <v>36.799999999999997</v>
      </c>
      <c r="D3722" s="30">
        <v>38</v>
      </c>
      <c r="E3722" s="30"/>
      <c r="F3722" s="30">
        <v>40.4</v>
      </c>
      <c r="G3722" s="30">
        <v>39.200000000000003</v>
      </c>
    </row>
    <row r="3723" spans="1:7" x14ac:dyDescent="0.25">
      <c r="A3723" s="29">
        <v>41329</v>
      </c>
      <c r="B3723" s="30">
        <v>40.1</v>
      </c>
      <c r="C3723" s="30">
        <v>39.1</v>
      </c>
      <c r="D3723" s="30">
        <v>39.299999999999997</v>
      </c>
      <c r="E3723" s="30"/>
      <c r="F3723" s="30">
        <v>41.8</v>
      </c>
      <c r="G3723" s="30">
        <v>40.5</v>
      </c>
    </row>
    <row r="3724" spans="1:7" x14ac:dyDescent="0.25">
      <c r="A3724" s="29">
        <v>41330</v>
      </c>
      <c r="B3724" s="30">
        <v>38.200000000000003</v>
      </c>
      <c r="C3724" s="30">
        <v>37.700000000000003</v>
      </c>
      <c r="D3724" s="30">
        <v>37.5</v>
      </c>
      <c r="E3724" s="30"/>
      <c r="F3724" s="30">
        <v>35.4</v>
      </c>
      <c r="G3724" s="30">
        <v>37.6</v>
      </c>
    </row>
    <row r="3725" spans="1:7" x14ac:dyDescent="0.25">
      <c r="A3725" s="29">
        <v>41331</v>
      </c>
      <c r="B3725" s="30">
        <v>38.6</v>
      </c>
      <c r="C3725" s="30">
        <v>39</v>
      </c>
      <c r="D3725" s="30">
        <v>39.9</v>
      </c>
      <c r="E3725" s="30"/>
      <c r="F3725" s="30">
        <v>34.700000000000003</v>
      </c>
      <c r="G3725" s="30">
        <v>39.5</v>
      </c>
    </row>
    <row r="3726" spans="1:7" x14ac:dyDescent="0.25">
      <c r="A3726" s="29">
        <v>41332</v>
      </c>
      <c r="B3726" s="30">
        <v>43.7</v>
      </c>
      <c r="C3726" s="30">
        <v>39.9</v>
      </c>
      <c r="D3726" s="30">
        <v>40.200000000000003</v>
      </c>
      <c r="E3726" s="30"/>
      <c r="F3726" s="30">
        <v>48.3</v>
      </c>
      <c r="G3726" s="30">
        <v>41.6</v>
      </c>
    </row>
    <row r="3727" spans="1:7" x14ac:dyDescent="0.25">
      <c r="A3727" s="29">
        <v>41333</v>
      </c>
      <c r="B3727" s="30">
        <v>44.3</v>
      </c>
      <c r="C3727" s="30">
        <v>45.5</v>
      </c>
      <c r="D3727" s="30">
        <v>45.2</v>
      </c>
      <c r="E3727" s="30"/>
      <c r="F3727" s="30">
        <v>43.5</v>
      </c>
      <c r="G3727" s="30">
        <v>44.9</v>
      </c>
    </row>
    <row r="3728" spans="1:7" x14ac:dyDescent="0.25">
      <c r="A3728" s="29">
        <v>41334</v>
      </c>
      <c r="B3728" s="30">
        <v>41.3</v>
      </c>
      <c r="C3728" s="30">
        <v>40.799999999999997</v>
      </c>
      <c r="D3728" s="30">
        <v>40</v>
      </c>
      <c r="E3728" s="30"/>
      <c r="F3728" s="30">
        <v>39.1</v>
      </c>
      <c r="G3728" s="30">
        <v>40.4</v>
      </c>
    </row>
    <row r="3729" spans="1:7" x14ac:dyDescent="0.25">
      <c r="A3729" s="29">
        <v>41335</v>
      </c>
      <c r="B3729" s="30">
        <v>38</v>
      </c>
      <c r="C3729" s="30">
        <v>37.200000000000003</v>
      </c>
      <c r="D3729" s="30">
        <v>36.700000000000003</v>
      </c>
      <c r="E3729" s="30"/>
      <c r="F3729" s="30">
        <v>36.299999999999997</v>
      </c>
      <c r="G3729" s="30">
        <v>37.4</v>
      </c>
    </row>
    <row r="3730" spans="1:7" x14ac:dyDescent="0.25">
      <c r="A3730" s="29">
        <v>41336</v>
      </c>
      <c r="B3730" s="30">
        <v>33.700000000000003</v>
      </c>
      <c r="C3730" s="30">
        <v>33.299999999999997</v>
      </c>
      <c r="D3730" s="30">
        <v>32.6</v>
      </c>
      <c r="E3730" s="30"/>
      <c r="F3730" s="30">
        <v>32.799999999999997</v>
      </c>
      <c r="G3730" s="30">
        <v>33.799999999999997</v>
      </c>
    </row>
    <row r="3731" spans="1:7" x14ac:dyDescent="0.25">
      <c r="A3731" s="29">
        <v>41337</v>
      </c>
      <c r="B3731" s="30">
        <v>34.1</v>
      </c>
      <c r="C3731" s="30">
        <v>33.5</v>
      </c>
      <c r="D3731" s="30">
        <v>32.799999999999997</v>
      </c>
      <c r="E3731" s="30"/>
      <c r="F3731" s="30">
        <v>34.4</v>
      </c>
      <c r="G3731" s="30">
        <v>33.799999999999997</v>
      </c>
    </row>
    <row r="3732" spans="1:7" x14ac:dyDescent="0.25">
      <c r="A3732" s="29">
        <v>41338</v>
      </c>
      <c r="B3732" s="30">
        <v>37.9</v>
      </c>
      <c r="C3732" s="30">
        <v>37.9</v>
      </c>
      <c r="D3732" s="30">
        <v>37.9</v>
      </c>
      <c r="E3732" s="30"/>
      <c r="F3732" s="30">
        <v>35.5</v>
      </c>
      <c r="G3732" s="30">
        <v>38.299999999999997</v>
      </c>
    </row>
    <row r="3733" spans="1:7" x14ac:dyDescent="0.25">
      <c r="A3733" s="29">
        <v>41339</v>
      </c>
      <c r="B3733" s="30">
        <v>39.6</v>
      </c>
      <c r="C3733" s="30">
        <v>40.799999999999997</v>
      </c>
      <c r="D3733" s="30">
        <v>40.1</v>
      </c>
      <c r="E3733" s="30"/>
      <c r="F3733" s="30">
        <v>37.5</v>
      </c>
      <c r="G3733" s="30">
        <v>41.2</v>
      </c>
    </row>
    <row r="3734" spans="1:7" x14ac:dyDescent="0.25">
      <c r="A3734" s="29">
        <v>41340</v>
      </c>
      <c r="B3734" s="30">
        <v>36.4</v>
      </c>
      <c r="C3734" s="30">
        <v>37.1</v>
      </c>
      <c r="D3734" s="30">
        <v>36.700000000000003</v>
      </c>
      <c r="E3734" s="30"/>
      <c r="F3734" s="30">
        <v>37.6</v>
      </c>
      <c r="G3734" s="30">
        <v>38.200000000000003</v>
      </c>
    </row>
    <row r="3735" spans="1:7" x14ac:dyDescent="0.25">
      <c r="A3735" s="29">
        <v>41341</v>
      </c>
      <c r="B3735" s="30">
        <v>33.5</v>
      </c>
      <c r="C3735" s="30">
        <v>34.4</v>
      </c>
      <c r="D3735" s="30">
        <v>34</v>
      </c>
      <c r="E3735" s="30"/>
      <c r="F3735" s="30">
        <v>33.799999999999997</v>
      </c>
      <c r="G3735" s="30">
        <v>34</v>
      </c>
    </row>
    <row r="3736" spans="1:7" x14ac:dyDescent="0.25">
      <c r="A3736" s="29">
        <v>41342</v>
      </c>
      <c r="B3736" s="30">
        <v>42.5</v>
      </c>
      <c r="C3736" s="30">
        <v>43.2</v>
      </c>
      <c r="D3736" s="30">
        <v>43.7</v>
      </c>
      <c r="E3736" s="30"/>
      <c r="F3736" s="30">
        <v>42.3</v>
      </c>
      <c r="G3736" s="30">
        <v>42.5</v>
      </c>
    </row>
    <row r="3737" spans="1:7" x14ac:dyDescent="0.25">
      <c r="A3737" s="29">
        <v>41343</v>
      </c>
      <c r="B3737" s="30">
        <v>38.4</v>
      </c>
      <c r="C3737" s="30">
        <v>41.2</v>
      </c>
      <c r="D3737" s="30">
        <v>41.8</v>
      </c>
      <c r="E3737" s="30"/>
      <c r="F3737" s="30">
        <v>35.200000000000003</v>
      </c>
      <c r="G3737" s="30">
        <v>41.2</v>
      </c>
    </row>
    <row r="3738" spans="1:7" x14ac:dyDescent="0.25">
      <c r="A3738" s="29">
        <v>41344</v>
      </c>
      <c r="B3738" s="30">
        <v>43.2</v>
      </c>
      <c r="C3738" s="30">
        <v>44.5</v>
      </c>
      <c r="D3738" s="30">
        <v>44.7</v>
      </c>
      <c r="E3738" s="30"/>
      <c r="F3738" s="30">
        <v>41.2</v>
      </c>
      <c r="G3738" s="30">
        <v>44</v>
      </c>
    </row>
    <row r="3739" spans="1:7" x14ac:dyDescent="0.25">
      <c r="A3739" s="29">
        <v>41345</v>
      </c>
      <c r="B3739" s="30">
        <v>48</v>
      </c>
      <c r="C3739" s="30">
        <v>50.4</v>
      </c>
      <c r="D3739" s="30">
        <v>50.3</v>
      </c>
      <c r="E3739" s="30"/>
      <c r="F3739" s="30">
        <v>52.5</v>
      </c>
      <c r="G3739" s="30">
        <v>51.9</v>
      </c>
    </row>
    <row r="3740" spans="1:7" x14ac:dyDescent="0.25">
      <c r="A3740" s="29">
        <v>41346</v>
      </c>
      <c r="B3740" s="30">
        <v>45.4</v>
      </c>
      <c r="C3740" s="30">
        <v>45.4</v>
      </c>
      <c r="D3740" s="30">
        <v>45</v>
      </c>
      <c r="E3740" s="30"/>
      <c r="F3740" s="30">
        <v>43</v>
      </c>
      <c r="G3740" s="30">
        <v>45.7</v>
      </c>
    </row>
    <row r="3741" spans="1:7" x14ac:dyDescent="0.25">
      <c r="A3741" s="29">
        <v>41347</v>
      </c>
      <c r="B3741" s="30">
        <v>37.1</v>
      </c>
      <c r="C3741" s="30">
        <v>36.799999999999997</v>
      </c>
      <c r="D3741" s="30">
        <v>35.6</v>
      </c>
      <c r="E3741" s="30"/>
      <c r="F3741" s="30">
        <v>36.6</v>
      </c>
      <c r="G3741" s="30">
        <v>36.9</v>
      </c>
    </row>
    <row r="3742" spans="1:7" x14ac:dyDescent="0.25">
      <c r="A3742" s="29">
        <v>41348</v>
      </c>
      <c r="B3742" s="30">
        <v>36.5</v>
      </c>
      <c r="C3742" s="30">
        <v>37</v>
      </c>
      <c r="D3742" s="30">
        <v>36.1</v>
      </c>
      <c r="E3742" s="30"/>
      <c r="F3742" s="30">
        <v>37.6</v>
      </c>
      <c r="G3742" s="30">
        <v>37</v>
      </c>
    </row>
    <row r="3743" spans="1:7" x14ac:dyDescent="0.25">
      <c r="A3743" s="29">
        <v>41349</v>
      </c>
      <c r="B3743" s="30">
        <v>38.299999999999997</v>
      </c>
      <c r="C3743" s="30">
        <v>38.299999999999997</v>
      </c>
      <c r="D3743" s="30">
        <v>37.299999999999997</v>
      </c>
      <c r="E3743" s="30"/>
      <c r="F3743" s="30">
        <v>40</v>
      </c>
      <c r="G3743" s="30">
        <v>38.5</v>
      </c>
    </row>
    <row r="3744" spans="1:7" x14ac:dyDescent="0.25">
      <c r="A3744" s="29">
        <v>41350</v>
      </c>
      <c r="B3744" s="30">
        <v>34</v>
      </c>
      <c r="C3744" s="30">
        <v>34.1</v>
      </c>
      <c r="D3744" s="30">
        <v>33</v>
      </c>
      <c r="E3744" s="30"/>
      <c r="F3744" s="30">
        <v>35.299999999999997</v>
      </c>
      <c r="G3744" s="30">
        <v>34.200000000000003</v>
      </c>
    </row>
    <row r="3745" spans="1:7" x14ac:dyDescent="0.25">
      <c r="A3745" s="29">
        <v>41351</v>
      </c>
      <c r="B3745" s="30">
        <v>32.299999999999997</v>
      </c>
      <c r="C3745" s="30">
        <v>33</v>
      </c>
      <c r="D3745" s="30">
        <v>32.1</v>
      </c>
      <c r="E3745" s="30"/>
      <c r="F3745" s="30">
        <v>35.200000000000003</v>
      </c>
      <c r="G3745" s="30">
        <v>32.200000000000003</v>
      </c>
    </row>
    <row r="3746" spans="1:7" x14ac:dyDescent="0.25">
      <c r="A3746" s="29">
        <v>41352</v>
      </c>
      <c r="B3746" s="30">
        <v>37.4</v>
      </c>
      <c r="C3746" s="30">
        <v>36.5</v>
      </c>
      <c r="D3746" s="30">
        <v>36</v>
      </c>
      <c r="E3746" s="30"/>
      <c r="F3746" s="30">
        <v>44.5</v>
      </c>
      <c r="G3746" s="30">
        <v>37.6</v>
      </c>
    </row>
    <row r="3747" spans="1:7" x14ac:dyDescent="0.25">
      <c r="A3747" s="29">
        <v>41353</v>
      </c>
      <c r="B3747" s="30">
        <v>39.4</v>
      </c>
      <c r="C3747" s="30">
        <v>39.5</v>
      </c>
      <c r="D3747" s="30">
        <v>38.5</v>
      </c>
      <c r="E3747" s="30"/>
      <c r="F3747" s="30">
        <v>40.5</v>
      </c>
      <c r="G3747" s="30">
        <v>39.5</v>
      </c>
    </row>
    <row r="3748" spans="1:7" x14ac:dyDescent="0.25">
      <c r="A3748" s="29">
        <v>41354</v>
      </c>
      <c r="B3748" s="30">
        <v>35.5</v>
      </c>
      <c r="C3748" s="30">
        <v>36.4</v>
      </c>
      <c r="D3748" s="30">
        <v>35.700000000000003</v>
      </c>
      <c r="E3748" s="30"/>
      <c r="F3748" s="30">
        <v>34.799999999999997</v>
      </c>
      <c r="G3748" s="30">
        <v>36.6</v>
      </c>
    </row>
    <row r="3749" spans="1:7" x14ac:dyDescent="0.25">
      <c r="A3749" s="29">
        <v>41355</v>
      </c>
      <c r="B3749" s="30">
        <v>34.799999999999997</v>
      </c>
      <c r="C3749" s="30">
        <v>34.9</v>
      </c>
      <c r="D3749" s="30">
        <v>34</v>
      </c>
      <c r="E3749" s="30"/>
      <c r="F3749" s="30">
        <v>33.4</v>
      </c>
      <c r="G3749" s="30">
        <v>34.6</v>
      </c>
    </row>
    <row r="3750" spans="1:7" x14ac:dyDescent="0.25">
      <c r="A3750" s="29">
        <v>41356</v>
      </c>
      <c r="B3750" s="30">
        <v>39.299999999999997</v>
      </c>
      <c r="C3750" s="30">
        <v>39.299999999999997</v>
      </c>
      <c r="D3750" s="30">
        <v>38.4</v>
      </c>
      <c r="E3750" s="30"/>
      <c r="F3750" s="30">
        <v>37.299999999999997</v>
      </c>
      <c r="G3750" s="30">
        <v>39</v>
      </c>
    </row>
    <row r="3751" spans="1:7" x14ac:dyDescent="0.25">
      <c r="A3751" s="29">
        <v>41357</v>
      </c>
      <c r="B3751" s="30">
        <v>39.200000000000003</v>
      </c>
      <c r="C3751" s="30">
        <v>39.6</v>
      </c>
      <c r="D3751" s="30">
        <v>39.1</v>
      </c>
      <c r="E3751" s="30"/>
      <c r="F3751" s="30">
        <v>36.200000000000003</v>
      </c>
      <c r="G3751" s="30">
        <v>39.799999999999997</v>
      </c>
    </row>
    <row r="3752" spans="1:7" x14ac:dyDescent="0.25">
      <c r="A3752" s="29">
        <v>41358</v>
      </c>
      <c r="B3752" s="30">
        <v>37.6</v>
      </c>
      <c r="C3752" s="30">
        <v>39.200000000000003</v>
      </c>
      <c r="D3752" s="30">
        <v>38.299999999999997</v>
      </c>
      <c r="E3752" s="30"/>
      <c r="F3752" s="30">
        <v>35.299999999999997</v>
      </c>
      <c r="G3752" s="30">
        <v>39</v>
      </c>
    </row>
    <row r="3753" spans="1:7" x14ac:dyDescent="0.25">
      <c r="A3753" s="29">
        <v>41359</v>
      </c>
      <c r="B3753" s="30">
        <v>41.9</v>
      </c>
      <c r="C3753" s="30">
        <v>42.4</v>
      </c>
      <c r="D3753" s="30">
        <v>42.2</v>
      </c>
      <c r="E3753" s="30"/>
      <c r="F3753" s="30">
        <v>39.200000000000003</v>
      </c>
      <c r="G3753" s="30">
        <v>42.3</v>
      </c>
    </row>
    <row r="3754" spans="1:7" x14ac:dyDescent="0.25">
      <c r="A3754" s="29">
        <v>41360</v>
      </c>
      <c r="B3754" s="30">
        <v>44.6</v>
      </c>
      <c r="C3754" s="30">
        <v>44.3</v>
      </c>
      <c r="D3754" s="30">
        <v>43.8</v>
      </c>
      <c r="E3754" s="30"/>
      <c r="F3754" s="30">
        <v>43.3</v>
      </c>
      <c r="G3754" s="30">
        <v>44.5</v>
      </c>
    </row>
    <row r="3755" spans="1:7" x14ac:dyDescent="0.25">
      <c r="A3755" s="29">
        <v>41361</v>
      </c>
      <c r="B3755" s="30">
        <v>44.4</v>
      </c>
      <c r="C3755" s="30">
        <v>43.8</v>
      </c>
      <c r="D3755" s="30">
        <v>43.3</v>
      </c>
      <c r="E3755" s="30"/>
      <c r="F3755" s="30">
        <v>42</v>
      </c>
      <c r="G3755" s="30">
        <v>44</v>
      </c>
    </row>
    <row r="3756" spans="1:7" x14ac:dyDescent="0.25">
      <c r="A3756" s="29">
        <v>41362</v>
      </c>
      <c r="B3756" s="30">
        <v>47.8</v>
      </c>
      <c r="C3756" s="30">
        <v>47</v>
      </c>
      <c r="D3756" s="30">
        <v>46.7</v>
      </c>
      <c r="E3756" s="30"/>
      <c r="F3756" s="30">
        <v>44.7</v>
      </c>
      <c r="G3756" s="30">
        <v>47.2</v>
      </c>
    </row>
    <row r="3757" spans="1:7" x14ac:dyDescent="0.25">
      <c r="A3757" s="29">
        <v>41363</v>
      </c>
      <c r="B3757" s="30">
        <v>47.4</v>
      </c>
      <c r="C3757" s="30">
        <v>48.1</v>
      </c>
      <c r="D3757" s="30">
        <v>48</v>
      </c>
      <c r="E3757" s="30"/>
      <c r="F3757" s="30">
        <v>46.2</v>
      </c>
      <c r="G3757" s="30">
        <v>48.8</v>
      </c>
    </row>
    <row r="3758" spans="1:7" x14ac:dyDescent="0.25">
      <c r="A3758" s="29">
        <v>41364</v>
      </c>
      <c r="B3758" s="30">
        <v>44.4</v>
      </c>
      <c r="C3758" s="30">
        <v>47.6</v>
      </c>
      <c r="D3758" s="30">
        <v>49.3</v>
      </c>
      <c r="E3758" s="30"/>
      <c r="F3758" s="30">
        <v>14.4</v>
      </c>
      <c r="G3758" s="30">
        <v>47.8</v>
      </c>
    </row>
    <row r="3759" spans="1:7" x14ac:dyDescent="0.25">
      <c r="A3759" s="29">
        <v>41365</v>
      </c>
      <c r="B3759" s="30">
        <v>49.1</v>
      </c>
      <c r="C3759" s="30">
        <v>49.9</v>
      </c>
      <c r="D3759" s="30">
        <v>49.3</v>
      </c>
      <c r="E3759" s="30"/>
      <c r="F3759" s="30">
        <v>57.7</v>
      </c>
      <c r="G3759" s="30">
        <v>50</v>
      </c>
    </row>
    <row r="3760" spans="1:7" x14ac:dyDescent="0.25">
      <c r="A3760" s="29">
        <v>41366</v>
      </c>
      <c r="B3760" s="30">
        <v>39.6</v>
      </c>
      <c r="C3760" s="30">
        <v>39.299999999999997</v>
      </c>
      <c r="D3760" s="30">
        <v>38</v>
      </c>
      <c r="E3760" s="30"/>
      <c r="F3760" s="30">
        <v>40</v>
      </c>
      <c r="G3760" s="30">
        <v>39.6</v>
      </c>
    </row>
    <row r="3761" spans="1:7" x14ac:dyDescent="0.25">
      <c r="A3761" s="29">
        <v>41367</v>
      </c>
      <c r="B3761" s="30">
        <v>39.9</v>
      </c>
      <c r="C3761" s="30">
        <v>39.799999999999997</v>
      </c>
      <c r="D3761" s="30">
        <v>38.4</v>
      </c>
      <c r="E3761" s="30"/>
      <c r="F3761" s="30">
        <v>39.299999999999997</v>
      </c>
      <c r="G3761" s="30">
        <v>39.5</v>
      </c>
    </row>
    <row r="3762" spans="1:7" x14ac:dyDescent="0.25">
      <c r="A3762" s="29">
        <v>41368</v>
      </c>
      <c r="B3762" s="30">
        <v>38.9</v>
      </c>
      <c r="C3762" s="30">
        <v>40.6</v>
      </c>
      <c r="D3762" s="30">
        <v>39.9</v>
      </c>
      <c r="E3762" s="30"/>
      <c r="F3762" s="30">
        <v>39.799999999999997</v>
      </c>
      <c r="G3762" s="30">
        <v>40.6</v>
      </c>
    </row>
    <row r="3763" spans="1:7" x14ac:dyDescent="0.25">
      <c r="A3763" s="29">
        <v>41369</v>
      </c>
      <c r="B3763" s="30">
        <v>47.3</v>
      </c>
      <c r="C3763" s="30">
        <v>48.4</v>
      </c>
      <c r="D3763" s="30">
        <v>49</v>
      </c>
      <c r="E3763" s="30"/>
      <c r="F3763" s="30">
        <v>45.9</v>
      </c>
      <c r="G3763" s="30">
        <v>49.6</v>
      </c>
    </row>
    <row r="3764" spans="1:7" x14ac:dyDescent="0.25">
      <c r="A3764" s="29">
        <v>41370</v>
      </c>
      <c r="B3764" s="30">
        <v>43.2</v>
      </c>
      <c r="C3764" s="30">
        <v>43.9</v>
      </c>
      <c r="D3764" s="30">
        <v>43.1</v>
      </c>
      <c r="E3764" s="30"/>
      <c r="F3764" s="30">
        <v>43.2</v>
      </c>
      <c r="G3764" s="30">
        <v>44.6</v>
      </c>
    </row>
    <row r="3765" spans="1:7" x14ac:dyDescent="0.25">
      <c r="A3765" s="29">
        <v>41371</v>
      </c>
      <c r="B3765" s="30">
        <v>43.6</v>
      </c>
      <c r="C3765" s="30">
        <v>46.2</v>
      </c>
      <c r="D3765" s="30">
        <v>46.2</v>
      </c>
      <c r="E3765" s="30"/>
      <c r="F3765" s="30">
        <v>44.1</v>
      </c>
      <c r="G3765" s="30">
        <v>46.8</v>
      </c>
    </row>
    <row r="3766" spans="1:7" x14ac:dyDescent="0.25">
      <c r="A3766" s="29">
        <v>41372</v>
      </c>
      <c r="B3766" s="30">
        <v>52.7</v>
      </c>
      <c r="C3766" s="30">
        <v>55.9</v>
      </c>
      <c r="D3766" s="30">
        <v>59</v>
      </c>
      <c r="E3766" s="30"/>
      <c r="F3766" s="30">
        <v>58.2</v>
      </c>
      <c r="G3766" s="30">
        <v>58.8</v>
      </c>
    </row>
    <row r="3767" spans="1:7" x14ac:dyDescent="0.25">
      <c r="A3767" s="29">
        <v>41373</v>
      </c>
      <c r="B3767" s="30">
        <v>62</v>
      </c>
      <c r="C3767" s="30">
        <v>63.2</v>
      </c>
      <c r="D3767" s="30">
        <v>65.7</v>
      </c>
      <c r="E3767" s="30"/>
      <c r="F3767" s="30">
        <v>68.400000000000006</v>
      </c>
      <c r="G3767" s="30">
        <v>65.7</v>
      </c>
    </row>
    <row r="3768" spans="1:7" x14ac:dyDescent="0.25">
      <c r="A3768" s="29">
        <v>41374</v>
      </c>
      <c r="B3768" s="30">
        <v>59.4</v>
      </c>
      <c r="C3768" s="30">
        <v>62.8</v>
      </c>
      <c r="D3768" s="30">
        <v>65.099999999999994</v>
      </c>
      <c r="E3768" s="30"/>
      <c r="F3768" s="30">
        <v>74</v>
      </c>
      <c r="G3768" s="30">
        <v>66.3</v>
      </c>
    </row>
    <row r="3769" spans="1:7" x14ac:dyDescent="0.25">
      <c r="A3769" s="29">
        <v>41375</v>
      </c>
      <c r="B3769" s="30">
        <v>54.3</v>
      </c>
      <c r="C3769" s="30">
        <v>56.4</v>
      </c>
      <c r="D3769" s="30">
        <v>56.2</v>
      </c>
      <c r="E3769" s="30"/>
      <c r="F3769" s="30">
        <v>59.8</v>
      </c>
      <c r="G3769" s="30">
        <v>56.8</v>
      </c>
    </row>
    <row r="3770" spans="1:7" x14ac:dyDescent="0.25">
      <c r="A3770" s="29">
        <v>41376</v>
      </c>
      <c r="B3770" s="30">
        <v>44.8</v>
      </c>
      <c r="C3770" s="30">
        <v>45.1</v>
      </c>
      <c r="D3770" s="30">
        <v>44.2</v>
      </c>
      <c r="E3770" s="30"/>
      <c r="F3770" s="30">
        <v>50.8</v>
      </c>
      <c r="G3770" s="30">
        <v>45.4</v>
      </c>
    </row>
    <row r="3771" spans="1:7" x14ac:dyDescent="0.25">
      <c r="A3771" s="29">
        <v>41377</v>
      </c>
      <c r="B3771" s="30">
        <v>45.4</v>
      </c>
      <c r="C3771" s="30">
        <v>46.6</v>
      </c>
      <c r="D3771" s="30">
        <v>46.5</v>
      </c>
      <c r="E3771" s="30"/>
      <c r="F3771" s="30">
        <v>50.5</v>
      </c>
      <c r="G3771" s="30">
        <v>47.8</v>
      </c>
    </row>
    <row r="3772" spans="1:7" x14ac:dyDescent="0.25">
      <c r="A3772" s="29">
        <v>41378</v>
      </c>
      <c r="B3772" s="30">
        <v>50.9</v>
      </c>
      <c r="C3772" s="30">
        <v>51.8</v>
      </c>
      <c r="D3772" s="30">
        <v>52.3</v>
      </c>
      <c r="E3772" s="30"/>
      <c r="F3772" s="30">
        <v>52.8</v>
      </c>
      <c r="G3772" s="30">
        <v>53.3</v>
      </c>
    </row>
    <row r="3773" spans="1:7" x14ac:dyDescent="0.25">
      <c r="A3773" s="29">
        <v>41379</v>
      </c>
      <c r="B3773" s="30">
        <v>48.4</v>
      </c>
      <c r="C3773" s="30">
        <v>49.3</v>
      </c>
      <c r="D3773" s="30">
        <v>49.9</v>
      </c>
      <c r="E3773" s="30"/>
      <c r="F3773" s="30">
        <v>50.3</v>
      </c>
      <c r="G3773" s="30">
        <v>50.3</v>
      </c>
    </row>
    <row r="3774" spans="1:7" x14ac:dyDescent="0.25">
      <c r="A3774" s="29">
        <v>41380</v>
      </c>
      <c r="B3774" s="30">
        <v>50.5</v>
      </c>
      <c r="C3774" s="30">
        <v>53.1</v>
      </c>
      <c r="D3774" s="30">
        <v>53.9</v>
      </c>
      <c r="E3774" s="30"/>
      <c r="F3774" s="30">
        <v>54.4</v>
      </c>
      <c r="G3774" s="30">
        <v>54.2</v>
      </c>
    </row>
    <row r="3775" spans="1:7" x14ac:dyDescent="0.25">
      <c r="A3775" s="29">
        <v>41381</v>
      </c>
      <c r="B3775" s="30">
        <v>58.2</v>
      </c>
      <c r="C3775" s="30">
        <v>61</v>
      </c>
      <c r="D3775" s="30">
        <v>62.7</v>
      </c>
      <c r="E3775" s="30"/>
      <c r="F3775" s="30">
        <v>60.6</v>
      </c>
      <c r="G3775" s="30">
        <v>63.9</v>
      </c>
    </row>
    <row r="3776" spans="1:7" x14ac:dyDescent="0.25">
      <c r="A3776" s="29">
        <v>41382</v>
      </c>
      <c r="B3776" s="30">
        <v>51.3</v>
      </c>
      <c r="C3776" s="30">
        <v>56.4</v>
      </c>
      <c r="D3776" s="30">
        <v>55.3</v>
      </c>
      <c r="E3776" s="30"/>
      <c r="F3776" s="30">
        <v>54.8</v>
      </c>
      <c r="G3776" s="30">
        <v>55.3</v>
      </c>
    </row>
    <row r="3777" spans="1:7" x14ac:dyDescent="0.25">
      <c r="A3777" s="29">
        <v>41383</v>
      </c>
      <c r="B3777" s="30">
        <v>55.5</v>
      </c>
      <c r="C3777" s="30">
        <v>59.2</v>
      </c>
      <c r="D3777" s="30">
        <v>60.8</v>
      </c>
      <c r="E3777" s="30"/>
      <c r="F3777" s="30">
        <v>60.7</v>
      </c>
      <c r="G3777" s="30">
        <v>62.7</v>
      </c>
    </row>
    <row r="3778" spans="1:7" x14ac:dyDescent="0.25">
      <c r="A3778" s="29">
        <v>41384</v>
      </c>
      <c r="B3778" s="30">
        <v>54.8</v>
      </c>
      <c r="C3778" s="30">
        <v>56.4</v>
      </c>
      <c r="D3778" s="30">
        <v>55.5</v>
      </c>
      <c r="E3778" s="30"/>
      <c r="F3778" s="30">
        <v>55.2</v>
      </c>
      <c r="G3778" s="30">
        <v>57.6</v>
      </c>
    </row>
    <row r="3779" spans="1:7" x14ac:dyDescent="0.25">
      <c r="A3779" s="29">
        <v>41385</v>
      </c>
      <c r="B3779" s="30">
        <v>46.2</v>
      </c>
      <c r="C3779" s="30">
        <v>46.5</v>
      </c>
      <c r="D3779" s="30">
        <v>46</v>
      </c>
      <c r="E3779" s="30"/>
      <c r="F3779" s="30">
        <v>45.2</v>
      </c>
      <c r="G3779" s="30">
        <v>46.6</v>
      </c>
    </row>
    <row r="3780" spans="1:7" x14ac:dyDescent="0.25">
      <c r="A3780" s="29">
        <v>41386</v>
      </c>
      <c r="B3780" s="30">
        <v>45.4</v>
      </c>
      <c r="C3780" s="30">
        <v>47.5</v>
      </c>
      <c r="D3780" s="30">
        <v>47.6</v>
      </c>
      <c r="E3780" s="30"/>
      <c r="F3780" s="30">
        <v>42</v>
      </c>
      <c r="G3780" s="30">
        <v>47.6</v>
      </c>
    </row>
    <row r="3781" spans="1:7" x14ac:dyDescent="0.25">
      <c r="A3781" s="29">
        <v>41387</v>
      </c>
      <c r="B3781" s="30">
        <v>45.4</v>
      </c>
      <c r="C3781" s="30">
        <v>45.9</v>
      </c>
      <c r="D3781" s="30">
        <v>45.4</v>
      </c>
      <c r="E3781" s="30"/>
      <c r="F3781" s="30">
        <v>45.1</v>
      </c>
      <c r="G3781" s="30">
        <v>45.7</v>
      </c>
    </row>
    <row r="3782" spans="1:7" x14ac:dyDescent="0.25">
      <c r="A3782" s="29">
        <v>41388</v>
      </c>
      <c r="B3782" s="30">
        <v>49.6</v>
      </c>
      <c r="C3782" s="30">
        <v>52.8</v>
      </c>
      <c r="D3782" s="30">
        <v>52.9</v>
      </c>
      <c r="E3782" s="30"/>
      <c r="F3782" s="30">
        <v>50.1</v>
      </c>
      <c r="G3782" s="30">
        <v>54.1</v>
      </c>
    </row>
    <row r="3783" spans="1:7" x14ac:dyDescent="0.25">
      <c r="A3783" s="29">
        <v>41389</v>
      </c>
      <c r="B3783" s="30">
        <v>53.8</v>
      </c>
      <c r="C3783" s="30">
        <v>55.6</v>
      </c>
      <c r="D3783" s="30">
        <v>56.1</v>
      </c>
      <c r="E3783" s="30"/>
      <c r="F3783" s="30">
        <v>54.8</v>
      </c>
      <c r="G3783" s="30">
        <v>57.9</v>
      </c>
    </row>
    <row r="3784" spans="1:7" x14ac:dyDescent="0.25">
      <c r="A3784" s="29">
        <v>41390</v>
      </c>
      <c r="B3784" s="30">
        <v>54</v>
      </c>
      <c r="C3784" s="30">
        <v>57.6</v>
      </c>
      <c r="D3784" s="30">
        <v>57.3</v>
      </c>
      <c r="E3784" s="30"/>
      <c r="F3784" s="30">
        <v>53.3</v>
      </c>
      <c r="G3784" s="30">
        <v>56.9</v>
      </c>
    </row>
    <row r="3785" spans="1:7" x14ac:dyDescent="0.25">
      <c r="A3785" s="29">
        <v>41391</v>
      </c>
      <c r="B3785" s="30">
        <v>54.6</v>
      </c>
      <c r="C3785" s="30">
        <v>57.6</v>
      </c>
      <c r="D3785" s="30">
        <v>57.8</v>
      </c>
      <c r="E3785" s="30"/>
      <c r="F3785" s="30">
        <v>51.9</v>
      </c>
      <c r="G3785" s="30">
        <v>57.2</v>
      </c>
    </row>
    <row r="3786" spans="1:7" x14ac:dyDescent="0.25">
      <c r="A3786" s="29">
        <v>41392</v>
      </c>
      <c r="B3786" s="30">
        <v>53.2</v>
      </c>
      <c r="C3786" s="30">
        <v>58.5</v>
      </c>
      <c r="D3786" s="30">
        <v>58.9</v>
      </c>
      <c r="E3786" s="30"/>
      <c r="F3786" s="30">
        <v>53.4</v>
      </c>
      <c r="G3786" s="30">
        <v>58.3</v>
      </c>
    </row>
    <row r="3787" spans="1:7" x14ac:dyDescent="0.25">
      <c r="A3787" s="29">
        <v>41393</v>
      </c>
      <c r="B3787" s="30">
        <v>53.2</v>
      </c>
      <c r="C3787" s="30">
        <v>55.7</v>
      </c>
      <c r="D3787" s="30">
        <v>55</v>
      </c>
      <c r="E3787" s="30"/>
      <c r="F3787" s="30">
        <v>54.5</v>
      </c>
      <c r="G3787" s="30">
        <v>55.7</v>
      </c>
    </row>
    <row r="3788" spans="1:7" x14ac:dyDescent="0.25">
      <c r="A3788" s="29">
        <v>41394</v>
      </c>
      <c r="B3788" s="30">
        <v>56.2</v>
      </c>
      <c r="C3788" s="30">
        <v>56.6</v>
      </c>
      <c r="D3788" s="30">
        <v>57.7</v>
      </c>
      <c r="E3788" s="30"/>
      <c r="F3788" s="30">
        <v>56</v>
      </c>
      <c r="G3788" s="30">
        <v>56.9</v>
      </c>
    </row>
    <row r="3789" spans="1:7" x14ac:dyDescent="0.25">
      <c r="A3789" s="29">
        <v>41395</v>
      </c>
      <c r="B3789" s="30">
        <v>53.6</v>
      </c>
      <c r="C3789" s="30">
        <v>56.7</v>
      </c>
      <c r="D3789" s="30">
        <v>57</v>
      </c>
      <c r="E3789" s="30"/>
      <c r="F3789" s="30">
        <v>51.1</v>
      </c>
      <c r="G3789" s="30">
        <v>56.3</v>
      </c>
    </row>
    <row r="3790" spans="1:7" x14ac:dyDescent="0.25">
      <c r="A3790" s="29">
        <v>41396</v>
      </c>
      <c r="B3790" s="30">
        <v>53.8</v>
      </c>
      <c r="C3790" s="30">
        <v>58.1</v>
      </c>
      <c r="D3790" s="30">
        <v>58.9</v>
      </c>
      <c r="E3790" s="30"/>
      <c r="F3790" s="30">
        <v>50.9</v>
      </c>
      <c r="G3790" s="30">
        <v>57.7</v>
      </c>
    </row>
    <row r="3791" spans="1:7" x14ac:dyDescent="0.25">
      <c r="A3791" s="29">
        <v>41397</v>
      </c>
      <c r="B3791" s="30">
        <v>53.9</v>
      </c>
      <c r="C3791" s="30">
        <v>57</v>
      </c>
      <c r="D3791" s="30">
        <v>56.6</v>
      </c>
      <c r="E3791" s="30"/>
      <c r="F3791" s="30">
        <v>50.7</v>
      </c>
      <c r="G3791" s="30">
        <v>58</v>
      </c>
    </row>
    <row r="3792" spans="1:7" x14ac:dyDescent="0.25">
      <c r="A3792" s="29">
        <v>41398</v>
      </c>
      <c r="B3792" s="30">
        <v>52.8</v>
      </c>
      <c r="C3792" s="30">
        <v>55.2</v>
      </c>
      <c r="D3792" s="30">
        <v>54.7</v>
      </c>
      <c r="E3792" s="30"/>
      <c r="F3792" s="30">
        <v>50.8</v>
      </c>
      <c r="G3792" s="30">
        <v>54.3</v>
      </c>
    </row>
    <row r="3793" spans="1:7" x14ac:dyDescent="0.25">
      <c r="A3793" s="29">
        <v>41399</v>
      </c>
      <c r="B3793" s="30">
        <v>50.4</v>
      </c>
      <c r="C3793" s="30">
        <v>52.1</v>
      </c>
      <c r="D3793" s="30">
        <v>52.1</v>
      </c>
      <c r="E3793" s="30"/>
      <c r="F3793" s="30">
        <v>48.8</v>
      </c>
      <c r="G3793" s="30">
        <v>51.9</v>
      </c>
    </row>
    <row r="3794" spans="1:7" x14ac:dyDescent="0.25">
      <c r="A3794" s="29">
        <v>41400</v>
      </c>
      <c r="B3794" s="30">
        <v>52.5</v>
      </c>
      <c r="C3794" s="30">
        <v>54.4</v>
      </c>
      <c r="D3794" s="30">
        <v>55.4</v>
      </c>
      <c r="E3794" s="30"/>
      <c r="F3794" s="30">
        <v>49.6</v>
      </c>
      <c r="G3794" s="30">
        <v>54.7</v>
      </c>
    </row>
    <row r="3795" spans="1:7" x14ac:dyDescent="0.25">
      <c r="A3795" s="29">
        <v>41401</v>
      </c>
      <c r="B3795" s="30">
        <v>57.2</v>
      </c>
      <c r="C3795" s="30">
        <v>59.3</v>
      </c>
      <c r="D3795" s="30">
        <v>60.9</v>
      </c>
      <c r="E3795" s="30"/>
      <c r="F3795" s="30">
        <v>54.5</v>
      </c>
      <c r="G3795" s="30">
        <v>59.6</v>
      </c>
    </row>
    <row r="3796" spans="1:7" x14ac:dyDescent="0.25">
      <c r="A3796" s="29">
        <v>41402</v>
      </c>
      <c r="B3796" s="30">
        <v>60.7</v>
      </c>
      <c r="C3796" s="30">
        <v>60.1</v>
      </c>
      <c r="D3796" s="30">
        <v>60.3</v>
      </c>
      <c r="E3796" s="30"/>
      <c r="F3796" s="30">
        <v>61.6</v>
      </c>
      <c r="G3796" s="30">
        <v>62.4</v>
      </c>
    </row>
    <row r="3797" spans="1:7" x14ac:dyDescent="0.25">
      <c r="A3797" s="29">
        <v>41403</v>
      </c>
      <c r="B3797" s="30">
        <v>59.2</v>
      </c>
      <c r="C3797" s="30">
        <v>58.2</v>
      </c>
      <c r="D3797" s="30">
        <v>58.9</v>
      </c>
      <c r="E3797" s="30"/>
      <c r="F3797" s="30">
        <v>61.7</v>
      </c>
      <c r="G3797" s="30">
        <v>60.7</v>
      </c>
    </row>
    <row r="3798" spans="1:7" x14ac:dyDescent="0.25">
      <c r="A3798" s="29">
        <v>41404</v>
      </c>
      <c r="B3798" s="30">
        <v>63.1</v>
      </c>
      <c r="C3798" s="30">
        <v>67.7</v>
      </c>
      <c r="D3798" s="30">
        <v>66.900000000000006</v>
      </c>
      <c r="E3798" s="30"/>
      <c r="F3798" s="30">
        <v>66.599999999999994</v>
      </c>
      <c r="G3798" s="30">
        <v>66.900000000000006</v>
      </c>
    </row>
    <row r="3799" spans="1:7" x14ac:dyDescent="0.25">
      <c r="A3799" s="29">
        <v>41405</v>
      </c>
      <c r="B3799" s="30">
        <v>60.8</v>
      </c>
      <c r="C3799" s="30">
        <v>64.599999999999994</v>
      </c>
      <c r="D3799" s="30">
        <v>64.400000000000006</v>
      </c>
      <c r="E3799" s="30"/>
      <c r="F3799" s="30">
        <v>64.7</v>
      </c>
      <c r="G3799" s="30">
        <v>67</v>
      </c>
    </row>
    <row r="3800" spans="1:7" x14ac:dyDescent="0.25">
      <c r="A3800" s="29">
        <v>41406</v>
      </c>
      <c r="B3800" s="30">
        <v>62.8</v>
      </c>
      <c r="C3800" s="30">
        <v>64.3</v>
      </c>
      <c r="D3800" s="30">
        <v>62.6</v>
      </c>
      <c r="E3800" s="30"/>
      <c r="F3800" s="30">
        <v>62.4</v>
      </c>
      <c r="G3800" s="30">
        <v>64.2</v>
      </c>
    </row>
    <row r="3801" spans="1:7" x14ac:dyDescent="0.25">
      <c r="A3801" s="29">
        <v>41407</v>
      </c>
      <c r="B3801" s="30">
        <v>53.1</v>
      </c>
      <c r="C3801" s="30">
        <v>53.4</v>
      </c>
      <c r="D3801" s="30">
        <v>51.7</v>
      </c>
      <c r="E3801" s="30"/>
      <c r="F3801" s="30">
        <v>51.4</v>
      </c>
      <c r="G3801" s="30">
        <v>52.7</v>
      </c>
    </row>
    <row r="3802" spans="1:7" x14ac:dyDescent="0.25">
      <c r="A3802" s="29">
        <v>41408</v>
      </c>
      <c r="B3802" s="30">
        <v>51.2</v>
      </c>
      <c r="C3802" s="30">
        <v>52.1</v>
      </c>
      <c r="D3802" s="30">
        <v>51.1</v>
      </c>
      <c r="E3802" s="30"/>
      <c r="F3802" s="30">
        <v>48</v>
      </c>
      <c r="G3802" s="30">
        <v>52.1</v>
      </c>
    </row>
    <row r="3803" spans="1:7" x14ac:dyDescent="0.25">
      <c r="A3803" s="29">
        <v>41409</v>
      </c>
      <c r="B3803" s="30">
        <v>55.4</v>
      </c>
      <c r="C3803" s="30">
        <v>58.9</v>
      </c>
      <c r="D3803" s="30">
        <v>58</v>
      </c>
      <c r="E3803" s="30"/>
      <c r="F3803" s="30">
        <v>59</v>
      </c>
      <c r="G3803" s="30">
        <v>58.3</v>
      </c>
    </row>
    <row r="3804" spans="1:7" x14ac:dyDescent="0.25">
      <c r="A3804" s="29">
        <v>41410</v>
      </c>
      <c r="B3804" s="30">
        <v>63.6</v>
      </c>
      <c r="C3804" s="30">
        <v>69.8</v>
      </c>
      <c r="D3804" s="30">
        <v>69.5</v>
      </c>
      <c r="E3804" s="30"/>
      <c r="F3804" s="30">
        <v>69.3</v>
      </c>
      <c r="G3804" s="30">
        <v>70.8</v>
      </c>
    </row>
    <row r="3805" spans="1:7" x14ac:dyDescent="0.25">
      <c r="A3805" s="29">
        <v>41411</v>
      </c>
      <c r="B3805" s="30">
        <v>64.5</v>
      </c>
      <c r="C3805" s="30">
        <v>66.900000000000006</v>
      </c>
      <c r="D3805" s="30">
        <v>66.400000000000006</v>
      </c>
      <c r="E3805" s="30"/>
      <c r="F3805" s="30">
        <v>68</v>
      </c>
      <c r="G3805" s="30">
        <v>68.8</v>
      </c>
    </row>
    <row r="3806" spans="1:7" x14ac:dyDescent="0.25">
      <c r="A3806" s="29">
        <v>41412</v>
      </c>
      <c r="B3806" s="30">
        <v>59.2</v>
      </c>
      <c r="C3806" s="30">
        <v>62.2</v>
      </c>
      <c r="D3806" s="30">
        <v>61</v>
      </c>
      <c r="E3806" s="30"/>
      <c r="F3806" s="30">
        <v>60.6</v>
      </c>
      <c r="G3806" s="30">
        <v>62.5</v>
      </c>
    </row>
    <row r="3807" spans="1:7" x14ac:dyDescent="0.25">
      <c r="A3807" s="29">
        <v>41413</v>
      </c>
      <c r="B3807" s="30">
        <v>56.7</v>
      </c>
      <c r="C3807" s="30">
        <v>58.3</v>
      </c>
      <c r="D3807" s="30">
        <v>57.3</v>
      </c>
      <c r="E3807" s="30"/>
      <c r="F3807" s="30">
        <v>58.9</v>
      </c>
      <c r="G3807" s="30">
        <v>57.7</v>
      </c>
    </row>
    <row r="3808" spans="1:7" x14ac:dyDescent="0.25">
      <c r="A3808" s="29">
        <v>41414</v>
      </c>
      <c r="B3808" s="30">
        <v>61.9</v>
      </c>
      <c r="C3808" s="30">
        <v>64.900000000000006</v>
      </c>
      <c r="D3808" s="30">
        <v>65</v>
      </c>
      <c r="E3808" s="30"/>
      <c r="F3808" s="30">
        <v>67.8</v>
      </c>
      <c r="G3808" s="30">
        <v>66</v>
      </c>
    </row>
    <row r="3809" spans="1:7" x14ac:dyDescent="0.25">
      <c r="A3809" s="29">
        <v>41415</v>
      </c>
      <c r="B3809" s="30">
        <v>67</v>
      </c>
      <c r="C3809" s="30">
        <v>75.400000000000006</v>
      </c>
      <c r="D3809" s="30">
        <v>75.900000000000006</v>
      </c>
      <c r="E3809" s="30"/>
      <c r="F3809" s="30">
        <v>70.599999999999994</v>
      </c>
      <c r="G3809" s="30">
        <v>76</v>
      </c>
    </row>
    <row r="3810" spans="1:7" x14ac:dyDescent="0.25">
      <c r="A3810" s="29">
        <v>41416</v>
      </c>
      <c r="B3810" s="30">
        <v>65.2</v>
      </c>
      <c r="C3810" s="30">
        <v>69.599999999999994</v>
      </c>
      <c r="D3810" s="30">
        <v>71</v>
      </c>
      <c r="E3810" s="30"/>
      <c r="F3810" s="30">
        <v>72.5</v>
      </c>
      <c r="G3810" s="30">
        <v>72.5</v>
      </c>
    </row>
    <row r="3811" spans="1:7" x14ac:dyDescent="0.25">
      <c r="A3811" s="29">
        <v>41417</v>
      </c>
      <c r="B3811" s="30">
        <v>64.7</v>
      </c>
      <c r="C3811" s="30">
        <v>70.400000000000006</v>
      </c>
      <c r="D3811" s="30">
        <v>71.5</v>
      </c>
      <c r="E3811" s="30"/>
      <c r="F3811" s="30">
        <v>70</v>
      </c>
      <c r="G3811" s="30">
        <v>74.8</v>
      </c>
    </row>
    <row r="3812" spans="1:7" x14ac:dyDescent="0.25">
      <c r="A3812" s="29">
        <v>41418</v>
      </c>
      <c r="B3812" s="30">
        <v>59.8</v>
      </c>
      <c r="C3812" s="30">
        <v>60.8</v>
      </c>
      <c r="D3812" s="30">
        <v>59.6</v>
      </c>
      <c r="E3812" s="30"/>
      <c r="F3812" s="30">
        <v>60.9</v>
      </c>
      <c r="G3812" s="30">
        <v>61.9</v>
      </c>
    </row>
    <row r="3813" spans="1:7" x14ac:dyDescent="0.25">
      <c r="A3813" s="29">
        <v>41419</v>
      </c>
      <c r="B3813" s="30">
        <v>49.1</v>
      </c>
      <c r="C3813" s="30">
        <v>49.7</v>
      </c>
      <c r="D3813" s="30">
        <v>48.1</v>
      </c>
      <c r="E3813" s="30"/>
      <c r="F3813" s="30">
        <v>51.9</v>
      </c>
      <c r="G3813" s="30">
        <v>50.6</v>
      </c>
    </row>
    <row r="3814" spans="1:7" x14ac:dyDescent="0.25">
      <c r="A3814" s="29">
        <v>41420</v>
      </c>
      <c r="B3814" s="30">
        <v>56.6</v>
      </c>
      <c r="C3814" s="30">
        <v>56.2</v>
      </c>
      <c r="D3814" s="30">
        <v>55.5</v>
      </c>
      <c r="E3814" s="30"/>
      <c r="F3814" s="30">
        <v>57.5</v>
      </c>
      <c r="G3814" s="30">
        <v>57.7</v>
      </c>
    </row>
    <row r="3815" spans="1:7" x14ac:dyDescent="0.25">
      <c r="A3815" s="29">
        <v>41421</v>
      </c>
      <c r="B3815" s="30">
        <v>59.8</v>
      </c>
      <c r="C3815" s="30">
        <v>64.2</v>
      </c>
      <c r="D3815" s="30">
        <v>61.7</v>
      </c>
      <c r="E3815" s="30"/>
      <c r="F3815" s="30">
        <v>58.7</v>
      </c>
      <c r="G3815" s="30">
        <v>62.2</v>
      </c>
    </row>
    <row r="3816" spans="1:7" x14ac:dyDescent="0.25">
      <c r="A3816" s="29">
        <v>41422</v>
      </c>
      <c r="B3816" s="30">
        <v>58.5</v>
      </c>
      <c r="C3816" s="30">
        <v>63.9</v>
      </c>
      <c r="D3816" s="30">
        <v>61.1</v>
      </c>
      <c r="E3816" s="30"/>
      <c r="F3816" s="30">
        <v>60</v>
      </c>
      <c r="G3816" s="30">
        <v>61.5</v>
      </c>
    </row>
    <row r="3817" spans="1:7" x14ac:dyDescent="0.25">
      <c r="A3817" s="29">
        <v>41423</v>
      </c>
      <c r="B3817" s="30">
        <v>62.7</v>
      </c>
      <c r="C3817" s="30">
        <v>65.8</v>
      </c>
      <c r="D3817" s="30">
        <v>66.900000000000006</v>
      </c>
      <c r="E3817" s="30"/>
      <c r="F3817" s="30">
        <v>72.2</v>
      </c>
      <c r="G3817" s="30">
        <v>68.400000000000006</v>
      </c>
    </row>
    <row r="3818" spans="1:7" x14ac:dyDescent="0.25">
      <c r="A3818" s="29">
        <v>41424</v>
      </c>
      <c r="B3818" s="30">
        <v>72.3</v>
      </c>
      <c r="C3818" s="30">
        <v>82.5</v>
      </c>
      <c r="D3818" s="30">
        <v>81</v>
      </c>
      <c r="E3818" s="30"/>
      <c r="F3818" s="30">
        <v>78.5</v>
      </c>
      <c r="G3818" s="30">
        <v>82.8</v>
      </c>
    </row>
    <row r="3819" spans="1:7" x14ac:dyDescent="0.25">
      <c r="A3819" s="29">
        <v>41425</v>
      </c>
      <c r="B3819" s="30">
        <v>73</v>
      </c>
      <c r="C3819" s="30">
        <v>84.8</v>
      </c>
      <c r="D3819" s="30">
        <v>83</v>
      </c>
      <c r="E3819" s="30"/>
      <c r="F3819" s="30">
        <v>78.5</v>
      </c>
      <c r="G3819" s="30">
        <v>84</v>
      </c>
    </row>
    <row r="3820" spans="1:7" x14ac:dyDescent="0.25">
      <c r="A3820" s="29">
        <v>41426</v>
      </c>
      <c r="B3820" s="30">
        <v>70.900000000000006</v>
      </c>
      <c r="C3820" s="30">
        <v>82.6</v>
      </c>
      <c r="D3820" s="30">
        <v>80.8</v>
      </c>
      <c r="E3820" s="30"/>
      <c r="F3820" s="30">
        <v>76.8</v>
      </c>
      <c r="G3820" s="30">
        <v>82.6</v>
      </c>
    </row>
    <row r="3821" spans="1:7" x14ac:dyDescent="0.25">
      <c r="A3821" s="29">
        <v>41427</v>
      </c>
      <c r="B3821" s="30">
        <v>67.8</v>
      </c>
      <c r="C3821" s="30">
        <v>79.599999999999994</v>
      </c>
      <c r="D3821" s="30">
        <v>80.099999999999994</v>
      </c>
      <c r="E3821" s="30"/>
      <c r="F3821" s="30">
        <v>75.400000000000006</v>
      </c>
      <c r="G3821" s="30">
        <v>82</v>
      </c>
    </row>
    <row r="3822" spans="1:7" x14ac:dyDescent="0.25">
      <c r="A3822" s="29">
        <v>41428</v>
      </c>
      <c r="B3822" s="30">
        <v>67.2</v>
      </c>
      <c r="C3822" s="30">
        <v>74.2</v>
      </c>
      <c r="D3822" s="30">
        <v>72.2</v>
      </c>
      <c r="E3822" s="30"/>
      <c r="F3822" s="30">
        <v>71</v>
      </c>
      <c r="G3822" s="30">
        <v>74.400000000000006</v>
      </c>
    </row>
    <row r="3823" spans="1:7" x14ac:dyDescent="0.25">
      <c r="A3823" s="29">
        <v>41429</v>
      </c>
      <c r="B3823" s="30">
        <v>67.400000000000006</v>
      </c>
      <c r="C3823" s="30">
        <v>67.599999999999994</v>
      </c>
      <c r="D3823" s="30">
        <v>66.099999999999994</v>
      </c>
      <c r="E3823" s="30"/>
      <c r="F3823" s="30">
        <v>67.3</v>
      </c>
      <c r="G3823" s="30">
        <v>68.3</v>
      </c>
    </row>
    <row r="3824" spans="1:7" x14ac:dyDescent="0.25">
      <c r="A3824" s="29">
        <v>41430</v>
      </c>
      <c r="B3824" s="30">
        <v>65.3</v>
      </c>
      <c r="C3824" s="30">
        <v>67.099999999999994</v>
      </c>
      <c r="D3824" s="30">
        <v>66</v>
      </c>
      <c r="E3824" s="30"/>
      <c r="F3824" s="30">
        <v>63.9</v>
      </c>
      <c r="G3824" s="30">
        <v>66.099999999999994</v>
      </c>
    </row>
    <row r="3825" spans="1:7" x14ac:dyDescent="0.25">
      <c r="A3825" s="29">
        <v>41431</v>
      </c>
      <c r="B3825" s="30">
        <v>62.9</v>
      </c>
      <c r="C3825" s="30">
        <v>65.400000000000006</v>
      </c>
      <c r="D3825" s="30">
        <v>63.8</v>
      </c>
      <c r="E3825" s="30"/>
      <c r="F3825" s="30">
        <v>63.2</v>
      </c>
      <c r="G3825" s="30">
        <v>64</v>
      </c>
    </row>
    <row r="3826" spans="1:7" x14ac:dyDescent="0.25">
      <c r="A3826" s="29">
        <v>41432</v>
      </c>
      <c r="B3826" s="30">
        <v>61.8</v>
      </c>
      <c r="C3826" s="30">
        <v>62.3</v>
      </c>
      <c r="D3826" s="30">
        <v>61.5</v>
      </c>
      <c r="E3826" s="30"/>
      <c r="F3826" s="30">
        <v>66.400000000000006</v>
      </c>
      <c r="G3826" s="30">
        <v>62.9</v>
      </c>
    </row>
    <row r="3827" spans="1:7" x14ac:dyDescent="0.25">
      <c r="A3827" s="29">
        <v>41433</v>
      </c>
      <c r="B3827" s="30">
        <v>65.3</v>
      </c>
      <c r="C3827" s="30">
        <v>66.099999999999994</v>
      </c>
      <c r="D3827" s="30">
        <v>64.900000000000006</v>
      </c>
      <c r="E3827" s="30"/>
      <c r="F3827" s="30">
        <v>69.400000000000006</v>
      </c>
      <c r="G3827" s="30">
        <v>66.900000000000006</v>
      </c>
    </row>
    <row r="3828" spans="1:7" x14ac:dyDescent="0.25">
      <c r="A3828" s="29">
        <v>41434</v>
      </c>
      <c r="B3828" s="30">
        <v>70.099999999999994</v>
      </c>
      <c r="C3828" s="30">
        <v>72.900000000000006</v>
      </c>
      <c r="D3828" s="30">
        <v>71.7</v>
      </c>
      <c r="E3828" s="30"/>
      <c r="F3828" s="30">
        <v>70.900000000000006</v>
      </c>
      <c r="G3828" s="30">
        <v>73.3</v>
      </c>
    </row>
    <row r="3829" spans="1:7" x14ac:dyDescent="0.25">
      <c r="A3829" s="29">
        <v>41435</v>
      </c>
      <c r="B3829" s="30">
        <v>65.900000000000006</v>
      </c>
      <c r="C3829" s="30">
        <v>67.7</v>
      </c>
      <c r="D3829" s="30">
        <v>67.7</v>
      </c>
      <c r="E3829" s="30"/>
      <c r="F3829" s="30">
        <v>68.3</v>
      </c>
      <c r="G3829" s="30">
        <v>70.099999999999994</v>
      </c>
    </row>
    <row r="3830" spans="1:7" x14ac:dyDescent="0.25">
      <c r="A3830" s="29">
        <v>41436</v>
      </c>
      <c r="B3830" s="30">
        <v>71.099999999999994</v>
      </c>
      <c r="C3830" s="30">
        <v>70.8</v>
      </c>
      <c r="D3830" s="30">
        <v>69.599999999999994</v>
      </c>
      <c r="E3830" s="30"/>
      <c r="F3830" s="30">
        <v>74.8</v>
      </c>
      <c r="G3830" s="30">
        <v>73.099999999999994</v>
      </c>
    </row>
    <row r="3831" spans="1:7" x14ac:dyDescent="0.25">
      <c r="A3831" s="29">
        <v>41437</v>
      </c>
      <c r="B3831" s="30">
        <v>72.3</v>
      </c>
      <c r="C3831" s="30">
        <v>71.599999999999994</v>
      </c>
      <c r="D3831" s="30">
        <v>70.900000000000006</v>
      </c>
      <c r="E3831" s="30"/>
      <c r="F3831" s="30">
        <v>75.900000000000006</v>
      </c>
      <c r="G3831" s="30">
        <v>73.400000000000006</v>
      </c>
    </row>
    <row r="3832" spans="1:7" x14ac:dyDescent="0.25">
      <c r="A3832" s="29">
        <v>41438</v>
      </c>
      <c r="B3832" s="30">
        <v>65.599999999999994</v>
      </c>
      <c r="C3832" s="30">
        <v>68.400000000000006</v>
      </c>
      <c r="D3832" s="30">
        <v>65.7</v>
      </c>
      <c r="E3832" s="30"/>
      <c r="F3832" s="30">
        <v>70.3</v>
      </c>
      <c r="G3832" s="30">
        <v>67.3</v>
      </c>
    </row>
    <row r="3833" spans="1:7" x14ac:dyDescent="0.25">
      <c r="A3833" s="29">
        <v>41439</v>
      </c>
      <c r="B3833" s="30">
        <v>60.6</v>
      </c>
      <c r="C3833" s="30">
        <v>61.6</v>
      </c>
      <c r="D3833" s="30">
        <v>59.9</v>
      </c>
      <c r="E3833" s="30"/>
      <c r="F3833" s="30">
        <v>62.6</v>
      </c>
      <c r="G3833" s="30">
        <v>61.5</v>
      </c>
    </row>
    <row r="3834" spans="1:7" x14ac:dyDescent="0.25">
      <c r="A3834" s="29">
        <v>41440</v>
      </c>
      <c r="B3834" s="30">
        <v>70.099999999999994</v>
      </c>
      <c r="C3834" s="30">
        <v>71.2</v>
      </c>
      <c r="D3834" s="30">
        <v>69.400000000000006</v>
      </c>
      <c r="E3834" s="30"/>
      <c r="F3834" s="30">
        <v>68.099999999999994</v>
      </c>
      <c r="G3834" s="30">
        <v>70.3</v>
      </c>
    </row>
    <row r="3835" spans="1:7" x14ac:dyDescent="0.25">
      <c r="A3835" s="29">
        <v>41441</v>
      </c>
      <c r="B3835" s="30">
        <v>69.5</v>
      </c>
      <c r="C3835" s="30">
        <v>75.400000000000006</v>
      </c>
      <c r="D3835" s="30">
        <v>72.8</v>
      </c>
      <c r="E3835" s="30"/>
      <c r="F3835" s="30">
        <v>72.5</v>
      </c>
      <c r="G3835" s="30">
        <v>73.3</v>
      </c>
    </row>
    <row r="3836" spans="1:7" x14ac:dyDescent="0.25">
      <c r="A3836" s="29">
        <v>41442</v>
      </c>
      <c r="B3836" s="30">
        <v>73.599999999999994</v>
      </c>
      <c r="C3836" s="30">
        <v>77.8</v>
      </c>
      <c r="D3836" s="30">
        <v>75.3</v>
      </c>
      <c r="E3836" s="30"/>
      <c r="F3836" s="30">
        <v>74.900000000000006</v>
      </c>
      <c r="G3836" s="30">
        <v>76.2</v>
      </c>
    </row>
    <row r="3837" spans="1:7" x14ac:dyDescent="0.25">
      <c r="A3837" s="29">
        <v>41443</v>
      </c>
      <c r="B3837" s="30">
        <v>70.400000000000006</v>
      </c>
      <c r="C3837" s="30">
        <v>73.099999999999994</v>
      </c>
      <c r="D3837" s="30">
        <v>72.8</v>
      </c>
      <c r="E3837" s="30"/>
      <c r="F3837" s="30">
        <v>70.2</v>
      </c>
      <c r="G3837" s="30">
        <v>73.5</v>
      </c>
    </row>
    <row r="3838" spans="1:7" x14ac:dyDescent="0.25">
      <c r="A3838" s="29">
        <v>41444</v>
      </c>
      <c r="B3838" s="30">
        <v>68.099999999999994</v>
      </c>
      <c r="C3838" s="30">
        <v>68.599999999999994</v>
      </c>
      <c r="D3838" s="30">
        <v>67.400000000000006</v>
      </c>
      <c r="E3838" s="30"/>
      <c r="F3838" s="30">
        <v>66.900000000000006</v>
      </c>
      <c r="G3838" s="30">
        <v>68.5</v>
      </c>
    </row>
    <row r="3839" spans="1:7" x14ac:dyDescent="0.25">
      <c r="A3839" s="29">
        <v>41445</v>
      </c>
      <c r="B3839" s="30">
        <v>66.8</v>
      </c>
      <c r="C3839" s="30">
        <v>71.400000000000006</v>
      </c>
      <c r="D3839" s="30">
        <v>69.599999999999994</v>
      </c>
      <c r="E3839" s="30"/>
      <c r="F3839" s="30">
        <v>65.5</v>
      </c>
      <c r="G3839" s="30">
        <v>70.2</v>
      </c>
    </row>
    <row r="3840" spans="1:7" x14ac:dyDescent="0.25">
      <c r="A3840" s="29">
        <v>41446</v>
      </c>
      <c r="B3840" s="30">
        <v>68.2</v>
      </c>
      <c r="C3840" s="30">
        <v>73</v>
      </c>
      <c r="D3840" s="30">
        <v>71.599999999999994</v>
      </c>
      <c r="E3840" s="30"/>
      <c r="F3840" s="30">
        <v>66.7</v>
      </c>
      <c r="G3840" s="30">
        <v>72.599999999999994</v>
      </c>
    </row>
    <row r="3841" spans="1:7" x14ac:dyDescent="0.25">
      <c r="A3841" s="29">
        <v>41447</v>
      </c>
      <c r="B3841" s="30">
        <v>68.2</v>
      </c>
      <c r="C3841" s="30">
        <v>73.7</v>
      </c>
      <c r="D3841" s="30">
        <v>72.400000000000006</v>
      </c>
      <c r="E3841" s="30"/>
      <c r="F3841" s="30">
        <v>67.7</v>
      </c>
      <c r="G3841" s="30">
        <v>73.599999999999994</v>
      </c>
    </row>
    <row r="3842" spans="1:7" x14ac:dyDescent="0.25">
      <c r="A3842" s="29">
        <v>41448</v>
      </c>
      <c r="B3842" s="30">
        <v>71.5</v>
      </c>
      <c r="C3842" s="30">
        <v>77.099999999999994</v>
      </c>
      <c r="D3842" s="30">
        <v>76.099999999999994</v>
      </c>
      <c r="E3842" s="30"/>
      <c r="F3842" s="30">
        <v>71.7</v>
      </c>
      <c r="G3842" s="30">
        <v>76.900000000000006</v>
      </c>
    </row>
    <row r="3843" spans="1:7" x14ac:dyDescent="0.25">
      <c r="A3843" s="29">
        <v>41449</v>
      </c>
      <c r="B3843" s="30">
        <v>76.400000000000006</v>
      </c>
      <c r="C3843" s="30">
        <v>82.3</v>
      </c>
      <c r="D3843" s="30">
        <v>80.599999999999994</v>
      </c>
      <c r="E3843" s="30"/>
      <c r="F3843" s="30">
        <v>79.599999999999994</v>
      </c>
      <c r="G3843" s="30">
        <v>81.599999999999994</v>
      </c>
    </row>
    <row r="3844" spans="1:7" x14ac:dyDescent="0.25">
      <c r="A3844" s="29">
        <v>41450</v>
      </c>
      <c r="B3844" s="30">
        <v>79.7</v>
      </c>
      <c r="C3844" s="30">
        <v>83.1</v>
      </c>
      <c r="D3844" s="30">
        <v>80.900000000000006</v>
      </c>
      <c r="E3844" s="30"/>
      <c r="F3844" s="30">
        <v>79.900000000000006</v>
      </c>
      <c r="G3844" s="30">
        <v>81.400000000000006</v>
      </c>
    </row>
    <row r="3845" spans="1:7" x14ac:dyDescent="0.25">
      <c r="A3845" s="29">
        <v>41451</v>
      </c>
      <c r="B3845" s="30">
        <v>79.900000000000006</v>
      </c>
      <c r="C3845" s="30">
        <v>82.9</v>
      </c>
      <c r="D3845" s="30">
        <v>79.400000000000006</v>
      </c>
      <c r="E3845" s="30"/>
      <c r="F3845" s="30">
        <v>81</v>
      </c>
      <c r="G3845" s="30">
        <v>80.400000000000006</v>
      </c>
    </row>
    <row r="3846" spans="1:7" x14ac:dyDescent="0.25">
      <c r="A3846" s="29">
        <v>41452</v>
      </c>
      <c r="B3846" s="30">
        <v>76.2</v>
      </c>
      <c r="C3846" s="30">
        <v>78.3</v>
      </c>
      <c r="D3846" s="30">
        <v>78.099999999999994</v>
      </c>
      <c r="E3846" s="30"/>
      <c r="F3846" s="30">
        <v>77.8</v>
      </c>
      <c r="G3846" s="30">
        <v>79.599999999999994</v>
      </c>
    </row>
    <row r="3847" spans="1:7" x14ac:dyDescent="0.25">
      <c r="A3847" s="29">
        <v>41453</v>
      </c>
      <c r="B3847" s="30">
        <v>75.5</v>
      </c>
      <c r="C3847" s="30">
        <v>78.8</v>
      </c>
      <c r="D3847" s="30">
        <v>77.099999999999994</v>
      </c>
      <c r="E3847" s="30"/>
      <c r="F3847" s="30">
        <v>78.5</v>
      </c>
      <c r="G3847" s="30">
        <v>78.7</v>
      </c>
    </row>
    <row r="3848" spans="1:7" x14ac:dyDescent="0.25">
      <c r="A3848" s="29">
        <v>41454</v>
      </c>
      <c r="B3848" s="30">
        <v>74.3</v>
      </c>
      <c r="C3848" s="30">
        <v>77.8</v>
      </c>
      <c r="D3848" s="30">
        <v>76.2</v>
      </c>
      <c r="E3848" s="30"/>
      <c r="F3848" s="30">
        <v>74.7</v>
      </c>
      <c r="G3848" s="30">
        <v>77</v>
      </c>
    </row>
    <row r="3849" spans="1:7" x14ac:dyDescent="0.25">
      <c r="A3849" s="29">
        <v>41455</v>
      </c>
      <c r="B3849" s="30">
        <v>73.3</v>
      </c>
      <c r="C3849" s="30">
        <v>77.7</v>
      </c>
      <c r="D3849" s="30">
        <v>77.5</v>
      </c>
      <c r="E3849" s="30"/>
      <c r="F3849" s="30">
        <v>74.7</v>
      </c>
      <c r="G3849" s="30">
        <v>78</v>
      </c>
    </row>
    <row r="3850" spans="1:7" x14ac:dyDescent="0.25">
      <c r="A3850" s="29">
        <v>41456</v>
      </c>
      <c r="B3850" s="30">
        <v>72.8</v>
      </c>
      <c r="C3850" s="30">
        <v>74.8</v>
      </c>
      <c r="D3850" s="30">
        <v>74.2</v>
      </c>
      <c r="E3850" s="30"/>
      <c r="F3850" s="30">
        <v>74.3</v>
      </c>
      <c r="G3850" s="30">
        <v>75.599999999999994</v>
      </c>
    </row>
    <row r="3851" spans="1:7" x14ac:dyDescent="0.25">
      <c r="A3851" s="29">
        <v>41457</v>
      </c>
      <c r="B3851" s="30">
        <v>73.400000000000006</v>
      </c>
      <c r="C3851" s="30">
        <v>76.099999999999994</v>
      </c>
      <c r="D3851" s="30">
        <v>75.599999999999994</v>
      </c>
      <c r="E3851" s="30"/>
      <c r="F3851" s="30">
        <v>75.400000000000006</v>
      </c>
      <c r="G3851" s="30">
        <v>78</v>
      </c>
    </row>
    <row r="3852" spans="1:7" x14ac:dyDescent="0.25">
      <c r="A3852" s="29">
        <v>41458</v>
      </c>
      <c r="B3852" s="30">
        <v>74.400000000000006</v>
      </c>
      <c r="C3852" s="30">
        <v>78.5</v>
      </c>
      <c r="D3852" s="30">
        <v>76</v>
      </c>
      <c r="E3852" s="30"/>
      <c r="F3852" s="30">
        <v>76.7</v>
      </c>
      <c r="G3852" s="30">
        <v>78.099999999999994</v>
      </c>
    </row>
    <row r="3853" spans="1:7" x14ac:dyDescent="0.25">
      <c r="A3853" s="29">
        <v>41459</v>
      </c>
      <c r="B3853" s="30">
        <v>76.8</v>
      </c>
      <c r="C3853" s="30">
        <v>82</v>
      </c>
      <c r="D3853" s="30">
        <v>79.5</v>
      </c>
      <c r="E3853" s="30"/>
      <c r="F3853" s="30">
        <v>78.900000000000006</v>
      </c>
      <c r="G3853" s="30">
        <v>81.8</v>
      </c>
    </row>
    <row r="3854" spans="1:7" x14ac:dyDescent="0.25">
      <c r="A3854" s="29">
        <v>41460</v>
      </c>
      <c r="B3854" s="30">
        <v>78.8</v>
      </c>
      <c r="C3854" s="30">
        <v>84.4</v>
      </c>
      <c r="D3854" s="30">
        <v>82.3</v>
      </c>
      <c r="E3854" s="30"/>
      <c r="F3854" s="30">
        <v>80.099999999999994</v>
      </c>
      <c r="G3854" s="30">
        <v>83.5</v>
      </c>
    </row>
    <row r="3855" spans="1:7" x14ac:dyDescent="0.25">
      <c r="A3855" s="29">
        <v>41461</v>
      </c>
      <c r="B3855" s="30">
        <v>81.599999999999994</v>
      </c>
      <c r="C3855" s="30">
        <v>87</v>
      </c>
      <c r="D3855" s="30">
        <v>84.6</v>
      </c>
      <c r="E3855" s="30"/>
      <c r="F3855" s="30">
        <v>82.9</v>
      </c>
      <c r="G3855" s="30">
        <v>86.2</v>
      </c>
    </row>
    <row r="3856" spans="1:7" x14ac:dyDescent="0.25">
      <c r="A3856" s="29">
        <v>41462</v>
      </c>
      <c r="B3856" s="30">
        <v>82.5</v>
      </c>
      <c r="C3856" s="30">
        <v>88.8</v>
      </c>
      <c r="D3856" s="30">
        <v>85.6</v>
      </c>
      <c r="E3856" s="30"/>
      <c r="F3856" s="30">
        <v>84.4</v>
      </c>
      <c r="G3856" s="30">
        <v>87.4</v>
      </c>
    </row>
    <row r="3857" spans="1:7" x14ac:dyDescent="0.25">
      <c r="A3857" s="29">
        <v>41463</v>
      </c>
      <c r="B3857" s="30">
        <v>81.3</v>
      </c>
      <c r="C3857" s="30">
        <v>83.7</v>
      </c>
      <c r="D3857" s="30">
        <v>81.3</v>
      </c>
      <c r="E3857" s="30"/>
      <c r="F3857" s="30">
        <v>80.099999999999994</v>
      </c>
      <c r="G3857" s="30">
        <v>82.4</v>
      </c>
    </row>
    <row r="3858" spans="1:7" x14ac:dyDescent="0.25">
      <c r="A3858" s="29">
        <v>41464</v>
      </c>
      <c r="B3858" s="30">
        <v>78.7</v>
      </c>
      <c r="C3858" s="30">
        <v>82.6</v>
      </c>
      <c r="D3858" s="30">
        <v>78.8</v>
      </c>
      <c r="E3858" s="30"/>
      <c r="F3858" s="30">
        <v>78.2</v>
      </c>
      <c r="G3858" s="30">
        <v>82.3</v>
      </c>
    </row>
    <row r="3859" spans="1:7" x14ac:dyDescent="0.25">
      <c r="A3859" s="29">
        <v>41465</v>
      </c>
      <c r="B3859" s="30">
        <v>77.599999999999994</v>
      </c>
      <c r="C3859" s="30">
        <v>82</v>
      </c>
      <c r="D3859" s="30">
        <v>79.400000000000006</v>
      </c>
      <c r="E3859" s="30"/>
      <c r="F3859" s="30">
        <v>79.3</v>
      </c>
      <c r="G3859" s="30">
        <v>81</v>
      </c>
    </row>
    <row r="3860" spans="1:7" x14ac:dyDescent="0.25">
      <c r="A3860" s="29">
        <v>41466</v>
      </c>
      <c r="B3860" s="30">
        <v>78.400000000000006</v>
      </c>
      <c r="C3860" s="30">
        <v>82.3</v>
      </c>
      <c r="D3860" s="30">
        <v>80.599999999999994</v>
      </c>
      <c r="E3860" s="30"/>
      <c r="F3860" s="30">
        <v>78.400000000000006</v>
      </c>
      <c r="G3860" s="30">
        <v>82.4</v>
      </c>
    </row>
    <row r="3861" spans="1:7" x14ac:dyDescent="0.25">
      <c r="A3861" s="29">
        <v>41467</v>
      </c>
      <c r="B3861" s="30">
        <v>75.7</v>
      </c>
      <c r="C3861" s="30">
        <v>75.400000000000006</v>
      </c>
      <c r="D3861" s="30">
        <v>75</v>
      </c>
      <c r="E3861" s="30"/>
      <c r="F3861" s="30">
        <v>73</v>
      </c>
      <c r="G3861" s="30">
        <v>76.3</v>
      </c>
    </row>
    <row r="3862" spans="1:7" x14ac:dyDescent="0.25">
      <c r="A3862" s="29">
        <v>41468</v>
      </c>
      <c r="B3862" s="30">
        <v>75.400000000000006</v>
      </c>
      <c r="C3862" s="30">
        <v>71.400000000000006</v>
      </c>
      <c r="D3862" s="30">
        <v>72.2</v>
      </c>
      <c r="E3862" s="30"/>
      <c r="F3862" s="30">
        <v>75.7</v>
      </c>
      <c r="G3862" s="30">
        <v>74.2</v>
      </c>
    </row>
    <row r="3863" spans="1:7" x14ac:dyDescent="0.25">
      <c r="A3863" s="29">
        <v>41469</v>
      </c>
      <c r="B3863" s="30">
        <v>79.8</v>
      </c>
      <c r="C3863" s="30">
        <v>80.2</v>
      </c>
      <c r="D3863" s="30">
        <v>80.3</v>
      </c>
      <c r="E3863" s="30"/>
      <c r="F3863" s="30">
        <v>80.099999999999994</v>
      </c>
      <c r="G3863" s="30">
        <v>82</v>
      </c>
    </row>
    <row r="3864" spans="1:7" x14ac:dyDescent="0.25">
      <c r="A3864" s="29">
        <v>41470</v>
      </c>
      <c r="B3864" s="30">
        <v>84.6</v>
      </c>
      <c r="C3864" s="30">
        <v>87.2</v>
      </c>
      <c r="D3864" s="30">
        <v>85.3</v>
      </c>
      <c r="E3864" s="30"/>
      <c r="F3864" s="30">
        <v>82.3</v>
      </c>
      <c r="G3864" s="30">
        <v>86.9</v>
      </c>
    </row>
    <row r="3865" spans="1:7" x14ac:dyDescent="0.25">
      <c r="A3865" s="29">
        <v>41471</v>
      </c>
      <c r="B3865" s="30">
        <v>86.9</v>
      </c>
      <c r="C3865" s="30">
        <v>86.5</v>
      </c>
      <c r="D3865" s="30">
        <v>85.9</v>
      </c>
      <c r="E3865" s="30"/>
      <c r="F3865" s="30">
        <v>83.8</v>
      </c>
      <c r="G3865" s="30">
        <v>87.7</v>
      </c>
    </row>
    <row r="3866" spans="1:7" x14ac:dyDescent="0.25">
      <c r="A3866" s="29">
        <v>41472</v>
      </c>
      <c r="B3866" s="30">
        <v>87.4</v>
      </c>
      <c r="C3866" s="30">
        <v>87.4</v>
      </c>
      <c r="D3866" s="30">
        <v>86.7</v>
      </c>
      <c r="E3866" s="30"/>
      <c r="F3866" s="30">
        <v>83</v>
      </c>
      <c r="G3866" s="30">
        <v>87.5</v>
      </c>
    </row>
    <row r="3867" spans="1:7" x14ac:dyDescent="0.25">
      <c r="A3867" s="29">
        <v>41473</v>
      </c>
      <c r="B3867" s="30">
        <v>86.4</v>
      </c>
      <c r="C3867" s="30">
        <v>89.3</v>
      </c>
      <c r="D3867" s="30">
        <v>88.2</v>
      </c>
      <c r="E3867" s="30"/>
      <c r="F3867" s="30">
        <v>85.4</v>
      </c>
      <c r="G3867" s="30">
        <v>89.4</v>
      </c>
    </row>
    <row r="3868" spans="1:7" x14ac:dyDescent="0.25">
      <c r="A3868" s="29">
        <v>41474</v>
      </c>
      <c r="B3868" s="30">
        <v>86.3</v>
      </c>
      <c r="C3868" s="30">
        <v>92.5</v>
      </c>
      <c r="D3868" s="30">
        <v>89.1</v>
      </c>
      <c r="E3868" s="30"/>
      <c r="F3868" s="30">
        <v>87.2</v>
      </c>
      <c r="G3868" s="30">
        <v>91.3</v>
      </c>
    </row>
    <row r="3869" spans="1:7" x14ac:dyDescent="0.25">
      <c r="A3869" s="29">
        <v>41475</v>
      </c>
      <c r="B3869" s="30">
        <v>86.4</v>
      </c>
      <c r="C3869" s="30">
        <v>89.2</v>
      </c>
      <c r="D3869" s="30">
        <v>86.7</v>
      </c>
      <c r="E3869" s="30"/>
      <c r="F3869" s="30">
        <v>85.8</v>
      </c>
      <c r="G3869" s="30">
        <v>87.6</v>
      </c>
    </row>
    <row r="3870" spans="1:7" x14ac:dyDescent="0.25">
      <c r="A3870" s="29">
        <v>41476</v>
      </c>
      <c r="B3870" s="30">
        <v>81.599999999999994</v>
      </c>
      <c r="C3870" s="30">
        <v>82.2</v>
      </c>
      <c r="D3870" s="30">
        <v>82.3</v>
      </c>
      <c r="E3870" s="30"/>
      <c r="F3870" s="30">
        <v>79.400000000000006</v>
      </c>
      <c r="G3870" s="30">
        <v>81.2</v>
      </c>
    </row>
    <row r="3871" spans="1:7" x14ac:dyDescent="0.25">
      <c r="A3871" s="29">
        <v>41477</v>
      </c>
      <c r="B3871" s="30">
        <v>78.400000000000006</v>
      </c>
      <c r="C3871" s="30">
        <v>77.099999999999994</v>
      </c>
      <c r="D3871" s="30">
        <v>78.2</v>
      </c>
      <c r="E3871" s="30"/>
      <c r="F3871" s="30">
        <v>77.400000000000006</v>
      </c>
      <c r="G3871" s="30">
        <v>80.099999999999994</v>
      </c>
    </row>
    <row r="3872" spans="1:7" x14ac:dyDescent="0.25">
      <c r="A3872" s="29">
        <v>41478</v>
      </c>
      <c r="B3872" s="30">
        <v>78.599999999999994</v>
      </c>
      <c r="C3872" s="30">
        <v>80</v>
      </c>
      <c r="D3872" s="30">
        <v>78.7</v>
      </c>
      <c r="E3872" s="30"/>
      <c r="F3872" s="30">
        <v>79.5</v>
      </c>
      <c r="G3872" s="30">
        <v>79.8</v>
      </c>
    </row>
    <row r="3873" spans="1:7" x14ac:dyDescent="0.25">
      <c r="A3873" s="29">
        <v>41479</v>
      </c>
      <c r="B3873" s="30">
        <v>81.2</v>
      </c>
      <c r="C3873" s="30">
        <v>79.900000000000006</v>
      </c>
      <c r="D3873" s="30">
        <v>78.5</v>
      </c>
      <c r="E3873" s="30"/>
      <c r="F3873" s="30">
        <v>79.3</v>
      </c>
      <c r="G3873" s="30">
        <v>79.599999999999994</v>
      </c>
    </row>
    <row r="3874" spans="1:7" x14ac:dyDescent="0.25">
      <c r="A3874" s="29">
        <v>41480</v>
      </c>
      <c r="B3874" s="30">
        <v>68.400000000000006</v>
      </c>
      <c r="C3874" s="30">
        <v>68</v>
      </c>
      <c r="D3874" s="30">
        <v>67.3</v>
      </c>
      <c r="E3874" s="30"/>
      <c r="F3874" s="30">
        <v>67.8</v>
      </c>
      <c r="G3874" s="30">
        <v>67.900000000000006</v>
      </c>
    </row>
    <row r="3875" spans="1:7" x14ac:dyDescent="0.25">
      <c r="A3875" s="29">
        <v>41481</v>
      </c>
      <c r="B3875" s="30">
        <v>70.8</v>
      </c>
      <c r="C3875" s="30">
        <v>71.5</v>
      </c>
      <c r="D3875" s="30">
        <v>72.2</v>
      </c>
      <c r="E3875" s="30"/>
      <c r="F3875" s="30">
        <v>69.3</v>
      </c>
      <c r="G3875" s="30">
        <v>72.7</v>
      </c>
    </row>
    <row r="3876" spans="1:7" x14ac:dyDescent="0.25">
      <c r="A3876" s="29">
        <v>41482</v>
      </c>
      <c r="B3876" s="30">
        <v>73.8</v>
      </c>
      <c r="C3876" s="30">
        <v>76.900000000000006</v>
      </c>
      <c r="D3876" s="30">
        <v>75.2</v>
      </c>
      <c r="E3876" s="30"/>
      <c r="F3876" s="30">
        <v>72.3</v>
      </c>
      <c r="G3876" s="30">
        <v>75.400000000000006</v>
      </c>
    </row>
    <row r="3877" spans="1:7" x14ac:dyDescent="0.25">
      <c r="A3877" s="29">
        <v>41483</v>
      </c>
      <c r="B3877" s="30">
        <v>72.7</v>
      </c>
      <c r="C3877" s="30">
        <v>74.8</v>
      </c>
      <c r="D3877" s="30">
        <v>73.3</v>
      </c>
      <c r="E3877" s="30"/>
      <c r="F3877" s="30">
        <v>72.099999999999994</v>
      </c>
      <c r="G3877" s="30">
        <v>74</v>
      </c>
    </row>
    <row r="3878" spans="1:7" x14ac:dyDescent="0.25">
      <c r="A3878" s="29">
        <v>41484</v>
      </c>
      <c r="B3878" s="30">
        <v>76.400000000000006</v>
      </c>
      <c r="C3878" s="30">
        <v>77.3</v>
      </c>
      <c r="D3878" s="30">
        <v>75.099999999999994</v>
      </c>
      <c r="E3878" s="30"/>
      <c r="F3878" s="30">
        <v>74.900000000000006</v>
      </c>
      <c r="G3878" s="30">
        <v>77</v>
      </c>
    </row>
    <row r="3879" spans="1:7" x14ac:dyDescent="0.25">
      <c r="A3879" s="29">
        <v>41485</v>
      </c>
      <c r="B3879" s="30">
        <v>76.7</v>
      </c>
      <c r="C3879" s="30">
        <v>75.900000000000006</v>
      </c>
      <c r="D3879" s="30">
        <v>74.400000000000006</v>
      </c>
      <c r="E3879" s="30"/>
      <c r="F3879" s="30">
        <v>72.3</v>
      </c>
      <c r="G3879" s="30">
        <v>75.3</v>
      </c>
    </row>
    <row r="3880" spans="1:7" x14ac:dyDescent="0.25">
      <c r="A3880" s="29">
        <v>41486</v>
      </c>
      <c r="B3880" s="30">
        <v>75.5</v>
      </c>
      <c r="C3880" s="30">
        <v>76.099999999999994</v>
      </c>
      <c r="D3880" s="30">
        <v>74.099999999999994</v>
      </c>
      <c r="E3880" s="30"/>
      <c r="F3880" s="30">
        <v>71.599999999999994</v>
      </c>
      <c r="G3880" s="30">
        <v>75.099999999999994</v>
      </c>
    </row>
    <row r="3881" spans="1:7" x14ac:dyDescent="0.25">
      <c r="A3881" s="29">
        <v>41487</v>
      </c>
      <c r="B3881" s="30">
        <v>72</v>
      </c>
      <c r="C3881" s="30">
        <v>73.5</v>
      </c>
      <c r="D3881" s="30">
        <v>71.5</v>
      </c>
      <c r="E3881" s="30"/>
      <c r="F3881" s="30">
        <v>71.8</v>
      </c>
      <c r="G3881" s="30">
        <v>71.8</v>
      </c>
    </row>
    <row r="3882" spans="1:7" x14ac:dyDescent="0.25">
      <c r="A3882" s="29">
        <v>41488</v>
      </c>
      <c r="B3882" s="30">
        <v>75.099999999999994</v>
      </c>
      <c r="C3882" s="30">
        <v>75.5</v>
      </c>
      <c r="D3882" s="30">
        <v>73.599999999999994</v>
      </c>
      <c r="E3882" s="30"/>
      <c r="F3882" s="30">
        <v>75.2</v>
      </c>
      <c r="G3882" s="30">
        <v>75.400000000000006</v>
      </c>
    </row>
    <row r="3883" spans="1:7" x14ac:dyDescent="0.25">
      <c r="A3883" s="29">
        <v>41489</v>
      </c>
      <c r="B3883" s="30">
        <v>74.7</v>
      </c>
      <c r="C3883" s="30">
        <v>76.400000000000006</v>
      </c>
      <c r="D3883" s="30">
        <v>73.400000000000006</v>
      </c>
      <c r="E3883" s="30"/>
      <c r="F3883" s="30">
        <v>74.5</v>
      </c>
      <c r="G3883" s="30">
        <v>73.900000000000006</v>
      </c>
    </row>
    <row r="3884" spans="1:7" x14ac:dyDescent="0.25">
      <c r="A3884" s="29">
        <v>41490</v>
      </c>
      <c r="B3884" s="30">
        <v>75</v>
      </c>
      <c r="C3884" s="30">
        <v>74.599999999999994</v>
      </c>
      <c r="D3884" s="30">
        <v>73.2</v>
      </c>
      <c r="E3884" s="30"/>
      <c r="F3884" s="30">
        <v>71.2</v>
      </c>
      <c r="G3884" s="30">
        <v>74.2</v>
      </c>
    </row>
    <row r="3885" spans="1:7" x14ac:dyDescent="0.25">
      <c r="A3885" s="29">
        <v>41491</v>
      </c>
      <c r="B3885" s="30">
        <v>72</v>
      </c>
      <c r="C3885" s="30">
        <v>71.5</v>
      </c>
      <c r="D3885" s="30">
        <v>70.2</v>
      </c>
      <c r="E3885" s="30"/>
      <c r="F3885" s="30">
        <v>68.099999999999994</v>
      </c>
      <c r="G3885" s="30">
        <v>71.2</v>
      </c>
    </row>
    <row r="3886" spans="1:7" x14ac:dyDescent="0.25">
      <c r="A3886" s="29">
        <v>41492</v>
      </c>
      <c r="B3886" s="30">
        <v>72.400000000000006</v>
      </c>
      <c r="C3886" s="30">
        <v>73.900000000000006</v>
      </c>
      <c r="D3886" s="30">
        <v>72.099999999999994</v>
      </c>
      <c r="E3886" s="30"/>
      <c r="F3886" s="30">
        <v>66.599999999999994</v>
      </c>
      <c r="G3886" s="30">
        <v>73.099999999999994</v>
      </c>
    </row>
    <row r="3887" spans="1:7" x14ac:dyDescent="0.25">
      <c r="A3887" s="29">
        <v>41493</v>
      </c>
      <c r="B3887" s="30">
        <v>73.7</v>
      </c>
      <c r="C3887" s="30">
        <v>74.400000000000006</v>
      </c>
      <c r="D3887" s="30">
        <v>73.400000000000006</v>
      </c>
      <c r="E3887" s="30"/>
      <c r="F3887" s="30">
        <v>70.5</v>
      </c>
      <c r="G3887" s="30">
        <v>73.900000000000006</v>
      </c>
    </row>
    <row r="3888" spans="1:7" x14ac:dyDescent="0.25">
      <c r="A3888" s="29">
        <v>41494</v>
      </c>
      <c r="B3888" s="30">
        <v>74</v>
      </c>
      <c r="C3888" s="30">
        <v>75</v>
      </c>
      <c r="D3888" s="30">
        <v>73.8</v>
      </c>
      <c r="E3888" s="30"/>
      <c r="F3888" s="30">
        <v>76.099999999999994</v>
      </c>
      <c r="G3888" s="30">
        <v>74.900000000000006</v>
      </c>
    </row>
    <row r="3889" spans="1:7" x14ac:dyDescent="0.25">
      <c r="A3889" s="29">
        <v>41495</v>
      </c>
      <c r="B3889" s="30">
        <v>75.8</v>
      </c>
      <c r="C3889" s="30">
        <v>78.2</v>
      </c>
      <c r="D3889" s="30">
        <v>77</v>
      </c>
      <c r="E3889" s="30"/>
      <c r="F3889" s="30">
        <v>79.3</v>
      </c>
      <c r="G3889" s="30">
        <v>79</v>
      </c>
    </row>
    <row r="3890" spans="1:7" x14ac:dyDescent="0.25">
      <c r="A3890" s="29">
        <v>41496</v>
      </c>
      <c r="B3890" s="30">
        <v>78.099999999999994</v>
      </c>
      <c r="C3890" s="30">
        <v>78.3</v>
      </c>
      <c r="D3890" s="30">
        <v>77.2</v>
      </c>
      <c r="E3890" s="30"/>
      <c r="F3890" s="30">
        <v>77.7</v>
      </c>
      <c r="G3890" s="30">
        <v>78</v>
      </c>
    </row>
    <row r="3891" spans="1:7" x14ac:dyDescent="0.25">
      <c r="A3891" s="29">
        <v>41497</v>
      </c>
      <c r="B3891" s="30">
        <v>73.900000000000006</v>
      </c>
      <c r="C3891" s="30">
        <v>74.8</v>
      </c>
      <c r="D3891" s="30">
        <v>73.5</v>
      </c>
      <c r="E3891" s="30"/>
      <c r="F3891" s="30">
        <v>73.5</v>
      </c>
      <c r="G3891" s="30">
        <v>74.5</v>
      </c>
    </row>
    <row r="3892" spans="1:7" x14ac:dyDescent="0.25">
      <c r="A3892" s="29">
        <v>41498</v>
      </c>
      <c r="B3892" s="30">
        <v>73.8</v>
      </c>
      <c r="C3892" s="30">
        <v>74.8</v>
      </c>
      <c r="D3892" s="30">
        <v>74.5</v>
      </c>
      <c r="E3892" s="30"/>
      <c r="F3892" s="30">
        <v>74</v>
      </c>
      <c r="G3892" s="30">
        <v>75.2</v>
      </c>
    </row>
    <row r="3893" spans="1:7" x14ac:dyDescent="0.25">
      <c r="A3893" s="29">
        <v>41499</v>
      </c>
      <c r="B3893" s="30">
        <v>72.400000000000006</v>
      </c>
      <c r="C3893" s="30">
        <v>74</v>
      </c>
      <c r="D3893" s="30">
        <v>73.2</v>
      </c>
      <c r="E3893" s="30"/>
      <c r="F3893" s="30">
        <v>74.599999999999994</v>
      </c>
      <c r="G3893" s="30">
        <v>74.3</v>
      </c>
    </row>
    <row r="3894" spans="1:7" x14ac:dyDescent="0.25">
      <c r="A3894" s="29">
        <v>41500</v>
      </c>
      <c r="B3894" s="30">
        <v>70.2</v>
      </c>
      <c r="C3894" s="30">
        <v>69.5</v>
      </c>
      <c r="D3894" s="30">
        <v>68.3</v>
      </c>
      <c r="E3894" s="30"/>
      <c r="F3894" s="30">
        <v>69.900000000000006</v>
      </c>
      <c r="G3894" s="30">
        <v>70.3</v>
      </c>
    </row>
    <row r="3895" spans="1:7" x14ac:dyDescent="0.25">
      <c r="A3895" s="29">
        <v>41501</v>
      </c>
      <c r="B3895" s="30">
        <v>69.2</v>
      </c>
      <c r="C3895" s="30">
        <v>69.8</v>
      </c>
      <c r="D3895" s="30">
        <v>68.599999999999994</v>
      </c>
      <c r="E3895" s="30"/>
      <c r="F3895" s="30">
        <v>64.7</v>
      </c>
      <c r="G3895" s="30">
        <v>69.099999999999994</v>
      </c>
    </row>
    <row r="3896" spans="1:7" x14ac:dyDescent="0.25">
      <c r="A3896" s="29">
        <v>41502</v>
      </c>
      <c r="B3896" s="30">
        <v>70.5</v>
      </c>
      <c r="C3896" s="30">
        <v>72.599999999999994</v>
      </c>
      <c r="D3896" s="30">
        <v>70.900000000000006</v>
      </c>
      <c r="E3896" s="30"/>
      <c r="F3896" s="30">
        <v>65.599999999999994</v>
      </c>
      <c r="G3896" s="30">
        <v>70.599999999999994</v>
      </c>
    </row>
    <row r="3897" spans="1:7" x14ac:dyDescent="0.25">
      <c r="A3897" s="29">
        <v>41503</v>
      </c>
      <c r="B3897" s="30">
        <v>72</v>
      </c>
      <c r="C3897" s="30">
        <v>73.599999999999994</v>
      </c>
      <c r="D3897" s="30">
        <v>72.599999999999994</v>
      </c>
      <c r="E3897" s="30"/>
      <c r="F3897" s="30">
        <v>65.8</v>
      </c>
      <c r="G3897" s="30">
        <v>72.099999999999994</v>
      </c>
    </row>
    <row r="3898" spans="1:7" x14ac:dyDescent="0.25">
      <c r="A3898" s="29">
        <v>41504</v>
      </c>
      <c r="B3898" s="30">
        <v>71.099999999999994</v>
      </c>
      <c r="C3898" s="30">
        <v>72.5</v>
      </c>
      <c r="D3898" s="30">
        <v>72.099999999999994</v>
      </c>
      <c r="E3898" s="30"/>
      <c r="F3898" s="30">
        <v>67.8</v>
      </c>
      <c r="G3898" s="30">
        <v>72.3</v>
      </c>
    </row>
    <row r="3899" spans="1:7" x14ac:dyDescent="0.25">
      <c r="A3899" s="29">
        <v>41505</v>
      </c>
      <c r="B3899" s="30">
        <v>71.3</v>
      </c>
      <c r="C3899" s="30">
        <v>73.5</v>
      </c>
      <c r="D3899" s="30">
        <v>72.099999999999994</v>
      </c>
      <c r="E3899" s="30"/>
      <c r="F3899" s="30">
        <v>68.900000000000006</v>
      </c>
      <c r="G3899" s="30">
        <v>71.599999999999994</v>
      </c>
    </row>
    <row r="3900" spans="1:7" x14ac:dyDescent="0.25">
      <c r="A3900" s="29">
        <v>41506</v>
      </c>
      <c r="B3900" s="30">
        <v>75.3</v>
      </c>
      <c r="C3900" s="30">
        <v>77.5</v>
      </c>
      <c r="D3900" s="30">
        <v>76.599999999999994</v>
      </c>
      <c r="E3900" s="30"/>
      <c r="F3900" s="30">
        <v>74</v>
      </c>
      <c r="G3900" s="30">
        <v>76.2</v>
      </c>
    </row>
    <row r="3901" spans="1:7" x14ac:dyDescent="0.25">
      <c r="A3901" s="29">
        <v>41507</v>
      </c>
      <c r="B3901" s="30">
        <v>77.2</v>
      </c>
      <c r="C3901" s="30">
        <v>81.099999999999994</v>
      </c>
      <c r="D3901" s="30">
        <v>80.099999999999994</v>
      </c>
      <c r="E3901" s="30"/>
      <c r="F3901" s="30">
        <v>76</v>
      </c>
      <c r="G3901" s="30">
        <v>80.599999999999994</v>
      </c>
    </row>
    <row r="3902" spans="1:7" x14ac:dyDescent="0.25">
      <c r="A3902" s="29">
        <v>41508</v>
      </c>
      <c r="B3902" s="30">
        <v>74.400000000000006</v>
      </c>
      <c r="C3902" s="30">
        <v>77.5</v>
      </c>
      <c r="D3902" s="30">
        <v>75.599999999999994</v>
      </c>
      <c r="E3902" s="30"/>
      <c r="F3902" s="30">
        <v>74.7</v>
      </c>
      <c r="G3902" s="30">
        <v>76.3</v>
      </c>
    </row>
    <row r="3903" spans="1:7" x14ac:dyDescent="0.25">
      <c r="A3903" s="29">
        <v>41509</v>
      </c>
      <c r="B3903" s="30">
        <v>76.099999999999994</v>
      </c>
      <c r="C3903" s="30">
        <v>76.2</v>
      </c>
      <c r="D3903" s="30">
        <v>75.5</v>
      </c>
      <c r="E3903" s="30"/>
      <c r="F3903" s="30">
        <v>73.3</v>
      </c>
      <c r="G3903" s="30">
        <v>76</v>
      </c>
    </row>
    <row r="3904" spans="1:7" x14ac:dyDescent="0.25">
      <c r="A3904" s="29">
        <v>41510</v>
      </c>
      <c r="B3904" s="30">
        <v>71.599999999999994</v>
      </c>
      <c r="C3904" s="30">
        <v>71.5</v>
      </c>
      <c r="D3904" s="30">
        <v>72</v>
      </c>
      <c r="E3904" s="30"/>
      <c r="F3904" s="30">
        <v>68.400000000000006</v>
      </c>
      <c r="G3904" s="30">
        <v>71.5</v>
      </c>
    </row>
    <row r="3905" spans="1:7" x14ac:dyDescent="0.25">
      <c r="A3905" s="29">
        <v>41511</v>
      </c>
      <c r="B3905" s="30">
        <v>71.7</v>
      </c>
      <c r="C3905" s="30">
        <v>73.8</v>
      </c>
      <c r="D3905" s="30">
        <v>72.8</v>
      </c>
      <c r="E3905" s="30"/>
      <c r="F3905" s="30">
        <v>65.3</v>
      </c>
      <c r="G3905" s="30">
        <v>72.099999999999994</v>
      </c>
    </row>
    <row r="3906" spans="1:7" x14ac:dyDescent="0.25">
      <c r="A3906" s="29">
        <v>41512</v>
      </c>
      <c r="B3906" s="30">
        <v>73.599999999999994</v>
      </c>
      <c r="C3906" s="30">
        <v>75.3</v>
      </c>
      <c r="D3906" s="30">
        <v>74.5</v>
      </c>
      <c r="E3906" s="30"/>
      <c r="F3906" s="30">
        <v>70.3</v>
      </c>
      <c r="G3906" s="30">
        <v>74.3</v>
      </c>
    </row>
    <row r="3907" spans="1:7" x14ac:dyDescent="0.25">
      <c r="A3907" s="29">
        <v>41513</v>
      </c>
      <c r="B3907" s="30">
        <v>77.900000000000006</v>
      </c>
      <c r="C3907" s="30">
        <v>78.3</v>
      </c>
      <c r="D3907" s="30">
        <v>77.8</v>
      </c>
      <c r="E3907" s="30"/>
      <c r="F3907" s="30">
        <v>78.900000000000006</v>
      </c>
      <c r="G3907" s="30">
        <v>79</v>
      </c>
    </row>
    <row r="3908" spans="1:7" x14ac:dyDescent="0.25">
      <c r="A3908" s="29">
        <v>41514</v>
      </c>
      <c r="B3908" s="30">
        <v>76.7</v>
      </c>
      <c r="C3908" s="30">
        <v>78</v>
      </c>
      <c r="D3908" s="30">
        <v>76.400000000000006</v>
      </c>
      <c r="E3908" s="30"/>
      <c r="F3908" s="30">
        <v>72.7</v>
      </c>
      <c r="G3908" s="30">
        <v>77.900000000000006</v>
      </c>
    </row>
    <row r="3909" spans="1:7" x14ac:dyDescent="0.25">
      <c r="A3909" s="29">
        <v>41515</v>
      </c>
      <c r="B3909" s="30">
        <v>75</v>
      </c>
      <c r="C3909" s="30">
        <v>74.599999999999994</v>
      </c>
      <c r="D3909" s="30">
        <v>73.8</v>
      </c>
      <c r="E3909" s="30"/>
      <c r="F3909" s="30">
        <v>72.400000000000006</v>
      </c>
      <c r="G3909" s="30">
        <v>74.8</v>
      </c>
    </row>
    <row r="3910" spans="1:7" x14ac:dyDescent="0.25">
      <c r="A3910" s="29">
        <v>41516</v>
      </c>
      <c r="B3910" s="30">
        <v>73.8</v>
      </c>
      <c r="C3910" s="30">
        <v>75.400000000000006</v>
      </c>
      <c r="D3910" s="30">
        <v>75.099999999999994</v>
      </c>
      <c r="E3910" s="30"/>
      <c r="F3910" s="30">
        <v>71</v>
      </c>
      <c r="G3910" s="30">
        <v>74.900000000000006</v>
      </c>
    </row>
    <row r="3911" spans="1:7" x14ac:dyDescent="0.25">
      <c r="A3911" s="29">
        <v>41517</v>
      </c>
      <c r="B3911" s="30">
        <v>76.099999999999994</v>
      </c>
      <c r="C3911" s="30">
        <v>78.5</v>
      </c>
      <c r="D3911" s="30">
        <v>78.3</v>
      </c>
      <c r="E3911" s="30"/>
      <c r="F3911" s="30">
        <v>76</v>
      </c>
      <c r="G3911" s="30">
        <v>78.400000000000006</v>
      </c>
    </row>
    <row r="3912" spans="1:7" x14ac:dyDescent="0.25">
      <c r="A3912" s="29">
        <v>41518</v>
      </c>
      <c r="B3912" s="30">
        <v>76.400000000000006</v>
      </c>
      <c r="C3912" s="30">
        <v>79.599999999999994</v>
      </c>
      <c r="D3912" s="30">
        <v>78.900000000000006</v>
      </c>
      <c r="E3912" s="30"/>
      <c r="F3912" s="30">
        <v>77.599999999999994</v>
      </c>
      <c r="G3912" s="30">
        <v>79.3</v>
      </c>
    </row>
    <row r="3913" spans="1:7" x14ac:dyDescent="0.25">
      <c r="A3913" s="29">
        <v>41519</v>
      </c>
      <c r="B3913" s="30">
        <v>76</v>
      </c>
      <c r="C3913" s="30">
        <v>76.900000000000006</v>
      </c>
      <c r="D3913" s="30">
        <v>76.900000000000006</v>
      </c>
      <c r="E3913" s="30"/>
      <c r="F3913" s="30">
        <v>74</v>
      </c>
      <c r="G3913" s="30">
        <v>77.8</v>
      </c>
    </row>
    <row r="3914" spans="1:7" x14ac:dyDescent="0.25">
      <c r="A3914" s="29">
        <v>41520</v>
      </c>
      <c r="B3914" s="30">
        <v>76.599999999999994</v>
      </c>
      <c r="C3914" s="30">
        <v>76.2</v>
      </c>
      <c r="D3914" s="30">
        <v>75.7</v>
      </c>
      <c r="E3914" s="30"/>
      <c r="F3914" s="30">
        <v>75.7</v>
      </c>
      <c r="G3914" s="30">
        <v>76.7</v>
      </c>
    </row>
    <row r="3915" spans="1:7" x14ac:dyDescent="0.25">
      <c r="A3915" s="29">
        <v>41521</v>
      </c>
      <c r="B3915" s="30">
        <v>74.099999999999994</v>
      </c>
      <c r="C3915" s="30">
        <v>73.3</v>
      </c>
      <c r="D3915" s="30">
        <v>72.7</v>
      </c>
      <c r="E3915" s="30"/>
      <c r="F3915" s="30">
        <v>69.2</v>
      </c>
      <c r="G3915" s="30">
        <v>73</v>
      </c>
    </row>
    <row r="3916" spans="1:7" x14ac:dyDescent="0.25">
      <c r="A3916" s="29">
        <v>41522</v>
      </c>
      <c r="B3916" s="30">
        <v>74.2</v>
      </c>
      <c r="C3916" s="30">
        <v>74.3</v>
      </c>
      <c r="D3916" s="30">
        <v>73</v>
      </c>
      <c r="E3916" s="30"/>
      <c r="F3916" s="30">
        <v>71.2</v>
      </c>
      <c r="G3916" s="30">
        <v>72.099999999999994</v>
      </c>
    </row>
    <row r="3917" spans="1:7" x14ac:dyDescent="0.25">
      <c r="A3917" s="29">
        <v>41523</v>
      </c>
      <c r="B3917" s="30">
        <v>65.3</v>
      </c>
      <c r="C3917" s="30">
        <v>64.8</v>
      </c>
      <c r="D3917" s="30">
        <v>64.7</v>
      </c>
      <c r="E3917" s="30"/>
      <c r="F3917" s="30">
        <v>61.9</v>
      </c>
      <c r="G3917" s="30">
        <v>64.3</v>
      </c>
    </row>
    <row r="3918" spans="1:7" x14ac:dyDescent="0.25">
      <c r="A3918" s="29">
        <v>41524</v>
      </c>
      <c r="B3918" s="30">
        <v>66.599999999999994</v>
      </c>
      <c r="C3918" s="30">
        <v>68.3</v>
      </c>
      <c r="D3918" s="30">
        <v>67.8</v>
      </c>
      <c r="E3918" s="30"/>
      <c r="F3918" s="30">
        <v>61.6</v>
      </c>
      <c r="G3918" s="30">
        <v>66.7</v>
      </c>
    </row>
    <row r="3919" spans="1:7" x14ac:dyDescent="0.25">
      <c r="A3919" s="29">
        <v>41525</v>
      </c>
      <c r="B3919" s="30">
        <v>73.8</v>
      </c>
      <c r="C3919" s="30">
        <v>73.900000000000006</v>
      </c>
      <c r="D3919" s="30">
        <v>73.7</v>
      </c>
      <c r="E3919" s="30"/>
      <c r="F3919" s="30">
        <v>72.5</v>
      </c>
      <c r="G3919" s="30">
        <v>73.900000000000006</v>
      </c>
    </row>
    <row r="3920" spans="1:7" x14ac:dyDescent="0.25">
      <c r="A3920" s="29">
        <v>41526</v>
      </c>
      <c r="B3920" s="30">
        <v>65.3</v>
      </c>
      <c r="C3920" s="30">
        <v>65.900000000000006</v>
      </c>
      <c r="D3920" s="30">
        <v>65.3</v>
      </c>
      <c r="E3920" s="30"/>
      <c r="F3920" s="30">
        <v>64.8</v>
      </c>
      <c r="G3920" s="30">
        <v>64.599999999999994</v>
      </c>
    </row>
    <row r="3921" spans="1:7" x14ac:dyDescent="0.25">
      <c r="A3921" s="29">
        <v>41527</v>
      </c>
      <c r="B3921" s="30">
        <v>72.7</v>
      </c>
      <c r="C3921" s="30">
        <v>74.8</v>
      </c>
      <c r="D3921" s="30">
        <v>74.900000000000006</v>
      </c>
      <c r="E3921" s="30"/>
      <c r="F3921" s="30">
        <v>74.7</v>
      </c>
      <c r="G3921" s="30">
        <v>74.900000000000006</v>
      </c>
    </row>
    <row r="3922" spans="1:7" x14ac:dyDescent="0.25">
      <c r="A3922" s="29">
        <v>41528</v>
      </c>
      <c r="B3922" s="30">
        <v>77.5</v>
      </c>
      <c r="C3922" s="30">
        <v>83.6</v>
      </c>
      <c r="D3922" s="30">
        <v>84.4</v>
      </c>
      <c r="E3922" s="30"/>
      <c r="F3922" s="30">
        <v>78.2</v>
      </c>
      <c r="G3922" s="30">
        <v>84.1</v>
      </c>
    </row>
    <row r="3923" spans="1:7" x14ac:dyDescent="0.25">
      <c r="A3923" s="29">
        <v>41529</v>
      </c>
      <c r="B3923" s="30">
        <v>75.2</v>
      </c>
      <c r="C3923" s="30">
        <v>80.599999999999994</v>
      </c>
      <c r="D3923" s="30">
        <v>80</v>
      </c>
      <c r="E3923" s="30"/>
      <c r="F3923" s="30">
        <v>77.2</v>
      </c>
      <c r="G3923" s="30">
        <v>81</v>
      </c>
    </row>
    <row r="3924" spans="1:7" x14ac:dyDescent="0.25">
      <c r="A3924" s="29">
        <v>41530</v>
      </c>
      <c r="B3924" s="30">
        <v>72.599999999999994</v>
      </c>
      <c r="C3924" s="30">
        <v>71.3</v>
      </c>
      <c r="D3924" s="30">
        <v>70.099999999999994</v>
      </c>
      <c r="E3924" s="30"/>
      <c r="F3924" s="30">
        <v>72.2</v>
      </c>
      <c r="G3924" s="30">
        <v>71.2</v>
      </c>
    </row>
    <row r="3925" spans="1:7" x14ac:dyDescent="0.25">
      <c r="A3925" s="29">
        <v>41531</v>
      </c>
      <c r="B3925" s="30">
        <v>62.4</v>
      </c>
      <c r="C3925" s="30">
        <v>61.6</v>
      </c>
      <c r="D3925" s="30">
        <v>60.3</v>
      </c>
      <c r="E3925" s="30"/>
      <c r="F3925" s="30">
        <v>59.9</v>
      </c>
      <c r="G3925" s="30">
        <v>61.4</v>
      </c>
    </row>
    <row r="3926" spans="1:7" x14ac:dyDescent="0.25">
      <c r="A3926" s="29">
        <v>41532</v>
      </c>
      <c r="B3926" s="30">
        <v>61</v>
      </c>
      <c r="C3926" s="30">
        <v>61.5</v>
      </c>
      <c r="D3926" s="30">
        <v>60.4</v>
      </c>
      <c r="E3926" s="30"/>
      <c r="F3926" s="30">
        <v>58.2</v>
      </c>
      <c r="G3926" s="30">
        <v>60.3</v>
      </c>
    </row>
    <row r="3927" spans="1:7" x14ac:dyDescent="0.25">
      <c r="A3927" s="29">
        <v>41533</v>
      </c>
      <c r="B3927" s="30">
        <v>65.599999999999994</v>
      </c>
      <c r="C3927" s="30">
        <v>65.8</v>
      </c>
      <c r="D3927" s="30">
        <v>65.2</v>
      </c>
      <c r="E3927" s="30"/>
      <c r="F3927" s="30">
        <v>65.2</v>
      </c>
      <c r="G3927" s="30">
        <v>65</v>
      </c>
    </row>
    <row r="3928" spans="1:7" x14ac:dyDescent="0.25">
      <c r="A3928" s="29">
        <v>41534</v>
      </c>
      <c r="B3928" s="30">
        <v>59</v>
      </c>
      <c r="C3928" s="30">
        <v>58.2</v>
      </c>
      <c r="D3928" s="30">
        <v>57.8</v>
      </c>
      <c r="E3928" s="30"/>
      <c r="F3928" s="30">
        <v>57.5</v>
      </c>
      <c r="G3928" s="30">
        <v>58.5</v>
      </c>
    </row>
    <row r="3929" spans="1:7" x14ac:dyDescent="0.25">
      <c r="A3929" s="29">
        <v>41535</v>
      </c>
      <c r="B3929" s="30">
        <v>59.5</v>
      </c>
      <c r="C3929" s="30">
        <v>61.8</v>
      </c>
      <c r="D3929" s="30">
        <v>60</v>
      </c>
      <c r="E3929" s="30"/>
      <c r="F3929" s="30">
        <v>53.7</v>
      </c>
      <c r="G3929" s="30">
        <v>60.1</v>
      </c>
    </row>
    <row r="3930" spans="1:7" x14ac:dyDescent="0.25">
      <c r="A3930" s="29">
        <v>41536</v>
      </c>
      <c r="B3930" s="30">
        <v>63.8</v>
      </c>
      <c r="C3930" s="30">
        <v>65</v>
      </c>
      <c r="D3930" s="30">
        <v>64.3</v>
      </c>
      <c r="E3930" s="30"/>
      <c r="F3930" s="30">
        <v>58.2</v>
      </c>
      <c r="G3930" s="30">
        <v>62.8</v>
      </c>
    </row>
    <row r="3931" spans="1:7" x14ac:dyDescent="0.25">
      <c r="A3931" s="29">
        <v>41537</v>
      </c>
      <c r="B3931" s="30">
        <v>65.8</v>
      </c>
      <c r="C3931" s="30">
        <v>68.099999999999994</v>
      </c>
      <c r="D3931" s="30">
        <v>67.599999999999994</v>
      </c>
      <c r="E3931" s="30"/>
      <c r="F3931" s="30">
        <v>61.5</v>
      </c>
      <c r="G3931" s="30">
        <v>65.8</v>
      </c>
    </row>
    <row r="3932" spans="1:7" x14ac:dyDescent="0.25">
      <c r="A3932" s="29">
        <v>41538</v>
      </c>
      <c r="B3932" s="30">
        <v>66.5</v>
      </c>
      <c r="C3932" s="30">
        <v>67.400000000000006</v>
      </c>
      <c r="D3932" s="30">
        <v>67.7</v>
      </c>
      <c r="E3932" s="30"/>
      <c r="F3932" s="30">
        <v>63.3</v>
      </c>
      <c r="G3932" s="30">
        <v>67.599999999999994</v>
      </c>
    </row>
    <row r="3933" spans="1:7" x14ac:dyDescent="0.25">
      <c r="A3933" s="29">
        <v>41539</v>
      </c>
      <c r="B3933" s="30">
        <v>67.5</v>
      </c>
      <c r="C3933" s="30">
        <v>66.3</v>
      </c>
      <c r="D3933" s="30">
        <v>65.3</v>
      </c>
      <c r="E3933" s="30"/>
      <c r="F3933" s="30">
        <v>67.5</v>
      </c>
      <c r="G3933" s="30">
        <v>66.599999999999994</v>
      </c>
    </row>
    <row r="3934" spans="1:7" x14ac:dyDescent="0.25">
      <c r="A3934" s="29">
        <v>41540</v>
      </c>
      <c r="B3934" s="30">
        <v>58.9</v>
      </c>
      <c r="C3934" s="30">
        <v>58.5</v>
      </c>
      <c r="D3934" s="30">
        <v>57.5</v>
      </c>
      <c r="E3934" s="30"/>
      <c r="F3934" s="30">
        <v>55.1</v>
      </c>
      <c r="G3934" s="30">
        <v>58.5</v>
      </c>
    </row>
    <row r="3935" spans="1:7" x14ac:dyDescent="0.25">
      <c r="A3935" s="29">
        <v>41541</v>
      </c>
      <c r="B3935" s="30">
        <v>59.3</v>
      </c>
      <c r="C3935" s="30">
        <v>59.1</v>
      </c>
      <c r="D3935" s="30">
        <v>58.4</v>
      </c>
      <c r="E3935" s="30"/>
      <c r="F3935" s="30">
        <v>55.3</v>
      </c>
      <c r="G3935" s="30">
        <v>59.2</v>
      </c>
    </row>
    <row r="3936" spans="1:7" x14ac:dyDescent="0.25">
      <c r="A3936" s="29">
        <v>41542</v>
      </c>
      <c r="B3936" s="30">
        <v>63.3</v>
      </c>
      <c r="C3936" s="30">
        <v>64.099999999999994</v>
      </c>
      <c r="D3936" s="30">
        <v>62.5</v>
      </c>
      <c r="E3936" s="30"/>
      <c r="F3936" s="30">
        <v>58.2</v>
      </c>
      <c r="G3936" s="30">
        <v>62.7</v>
      </c>
    </row>
    <row r="3937" spans="1:7" x14ac:dyDescent="0.25">
      <c r="A3937" s="29">
        <v>41543</v>
      </c>
      <c r="B3937" s="30">
        <v>62.3</v>
      </c>
      <c r="C3937" s="30">
        <v>63.9</v>
      </c>
      <c r="D3937" s="30">
        <v>63</v>
      </c>
      <c r="E3937" s="30"/>
      <c r="F3937" s="30">
        <v>58.8</v>
      </c>
      <c r="G3937" s="30">
        <v>62.7</v>
      </c>
    </row>
    <row r="3938" spans="1:7" x14ac:dyDescent="0.25">
      <c r="A3938" s="29">
        <v>41544</v>
      </c>
      <c r="B3938" s="30">
        <v>60.7</v>
      </c>
      <c r="C3938" s="30">
        <v>61.5</v>
      </c>
      <c r="D3938" s="30">
        <v>61.8</v>
      </c>
      <c r="E3938" s="30"/>
      <c r="F3938" s="30">
        <v>58.1</v>
      </c>
      <c r="G3938" s="30">
        <v>62</v>
      </c>
    </row>
    <row r="3939" spans="1:7" x14ac:dyDescent="0.25">
      <c r="A3939" s="29">
        <v>41545</v>
      </c>
      <c r="B3939" s="30">
        <v>64.3</v>
      </c>
      <c r="C3939" s="30">
        <v>64.400000000000006</v>
      </c>
      <c r="D3939" s="30">
        <v>64.099999999999994</v>
      </c>
      <c r="E3939" s="30"/>
      <c r="F3939" s="30">
        <v>62</v>
      </c>
      <c r="G3939" s="30">
        <v>64.099999999999994</v>
      </c>
    </row>
    <row r="3940" spans="1:7" x14ac:dyDescent="0.25">
      <c r="A3940" s="29">
        <v>41546</v>
      </c>
      <c r="B3940" s="30">
        <v>62.2</v>
      </c>
      <c r="C3940" s="30">
        <v>64.599999999999994</v>
      </c>
      <c r="D3940" s="30">
        <v>63.7</v>
      </c>
      <c r="E3940" s="30"/>
      <c r="F3940" s="30">
        <v>58.1</v>
      </c>
      <c r="G3940" s="30">
        <v>62.8</v>
      </c>
    </row>
    <row r="3941" spans="1:7" x14ac:dyDescent="0.25">
      <c r="A3941" s="29">
        <v>41547</v>
      </c>
      <c r="B3941" s="30">
        <v>61.1</v>
      </c>
      <c r="C3941" s="30">
        <v>63.9</v>
      </c>
      <c r="D3941" s="30">
        <v>63.1</v>
      </c>
      <c r="E3941" s="30"/>
      <c r="F3941" s="30">
        <v>56.9</v>
      </c>
      <c r="G3941" s="30">
        <v>62.8</v>
      </c>
    </row>
    <row r="3942" spans="1:7" x14ac:dyDescent="0.25">
      <c r="A3942" s="29">
        <v>41548</v>
      </c>
      <c r="B3942" s="30">
        <v>67.2</v>
      </c>
      <c r="C3942" s="30">
        <v>68.900000000000006</v>
      </c>
      <c r="D3942" s="30">
        <v>68.2</v>
      </c>
      <c r="E3942" s="30"/>
      <c r="F3942" s="30">
        <v>62.7</v>
      </c>
      <c r="G3942" s="30">
        <v>67.2</v>
      </c>
    </row>
    <row r="3943" spans="1:7" x14ac:dyDescent="0.25">
      <c r="A3943" s="29">
        <v>41549</v>
      </c>
      <c r="B3943" s="30">
        <v>71.099999999999994</v>
      </c>
      <c r="C3943" s="30">
        <v>73.900000000000006</v>
      </c>
      <c r="D3943" s="30">
        <v>72.7</v>
      </c>
      <c r="E3943" s="30"/>
      <c r="F3943" s="30">
        <v>70.599999999999994</v>
      </c>
      <c r="G3943" s="30">
        <v>71.7</v>
      </c>
    </row>
    <row r="3944" spans="1:7" x14ac:dyDescent="0.25">
      <c r="A3944" s="29">
        <v>41550</v>
      </c>
      <c r="B3944" s="30">
        <v>71.400000000000006</v>
      </c>
      <c r="C3944" s="30">
        <v>72.599999999999994</v>
      </c>
      <c r="D3944" s="30">
        <v>71.7</v>
      </c>
      <c r="E3944" s="30"/>
      <c r="F3944" s="30">
        <v>69.599999999999994</v>
      </c>
      <c r="G3944" s="30">
        <v>72.400000000000006</v>
      </c>
    </row>
    <row r="3945" spans="1:7" x14ac:dyDescent="0.25">
      <c r="A3945" s="29">
        <v>41551</v>
      </c>
      <c r="B3945" s="30">
        <v>69.900000000000006</v>
      </c>
      <c r="C3945" s="30">
        <v>74</v>
      </c>
      <c r="D3945" s="30">
        <v>73.5</v>
      </c>
      <c r="E3945" s="30"/>
      <c r="F3945" s="30">
        <v>71</v>
      </c>
      <c r="G3945" s="30">
        <v>74.2</v>
      </c>
    </row>
    <row r="3946" spans="1:7" x14ac:dyDescent="0.25">
      <c r="A3946" s="29">
        <v>41552</v>
      </c>
      <c r="B3946" s="30">
        <v>68.400000000000006</v>
      </c>
      <c r="C3946" s="30">
        <v>68.3</v>
      </c>
      <c r="D3946" s="30">
        <v>69.5</v>
      </c>
      <c r="E3946" s="30"/>
      <c r="F3946" s="30">
        <v>69.599999999999994</v>
      </c>
      <c r="G3946" s="30">
        <v>70.8</v>
      </c>
    </row>
    <row r="3947" spans="1:7" x14ac:dyDescent="0.25">
      <c r="A3947" s="29">
        <v>41553</v>
      </c>
      <c r="B3947" s="30">
        <v>66.2</v>
      </c>
      <c r="C3947" s="30">
        <v>66.5</v>
      </c>
      <c r="D3947" s="30">
        <v>67.2</v>
      </c>
      <c r="E3947" s="30"/>
      <c r="F3947" s="30">
        <v>68.3</v>
      </c>
      <c r="G3947" s="30">
        <v>67</v>
      </c>
    </row>
    <row r="3948" spans="1:7" x14ac:dyDescent="0.25">
      <c r="A3948" s="29">
        <v>41554</v>
      </c>
      <c r="B3948" s="30">
        <v>70.3</v>
      </c>
      <c r="C3948" s="30">
        <v>70.7</v>
      </c>
      <c r="D3948" s="30">
        <v>69.599999999999994</v>
      </c>
      <c r="E3948" s="30"/>
      <c r="F3948" s="30">
        <v>70.599999999999994</v>
      </c>
      <c r="G3948" s="30">
        <v>70.400000000000006</v>
      </c>
    </row>
    <row r="3949" spans="1:7" x14ac:dyDescent="0.25">
      <c r="A3949" s="29">
        <v>41555</v>
      </c>
      <c r="B3949" s="30">
        <v>61.9</v>
      </c>
      <c r="C3949" s="30">
        <v>61.6</v>
      </c>
      <c r="D3949" s="30">
        <v>60.8</v>
      </c>
      <c r="E3949" s="30"/>
      <c r="F3949" s="30">
        <v>58</v>
      </c>
      <c r="G3949" s="30">
        <v>60.8</v>
      </c>
    </row>
    <row r="3950" spans="1:7" x14ac:dyDescent="0.25">
      <c r="A3950" s="29">
        <v>41556</v>
      </c>
      <c r="B3950" s="30">
        <v>59.1</v>
      </c>
      <c r="C3950" s="30">
        <v>59.7</v>
      </c>
      <c r="D3950" s="30">
        <v>58.3</v>
      </c>
      <c r="E3950" s="30"/>
      <c r="F3950" s="30">
        <v>58</v>
      </c>
      <c r="G3950" s="30">
        <v>57.2</v>
      </c>
    </row>
    <row r="3951" spans="1:7" x14ac:dyDescent="0.25">
      <c r="A3951" s="29">
        <v>41557</v>
      </c>
      <c r="B3951" s="30">
        <v>59.2</v>
      </c>
      <c r="C3951" s="30">
        <v>59.1</v>
      </c>
      <c r="D3951" s="30">
        <v>58.4</v>
      </c>
      <c r="E3951" s="30"/>
      <c r="F3951" s="30">
        <v>58.7</v>
      </c>
      <c r="G3951" s="30">
        <v>57.9</v>
      </c>
    </row>
    <row r="3952" spans="1:7" x14ac:dyDescent="0.25">
      <c r="A3952" s="29">
        <v>41558</v>
      </c>
      <c r="B3952" s="30">
        <v>63.6</v>
      </c>
      <c r="C3952" s="30">
        <v>63.7</v>
      </c>
      <c r="D3952" s="30">
        <v>63.3</v>
      </c>
      <c r="E3952" s="30"/>
      <c r="F3952" s="30">
        <v>59.9</v>
      </c>
      <c r="G3952" s="30">
        <v>62.8</v>
      </c>
    </row>
    <row r="3953" spans="1:7" x14ac:dyDescent="0.25">
      <c r="A3953" s="29">
        <v>41559</v>
      </c>
      <c r="B3953" s="30">
        <v>65.8</v>
      </c>
      <c r="C3953" s="30">
        <v>65.7</v>
      </c>
      <c r="D3953" s="30">
        <v>65.2</v>
      </c>
      <c r="E3953" s="30"/>
      <c r="F3953" s="30">
        <v>61.1</v>
      </c>
      <c r="G3953" s="30">
        <v>66.3</v>
      </c>
    </row>
    <row r="3954" spans="1:7" x14ac:dyDescent="0.25">
      <c r="A3954" s="29">
        <v>41560</v>
      </c>
      <c r="B3954" s="30">
        <v>61.4</v>
      </c>
      <c r="C3954" s="30">
        <v>60.9</v>
      </c>
      <c r="D3954" s="30">
        <v>60.3</v>
      </c>
      <c r="E3954" s="30"/>
      <c r="F3954" s="30">
        <v>60.8</v>
      </c>
      <c r="G3954" s="30">
        <v>61.4</v>
      </c>
    </row>
    <row r="3955" spans="1:7" x14ac:dyDescent="0.25">
      <c r="A3955" s="29">
        <v>41561</v>
      </c>
      <c r="B3955" s="30">
        <v>56.5</v>
      </c>
      <c r="C3955" s="30">
        <v>58</v>
      </c>
      <c r="D3955" s="30">
        <v>58.2</v>
      </c>
      <c r="E3955" s="30"/>
      <c r="F3955" s="30">
        <v>56.8</v>
      </c>
      <c r="G3955" s="30">
        <v>58.7</v>
      </c>
    </row>
    <row r="3956" spans="1:7" x14ac:dyDescent="0.25">
      <c r="A3956" s="29">
        <v>41562</v>
      </c>
      <c r="B3956" s="30">
        <v>58.3</v>
      </c>
      <c r="C3956" s="30">
        <v>60.4</v>
      </c>
      <c r="D3956" s="30">
        <v>60</v>
      </c>
      <c r="E3956" s="30"/>
      <c r="F3956" s="30">
        <v>55.1</v>
      </c>
      <c r="G3956" s="30">
        <v>59.8</v>
      </c>
    </row>
    <row r="3957" spans="1:7" x14ac:dyDescent="0.25">
      <c r="A3957" s="29">
        <v>41563</v>
      </c>
      <c r="B3957" s="30">
        <v>59.2</v>
      </c>
      <c r="C3957" s="30">
        <v>60.1</v>
      </c>
      <c r="D3957" s="30">
        <v>60.6</v>
      </c>
      <c r="E3957" s="30"/>
      <c r="F3957" s="30">
        <v>60.1</v>
      </c>
      <c r="G3957" s="30">
        <v>61</v>
      </c>
    </row>
    <row r="3958" spans="1:7" x14ac:dyDescent="0.25">
      <c r="A3958" s="29">
        <v>41564</v>
      </c>
      <c r="B3958" s="30">
        <v>63.7</v>
      </c>
      <c r="C3958" s="30">
        <v>64.7</v>
      </c>
      <c r="D3958" s="30">
        <v>65.3</v>
      </c>
      <c r="E3958" s="30"/>
      <c r="F3958" s="30">
        <v>64.099999999999994</v>
      </c>
      <c r="G3958" s="30">
        <v>65.400000000000006</v>
      </c>
    </row>
    <row r="3959" spans="1:7" x14ac:dyDescent="0.25">
      <c r="A3959" s="29">
        <v>41565</v>
      </c>
      <c r="B3959" s="30">
        <v>63.9</v>
      </c>
      <c r="C3959" s="30">
        <v>64.2</v>
      </c>
      <c r="D3959" s="30">
        <v>63.5</v>
      </c>
      <c r="E3959" s="30"/>
      <c r="F3959" s="30">
        <v>62.2</v>
      </c>
      <c r="G3959" s="30">
        <v>64.099999999999994</v>
      </c>
    </row>
    <row r="3960" spans="1:7" x14ac:dyDescent="0.25">
      <c r="A3960" s="29">
        <v>41566</v>
      </c>
      <c r="B3960" s="30">
        <v>58.3</v>
      </c>
      <c r="C3960" s="30">
        <v>59.4</v>
      </c>
      <c r="D3960" s="30">
        <v>58.3</v>
      </c>
      <c r="E3960" s="30"/>
      <c r="F3960" s="30">
        <v>52.6</v>
      </c>
      <c r="G3960" s="30">
        <v>56.1</v>
      </c>
    </row>
    <row r="3961" spans="1:7" x14ac:dyDescent="0.25">
      <c r="A3961" s="29">
        <v>41567</v>
      </c>
      <c r="B3961" s="30">
        <v>58.6</v>
      </c>
      <c r="C3961" s="30">
        <v>58.4</v>
      </c>
      <c r="D3961" s="30">
        <v>57.4</v>
      </c>
      <c r="E3961" s="30"/>
      <c r="F3961" s="30">
        <v>56.3</v>
      </c>
      <c r="G3961" s="30">
        <v>57.5</v>
      </c>
    </row>
    <row r="3962" spans="1:7" x14ac:dyDescent="0.25">
      <c r="A3962" s="29">
        <v>41568</v>
      </c>
      <c r="B3962" s="30">
        <v>57.4</v>
      </c>
      <c r="C3962" s="30">
        <v>59.3</v>
      </c>
      <c r="D3962" s="30">
        <v>57.4</v>
      </c>
      <c r="E3962" s="30"/>
      <c r="F3962" s="30">
        <v>50.5</v>
      </c>
      <c r="G3962" s="30">
        <v>55.5</v>
      </c>
    </row>
    <row r="3963" spans="1:7" x14ac:dyDescent="0.25">
      <c r="A3963" s="29">
        <v>41569</v>
      </c>
      <c r="B3963" s="30">
        <v>60.2</v>
      </c>
      <c r="C3963" s="30">
        <v>59.6</v>
      </c>
      <c r="D3963" s="30">
        <v>59.5</v>
      </c>
      <c r="E3963" s="30"/>
      <c r="F3963" s="30">
        <v>55.5</v>
      </c>
      <c r="G3963" s="30">
        <v>57.3</v>
      </c>
    </row>
    <row r="3964" spans="1:7" x14ac:dyDescent="0.25">
      <c r="A3964" s="29">
        <v>41570</v>
      </c>
      <c r="B3964" s="30">
        <v>51.8</v>
      </c>
      <c r="C3964" s="30">
        <v>52.8</v>
      </c>
      <c r="D3964" s="30">
        <v>51.8</v>
      </c>
      <c r="E3964" s="30"/>
      <c r="F3964" s="30">
        <v>47.9</v>
      </c>
      <c r="G3964" s="30">
        <v>50.8</v>
      </c>
    </row>
    <row r="3965" spans="1:7" x14ac:dyDescent="0.25">
      <c r="A3965" s="29">
        <v>41571</v>
      </c>
      <c r="B3965" s="30">
        <v>48.1</v>
      </c>
      <c r="C3965" s="30">
        <v>48.4</v>
      </c>
      <c r="D3965" s="30">
        <v>47.4</v>
      </c>
      <c r="E3965" s="30"/>
      <c r="F3965" s="30">
        <v>44.1</v>
      </c>
      <c r="G3965" s="30">
        <v>47.2</v>
      </c>
    </row>
    <row r="3966" spans="1:7" x14ac:dyDescent="0.25">
      <c r="A3966" s="29">
        <v>41572</v>
      </c>
      <c r="B3966" s="30">
        <v>46.3</v>
      </c>
      <c r="C3966" s="30">
        <v>47.4</v>
      </c>
      <c r="D3966" s="30">
        <v>46.3</v>
      </c>
      <c r="E3966" s="30"/>
      <c r="F3966" s="30">
        <v>42.7</v>
      </c>
      <c r="G3966" s="30">
        <v>45.6</v>
      </c>
    </row>
    <row r="3967" spans="1:7" x14ac:dyDescent="0.25">
      <c r="A3967" s="29">
        <v>41573</v>
      </c>
      <c r="B3967" s="30">
        <v>46.9</v>
      </c>
      <c r="C3967" s="30">
        <v>49.5</v>
      </c>
      <c r="D3967" s="30">
        <v>47.9</v>
      </c>
      <c r="E3967" s="30"/>
      <c r="F3967" s="30">
        <v>44.3</v>
      </c>
      <c r="G3967" s="30">
        <v>45.9</v>
      </c>
    </row>
    <row r="3968" spans="1:7" x14ac:dyDescent="0.25">
      <c r="A3968" s="29">
        <v>41574</v>
      </c>
      <c r="B3968" s="30">
        <v>52.2</v>
      </c>
      <c r="C3968" s="30">
        <v>53</v>
      </c>
      <c r="D3968" s="30">
        <v>52.1</v>
      </c>
      <c r="E3968" s="30"/>
      <c r="F3968" s="30">
        <v>51.4</v>
      </c>
      <c r="G3968" s="30">
        <v>52.1</v>
      </c>
    </row>
    <row r="3969" spans="1:7" x14ac:dyDescent="0.25">
      <c r="A3969" s="29">
        <v>41575</v>
      </c>
      <c r="B3969" s="30">
        <v>50.2</v>
      </c>
      <c r="C3969" s="30">
        <v>53</v>
      </c>
      <c r="D3969" s="30">
        <v>51.5</v>
      </c>
      <c r="E3969" s="30"/>
      <c r="F3969" s="30">
        <v>46</v>
      </c>
      <c r="G3969" s="30">
        <v>50.2</v>
      </c>
    </row>
    <row r="3970" spans="1:7" x14ac:dyDescent="0.25">
      <c r="A3970" s="29">
        <v>41576</v>
      </c>
      <c r="B3970" s="30">
        <v>51.3</v>
      </c>
      <c r="C3970" s="30">
        <v>50.5</v>
      </c>
      <c r="D3970" s="30">
        <v>50.2</v>
      </c>
      <c r="E3970" s="30"/>
      <c r="F3970" s="30">
        <v>49.3</v>
      </c>
      <c r="G3970" s="30">
        <v>50.1</v>
      </c>
    </row>
    <row r="3971" spans="1:7" x14ac:dyDescent="0.25">
      <c r="A3971" s="29">
        <v>41577</v>
      </c>
      <c r="B3971" s="30">
        <v>51.7</v>
      </c>
      <c r="C3971" s="30">
        <v>52.9</v>
      </c>
      <c r="D3971" s="30">
        <v>52.8</v>
      </c>
      <c r="E3971" s="30"/>
      <c r="F3971" s="30">
        <v>48.7</v>
      </c>
      <c r="G3971" s="30">
        <v>50.5</v>
      </c>
    </row>
    <row r="3972" spans="1:7" x14ac:dyDescent="0.25">
      <c r="A3972" s="29">
        <v>41578</v>
      </c>
      <c r="B3972" s="30">
        <v>58.8</v>
      </c>
      <c r="C3972" s="30">
        <v>59.3</v>
      </c>
      <c r="D3972" s="30">
        <v>59.7</v>
      </c>
      <c r="E3972" s="30"/>
      <c r="F3972" s="30">
        <v>55.7</v>
      </c>
      <c r="G3972" s="30">
        <v>59</v>
      </c>
    </row>
    <row r="3973" spans="1:7" x14ac:dyDescent="0.25">
      <c r="A3973" s="29">
        <v>41579</v>
      </c>
      <c r="B3973" s="30">
        <v>63.6</v>
      </c>
      <c r="C3973" s="30">
        <v>65.900000000000006</v>
      </c>
      <c r="D3973" s="30">
        <v>66.2</v>
      </c>
      <c r="E3973" s="30"/>
      <c r="F3973" s="30">
        <v>64.099999999999994</v>
      </c>
      <c r="G3973" s="30">
        <v>66.8</v>
      </c>
    </row>
    <row r="3974" spans="1:7" x14ac:dyDescent="0.25">
      <c r="A3974" s="29">
        <v>41580</v>
      </c>
      <c r="B3974" s="30">
        <v>59.9</v>
      </c>
      <c r="C3974" s="30">
        <v>61.5</v>
      </c>
      <c r="D3974" s="30">
        <v>61.3</v>
      </c>
      <c r="E3974" s="30"/>
      <c r="F3974" s="30">
        <v>62</v>
      </c>
      <c r="G3974" s="30">
        <v>60.2</v>
      </c>
    </row>
    <row r="3975" spans="1:7" x14ac:dyDescent="0.25">
      <c r="A3975" s="29">
        <v>41581</v>
      </c>
      <c r="B3975" s="30">
        <v>51.6</v>
      </c>
      <c r="C3975" s="30">
        <v>50.9</v>
      </c>
      <c r="D3975" s="30">
        <v>49.6</v>
      </c>
      <c r="E3975" s="30"/>
      <c r="F3975" s="30">
        <v>50.4</v>
      </c>
      <c r="G3975" s="30">
        <v>50.8</v>
      </c>
    </row>
    <row r="3976" spans="1:7" x14ac:dyDescent="0.25">
      <c r="A3976" s="29">
        <v>41582</v>
      </c>
      <c r="B3976" s="30">
        <v>40.5</v>
      </c>
      <c r="C3976" s="30">
        <v>39.5</v>
      </c>
      <c r="D3976" s="30">
        <v>39.4</v>
      </c>
      <c r="E3976" s="30"/>
      <c r="F3976" s="30">
        <v>38.1</v>
      </c>
      <c r="G3976" s="30">
        <v>39.1</v>
      </c>
    </row>
    <row r="3977" spans="1:7" x14ac:dyDescent="0.25">
      <c r="A3977" s="29">
        <v>41583</v>
      </c>
      <c r="B3977" s="30">
        <v>45.4</v>
      </c>
      <c r="C3977" s="30">
        <v>46.8</v>
      </c>
      <c r="D3977" s="30">
        <v>46.8</v>
      </c>
      <c r="E3977" s="30"/>
      <c r="F3977" s="30">
        <v>43.8</v>
      </c>
      <c r="G3977" s="30">
        <v>45.3</v>
      </c>
    </row>
    <row r="3978" spans="1:7" x14ac:dyDescent="0.25">
      <c r="A3978" s="29">
        <v>41584</v>
      </c>
      <c r="B3978" s="30">
        <v>52.4</v>
      </c>
      <c r="C3978" s="30">
        <v>53.2</v>
      </c>
      <c r="D3978" s="30">
        <v>54.4</v>
      </c>
      <c r="E3978" s="30"/>
      <c r="F3978" s="30">
        <v>48</v>
      </c>
      <c r="G3978" s="30">
        <v>53.1</v>
      </c>
    </row>
    <row r="3979" spans="1:7" x14ac:dyDescent="0.25">
      <c r="A3979" s="29">
        <v>41585</v>
      </c>
      <c r="B3979" s="30">
        <v>58.4</v>
      </c>
      <c r="C3979" s="30">
        <v>58.3</v>
      </c>
      <c r="D3979" s="30">
        <v>57.8</v>
      </c>
      <c r="E3979" s="30"/>
      <c r="F3979" s="30">
        <v>60</v>
      </c>
      <c r="G3979" s="30">
        <v>57.3</v>
      </c>
    </row>
    <row r="3980" spans="1:7" x14ac:dyDescent="0.25">
      <c r="A3980" s="29">
        <v>41586</v>
      </c>
      <c r="B3980" s="30">
        <v>46.4</v>
      </c>
      <c r="C3980" s="30">
        <v>46</v>
      </c>
      <c r="D3980" s="30">
        <v>45</v>
      </c>
      <c r="E3980" s="30"/>
      <c r="F3980" s="30">
        <v>44</v>
      </c>
      <c r="G3980" s="30">
        <v>45.1</v>
      </c>
    </row>
    <row r="3981" spans="1:7" x14ac:dyDescent="0.25">
      <c r="A3981" s="29">
        <v>41587</v>
      </c>
      <c r="B3981" s="30">
        <v>44.5</v>
      </c>
      <c r="C3981" s="30">
        <v>44.3</v>
      </c>
      <c r="D3981" s="30">
        <v>43.7</v>
      </c>
      <c r="E3981" s="30"/>
      <c r="F3981" s="30">
        <v>40.9</v>
      </c>
      <c r="G3981" s="30">
        <v>43</v>
      </c>
    </row>
    <row r="3982" spans="1:7" x14ac:dyDescent="0.25">
      <c r="A3982" s="29">
        <v>41588</v>
      </c>
      <c r="B3982" s="30">
        <v>50.6</v>
      </c>
      <c r="C3982" s="30">
        <v>50.1</v>
      </c>
      <c r="D3982" s="30">
        <v>49.6</v>
      </c>
      <c r="E3982" s="30"/>
      <c r="F3982" s="30">
        <v>51.2</v>
      </c>
      <c r="G3982" s="30">
        <v>48.1</v>
      </c>
    </row>
    <row r="3983" spans="1:7" x14ac:dyDescent="0.25">
      <c r="A3983" s="29">
        <v>41589</v>
      </c>
      <c r="B3983" s="30">
        <v>49.3</v>
      </c>
      <c r="C3983" s="30">
        <v>48.6</v>
      </c>
      <c r="D3983" s="30">
        <v>48.2</v>
      </c>
      <c r="E3983" s="30"/>
      <c r="F3983" s="30">
        <v>46.8</v>
      </c>
      <c r="G3983" s="30">
        <v>47.7</v>
      </c>
    </row>
    <row r="3984" spans="1:7" x14ac:dyDescent="0.25">
      <c r="A3984" s="29">
        <v>41590</v>
      </c>
      <c r="B3984" s="30">
        <v>43.9</v>
      </c>
      <c r="C3984" s="30">
        <v>43.9</v>
      </c>
      <c r="D3984" s="30">
        <v>42.8</v>
      </c>
      <c r="E3984" s="30"/>
      <c r="F3984" s="30">
        <v>43.3</v>
      </c>
      <c r="G3984" s="30">
        <v>43.2</v>
      </c>
    </row>
    <row r="3985" spans="1:7" x14ac:dyDescent="0.25">
      <c r="A3985" s="29">
        <v>41591</v>
      </c>
      <c r="B3985" s="30">
        <v>34</v>
      </c>
      <c r="C3985" s="30">
        <v>34</v>
      </c>
      <c r="D3985" s="30">
        <v>33.1</v>
      </c>
      <c r="E3985" s="30"/>
      <c r="F3985" s="30">
        <v>32.799999999999997</v>
      </c>
      <c r="G3985" s="30">
        <v>33.5</v>
      </c>
    </row>
    <row r="3986" spans="1:7" x14ac:dyDescent="0.25">
      <c r="A3986" s="29">
        <v>41592</v>
      </c>
      <c r="B3986" s="30">
        <v>40.9</v>
      </c>
      <c r="C3986" s="30">
        <v>41</v>
      </c>
      <c r="D3986" s="30">
        <v>40.700000000000003</v>
      </c>
      <c r="E3986" s="30"/>
      <c r="F3986" s="30">
        <v>39.700000000000003</v>
      </c>
      <c r="G3986" s="30">
        <v>39.4</v>
      </c>
    </row>
    <row r="3987" spans="1:7" x14ac:dyDescent="0.25">
      <c r="A3987" s="29">
        <v>41593</v>
      </c>
      <c r="B3987" s="30">
        <v>45.3</v>
      </c>
      <c r="C3987" s="30">
        <v>49.1</v>
      </c>
      <c r="D3987" s="30">
        <v>50</v>
      </c>
      <c r="E3987" s="30"/>
      <c r="F3987" s="30">
        <v>45.3</v>
      </c>
      <c r="G3987" s="30">
        <v>45.7</v>
      </c>
    </row>
    <row r="3988" spans="1:7" x14ac:dyDescent="0.25">
      <c r="A3988" s="29">
        <v>41594</v>
      </c>
      <c r="B3988" s="30">
        <v>49.4</v>
      </c>
      <c r="C3988" s="30">
        <v>51.9</v>
      </c>
      <c r="D3988" s="30">
        <v>52.3</v>
      </c>
      <c r="E3988" s="30"/>
      <c r="F3988" s="30">
        <v>44.6</v>
      </c>
      <c r="G3988" s="30">
        <v>50.1</v>
      </c>
    </row>
    <row r="3989" spans="1:7" x14ac:dyDescent="0.25">
      <c r="A3989" s="29">
        <v>41595</v>
      </c>
      <c r="B3989" s="30">
        <v>53.4</v>
      </c>
      <c r="C3989" s="30">
        <v>52.6</v>
      </c>
      <c r="D3989" s="30">
        <v>54.6</v>
      </c>
      <c r="E3989" s="30"/>
      <c r="F3989" s="30">
        <v>53.2</v>
      </c>
      <c r="G3989" s="30">
        <v>53.2</v>
      </c>
    </row>
    <row r="3990" spans="1:7" x14ac:dyDescent="0.25">
      <c r="A3990" s="29">
        <v>41596</v>
      </c>
      <c r="B3990" s="30">
        <v>59.2</v>
      </c>
      <c r="C3990" s="30">
        <v>60.3</v>
      </c>
      <c r="D3990" s="30">
        <v>60.4</v>
      </c>
      <c r="E3990" s="30"/>
      <c r="F3990" s="30">
        <v>61.1</v>
      </c>
      <c r="G3990" s="30">
        <v>61.1</v>
      </c>
    </row>
    <row r="3991" spans="1:7" x14ac:dyDescent="0.25">
      <c r="A3991" s="29">
        <v>41597</v>
      </c>
      <c r="B3991" s="30">
        <v>49.2</v>
      </c>
      <c r="C3991" s="30">
        <v>48.3</v>
      </c>
      <c r="D3991" s="30">
        <v>47.1</v>
      </c>
      <c r="E3991" s="30"/>
      <c r="F3991" s="30">
        <v>47.7</v>
      </c>
      <c r="G3991" s="30">
        <v>48</v>
      </c>
    </row>
    <row r="3992" spans="1:7" x14ac:dyDescent="0.25">
      <c r="A3992" s="29">
        <v>41598</v>
      </c>
      <c r="B3992" s="30">
        <v>38.200000000000003</v>
      </c>
      <c r="C3992" s="30">
        <v>38</v>
      </c>
      <c r="D3992" s="30">
        <v>37.5</v>
      </c>
      <c r="E3992" s="30"/>
      <c r="F3992" s="30">
        <v>34.6</v>
      </c>
      <c r="G3992" s="30">
        <v>37.299999999999997</v>
      </c>
    </row>
    <row r="3993" spans="1:7" x14ac:dyDescent="0.25">
      <c r="A3993" s="29">
        <v>41599</v>
      </c>
      <c r="B3993" s="30">
        <v>40.4</v>
      </c>
      <c r="C3993" s="30">
        <v>41.6</v>
      </c>
      <c r="D3993" s="30">
        <v>42.1</v>
      </c>
      <c r="E3993" s="30"/>
      <c r="F3993" s="30">
        <v>40</v>
      </c>
      <c r="G3993" s="30">
        <v>38.799999999999997</v>
      </c>
    </row>
    <row r="3994" spans="1:7" x14ac:dyDescent="0.25">
      <c r="A3994" s="29">
        <v>41600</v>
      </c>
      <c r="B3994" s="30">
        <v>52.1</v>
      </c>
      <c r="C3994" s="30">
        <v>52.4</v>
      </c>
      <c r="D3994" s="30">
        <v>52.8</v>
      </c>
      <c r="E3994" s="30"/>
      <c r="F3994" s="30">
        <v>51</v>
      </c>
      <c r="G3994" s="30">
        <v>51.9</v>
      </c>
    </row>
    <row r="3995" spans="1:7" x14ac:dyDescent="0.25">
      <c r="A3995" s="29">
        <v>41601</v>
      </c>
      <c r="B3995" s="30">
        <v>47.8</v>
      </c>
      <c r="C3995" s="30">
        <v>47.4</v>
      </c>
      <c r="D3995" s="30">
        <v>46.3</v>
      </c>
      <c r="E3995" s="30"/>
      <c r="F3995" s="30">
        <v>48.1</v>
      </c>
      <c r="G3995" s="30">
        <v>47.3</v>
      </c>
    </row>
    <row r="3996" spans="1:7" x14ac:dyDescent="0.25">
      <c r="A3996" s="29">
        <v>41602</v>
      </c>
      <c r="B3996" s="30">
        <v>29.6</v>
      </c>
      <c r="C3996" s="30">
        <v>29.4</v>
      </c>
      <c r="D3996" s="30">
        <v>27.6</v>
      </c>
      <c r="E3996" s="30"/>
      <c r="F3996" s="30">
        <v>30</v>
      </c>
      <c r="G3996" s="30">
        <v>28.6</v>
      </c>
    </row>
    <row r="3997" spans="1:7" x14ac:dyDescent="0.25">
      <c r="A3997" s="29">
        <v>41603</v>
      </c>
      <c r="B3997" s="30">
        <v>28.3</v>
      </c>
      <c r="C3997" s="30">
        <v>27.9</v>
      </c>
      <c r="D3997" s="30">
        <v>27.5</v>
      </c>
      <c r="E3997" s="30"/>
      <c r="F3997" s="30">
        <v>25.6</v>
      </c>
      <c r="G3997" s="30">
        <v>27.3</v>
      </c>
    </row>
    <row r="3998" spans="1:7" x14ac:dyDescent="0.25">
      <c r="A3998" s="29">
        <v>41604</v>
      </c>
      <c r="B3998" s="30">
        <v>36.5</v>
      </c>
      <c r="C3998" s="30">
        <v>36</v>
      </c>
      <c r="D3998" s="30">
        <v>35.9</v>
      </c>
      <c r="E3998" s="30"/>
      <c r="F3998" s="30">
        <v>35.799999999999997</v>
      </c>
      <c r="G3998" s="30">
        <v>35.200000000000003</v>
      </c>
    </row>
    <row r="3999" spans="1:7" x14ac:dyDescent="0.25">
      <c r="A3999" s="29">
        <v>41605</v>
      </c>
      <c r="B3999" s="30">
        <v>50.3</v>
      </c>
      <c r="C3999" s="30">
        <v>48</v>
      </c>
      <c r="D3999" s="30">
        <v>48.5</v>
      </c>
      <c r="E3999" s="30"/>
      <c r="F3999" s="30">
        <v>50.1</v>
      </c>
      <c r="G3999" s="30">
        <v>48.8</v>
      </c>
    </row>
    <row r="4000" spans="1:7" x14ac:dyDescent="0.25">
      <c r="A4000" s="29">
        <v>41606</v>
      </c>
      <c r="B4000" s="30">
        <v>34.9</v>
      </c>
      <c r="C4000" s="30">
        <v>34.1</v>
      </c>
      <c r="D4000" s="30">
        <v>33.200000000000003</v>
      </c>
      <c r="E4000" s="30"/>
      <c r="F4000" s="30">
        <v>33.4</v>
      </c>
      <c r="G4000" s="30">
        <v>33.9</v>
      </c>
    </row>
    <row r="4001" spans="1:7" x14ac:dyDescent="0.25">
      <c r="A4001" s="29">
        <v>41607</v>
      </c>
      <c r="B4001" s="30">
        <v>34.799999999999997</v>
      </c>
      <c r="C4001" s="30">
        <v>34.1</v>
      </c>
      <c r="D4001" s="30">
        <v>33.700000000000003</v>
      </c>
      <c r="E4001" s="30"/>
      <c r="F4001" s="30">
        <v>31.5</v>
      </c>
      <c r="G4001" s="30">
        <v>33.9</v>
      </c>
    </row>
    <row r="4002" spans="1:7" x14ac:dyDescent="0.25">
      <c r="A4002" s="29">
        <v>41608</v>
      </c>
      <c r="B4002" s="30">
        <v>31.7</v>
      </c>
      <c r="C4002" s="30">
        <v>31.3</v>
      </c>
      <c r="D4002" s="30">
        <v>31.2</v>
      </c>
      <c r="E4002" s="30"/>
      <c r="F4002" s="30">
        <v>30.2</v>
      </c>
      <c r="G4002" s="30">
        <v>30.4</v>
      </c>
    </row>
    <row r="4003" spans="1:7" x14ac:dyDescent="0.25">
      <c r="A4003" s="29">
        <v>41609</v>
      </c>
      <c r="B4003" s="30">
        <v>41.9</v>
      </c>
      <c r="C4003" s="30">
        <v>41.1</v>
      </c>
      <c r="D4003" s="30">
        <v>41.3</v>
      </c>
      <c r="E4003" s="30"/>
      <c r="F4003" s="30">
        <v>38.700000000000003</v>
      </c>
      <c r="G4003" s="30">
        <v>40.4</v>
      </c>
    </row>
    <row r="4004" spans="1:7" x14ac:dyDescent="0.25">
      <c r="A4004" s="29">
        <v>41610</v>
      </c>
      <c r="B4004" s="30">
        <v>44.5</v>
      </c>
      <c r="C4004" s="30">
        <v>44.2</v>
      </c>
      <c r="D4004" s="30">
        <v>45.1</v>
      </c>
      <c r="E4004" s="30"/>
      <c r="F4004" s="30">
        <v>38.799999999999997</v>
      </c>
      <c r="G4004" s="30">
        <v>44.4</v>
      </c>
    </row>
    <row r="4005" spans="1:7" x14ac:dyDescent="0.25">
      <c r="A4005" s="29">
        <v>41611</v>
      </c>
      <c r="B4005" s="30">
        <v>43.9</v>
      </c>
      <c r="C4005" s="30">
        <v>44</v>
      </c>
      <c r="D4005" s="30">
        <v>44.8</v>
      </c>
      <c r="E4005" s="30"/>
      <c r="F4005" s="30">
        <v>40.4</v>
      </c>
      <c r="G4005" s="30">
        <v>44.2</v>
      </c>
    </row>
    <row r="4006" spans="1:7" x14ac:dyDescent="0.25">
      <c r="A4006" s="29">
        <v>41612</v>
      </c>
      <c r="B4006" s="30">
        <v>43.7</v>
      </c>
      <c r="C4006" s="30">
        <v>43.8</v>
      </c>
      <c r="D4006" s="30">
        <v>45.7</v>
      </c>
      <c r="E4006" s="30"/>
      <c r="F4006" s="30">
        <v>42.6</v>
      </c>
      <c r="G4006" s="30">
        <v>43.7</v>
      </c>
    </row>
    <row r="4007" spans="1:7" x14ac:dyDescent="0.25">
      <c r="A4007" s="29">
        <v>41613</v>
      </c>
      <c r="B4007" s="30">
        <v>51.4</v>
      </c>
      <c r="C4007" s="30">
        <v>48.6</v>
      </c>
      <c r="D4007" s="30">
        <v>52.8</v>
      </c>
      <c r="E4007" s="30"/>
      <c r="F4007" s="30">
        <v>53</v>
      </c>
      <c r="G4007" s="30">
        <v>51.5</v>
      </c>
    </row>
    <row r="4008" spans="1:7" x14ac:dyDescent="0.25">
      <c r="A4008" s="29">
        <v>41614</v>
      </c>
      <c r="B4008" s="30">
        <v>50.5</v>
      </c>
      <c r="C4008" s="30">
        <v>50.5</v>
      </c>
      <c r="D4008" s="30">
        <v>52.4</v>
      </c>
      <c r="E4008" s="30"/>
      <c r="F4008" s="30">
        <v>53.8</v>
      </c>
      <c r="G4008" s="30">
        <v>52.7</v>
      </c>
    </row>
    <row r="4009" spans="1:7" x14ac:dyDescent="0.25">
      <c r="A4009" s="29">
        <v>41615</v>
      </c>
      <c r="B4009" s="30">
        <v>39</v>
      </c>
      <c r="C4009" s="30">
        <v>38.200000000000003</v>
      </c>
      <c r="D4009" s="30">
        <v>38.200000000000003</v>
      </c>
      <c r="E4009" s="30"/>
      <c r="F4009" s="30">
        <v>38.799999999999997</v>
      </c>
      <c r="G4009" s="30">
        <v>38.5</v>
      </c>
    </row>
    <row r="4010" spans="1:7" x14ac:dyDescent="0.25">
      <c r="A4010" s="29">
        <v>41616</v>
      </c>
      <c r="B4010" s="30">
        <v>32.200000000000003</v>
      </c>
      <c r="C4010" s="30">
        <v>32.1</v>
      </c>
      <c r="D4010" s="30">
        <v>31.6</v>
      </c>
      <c r="E4010" s="30"/>
      <c r="F4010" s="30">
        <v>29</v>
      </c>
      <c r="G4010" s="30">
        <v>31.4</v>
      </c>
    </row>
    <row r="4011" spans="1:7" x14ac:dyDescent="0.25">
      <c r="A4011" s="29">
        <v>41617</v>
      </c>
      <c r="B4011" s="30">
        <v>35.9</v>
      </c>
      <c r="C4011" s="30">
        <v>34.5</v>
      </c>
      <c r="D4011" s="30">
        <v>34.6</v>
      </c>
      <c r="E4011" s="30"/>
      <c r="F4011" s="30">
        <v>38.1</v>
      </c>
      <c r="G4011" s="30">
        <v>33.299999999999997</v>
      </c>
    </row>
    <row r="4012" spans="1:7" x14ac:dyDescent="0.25">
      <c r="A4012" s="29">
        <v>41618</v>
      </c>
      <c r="B4012" s="30">
        <v>36</v>
      </c>
      <c r="C4012" s="30">
        <v>36</v>
      </c>
      <c r="D4012" s="30">
        <v>35.700000000000003</v>
      </c>
      <c r="E4012" s="30"/>
      <c r="F4012" s="30">
        <v>33.299999999999997</v>
      </c>
      <c r="G4012" s="30">
        <v>34.200000000000003</v>
      </c>
    </row>
    <row r="4013" spans="1:7" x14ac:dyDescent="0.25">
      <c r="A4013" s="29">
        <v>41619</v>
      </c>
      <c r="B4013" s="30">
        <v>30.4</v>
      </c>
      <c r="C4013" s="30">
        <v>30.7</v>
      </c>
      <c r="D4013" s="30">
        <v>30.1</v>
      </c>
      <c r="E4013" s="30"/>
      <c r="F4013" s="30">
        <v>29</v>
      </c>
      <c r="G4013" s="30">
        <v>28.3</v>
      </c>
    </row>
    <row r="4014" spans="1:7" x14ac:dyDescent="0.25">
      <c r="A4014" s="29">
        <v>41620</v>
      </c>
      <c r="B4014" s="30">
        <v>27.5</v>
      </c>
      <c r="C4014" s="30">
        <v>27.6</v>
      </c>
      <c r="D4014" s="30">
        <v>26.8</v>
      </c>
      <c r="E4014" s="30"/>
      <c r="F4014" s="30">
        <v>23.9</v>
      </c>
      <c r="G4014" s="30">
        <v>26.2</v>
      </c>
    </row>
    <row r="4015" spans="1:7" x14ac:dyDescent="0.25">
      <c r="A4015" s="29">
        <v>41621</v>
      </c>
      <c r="B4015" s="30">
        <v>28.3</v>
      </c>
      <c r="C4015" s="30">
        <v>28.2</v>
      </c>
      <c r="D4015" s="30">
        <v>27.8</v>
      </c>
      <c r="E4015" s="30"/>
      <c r="F4015" s="30">
        <v>29.3</v>
      </c>
      <c r="G4015" s="30">
        <v>25.6</v>
      </c>
    </row>
    <row r="4016" spans="1:7" x14ac:dyDescent="0.25">
      <c r="A4016" s="29">
        <v>41622</v>
      </c>
      <c r="B4016" s="30">
        <v>28.8</v>
      </c>
      <c r="C4016" s="30">
        <v>28.6</v>
      </c>
      <c r="D4016" s="30">
        <v>28.2</v>
      </c>
      <c r="E4016" s="30"/>
      <c r="F4016" s="30">
        <v>33.1</v>
      </c>
      <c r="G4016" s="30">
        <v>27</v>
      </c>
    </row>
    <row r="4017" spans="1:7" x14ac:dyDescent="0.25">
      <c r="A4017" s="29">
        <v>41623</v>
      </c>
      <c r="B4017" s="30">
        <v>37.700000000000003</v>
      </c>
      <c r="C4017" s="30">
        <v>33.700000000000003</v>
      </c>
      <c r="D4017" s="30">
        <v>33.1</v>
      </c>
      <c r="E4017" s="30"/>
      <c r="F4017" s="30">
        <v>43.3</v>
      </c>
      <c r="G4017" s="30">
        <v>32.200000000000003</v>
      </c>
    </row>
    <row r="4018" spans="1:7" x14ac:dyDescent="0.25">
      <c r="A4018" s="29">
        <v>41624</v>
      </c>
      <c r="B4018" s="30">
        <v>31.8</v>
      </c>
      <c r="C4018" s="30">
        <v>31</v>
      </c>
      <c r="D4018" s="30">
        <v>30.3</v>
      </c>
      <c r="E4018" s="30"/>
      <c r="F4018" s="30">
        <v>31.9</v>
      </c>
      <c r="G4018" s="30">
        <v>29.7</v>
      </c>
    </row>
    <row r="4019" spans="1:7" x14ac:dyDescent="0.25">
      <c r="A4019" s="29">
        <v>41625</v>
      </c>
      <c r="B4019" s="30">
        <v>28.4</v>
      </c>
      <c r="C4019" s="30">
        <v>27.2</v>
      </c>
      <c r="D4019" s="30">
        <v>27.3</v>
      </c>
      <c r="E4019" s="30"/>
      <c r="F4019" s="30">
        <v>32.5</v>
      </c>
      <c r="G4019" s="30">
        <v>26.4</v>
      </c>
    </row>
    <row r="4020" spans="1:7" x14ac:dyDescent="0.25">
      <c r="A4020" s="29">
        <v>41626</v>
      </c>
      <c r="B4020" s="30">
        <v>29.7</v>
      </c>
      <c r="C4020" s="30">
        <v>28.6</v>
      </c>
      <c r="D4020" s="30">
        <v>28.9</v>
      </c>
      <c r="E4020" s="30"/>
      <c r="F4020" s="30">
        <v>31.4</v>
      </c>
      <c r="G4020" s="30">
        <v>27.7</v>
      </c>
    </row>
    <row r="4021" spans="1:7" x14ac:dyDescent="0.25">
      <c r="A4021" s="29">
        <v>41627</v>
      </c>
      <c r="B4021" s="30">
        <v>36.200000000000003</v>
      </c>
      <c r="C4021" s="30">
        <v>36.6</v>
      </c>
      <c r="D4021" s="30">
        <v>36.5</v>
      </c>
      <c r="E4021" s="30"/>
      <c r="F4021" s="30">
        <v>35.6</v>
      </c>
      <c r="G4021" s="30">
        <v>32.299999999999997</v>
      </c>
    </row>
    <row r="4022" spans="1:7" x14ac:dyDescent="0.25">
      <c r="A4022" s="29">
        <v>41628</v>
      </c>
      <c r="B4022" s="30">
        <v>43</v>
      </c>
      <c r="C4022" s="30">
        <v>45.2</v>
      </c>
      <c r="D4022" s="30">
        <v>46.8</v>
      </c>
      <c r="E4022" s="30"/>
      <c r="F4022" s="30">
        <v>48.8</v>
      </c>
      <c r="G4022" s="30">
        <v>41.2</v>
      </c>
    </row>
    <row r="4023" spans="1:7" x14ac:dyDescent="0.25">
      <c r="A4023" s="29">
        <v>41629</v>
      </c>
      <c r="B4023" s="30">
        <v>47.5</v>
      </c>
      <c r="C4023" s="30">
        <v>53.6</v>
      </c>
      <c r="D4023" s="30">
        <v>55.4</v>
      </c>
      <c r="E4023" s="30"/>
      <c r="F4023" s="30">
        <v>56.8</v>
      </c>
      <c r="G4023" s="30">
        <v>50.4</v>
      </c>
    </row>
    <row r="4024" spans="1:7" x14ac:dyDescent="0.25">
      <c r="A4024" s="29">
        <v>41630</v>
      </c>
      <c r="B4024" s="30">
        <v>53.5</v>
      </c>
      <c r="C4024" s="30">
        <v>58.4</v>
      </c>
      <c r="D4024" s="30">
        <v>65.5</v>
      </c>
      <c r="E4024" s="30"/>
      <c r="F4024" s="30">
        <v>59.6</v>
      </c>
      <c r="G4024" s="30">
        <v>64.5</v>
      </c>
    </row>
    <row r="4025" spans="1:7" x14ac:dyDescent="0.25">
      <c r="A4025" s="29">
        <v>41631</v>
      </c>
      <c r="B4025" s="30">
        <v>54.3</v>
      </c>
      <c r="C4025" s="30">
        <v>58.5</v>
      </c>
      <c r="D4025" s="30">
        <v>59.8</v>
      </c>
      <c r="E4025" s="30"/>
      <c r="F4025" s="30">
        <v>58.4</v>
      </c>
      <c r="G4025" s="30">
        <v>59.3</v>
      </c>
    </row>
    <row r="4026" spans="1:7" x14ac:dyDescent="0.25">
      <c r="A4026" s="29">
        <v>41632</v>
      </c>
      <c r="B4026" s="30">
        <v>40.4</v>
      </c>
      <c r="C4026" s="30">
        <v>39.200000000000003</v>
      </c>
      <c r="D4026" s="30">
        <v>38.799999999999997</v>
      </c>
      <c r="E4026" s="30"/>
      <c r="F4026" s="30">
        <v>39.9</v>
      </c>
      <c r="G4026" s="30">
        <v>39.6</v>
      </c>
    </row>
    <row r="4027" spans="1:7" x14ac:dyDescent="0.25">
      <c r="A4027" s="29">
        <v>41633</v>
      </c>
      <c r="B4027" s="30">
        <v>26.4</v>
      </c>
      <c r="C4027" s="30">
        <v>25.6</v>
      </c>
      <c r="D4027" s="30">
        <v>24.8</v>
      </c>
      <c r="E4027" s="30"/>
      <c r="F4027" s="30">
        <v>26.6</v>
      </c>
      <c r="G4027" s="30">
        <v>25.7</v>
      </c>
    </row>
    <row r="4028" spans="1:7" x14ac:dyDescent="0.25">
      <c r="A4028" s="29">
        <v>41634</v>
      </c>
      <c r="B4028" s="30">
        <v>32.4</v>
      </c>
      <c r="C4028" s="30">
        <v>31.7</v>
      </c>
      <c r="D4028" s="30">
        <v>31.9</v>
      </c>
      <c r="E4028" s="30"/>
      <c r="F4028" s="30">
        <v>28.2</v>
      </c>
      <c r="G4028" s="30">
        <v>30.9</v>
      </c>
    </row>
    <row r="4029" spans="1:7" x14ac:dyDescent="0.25">
      <c r="A4029" s="29">
        <v>41635</v>
      </c>
      <c r="B4029" s="30">
        <v>35.799999999999997</v>
      </c>
      <c r="C4029" s="30">
        <v>35.6</v>
      </c>
      <c r="D4029" s="30">
        <v>35.200000000000003</v>
      </c>
      <c r="E4029" s="30"/>
      <c r="F4029" s="30">
        <v>31.3</v>
      </c>
      <c r="G4029" s="30">
        <v>34.1</v>
      </c>
    </row>
    <row r="4030" spans="1:7" x14ac:dyDescent="0.25">
      <c r="A4030" s="29">
        <v>41636</v>
      </c>
      <c r="B4030" s="30">
        <v>40.6</v>
      </c>
      <c r="C4030" s="30">
        <v>42.4</v>
      </c>
      <c r="D4030" s="30">
        <v>43</v>
      </c>
      <c r="E4030" s="30"/>
      <c r="F4030" s="30">
        <v>38.5</v>
      </c>
      <c r="G4030" s="30">
        <v>38.700000000000003</v>
      </c>
    </row>
    <row r="4031" spans="1:7" x14ac:dyDescent="0.25">
      <c r="A4031" s="29">
        <v>41637</v>
      </c>
      <c r="B4031" s="30">
        <v>43.9</v>
      </c>
      <c r="C4031" s="30">
        <v>45.2</v>
      </c>
      <c r="D4031" s="30">
        <v>45.9</v>
      </c>
      <c r="E4031" s="30"/>
      <c r="F4031" s="30">
        <v>45.7</v>
      </c>
      <c r="G4031" s="30">
        <v>43.2</v>
      </c>
    </row>
    <row r="4032" spans="1:7" x14ac:dyDescent="0.25">
      <c r="A4032" s="29">
        <v>41638</v>
      </c>
      <c r="B4032" s="30">
        <v>41</v>
      </c>
      <c r="C4032" s="30">
        <v>40.5</v>
      </c>
      <c r="D4032" s="30">
        <v>39.799999999999997</v>
      </c>
      <c r="E4032" s="30"/>
      <c r="F4032" s="30">
        <v>42.4</v>
      </c>
      <c r="G4032" s="30">
        <v>39.4</v>
      </c>
    </row>
    <row r="4033" spans="1:7" x14ac:dyDescent="0.25">
      <c r="A4033" s="29">
        <v>41639</v>
      </c>
      <c r="B4033" s="30">
        <v>26.9</v>
      </c>
      <c r="C4033" s="30">
        <v>26</v>
      </c>
      <c r="D4033" s="30">
        <v>26</v>
      </c>
      <c r="E4033" s="30"/>
      <c r="F4033" s="30">
        <v>31.9</v>
      </c>
      <c r="G4033" s="30">
        <v>25.8</v>
      </c>
    </row>
    <row r="4034" spans="1:7" x14ac:dyDescent="0.25">
      <c r="A4034" s="29">
        <v>41640</v>
      </c>
      <c r="B4034" s="30">
        <v>29.3</v>
      </c>
      <c r="C4034" s="30">
        <v>28.9</v>
      </c>
      <c r="D4034" s="30">
        <v>28.2</v>
      </c>
      <c r="E4034" s="30"/>
      <c r="F4034" s="30">
        <v>30.5</v>
      </c>
      <c r="G4034" s="30">
        <v>28</v>
      </c>
    </row>
    <row r="4035" spans="1:7" x14ac:dyDescent="0.25">
      <c r="A4035" s="29">
        <v>41641</v>
      </c>
      <c r="B4035" s="30">
        <v>30.1</v>
      </c>
      <c r="C4035" s="30">
        <v>28.9</v>
      </c>
      <c r="D4035" s="30">
        <v>28.5</v>
      </c>
      <c r="E4035" s="30"/>
      <c r="F4035" s="30">
        <v>33</v>
      </c>
      <c r="G4035" s="30">
        <v>28.9</v>
      </c>
    </row>
    <row r="4036" spans="1:7" x14ac:dyDescent="0.25">
      <c r="A4036" s="29">
        <v>41642</v>
      </c>
      <c r="B4036" s="30">
        <v>16.399999999999999</v>
      </c>
      <c r="C4036" s="30">
        <v>16.600000000000001</v>
      </c>
      <c r="D4036" s="30">
        <v>15.6</v>
      </c>
      <c r="E4036" s="30"/>
      <c r="F4036" s="30">
        <v>20.2</v>
      </c>
      <c r="G4036" s="30">
        <v>15.6</v>
      </c>
    </row>
    <row r="4037" spans="1:7" x14ac:dyDescent="0.25">
      <c r="A4037" s="29">
        <v>41643</v>
      </c>
      <c r="B4037" s="30">
        <v>15</v>
      </c>
      <c r="C4037" s="30">
        <v>15.8</v>
      </c>
      <c r="D4037" s="30">
        <v>15.8</v>
      </c>
      <c r="E4037" s="30"/>
      <c r="F4037" s="30">
        <v>12.5</v>
      </c>
      <c r="G4037" s="30">
        <v>13.2</v>
      </c>
    </row>
    <row r="4038" spans="1:7" x14ac:dyDescent="0.25">
      <c r="A4038" s="29">
        <v>41644</v>
      </c>
      <c r="B4038" s="30">
        <v>30.6</v>
      </c>
      <c r="C4038" s="30">
        <v>29.1</v>
      </c>
      <c r="D4038" s="30">
        <v>30.3</v>
      </c>
      <c r="E4038" s="30"/>
      <c r="F4038" s="30">
        <v>30.9</v>
      </c>
      <c r="G4038" s="30">
        <v>24.9</v>
      </c>
    </row>
    <row r="4039" spans="1:7" x14ac:dyDescent="0.25">
      <c r="A4039" s="29">
        <v>41645</v>
      </c>
      <c r="B4039" s="30">
        <v>46.1</v>
      </c>
      <c r="C4039" s="30">
        <v>44.7</v>
      </c>
      <c r="D4039" s="30">
        <v>45.6</v>
      </c>
      <c r="E4039" s="30"/>
      <c r="F4039" s="30">
        <v>48</v>
      </c>
      <c r="G4039" s="30">
        <v>45.3</v>
      </c>
    </row>
    <row r="4040" spans="1:7" x14ac:dyDescent="0.25">
      <c r="A4040" s="29">
        <v>41646</v>
      </c>
      <c r="B4040" s="30">
        <v>15.1</v>
      </c>
      <c r="C4040" s="30">
        <v>14</v>
      </c>
      <c r="D4040" s="30">
        <v>12.3</v>
      </c>
      <c r="E4040" s="30"/>
      <c r="F4040" s="30">
        <v>13.2</v>
      </c>
      <c r="G4040" s="30">
        <v>12.8</v>
      </c>
    </row>
    <row r="4041" spans="1:7" x14ac:dyDescent="0.25">
      <c r="A4041" s="29">
        <v>41647</v>
      </c>
      <c r="B4041" s="30">
        <v>14.1</v>
      </c>
      <c r="C4041" s="30">
        <v>12.9</v>
      </c>
      <c r="D4041" s="30">
        <v>12.9</v>
      </c>
      <c r="E4041" s="30"/>
      <c r="F4041" s="30">
        <v>14.1</v>
      </c>
      <c r="G4041" s="30">
        <v>12.4</v>
      </c>
    </row>
    <row r="4042" spans="1:7" x14ac:dyDescent="0.25">
      <c r="A4042" s="29">
        <v>41648</v>
      </c>
      <c r="B4042" s="30">
        <v>26.2</v>
      </c>
      <c r="C4042" s="30">
        <v>25.7</v>
      </c>
      <c r="D4042" s="30">
        <v>25.3</v>
      </c>
      <c r="E4042" s="30"/>
      <c r="F4042" s="30">
        <v>25.3</v>
      </c>
      <c r="G4042" s="30">
        <v>25</v>
      </c>
    </row>
    <row r="4043" spans="1:7" x14ac:dyDescent="0.25">
      <c r="A4043" s="29">
        <v>41649</v>
      </c>
      <c r="B4043" s="30">
        <v>31.3</v>
      </c>
      <c r="C4043" s="30">
        <v>30.2</v>
      </c>
      <c r="D4043" s="30">
        <v>32.299999999999997</v>
      </c>
      <c r="E4043" s="30"/>
      <c r="F4043" s="30">
        <v>31</v>
      </c>
      <c r="G4043" s="30">
        <v>30.6</v>
      </c>
    </row>
    <row r="4044" spans="1:7" x14ac:dyDescent="0.25">
      <c r="A4044" s="29">
        <v>41650</v>
      </c>
      <c r="B4044" s="30">
        <v>46</v>
      </c>
      <c r="C4044" s="30">
        <v>43.7</v>
      </c>
      <c r="D4044" s="30">
        <v>47.7</v>
      </c>
      <c r="E4044" s="30"/>
      <c r="F4044" s="30">
        <v>51.9</v>
      </c>
      <c r="G4044" s="30">
        <v>46.1</v>
      </c>
    </row>
    <row r="4045" spans="1:7" x14ac:dyDescent="0.25">
      <c r="A4045" s="29">
        <v>41651</v>
      </c>
      <c r="B4045" s="30">
        <v>46.9</v>
      </c>
      <c r="C4045" s="30">
        <v>47.6</v>
      </c>
      <c r="D4045" s="30">
        <v>47.6</v>
      </c>
      <c r="E4045" s="30"/>
      <c r="F4045" s="30">
        <v>46.9</v>
      </c>
      <c r="G4045" s="30">
        <v>47.6</v>
      </c>
    </row>
    <row r="4046" spans="1:7" x14ac:dyDescent="0.25">
      <c r="A4046" s="29">
        <v>41652</v>
      </c>
      <c r="B4046" s="30">
        <v>39.9</v>
      </c>
      <c r="C4046" s="30">
        <v>41.8</v>
      </c>
      <c r="D4046" s="30">
        <v>42.7</v>
      </c>
      <c r="E4046" s="30"/>
      <c r="F4046" s="30">
        <v>38.299999999999997</v>
      </c>
      <c r="G4046" s="30">
        <v>40.299999999999997</v>
      </c>
    </row>
    <row r="4047" spans="1:7" x14ac:dyDescent="0.25">
      <c r="A4047" s="29">
        <v>41653</v>
      </c>
      <c r="B4047" s="30">
        <v>45.6</v>
      </c>
      <c r="C4047" s="30">
        <v>45.8</v>
      </c>
      <c r="D4047" s="30">
        <v>48.3</v>
      </c>
      <c r="E4047" s="30"/>
      <c r="F4047" s="30">
        <v>47.6</v>
      </c>
      <c r="G4047" s="30">
        <v>47.6</v>
      </c>
    </row>
    <row r="4048" spans="1:7" x14ac:dyDescent="0.25">
      <c r="A4048" s="29">
        <v>41654</v>
      </c>
      <c r="B4048" s="30">
        <v>39.9</v>
      </c>
      <c r="C4048" s="30">
        <v>42.4</v>
      </c>
      <c r="D4048" s="30">
        <v>42.6</v>
      </c>
      <c r="E4048" s="30"/>
      <c r="F4048" s="30">
        <v>40.700000000000003</v>
      </c>
      <c r="G4048" s="30">
        <v>39.799999999999997</v>
      </c>
    </row>
    <row r="4049" spans="1:7" x14ac:dyDescent="0.25">
      <c r="A4049" s="29">
        <v>41655</v>
      </c>
      <c r="B4049" s="30">
        <v>40.200000000000003</v>
      </c>
      <c r="C4049" s="30">
        <v>39.1</v>
      </c>
      <c r="D4049" s="30">
        <v>39.4</v>
      </c>
      <c r="E4049" s="30"/>
      <c r="F4049" s="30">
        <v>38.4</v>
      </c>
      <c r="G4049" s="30">
        <v>40.299999999999997</v>
      </c>
    </row>
    <row r="4050" spans="1:7" x14ac:dyDescent="0.25">
      <c r="A4050" s="29">
        <v>41656</v>
      </c>
      <c r="B4050" s="30">
        <v>37</v>
      </c>
      <c r="C4050" s="30">
        <v>38.299999999999997</v>
      </c>
      <c r="D4050" s="30">
        <v>37.799999999999997</v>
      </c>
      <c r="E4050" s="30"/>
      <c r="F4050" s="30">
        <v>34.5</v>
      </c>
      <c r="G4050" s="30">
        <v>36.700000000000003</v>
      </c>
    </row>
    <row r="4051" spans="1:7" x14ac:dyDescent="0.25">
      <c r="A4051" s="29">
        <v>41657</v>
      </c>
      <c r="B4051" s="30">
        <v>38.700000000000003</v>
      </c>
      <c r="C4051" s="30">
        <v>37.5</v>
      </c>
      <c r="D4051" s="30">
        <v>37.6</v>
      </c>
      <c r="E4051" s="30"/>
      <c r="F4051" s="30">
        <v>36.4</v>
      </c>
      <c r="G4051" s="30">
        <v>37.700000000000003</v>
      </c>
    </row>
    <row r="4052" spans="1:7" x14ac:dyDescent="0.25">
      <c r="A4052" s="29">
        <v>41658</v>
      </c>
      <c r="B4052" s="30">
        <v>30.5</v>
      </c>
      <c r="C4052" s="30">
        <v>29.8</v>
      </c>
      <c r="D4052" s="30">
        <v>29.1</v>
      </c>
      <c r="E4052" s="30"/>
      <c r="F4052" s="30">
        <v>29.5</v>
      </c>
      <c r="G4052" s="30">
        <v>29</v>
      </c>
    </row>
    <row r="4053" spans="1:7" x14ac:dyDescent="0.25">
      <c r="A4053" s="29">
        <v>41659</v>
      </c>
      <c r="B4053" s="30">
        <v>39.4</v>
      </c>
      <c r="C4053" s="30">
        <v>39.6</v>
      </c>
      <c r="D4053" s="30">
        <v>39</v>
      </c>
      <c r="E4053" s="30"/>
      <c r="F4053" s="30">
        <v>40.299999999999997</v>
      </c>
      <c r="G4053" s="30">
        <v>38.4</v>
      </c>
    </row>
    <row r="4054" spans="1:7" x14ac:dyDescent="0.25">
      <c r="A4054" s="29">
        <v>41660</v>
      </c>
      <c r="B4054" s="30">
        <v>27.1</v>
      </c>
      <c r="C4054" s="30">
        <v>25.7</v>
      </c>
      <c r="D4054" s="30">
        <v>25.2</v>
      </c>
      <c r="E4054" s="30"/>
      <c r="F4054" s="30">
        <v>30.1</v>
      </c>
      <c r="G4054" s="30">
        <v>25.5</v>
      </c>
    </row>
    <row r="4055" spans="1:7" x14ac:dyDescent="0.25">
      <c r="A4055" s="29">
        <v>41661</v>
      </c>
      <c r="B4055" s="30">
        <v>12.7</v>
      </c>
      <c r="C4055" s="30">
        <v>12.6</v>
      </c>
      <c r="D4055" s="30">
        <v>12.3</v>
      </c>
      <c r="E4055" s="30"/>
      <c r="F4055" s="30">
        <v>12.1</v>
      </c>
      <c r="G4055" s="30">
        <v>11.4</v>
      </c>
    </row>
    <row r="4056" spans="1:7" x14ac:dyDescent="0.25">
      <c r="A4056" s="29">
        <v>41662</v>
      </c>
      <c r="B4056" s="30">
        <v>13.7</v>
      </c>
      <c r="C4056" s="30">
        <v>13.5</v>
      </c>
      <c r="D4056" s="30">
        <v>13.1</v>
      </c>
      <c r="E4056" s="30"/>
      <c r="F4056" s="30">
        <v>13.3</v>
      </c>
      <c r="G4056" s="30">
        <v>12.1</v>
      </c>
    </row>
    <row r="4057" spans="1:7" x14ac:dyDescent="0.25">
      <c r="A4057" s="29">
        <v>41663</v>
      </c>
      <c r="B4057" s="30">
        <v>15.9</v>
      </c>
      <c r="C4057" s="30">
        <v>15.7</v>
      </c>
      <c r="D4057" s="30">
        <v>14.7</v>
      </c>
      <c r="E4057" s="30"/>
      <c r="F4057" s="30">
        <v>13.8</v>
      </c>
      <c r="G4057" s="30">
        <v>14</v>
      </c>
    </row>
    <row r="4058" spans="1:7" x14ac:dyDescent="0.25">
      <c r="A4058" s="29">
        <v>41664</v>
      </c>
      <c r="B4058" s="30">
        <v>23.9</v>
      </c>
      <c r="C4058" s="30">
        <v>22</v>
      </c>
      <c r="D4058" s="30">
        <v>21.8</v>
      </c>
      <c r="E4058" s="30"/>
      <c r="F4058" s="30">
        <v>22.2</v>
      </c>
      <c r="G4058" s="30">
        <v>20.5</v>
      </c>
    </row>
    <row r="4059" spans="1:7" x14ac:dyDescent="0.25">
      <c r="A4059" s="29">
        <v>41665</v>
      </c>
      <c r="B4059" s="30">
        <v>22.4</v>
      </c>
      <c r="C4059" s="30">
        <v>21.9</v>
      </c>
      <c r="D4059" s="30">
        <v>21.4</v>
      </c>
      <c r="E4059" s="30"/>
      <c r="F4059" s="30">
        <v>24.9</v>
      </c>
      <c r="G4059" s="30">
        <v>20.2</v>
      </c>
    </row>
    <row r="4060" spans="1:7" x14ac:dyDescent="0.25">
      <c r="A4060" s="29">
        <v>41666</v>
      </c>
      <c r="B4060" s="30">
        <v>35.5</v>
      </c>
      <c r="C4060" s="30">
        <v>33.700000000000003</v>
      </c>
      <c r="D4060" s="30">
        <v>34.799999999999997</v>
      </c>
      <c r="E4060" s="30"/>
      <c r="F4060" s="30">
        <v>37.9</v>
      </c>
      <c r="G4060" s="30">
        <v>29.8</v>
      </c>
    </row>
    <row r="4061" spans="1:7" x14ac:dyDescent="0.25">
      <c r="A4061" s="29">
        <v>41667</v>
      </c>
      <c r="B4061" s="30">
        <v>19.8</v>
      </c>
      <c r="C4061" s="30">
        <v>18.5</v>
      </c>
      <c r="D4061" s="30">
        <v>17.8</v>
      </c>
      <c r="E4061" s="30"/>
      <c r="F4061" s="30">
        <v>19.100000000000001</v>
      </c>
      <c r="G4061" s="30">
        <v>17.899999999999999</v>
      </c>
    </row>
    <row r="4062" spans="1:7" x14ac:dyDescent="0.25">
      <c r="A4062" s="29">
        <v>41668</v>
      </c>
      <c r="B4062" s="30">
        <v>19</v>
      </c>
      <c r="C4062" s="30">
        <v>18.2</v>
      </c>
      <c r="D4062" s="30">
        <v>17.399999999999999</v>
      </c>
      <c r="E4062" s="30"/>
      <c r="F4062" s="30">
        <v>14.7</v>
      </c>
      <c r="G4062" s="30">
        <v>17</v>
      </c>
    </row>
    <row r="4063" spans="1:7" x14ac:dyDescent="0.25">
      <c r="A4063" s="29">
        <v>41669</v>
      </c>
      <c r="B4063" s="30">
        <v>21.1</v>
      </c>
      <c r="C4063" s="30">
        <v>21.6</v>
      </c>
      <c r="D4063" s="30">
        <v>21.2</v>
      </c>
      <c r="E4063" s="30"/>
      <c r="F4063" s="30">
        <v>14.9</v>
      </c>
      <c r="G4063" s="30">
        <v>19</v>
      </c>
    </row>
    <row r="4064" spans="1:7" x14ac:dyDescent="0.25">
      <c r="A4064" s="29">
        <v>41670</v>
      </c>
      <c r="B4064" s="30">
        <v>31</v>
      </c>
      <c r="C4064" s="30">
        <v>30.5</v>
      </c>
      <c r="D4064" s="30">
        <v>30.7</v>
      </c>
      <c r="E4064" s="30"/>
      <c r="F4064" s="30">
        <v>24.2</v>
      </c>
      <c r="G4064" s="30">
        <v>28</v>
      </c>
    </row>
    <row r="4065" spans="1:7" x14ac:dyDescent="0.25">
      <c r="A4065" s="29">
        <v>41671</v>
      </c>
      <c r="B4065" s="30">
        <v>36.4</v>
      </c>
      <c r="C4065" s="30">
        <v>38.200000000000003</v>
      </c>
      <c r="D4065" s="30">
        <v>39.1</v>
      </c>
      <c r="E4065" s="30"/>
      <c r="F4065" s="30">
        <v>32.700000000000003</v>
      </c>
      <c r="G4065" s="30">
        <v>36.4</v>
      </c>
    </row>
    <row r="4066" spans="1:7" x14ac:dyDescent="0.25">
      <c r="A4066" s="29">
        <v>41672</v>
      </c>
      <c r="B4066" s="30">
        <v>38.9</v>
      </c>
      <c r="C4066" s="30">
        <v>40.299999999999997</v>
      </c>
      <c r="D4066" s="30">
        <v>45.1</v>
      </c>
      <c r="E4066" s="30"/>
      <c r="F4066" s="30">
        <v>44</v>
      </c>
      <c r="G4066" s="30">
        <v>39.1</v>
      </c>
    </row>
    <row r="4067" spans="1:7" x14ac:dyDescent="0.25">
      <c r="A4067" s="29">
        <v>41673</v>
      </c>
      <c r="B4067" s="30">
        <v>37.5</v>
      </c>
      <c r="C4067" s="30">
        <v>35.6</v>
      </c>
      <c r="D4067" s="30">
        <v>35.5</v>
      </c>
      <c r="E4067" s="30"/>
      <c r="F4067" s="30">
        <v>38.6</v>
      </c>
      <c r="G4067" s="30">
        <v>36.1</v>
      </c>
    </row>
    <row r="4068" spans="1:7" x14ac:dyDescent="0.25">
      <c r="A4068" s="29">
        <v>41674</v>
      </c>
      <c r="B4068" s="30">
        <v>28.8</v>
      </c>
      <c r="C4068" s="30">
        <v>29.6</v>
      </c>
      <c r="D4068" s="30">
        <v>28.3</v>
      </c>
      <c r="E4068" s="30"/>
      <c r="F4068" s="30">
        <v>31.6</v>
      </c>
      <c r="G4068" s="30">
        <v>27.4</v>
      </c>
    </row>
    <row r="4069" spans="1:7" x14ac:dyDescent="0.25">
      <c r="A4069" s="29">
        <v>41675</v>
      </c>
      <c r="B4069" s="30">
        <v>32.4</v>
      </c>
      <c r="C4069" s="30">
        <v>31.5</v>
      </c>
      <c r="D4069" s="30">
        <v>31.8</v>
      </c>
      <c r="E4069" s="30"/>
      <c r="F4069" s="30">
        <v>36.6</v>
      </c>
      <c r="G4069" s="30">
        <v>32.1</v>
      </c>
    </row>
    <row r="4070" spans="1:7" x14ac:dyDescent="0.25">
      <c r="A4070" s="29">
        <v>41676</v>
      </c>
      <c r="B4070" s="30">
        <v>29.1</v>
      </c>
      <c r="C4070" s="30">
        <v>28.4</v>
      </c>
      <c r="D4070" s="30">
        <v>27.3</v>
      </c>
      <c r="E4070" s="30"/>
      <c r="F4070" s="30">
        <v>30.6</v>
      </c>
      <c r="G4070" s="30">
        <v>28</v>
      </c>
    </row>
    <row r="4071" spans="1:7" x14ac:dyDescent="0.25">
      <c r="A4071" s="29">
        <v>41677</v>
      </c>
      <c r="B4071" s="30">
        <v>28</v>
      </c>
      <c r="C4071" s="30">
        <v>28.5</v>
      </c>
      <c r="D4071" s="30">
        <v>27.6</v>
      </c>
      <c r="E4071" s="30"/>
      <c r="F4071" s="30">
        <v>29.5</v>
      </c>
      <c r="G4071" s="30">
        <v>26.5</v>
      </c>
    </row>
    <row r="4072" spans="1:7" x14ac:dyDescent="0.25">
      <c r="A4072" s="29">
        <v>41678</v>
      </c>
      <c r="B4072" s="30">
        <v>26.7</v>
      </c>
      <c r="C4072" s="30">
        <v>26.8</v>
      </c>
      <c r="D4072" s="30">
        <v>25.9</v>
      </c>
      <c r="E4072" s="30"/>
      <c r="F4072" s="30">
        <v>27</v>
      </c>
      <c r="G4072" s="30">
        <v>25</v>
      </c>
    </row>
    <row r="4073" spans="1:7" x14ac:dyDescent="0.25">
      <c r="A4073" s="29">
        <v>41679</v>
      </c>
      <c r="B4073" s="30">
        <v>25.7</v>
      </c>
      <c r="C4073" s="30">
        <v>26.1</v>
      </c>
      <c r="D4073" s="30">
        <v>25.5</v>
      </c>
      <c r="E4073" s="30"/>
      <c r="F4073" s="30">
        <v>25.1</v>
      </c>
      <c r="G4073" s="30">
        <v>24.3</v>
      </c>
    </row>
    <row r="4074" spans="1:7" x14ac:dyDescent="0.25">
      <c r="A4074" s="29">
        <v>41680</v>
      </c>
      <c r="B4074" s="30">
        <v>26</v>
      </c>
      <c r="C4074" s="30">
        <v>25.9</v>
      </c>
      <c r="D4074" s="30">
        <v>25.1</v>
      </c>
      <c r="E4074" s="30"/>
      <c r="F4074" s="30">
        <v>25.3</v>
      </c>
      <c r="G4074" s="30">
        <v>24.3</v>
      </c>
    </row>
    <row r="4075" spans="1:7" x14ac:dyDescent="0.25">
      <c r="A4075" s="29">
        <v>41681</v>
      </c>
      <c r="B4075" s="30">
        <v>21.9</v>
      </c>
      <c r="C4075" s="30">
        <v>22.6</v>
      </c>
      <c r="D4075" s="30">
        <v>21.7</v>
      </c>
      <c r="E4075" s="30"/>
      <c r="F4075" s="30">
        <v>19.899999999999999</v>
      </c>
      <c r="G4075" s="30">
        <v>21.3</v>
      </c>
    </row>
    <row r="4076" spans="1:7" x14ac:dyDescent="0.25">
      <c r="A4076" s="29">
        <v>41682</v>
      </c>
      <c r="B4076" s="30">
        <v>19.2</v>
      </c>
      <c r="C4076" s="30">
        <v>19</v>
      </c>
      <c r="D4076" s="30">
        <v>18.899999999999999</v>
      </c>
      <c r="E4076" s="30"/>
      <c r="F4076" s="30">
        <v>18.7</v>
      </c>
      <c r="G4076" s="30">
        <v>17.8</v>
      </c>
    </row>
    <row r="4077" spans="1:7" x14ac:dyDescent="0.25">
      <c r="A4077" s="29">
        <v>41683</v>
      </c>
      <c r="B4077" s="30">
        <v>30.5</v>
      </c>
      <c r="C4077" s="30">
        <v>28.7</v>
      </c>
      <c r="D4077" s="30">
        <v>29.9</v>
      </c>
      <c r="E4077" s="30"/>
      <c r="F4077" s="30">
        <v>34.5</v>
      </c>
      <c r="G4077" s="30">
        <v>27.5</v>
      </c>
    </row>
    <row r="4078" spans="1:7" x14ac:dyDescent="0.25">
      <c r="A4078" s="29">
        <v>41684</v>
      </c>
      <c r="B4078" s="30">
        <v>36.1</v>
      </c>
      <c r="C4078" s="30">
        <v>35.4</v>
      </c>
      <c r="D4078" s="30">
        <v>35.5</v>
      </c>
      <c r="E4078" s="30"/>
      <c r="F4078" s="30">
        <v>37.299999999999997</v>
      </c>
      <c r="G4078" s="30">
        <v>35.1</v>
      </c>
    </row>
    <row r="4079" spans="1:7" x14ac:dyDescent="0.25">
      <c r="A4079" s="29">
        <v>41685</v>
      </c>
      <c r="B4079" s="30">
        <v>34</v>
      </c>
      <c r="C4079" s="30">
        <v>34.5</v>
      </c>
      <c r="D4079" s="30">
        <v>35.6</v>
      </c>
      <c r="E4079" s="30"/>
      <c r="F4079" s="30">
        <v>34.5</v>
      </c>
      <c r="G4079" s="30">
        <v>33.700000000000003</v>
      </c>
    </row>
    <row r="4080" spans="1:7" x14ac:dyDescent="0.25">
      <c r="A4080" s="29">
        <v>41686</v>
      </c>
      <c r="B4080" s="30">
        <v>27.3</v>
      </c>
      <c r="C4080" s="30">
        <v>27.2</v>
      </c>
      <c r="D4080" s="30">
        <v>26.6</v>
      </c>
      <c r="E4080" s="30"/>
      <c r="F4080" s="30">
        <v>27.4</v>
      </c>
      <c r="G4080" s="30">
        <v>26.2</v>
      </c>
    </row>
    <row r="4081" spans="1:7" x14ac:dyDescent="0.25">
      <c r="A4081" s="29">
        <v>41687</v>
      </c>
      <c r="B4081" s="30">
        <v>24.4</v>
      </c>
      <c r="C4081" s="30">
        <v>24.4</v>
      </c>
      <c r="D4081" s="30">
        <v>23.7</v>
      </c>
      <c r="E4081" s="30"/>
      <c r="F4081" s="30">
        <v>25.8</v>
      </c>
      <c r="G4081" s="30">
        <v>23.6</v>
      </c>
    </row>
    <row r="4082" spans="1:7" x14ac:dyDescent="0.25">
      <c r="A4082" s="29">
        <v>41688</v>
      </c>
      <c r="B4082" s="30">
        <v>31.9</v>
      </c>
      <c r="C4082" s="30">
        <v>30.6</v>
      </c>
      <c r="D4082" s="30">
        <v>32</v>
      </c>
      <c r="E4082" s="30"/>
      <c r="F4082" s="30">
        <v>35.9</v>
      </c>
      <c r="G4082" s="30">
        <v>31.2</v>
      </c>
    </row>
    <row r="4083" spans="1:7" x14ac:dyDescent="0.25">
      <c r="A4083" s="29">
        <v>41689</v>
      </c>
      <c r="B4083" s="30">
        <v>35.700000000000003</v>
      </c>
      <c r="C4083" s="30">
        <v>36.4</v>
      </c>
      <c r="D4083" s="30">
        <v>38.4</v>
      </c>
      <c r="E4083" s="30"/>
      <c r="F4083" s="30">
        <v>39.9</v>
      </c>
      <c r="G4083" s="30">
        <v>35.5</v>
      </c>
    </row>
    <row r="4084" spans="1:7" x14ac:dyDescent="0.25">
      <c r="A4084" s="29">
        <v>41690</v>
      </c>
      <c r="B4084" s="30">
        <v>39.200000000000003</v>
      </c>
      <c r="C4084" s="30">
        <v>42.5</v>
      </c>
      <c r="D4084" s="30">
        <v>42.8</v>
      </c>
      <c r="E4084" s="30"/>
      <c r="F4084" s="30">
        <v>42.6</v>
      </c>
      <c r="G4084" s="30">
        <v>40.6</v>
      </c>
    </row>
    <row r="4085" spans="1:7" x14ac:dyDescent="0.25">
      <c r="A4085" s="29">
        <v>41691</v>
      </c>
      <c r="B4085" s="30">
        <v>39.9</v>
      </c>
      <c r="C4085" s="30">
        <v>37.1</v>
      </c>
      <c r="D4085" s="30">
        <v>39.4</v>
      </c>
      <c r="E4085" s="30"/>
      <c r="F4085" s="30">
        <v>48.2</v>
      </c>
      <c r="G4085" s="30">
        <v>37.700000000000003</v>
      </c>
    </row>
    <row r="4086" spans="1:7" x14ac:dyDescent="0.25">
      <c r="A4086" s="29">
        <v>41692</v>
      </c>
      <c r="B4086" s="30">
        <v>42</v>
      </c>
      <c r="C4086" s="30">
        <v>45.5</v>
      </c>
      <c r="D4086" s="30">
        <v>46</v>
      </c>
      <c r="E4086" s="30"/>
      <c r="F4086" s="30">
        <v>44.2</v>
      </c>
      <c r="G4086" s="30">
        <v>40.5</v>
      </c>
    </row>
    <row r="4087" spans="1:7" x14ac:dyDescent="0.25">
      <c r="A4087" s="29">
        <v>41693</v>
      </c>
      <c r="B4087" s="30">
        <v>44.2</v>
      </c>
      <c r="C4087" s="30">
        <v>48</v>
      </c>
      <c r="D4087" s="30">
        <v>48.6</v>
      </c>
      <c r="E4087" s="30"/>
      <c r="F4087" s="30">
        <v>50.3</v>
      </c>
      <c r="G4087" s="30">
        <v>44.7</v>
      </c>
    </row>
    <row r="4088" spans="1:7" x14ac:dyDescent="0.25">
      <c r="A4088" s="29">
        <v>41694</v>
      </c>
      <c r="B4088" s="30">
        <v>40.5</v>
      </c>
      <c r="C4088" s="30">
        <v>40</v>
      </c>
      <c r="D4088" s="30">
        <v>39.1</v>
      </c>
      <c r="E4088" s="30"/>
      <c r="F4088" s="30">
        <v>39.4</v>
      </c>
      <c r="G4088" s="30">
        <v>39.700000000000003</v>
      </c>
    </row>
    <row r="4089" spans="1:7" x14ac:dyDescent="0.25">
      <c r="A4089" s="29">
        <v>41695</v>
      </c>
      <c r="B4089" s="30">
        <v>29.7</v>
      </c>
      <c r="C4089" s="30">
        <v>28.7</v>
      </c>
      <c r="D4089" s="30">
        <v>28.2</v>
      </c>
      <c r="E4089" s="30"/>
      <c r="F4089" s="30">
        <v>28.9</v>
      </c>
      <c r="G4089" s="30">
        <v>29</v>
      </c>
    </row>
    <row r="4090" spans="1:7" x14ac:dyDescent="0.25">
      <c r="A4090" s="29">
        <v>41696</v>
      </c>
      <c r="B4090" s="30">
        <v>28.4</v>
      </c>
      <c r="C4090" s="30">
        <v>28</v>
      </c>
      <c r="D4090" s="30">
        <v>27.4</v>
      </c>
      <c r="E4090" s="30"/>
      <c r="F4090" s="30">
        <v>26.1</v>
      </c>
      <c r="G4090" s="30">
        <v>27.8</v>
      </c>
    </row>
    <row r="4091" spans="1:7" x14ac:dyDescent="0.25">
      <c r="A4091" s="29">
        <v>41697</v>
      </c>
      <c r="B4091" s="30">
        <v>25.2</v>
      </c>
      <c r="C4091" s="30">
        <v>24.7</v>
      </c>
      <c r="D4091" s="30">
        <v>24.6</v>
      </c>
      <c r="E4091" s="30"/>
      <c r="F4091" s="30">
        <v>23.3</v>
      </c>
      <c r="G4091" s="30">
        <v>24.3</v>
      </c>
    </row>
    <row r="4092" spans="1:7" x14ac:dyDescent="0.25">
      <c r="A4092" s="29">
        <v>41698</v>
      </c>
      <c r="B4092" s="30">
        <v>18.3</v>
      </c>
      <c r="C4092" s="30">
        <v>17.3</v>
      </c>
      <c r="D4092" s="30">
        <v>16.5</v>
      </c>
      <c r="E4092" s="30"/>
      <c r="F4092" s="30">
        <v>19</v>
      </c>
      <c r="G4092" s="30">
        <v>17.2</v>
      </c>
    </row>
    <row r="4093" spans="1:7" x14ac:dyDescent="0.25">
      <c r="A4093" s="29">
        <v>41699</v>
      </c>
      <c r="B4093" s="30">
        <v>25.6</v>
      </c>
      <c r="C4093" s="30">
        <v>26.6</v>
      </c>
      <c r="D4093" s="30">
        <v>27.2</v>
      </c>
      <c r="E4093" s="30"/>
      <c r="F4093" s="30">
        <v>24.3</v>
      </c>
      <c r="G4093" s="30">
        <v>25.6</v>
      </c>
    </row>
    <row r="4094" spans="1:7" x14ac:dyDescent="0.25">
      <c r="A4094" s="29">
        <v>41700</v>
      </c>
      <c r="B4094" s="30">
        <v>36.1</v>
      </c>
      <c r="C4094" s="30">
        <v>36.6</v>
      </c>
      <c r="D4094" s="30">
        <v>36.9</v>
      </c>
      <c r="E4094" s="30"/>
      <c r="F4094" s="30">
        <v>37.200000000000003</v>
      </c>
      <c r="G4094" s="30">
        <v>36.1</v>
      </c>
    </row>
    <row r="4095" spans="1:7" x14ac:dyDescent="0.25">
      <c r="A4095" s="29">
        <v>41701</v>
      </c>
      <c r="B4095" s="30">
        <v>26.8</v>
      </c>
      <c r="C4095" s="30">
        <v>25.9</v>
      </c>
      <c r="D4095" s="30">
        <v>25.3</v>
      </c>
      <c r="E4095" s="30"/>
      <c r="F4095" s="30">
        <v>25.7</v>
      </c>
      <c r="G4095" s="30">
        <v>25.9</v>
      </c>
    </row>
    <row r="4096" spans="1:7" x14ac:dyDescent="0.25">
      <c r="A4096" s="29">
        <v>41702</v>
      </c>
      <c r="B4096" s="30">
        <v>19.899999999999999</v>
      </c>
      <c r="C4096" s="30">
        <v>20.3</v>
      </c>
      <c r="D4096" s="30">
        <v>20.100000000000001</v>
      </c>
      <c r="E4096" s="30"/>
      <c r="F4096" s="30">
        <v>15.8</v>
      </c>
      <c r="G4096" s="30">
        <v>19.7</v>
      </c>
    </row>
    <row r="4097" spans="1:7" x14ac:dyDescent="0.25">
      <c r="A4097" s="29">
        <v>41703</v>
      </c>
      <c r="B4097" s="30">
        <v>31.2</v>
      </c>
      <c r="C4097" s="30">
        <v>30.6</v>
      </c>
      <c r="D4097" s="30">
        <v>31.3</v>
      </c>
      <c r="E4097" s="30"/>
      <c r="F4097" s="30">
        <v>26.6</v>
      </c>
      <c r="G4097" s="30">
        <v>31</v>
      </c>
    </row>
    <row r="4098" spans="1:7" x14ac:dyDescent="0.25">
      <c r="A4098" s="29">
        <v>41704</v>
      </c>
      <c r="B4098" s="30">
        <v>25.6</v>
      </c>
      <c r="C4098" s="30">
        <v>24.2</v>
      </c>
      <c r="D4098" s="30">
        <v>24.5</v>
      </c>
      <c r="E4098" s="30"/>
      <c r="F4098" s="30">
        <v>27.1</v>
      </c>
      <c r="G4098" s="30">
        <v>24.4</v>
      </c>
    </row>
    <row r="4099" spans="1:7" x14ac:dyDescent="0.25">
      <c r="A4099" s="29">
        <v>41705</v>
      </c>
      <c r="B4099" s="30">
        <v>30.1</v>
      </c>
      <c r="C4099" s="30">
        <v>29.2</v>
      </c>
      <c r="D4099" s="30">
        <v>30.2</v>
      </c>
      <c r="E4099" s="30"/>
      <c r="F4099" s="30">
        <v>33.1</v>
      </c>
      <c r="G4099" s="30">
        <v>30.2</v>
      </c>
    </row>
    <row r="4100" spans="1:7" x14ac:dyDescent="0.25">
      <c r="A4100" s="29">
        <v>41706</v>
      </c>
      <c r="B4100" s="30">
        <v>42.3</v>
      </c>
      <c r="C4100" s="30">
        <v>41.6</v>
      </c>
      <c r="D4100" s="30">
        <v>42.8</v>
      </c>
      <c r="E4100" s="30"/>
      <c r="F4100" s="30">
        <v>41.9</v>
      </c>
      <c r="G4100" s="30">
        <v>43.4</v>
      </c>
    </row>
    <row r="4101" spans="1:7" x14ac:dyDescent="0.25">
      <c r="A4101" s="29">
        <v>41707</v>
      </c>
      <c r="B4101" s="30">
        <v>44</v>
      </c>
      <c r="C4101" s="30">
        <v>41.4</v>
      </c>
      <c r="D4101" s="30">
        <v>41.4</v>
      </c>
      <c r="E4101" s="30"/>
      <c r="F4101" s="30">
        <v>43.2</v>
      </c>
      <c r="G4101" s="30">
        <v>43.2</v>
      </c>
    </row>
    <row r="4102" spans="1:7" x14ac:dyDescent="0.25">
      <c r="A4102" s="29">
        <v>41708</v>
      </c>
      <c r="B4102" s="30">
        <v>41.7</v>
      </c>
      <c r="C4102" s="30">
        <v>41.9</v>
      </c>
      <c r="D4102" s="30">
        <v>42.3</v>
      </c>
      <c r="E4102" s="30"/>
      <c r="F4102" s="30">
        <v>42</v>
      </c>
      <c r="G4102" s="30">
        <v>42.7</v>
      </c>
    </row>
    <row r="4103" spans="1:7" x14ac:dyDescent="0.25">
      <c r="A4103" s="29">
        <v>41709</v>
      </c>
      <c r="B4103" s="30">
        <v>49.3</v>
      </c>
      <c r="C4103" s="30">
        <v>52.3</v>
      </c>
      <c r="D4103" s="30">
        <v>53.6</v>
      </c>
      <c r="E4103" s="30"/>
      <c r="F4103" s="30">
        <v>53.4</v>
      </c>
      <c r="G4103" s="30">
        <v>51.4</v>
      </c>
    </row>
    <row r="4104" spans="1:7" x14ac:dyDescent="0.25">
      <c r="A4104" s="29">
        <v>41710</v>
      </c>
      <c r="B4104" s="30">
        <v>47.2</v>
      </c>
      <c r="C4104" s="30">
        <v>48.1</v>
      </c>
      <c r="D4104" s="30">
        <v>52.5</v>
      </c>
      <c r="E4104" s="30"/>
      <c r="F4104" s="30">
        <v>50.6</v>
      </c>
      <c r="G4104" s="30">
        <v>52.2</v>
      </c>
    </row>
    <row r="4105" spans="1:7" x14ac:dyDescent="0.25">
      <c r="A4105" s="29">
        <v>41711</v>
      </c>
      <c r="B4105" s="30">
        <v>29.8</v>
      </c>
      <c r="C4105" s="30">
        <v>28.8</v>
      </c>
      <c r="D4105" s="30">
        <v>28.7</v>
      </c>
      <c r="E4105" s="30"/>
      <c r="F4105" s="30">
        <v>30.7</v>
      </c>
      <c r="G4105" s="30">
        <v>29.8</v>
      </c>
    </row>
    <row r="4106" spans="1:7" x14ac:dyDescent="0.25">
      <c r="A4106" s="29">
        <v>41712</v>
      </c>
      <c r="B4106" s="30">
        <v>29.9</v>
      </c>
      <c r="C4106" s="30">
        <v>29.7</v>
      </c>
      <c r="D4106" s="30">
        <v>30.5</v>
      </c>
      <c r="E4106" s="30"/>
      <c r="F4106" s="30">
        <v>30.9</v>
      </c>
      <c r="G4106" s="30">
        <v>30.7</v>
      </c>
    </row>
    <row r="4107" spans="1:7" x14ac:dyDescent="0.25">
      <c r="A4107" s="29">
        <v>41713</v>
      </c>
      <c r="B4107" s="30">
        <v>47.6</v>
      </c>
      <c r="C4107" s="30">
        <v>47.9</v>
      </c>
      <c r="D4107" s="30">
        <v>49.9</v>
      </c>
      <c r="E4107" s="30"/>
      <c r="F4107" s="30">
        <v>51.3</v>
      </c>
      <c r="G4107" s="30">
        <v>49.5</v>
      </c>
    </row>
    <row r="4108" spans="1:7" x14ac:dyDescent="0.25">
      <c r="A4108" s="29">
        <v>41714</v>
      </c>
      <c r="B4108" s="30">
        <v>39.5</v>
      </c>
      <c r="C4108" s="30">
        <v>37.700000000000003</v>
      </c>
      <c r="D4108" s="30">
        <v>37</v>
      </c>
      <c r="E4108" s="30"/>
      <c r="F4108" s="30">
        <v>39.6</v>
      </c>
      <c r="G4108" s="30">
        <v>38.6</v>
      </c>
    </row>
    <row r="4109" spans="1:7" x14ac:dyDescent="0.25">
      <c r="A4109" s="29">
        <v>41715</v>
      </c>
      <c r="B4109" s="30">
        <v>30.1</v>
      </c>
      <c r="C4109" s="30">
        <v>28.3</v>
      </c>
      <c r="D4109" s="30">
        <v>28.9</v>
      </c>
      <c r="E4109" s="30"/>
      <c r="F4109" s="30">
        <v>27.2</v>
      </c>
      <c r="G4109" s="30">
        <v>28.6</v>
      </c>
    </row>
    <row r="4110" spans="1:7" x14ac:dyDescent="0.25">
      <c r="A4110" s="29">
        <v>41716</v>
      </c>
      <c r="B4110" s="30">
        <v>33.4</v>
      </c>
      <c r="C4110" s="30">
        <v>32.1</v>
      </c>
      <c r="D4110" s="30">
        <v>33.9</v>
      </c>
      <c r="E4110" s="30"/>
      <c r="F4110" s="30">
        <v>31.8</v>
      </c>
      <c r="G4110" s="30">
        <v>32.4</v>
      </c>
    </row>
    <row r="4111" spans="1:7" x14ac:dyDescent="0.25">
      <c r="A4111" s="29">
        <v>41717</v>
      </c>
      <c r="B4111" s="30">
        <v>36</v>
      </c>
      <c r="C4111" s="30">
        <v>35.799999999999997</v>
      </c>
      <c r="D4111" s="30">
        <v>36.9</v>
      </c>
      <c r="E4111" s="30"/>
      <c r="F4111" s="30">
        <v>40.1</v>
      </c>
      <c r="G4111" s="30">
        <v>37.4</v>
      </c>
    </row>
    <row r="4112" spans="1:7" x14ac:dyDescent="0.25">
      <c r="A4112" s="29">
        <v>41718</v>
      </c>
      <c r="B4112" s="30">
        <v>47</v>
      </c>
      <c r="C4112" s="30">
        <v>45.3</v>
      </c>
      <c r="D4112" s="30">
        <v>45.6</v>
      </c>
      <c r="E4112" s="30"/>
      <c r="F4112" s="30">
        <v>49.1</v>
      </c>
      <c r="G4112" s="30">
        <v>46.3</v>
      </c>
    </row>
    <row r="4113" spans="1:7" x14ac:dyDescent="0.25">
      <c r="A4113" s="29">
        <v>41719</v>
      </c>
      <c r="B4113" s="30">
        <v>45.3</v>
      </c>
      <c r="C4113" s="30">
        <v>43.7</v>
      </c>
      <c r="D4113" s="30">
        <v>44.1</v>
      </c>
      <c r="E4113" s="30"/>
      <c r="F4113" s="30">
        <v>44.4</v>
      </c>
      <c r="G4113" s="30">
        <v>44.8</v>
      </c>
    </row>
    <row r="4114" spans="1:7" x14ac:dyDescent="0.25">
      <c r="A4114" s="29">
        <v>41720</v>
      </c>
      <c r="B4114" s="30">
        <v>47.8</v>
      </c>
      <c r="C4114" s="30">
        <v>48.4</v>
      </c>
      <c r="D4114" s="30">
        <v>49.9</v>
      </c>
      <c r="E4114" s="30"/>
      <c r="F4114" s="30">
        <v>48.9</v>
      </c>
      <c r="G4114" s="30">
        <v>49.8</v>
      </c>
    </row>
    <row r="4115" spans="1:7" x14ac:dyDescent="0.25">
      <c r="A4115" s="29">
        <v>41721</v>
      </c>
      <c r="B4115" s="30">
        <v>43.4</v>
      </c>
      <c r="C4115" s="30">
        <v>41.5</v>
      </c>
      <c r="D4115" s="30">
        <v>40.9</v>
      </c>
      <c r="E4115" s="30"/>
      <c r="F4115" s="30">
        <v>43.4</v>
      </c>
      <c r="G4115" s="30">
        <v>42.7</v>
      </c>
    </row>
    <row r="4116" spans="1:7" x14ac:dyDescent="0.25">
      <c r="A4116" s="29">
        <v>41722</v>
      </c>
      <c r="B4116" s="30">
        <v>29.2</v>
      </c>
      <c r="C4116" s="30">
        <v>28.1</v>
      </c>
      <c r="D4116" s="30">
        <v>28</v>
      </c>
      <c r="E4116" s="30"/>
      <c r="F4116" s="30">
        <v>30.1</v>
      </c>
      <c r="G4116" s="30">
        <v>28.9</v>
      </c>
    </row>
    <row r="4117" spans="1:7" x14ac:dyDescent="0.25">
      <c r="A4117" s="29">
        <v>41723</v>
      </c>
      <c r="B4117" s="30">
        <v>31.5</v>
      </c>
      <c r="C4117" s="30">
        <v>31.6</v>
      </c>
      <c r="D4117" s="30">
        <v>32.4</v>
      </c>
      <c r="E4117" s="30"/>
      <c r="F4117" s="30">
        <v>27.7</v>
      </c>
      <c r="G4117" s="30">
        <v>31.8</v>
      </c>
    </row>
    <row r="4118" spans="1:7" x14ac:dyDescent="0.25">
      <c r="A4118" s="29">
        <v>41724</v>
      </c>
      <c r="B4118" s="30">
        <v>34.6</v>
      </c>
      <c r="C4118" s="30">
        <v>33.4</v>
      </c>
      <c r="D4118" s="30">
        <v>33.1</v>
      </c>
      <c r="E4118" s="30"/>
      <c r="F4118" s="30">
        <v>30.8</v>
      </c>
      <c r="G4118" s="30">
        <v>34.200000000000003</v>
      </c>
    </row>
    <row r="4119" spans="1:7" x14ac:dyDescent="0.25">
      <c r="A4119" s="29">
        <v>41725</v>
      </c>
      <c r="B4119" s="30">
        <v>29.8</v>
      </c>
      <c r="C4119" s="30">
        <v>30.1</v>
      </c>
      <c r="D4119" s="30">
        <v>30.5</v>
      </c>
      <c r="E4119" s="30"/>
      <c r="F4119" s="30">
        <v>28.1</v>
      </c>
      <c r="G4119" s="30">
        <v>30.9</v>
      </c>
    </row>
    <row r="4120" spans="1:7" x14ac:dyDescent="0.25">
      <c r="A4120" s="29">
        <v>41726</v>
      </c>
      <c r="B4120" s="30">
        <v>42.7</v>
      </c>
      <c r="C4120" s="30">
        <v>44.9</v>
      </c>
      <c r="D4120" s="30">
        <v>48</v>
      </c>
      <c r="E4120" s="30"/>
      <c r="F4120" s="30">
        <v>46.5</v>
      </c>
      <c r="G4120" s="30">
        <v>45.8</v>
      </c>
    </row>
    <row r="4121" spans="1:7" x14ac:dyDescent="0.25">
      <c r="A4121" s="29">
        <v>41727</v>
      </c>
      <c r="B4121" s="30">
        <v>46.9</v>
      </c>
      <c r="C4121" s="30">
        <v>48.3</v>
      </c>
      <c r="D4121" s="30">
        <v>50.7</v>
      </c>
      <c r="E4121" s="30"/>
      <c r="F4121" s="30">
        <v>50.3</v>
      </c>
      <c r="G4121" s="30">
        <v>50.6</v>
      </c>
    </row>
    <row r="4122" spans="1:7" x14ac:dyDescent="0.25">
      <c r="A4122" s="29">
        <v>41728</v>
      </c>
      <c r="B4122" s="30">
        <v>48.8</v>
      </c>
      <c r="C4122" s="30">
        <v>44.1</v>
      </c>
      <c r="D4122" s="30">
        <v>45.3</v>
      </c>
      <c r="E4122" s="30"/>
      <c r="F4122" s="30">
        <v>51.7</v>
      </c>
      <c r="G4122" s="30">
        <v>46.3</v>
      </c>
    </row>
    <row r="4123" spans="1:7" x14ac:dyDescent="0.25">
      <c r="A4123" s="29">
        <v>41729</v>
      </c>
      <c r="B4123" s="30">
        <v>43</v>
      </c>
      <c r="C4123" s="30">
        <v>42.1</v>
      </c>
      <c r="D4123" s="30">
        <v>43.5</v>
      </c>
      <c r="E4123" s="30"/>
      <c r="F4123" s="30">
        <v>43</v>
      </c>
      <c r="G4123" s="30">
        <v>44.5</v>
      </c>
    </row>
    <row r="4124" spans="1:7" x14ac:dyDescent="0.25">
      <c r="A4124" s="29">
        <v>41730</v>
      </c>
      <c r="B4124" s="30">
        <v>45.6</v>
      </c>
      <c r="C4124" s="30">
        <v>45.9</v>
      </c>
      <c r="D4124" s="30">
        <v>46.8</v>
      </c>
      <c r="E4124" s="30"/>
      <c r="F4124" s="30">
        <v>43</v>
      </c>
      <c r="G4124" s="30">
        <v>46.8</v>
      </c>
    </row>
    <row r="4125" spans="1:7" x14ac:dyDescent="0.25">
      <c r="A4125" s="29">
        <v>41731</v>
      </c>
      <c r="B4125" s="30">
        <v>43.4</v>
      </c>
      <c r="C4125" s="30">
        <v>45.6</v>
      </c>
      <c r="D4125" s="30">
        <v>47.3</v>
      </c>
      <c r="E4125" s="30"/>
      <c r="F4125" s="30">
        <v>47.3</v>
      </c>
      <c r="G4125" s="30">
        <v>45.4</v>
      </c>
    </row>
    <row r="4126" spans="1:7" x14ac:dyDescent="0.25">
      <c r="A4126" s="29">
        <v>41732</v>
      </c>
      <c r="B4126" s="30">
        <v>48.5</v>
      </c>
      <c r="C4126" s="30">
        <v>50.7</v>
      </c>
      <c r="D4126" s="30">
        <v>53.6</v>
      </c>
      <c r="E4126" s="30"/>
      <c r="F4126" s="30">
        <v>51</v>
      </c>
      <c r="G4126" s="30">
        <v>51.7</v>
      </c>
    </row>
    <row r="4127" spans="1:7" x14ac:dyDescent="0.25">
      <c r="A4127" s="29">
        <v>41733</v>
      </c>
      <c r="B4127" s="30">
        <v>43.6</v>
      </c>
      <c r="C4127" s="30">
        <v>44.7</v>
      </c>
      <c r="D4127" s="30">
        <v>44.4</v>
      </c>
      <c r="E4127" s="30"/>
      <c r="F4127" s="30">
        <v>45.9</v>
      </c>
      <c r="G4127" s="30">
        <v>45</v>
      </c>
    </row>
    <row r="4128" spans="1:7" x14ac:dyDescent="0.25">
      <c r="A4128" s="29">
        <v>41734</v>
      </c>
      <c r="B4128" s="30">
        <v>47.5</v>
      </c>
      <c r="C4128" s="30">
        <v>45.3</v>
      </c>
      <c r="D4128" s="30">
        <v>45.8</v>
      </c>
      <c r="E4128" s="30"/>
      <c r="F4128" s="30">
        <v>49.8</v>
      </c>
      <c r="G4128" s="30">
        <v>46.8</v>
      </c>
    </row>
    <row r="4129" spans="1:7" x14ac:dyDescent="0.25">
      <c r="A4129" s="29">
        <v>41735</v>
      </c>
      <c r="B4129" s="30">
        <v>44.7</v>
      </c>
      <c r="C4129" s="30">
        <v>44.9</v>
      </c>
      <c r="D4129" s="30">
        <v>45.3</v>
      </c>
      <c r="E4129" s="30"/>
      <c r="F4129" s="30">
        <v>43.5</v>
      </c>
      <c r="G4129" s="30">
        <v>45.8</v>
      </c>
    </row>
    <row r="4130" spans="1:7" x14ac:dyDescent="0.25">
      <c r="A4130" s="29">
        <v>41736</v>
      </c>
      <c r="B4130" s="30">
        <v>43.9</v>
      </c>
      <c r="C4130" s="30">
        <v>46.1</v>
      </c>
      <c r="D4130" s="30">
        <v>47.2</v>
      </c>
      <c r="E4130" s="30"/>
      <c r="F4130" s="30">
        <v>41.8</v>
      </c>
      <c r="G4130" s="30">
        <v>45.7</v>
      </c>
    </row>
    <row r="4131" spans="1:7" x14ac:dyDescent="0.25">
      <c r="A4131" s="29">
        <v>41737</v>
      </c>
      <c r="B4131" s="30">
        <v>53.2</v>
      </c>
      <c r="C4131" s="30">
        <v>51</v>
      </c>
      <c r="D4131" s="30">
        <v>52.6</v>
      </c>
      <c r="E4131" s="30"/>
      <c r="F4131" s="30">
        <v>56.7</v>
      </c>
      <c r="G4131" s="30">
        <v>53.6</v>
      </c>
    </row>
    <row r="4132" spans="1:7" x14ac:dyDescent="0.25">
      <c r="A4132" s="29">
        <v>41738</v>
      </c>
      <c r="B4132" s="30">
        <v>53.9</v>
      </c>
      <c r="C4132" s="30">
        <v>51.4</v>
      </c>
      <c r="D4132" s="30">
        <v>52.2</v>
      </c>
      <c r="E4132" s="30"/>
      <c r="F4132" s="30">
        <v>52.5</v>
      </c>
      <c r="G4132" s="30">
        <v>53.8</v>
      </c>
    </row>
    <row r="4133" spans="1:7" x14ac:dyDescent="0.25">
      <c r="A4133" s="29">
        <v>41739</v>
      </c>
      <c r="B4133" s="30">
        <v>47.9</v>
      </c>
      <c r="C4133" s="30">
        <v>49.8</v>
      </c>
      <c r="D4133" s="30">
        <v>50.5</v>
      </c>
      <c r="E4133" s="30"/>
      <c r="F4133" s="30">
        <v>47.8</v>
      </c>
      <c r="G4133" s="30">
        <v>51.3</v>
      </c>
    </row>
    <row r="4134" spans="1:7" x14ac:dyDescent="0.25">
      <c r="A4134" s="29">
        <v>41740</v>
      </c>
      <c r="B4134" s="30">
        <v>54.5</v>
      </c>
      <c r="C4134" s="30">
        <v>59.2</v>
      </c>
      <c r="D4134" s="30">
        <v>62.1</v>
      </c>
      <c r="E4134" s="30"/>
      <c r="F4134" s="30">
        <v>61.3</v>
      </c>
      <c r="G4134" s="30">
        <v>61.8</v>
      </c>
    </row>
    <row r="4135" spans="1:7" x14ac:dyDescent="0.25">
      <c r="A4135" s="29">
        <v>41741</v>
      </c>
      <c r="B4135" s="30">
        <v>58.8</v>
      </c>
      <c r="C4135" s="30">
        <v>58.8</v>
      </c>
      <c r="D4135" s="30">
        <v>60.4</v>
      </c>
      <c r="E4135" s="30"/>
      <c r="F4135" s="30">
        <v>59.2</v>
      </c>
      <c r="G4135" s="30">
        <v>61.4</v>
      </c>
    </row>
    <row r="4136" spans="1:7" x14ac:dyDescent="0.25">
      <c r="A4136" s="29">
        <v>41742</v>
      </c>
      <c r="B4136" s="30">
        <v>54.4</v>
      </c>
      <c r="C4136" s="30">
        <v>59.8</v>
      </c>
      <c r="D4136" s="30">
        <v>63</v>
      </c>
      <c r="E4136" s="30"/>
      <c r="F4136" s="30">
        <v>60</v>
      </c>
      <c r="G4136" s="30">
        <v>63.5</v>
      </c>
    </row>
    <row r="4137" spans="1:7" x14ac:dyDescent="0.25">
      <c r="A4137" s="29">
        <v>41743</v>
      </c>
      <c r="B4137" s="30">
        <v>56.3</v>
      </c>
      <c r="C4137" s="30">
        <v>61.7</v>
      </c>
      <c r="D4137" s="30">
        <v>67.3</v>
      </c>
      <c r="E4137" s="30"/>
      <c r="F4137" s="30">
        <v>63</v>
      </c>
      <c r="G4137" s="30">
        <v>69.7</v>
      </c>
    </row>
    <row r="4138" spans="1:7" x14ac:dyDescent="0.25">
      <c r="A4138" s="29">
        <v>41744</v>
      </c>
      <c r="B4138" s="30">
        <v>53.8</v>
      </c>
      <c r="C4138" s="30">
        <v>56.9</v>
      </c>
      <c r="D4138" s="30">
        <v>58.5</v>
      </c>
      <c r="E4138" s="30"/>
      <c r="F4138" s="30">
        <v>58.8</v>
      </c>
      <c r="G4138" s="30">
        <v>63.9</v>
      </c>
    </row>
    <row r="4139" spans="1:7" x14ac:dyDescent="0.25">
      <c r="A4139" s="29">
        <v>41745</v>
      </c>
      <c r="B4139" s="30">
        <v>40.200000000000003</v>
      </c>
      <c r="C4139" s="30">
        <v>38.9</v>
      </c>
      <c r="D4139" s="30">
        <v>38.799999999999997</v>
      </c>
      <c r="E4139" s="30"/>
      <c r="F4139" s="30">
        <v>39.299999999999997</v>
      </c>
      <c r="G4139" s="30">
        <v>39.299999999999997</v>
      </c>
    </row>
    <row r="4140" spans="1:7" x14ac:dyDescent="0.25">
      <c r="A4140" s="29">
        <v>41746</v>
      </c>
      <c r="B4140" s="30">
        <v>41.6</v>
      </c>
      <c r="C4140" s="30">
        <v>41.1</v>
      </c>
      <c r="D4140" s="30">
        <v>41.6</v>
      </c>
      <c r="E4140" s="30"/>
      <c r="F4140" s="30">
        <v>37.799999999999997</v>
      </c>
      <c r="G4140" s="30">
        <v>41.3</v>
      </c>
    </row>
    <row r="4141" spans="1:7" x14ac:dyDescent="0.25">
      <c r="A4141" s="29">
        <v>41747</v>
      </c>
      <c r="B4141" s="30">
        <v>40.1</v>
      </c>
      <c r="C4141" s="30">
        <v>39.9</v>
      </c>
      <c r="D4141" s="30">
        <v>41.4</v>
      </c>
      <c r="E4141" s="30"/>
      <c r="F4141" s="30">
        <v>41.7</v>
      </c>
      <c r="G4141" s="30">
        <v>41.7</v>
      </c>
    </row>
    <row r="4142" spans="1:7" x14ac:dyDescent="0.25">
      <c r="A4142" s="29">
        <v>41748</v>
      </c>
      <c r="B4142" s="30">
        <v>50.7</v>
      </c>
      <c r="C4142" s="30">
        <v>50.6</v>
      </c>
      <c r="D4142" s="30">
        <v>52.6</v>
      </c>
      <c r="E4142" s="30"/>
      <c r="F4142" s="30">
        <v>47.4</v>
      </c>
      <c r="G4142" s="30">
        <v>51.4</v>
      </c>
    </row>
    <row r="4143" spans="1:7" x14ac:dyDescent="0.25">
      <c r="A4143" s="29">
        <v>41749</v>
      </c>
      <c r="B4143" s="30">
        <v>50.9</v>
      </c>
      <c r="C4143" s="30">
        <v>51.6</v>
      </c>
      <c r="D4143" s="30">
        <v>52.1</v>
      </c>
      <c r="E4143" s="30"/>
      <c r="F4143" s="30">
        <v>47.5</v>
      </c>
      <c r="G4143" s="30">
        <v>52.2</v>
      </c>
    </row>
    <row r="4144" spans="1:7" x14ac:dyDescent="0.25">
      <c r="A4144" s="29">
        <v>41750</v>
      </c>
      <c r="B4144" s="30">
        <v>48</v>
      </c>
      <c r="C4144" s="30">
        <v>49.9</v>
      </c>
      <c r="D4144" s="30">
        <v>52</v>
      </c>
      <c r="E4144" s="30"/>
      <c r="F4144" s="30">
        <v>47.4</v>
      </c>
      <c r="G4144" s="30">
        <v>49.8</v>
      </c>
    </row>
    <row r="4145" spans="1:7" x14ac:dyDescent="0.25">
      <c r="A4145" s="29">
        <v>41751</v>
      </c>
      <c r="B4145" s="30">
        <v>51.7</v>
      </c>
      <c r="C4145" s="30">
        <v>56.4</v>
      </c>
      <c r="D4145" s="30">
        <v>59</v>
      </c>
      <c r="E4145" s="30"/>
      <c r="F4145" s="30">
        <v>54.3</v>
      </c>
      <c r="G4145" s="30">
        <v>58.7</v>
      </c>
    </row>
    <row r="4146" spans="1:7" x14ac:dyDescent="0.25">
      <c r="A4146" s="29">
        <v>41752</v>
      </c>
      <c r="B4146" s="30">
        <v>55.8</v>
      </c>
      <c r="C4146" s="30">
        <v>55.6</v>
      </c>
      <c r="D4146" s="30">
        <v>55.7</v>
      </c>
      <c r="E4146" s="30"/>
      <c r="F4146" s="30">
        <v>56.3</v>
      </c>
      <c r="G4146" s="30">
        <v>57.4</v>
      </c>
    </row>
    <row r="4147" spans="1:7" x14ac:dyDescent="0.25">
      <c r="A4147" s="29">
        <v>41753</v>
      </c>
      <c r="B4147" s="30">
        <v>51.5</v>
      </c>
      <c r="C4147" s="30">
        <v>49.4</v>
      </c>
      <c r="D4147" s="30">
        <v>50.5</v>
      </c>
      <c r="E4147" s="30"/>
      <c r="F4147" s="30">
        <v>51.1</v>
      </c>
      <c r="G4147" s="30">
        <v>51.1</v>
      </c>
    </row>
    <row r="4148" spans="1:7" x14ac:dyDescent="0.25">
      <c r="A4148" s="29">
        <v>41754</v>
      </c>
      <c r="B4148" s="30">
        <v>52.4</v>
      </c>
      <c r="C4148" s="30">
        <v>52.3</v>
      </c>
      <c r="D4148" s="30">
        <v>52.6</v>
      </c>
      <c r="E4148" s="30"/>
      <c r="F4148" s="30">
        <v>48.5</v>
      </c>
      <c r="G4148" s="30">
        <v>52.7</v>
      </c>
    </row>
    <row r="4149" spans="1:7" x14ac:dyDescent="0.25">
      <c r="A4149" s="29">
        <v>41755</v>
      </c>
      <c r="B4149" s="30">
        <v>51.9</v>
      </c>
      <c r="C4149" s="30">
        <v>52</v>
      </c>
      <c r="D4149" s="30">
        <v>53</v>
      </c>
      <c r="E4149" s="30"/>
      <c r="F4149" s="30">
        <v>57.4</v>
      </c>
      <c r="G4149" s="30">
        <v>53.8</v>
      </c>
    </row>
    <row r="4150" spans="1:7" x14ac:dyDescent="0.25">
      <c r="A4150" s="29">
        <v>41756</v>
      </c>
      <c r="B4150" s="30">
        <v>52.2</v>
      </c>
      <c r="C4150" s="30">
        <v>51.3</v>
      </c>
      <c r="D4150" s="30">
        <v>51.9</v>
      </c>
      <c r="E4150" s="30"/>
      <c r="F4150" s="30">
        <v>53.1</v>
      </c>
      <c r="G4150" s="30">
        <v>52.5</v>
      </c>
    </row>
    <row r="4151" spans="1:7" x14ac:dyDescent="0.25">
      <c r="A4151" s="29">
        <v>41757</v>
      </c>
      <c r="B4151" s="30">
        <v>54</v>
      </c>
      <c r="C4151" s="30">
        <v>53.7</v>
      </c>
      <c r="D4151" s="30">
        <v>54.5</v>
      </c>
      <c r="E4151" s="30"/>
      <c r="F4151" s="30">
        <v>48.2</v>
      </c>
      <c r="G4151" s="30">
        <v>54.5</v>
      </c>
    </row>
    <row r="4152" spans="1:7" x14ac:dyDescent="0.25">
      <c r="A4152" s="29">
        <v>41758</v>
      </c>
      <c r="B4152" s="30">
        <v>48.5</v>
      </c>
      <c r="C4152" s="30">
        <v>49.9</v>
      </c>
      <c r="D4152" s="30">
        <v>49.7</v>
      </c>
      <c r="E4152" s="30"/>
      <c r="F4152" s="30">
        <v>47.7</v>
      </c>
      <c r="G4152" s="30">
        <v>50.2</v>
      </c>
    </row>
    <row r="4153" spans="1:7" x14ac:dyDescent="0.25">
      <c r="A4153" s="29">
        <v>41759</v>
      </c>
      <c r="B4153" s="30">
        <v>45.1</v>
      </c>
      <c r="C4153" s="30">
        <v>44.5</v>
      </c>
      <c r="D4153" s="30">
        <v>44.2</v>
      </c>
      <c r="E4153" s="30"/>
      <c r="F4153" s="30">
        <v>49.6</v>
      </c>
      <c r="G4153" s="30">
        <v>45.6</v>
      </c>
    </row>
    <row r="4154" spans="1:7" x14ac:dyDescent="0.25">
      <c r="A4154" s="29">
        <v>41760</v>
      </c>
      <c r="B4154" s="30">
        <v>56.6</v>
      </c>
      <c r="C4154" s="30">
        <v>59.3</v>
      </c>
      <c r="D4154" s="30">
        <v>61.1</v>
      </c>
      <c r="E4154" s="30"/>
      <c r="F4154" s="30">
        <v>61.6</v>
      </c>
      <c r="G4154" s="30">
        <v>63.1</v>
      </c>
    </row>
    <row r="4155" spans="1:7" x14ac:dyDescent="0.25">
      <c r="A4155" s="29">
        <v>41761</v>
      </c>
      <c r="B4155" s="30">
        <v>61.1</v>
      </c>
      <c r="C4155" s="30">
        <v>62.8</v>
      </c>
      <c r="D4155" s="30">
        <v>63.4</v>
      </c>
      <c r="E4155" s="30"/>
      <c r="F4155" s="30">
        <v>62.2</v>
      </c>
      <c r="G4155" s="30">
        <v>65</v>
      </c>
    </row>
    <row r="4156" spans="1:7" x14ac:dyDescent="0.25">
      <c r="A4156" s="29">
        <v>41762</v>
      </c>
      <c r="B4156" s="30">
        <v>59</v>
      </c>
      <c r="C4156" s="30">
        <v>61.7</v>
      </c>
      <c r="D4156" s="30">
        <v>61.3</v>
      </c>
      <c r="E4156" s="30"/>
      <c r="F4156" s="30">
        <v>57.6</v>
      </c>
      <c r="G4156" s="30">
        <v>61</v>
      </c>
    </row>
    <row r="4157" spans="1:7" x14ac:dyDescent="0.25">
      <c r="A4157" s="29">
        <v>41763</v>
      </c>
      <c r="B4157" s="30">
        <v>57.5</v>
      </c>
      <c r="C4157" s="30">
        <v>58.7</v>
      </c>
      <c r="D4157" s="30">
        <v>57.6</v>
      </c>
      <c r="E4157" s="30"/>
      <c r="F4157" s="30">
        <v>57</v>
      </c>
      <c r="G4157" s="30">
        <v>58</v>
      </c>
    </row>
    <row r="4158" spans="1:7" x14ac:dyDescent="0.25">
      <c r="A4158" s="29">
        <v>41764</v>
      </c>
      <c r="B4158" s="30">
        <v>59.4</v>
      </c>
      <c r="C4158" s="30">
        <v>57.5</v>
      </c>
      <c r="D4158" s="30">
        <v>58.4</v>
      </c>
      <c r="E4158" s="30"/>
      <c r="F4158" s="30">
        <v>56.8</v>
      </c>
      <c r="G4158" s="30">
        <v>59.1</v>
      </c>
    </row>
    <row r="4159" spans="1:7" x14ac:dyDescent="0.25">
      <c r="A4159" s="29">
        <v>41765</v>
      </c>
      <c r="B4159" s="30">
        <v>60.1</v>
      </c>
      <c r="C4159" s="30">
        <v>59.2</v>
      </c>
      <c r="D4159" s="30">
        <v>60.3</v>
      </c>
      <c r="E4159" s="30"/>
      <c r="F4159" s="30">
        <v>56.7</v>
      </c>
      <c r="G4159" s="30">
        <v>60.8</v>
      </c>
    </row>
    <row r="4160" spans="1:7" x14ac:dyDescent="0.25">
      <c r="A4160" s="29">
        <v>41766</v>
      </c>
      <c r="B4160" s="30">
        <v>58</v>
      </c>
      <c r="C4160" s="30">
        <v>59</v>
      </c>
      <c r="D4160" s="30">
        <v>59.1</v>
      </c>
      <c r="E4160" s="30"/>
      <c r="F4160" s="30">
        <v>52</v>
      </c>
      <c r="G4160" s="30">
        <v>59.2</v>
      </c>
    </row>
    <row r="4161" spans="1:7" x14ac:dyDescent="0.25">
      <c r="A4161" s="29">
        <v>41767</v>
      </c>
      <c r="B4161" s="30">
        <v>54.7</v>
      </c>
      <c r="C4161" s="30">
        <v>55.6</v>
      </c>
      <c r="D4161" s="30">
        <v>55.9</v>
      </c>
      <c r="E4161" s="30"/>
      <c r="F4161" s="30">
        <v>57.9</v>
      </c>
      <c r="G4161" s="30">
        <v>56.3</v>
      </c>
    </row>
    <row r="4162" spans="1:7" x14ac:dyDescent="0.25">
      <c r="A4162" s="29">
        <v>41768</v>
      </c>
      <c r="B4162" s="30">
        <v>58.3</v>
      </c>
      <c r="C4162" s="30">
        <v>54.9</v>
      </c>
      <c r="D4162" s="30">
        <v>58</v>
      </c>
      <c r="E4162" s="30"/>
      <c r="F4162" s="30">
        <v>59</v>
      </c>
      <c r="G4162" s="30">
        <v>58.5</v>
      </c>
    </row>
    <row r="4163" spans="1:7" x14ac:dyDescent="0.25">
      <c r="A4163" s="29">
        <v>41769</v>
      </c>
      <c r="B4163" s="30">
        <v>63.1</v>
      </c>
      <c r="C4163" s="30">
        <v>65.400000000000006</v>
      </c>
      <c r="D4163" s="30">
        <v>65.599999999999994</v>
      </c>
      <c r="E4163" s="30"/>
      <c r="F4163" s="30">
        <v>67.3</v>
      </c>
      <c r="G4163" s="30">
        <v>65.400000000000006</v>
      </c>
    </row>
    <row r="4164" spans="1:7" x14ac:dyDescent="0.25">
      <c r="A4164" s="29">
        <v>41770</v>
      </c>
      <c r="B4164" s="30">
        <v>68.599999999999994</v>
      </c>
      <c r="C4164" s="30">
        <v>69.3</v>
      </c>
      <c r="D4164" s="30">
        <v>70.099999999999994</v>
      </c>
      <c r="E4164" s="30"/>
      <c r="F4164" s="30">
        <v>71.400000000000006</v>
      </c>
      <c r="G4164" s="30">
        <v>70.7</v>
      </c>
    </row>
    <row r="4165" spans="1:7" x14ac:dyDescent="0.25">
      <c r="A4165" s="29">
        <v>41771</v>
      </c>
      <c r="B4165" s="30">
        <v>66.2</v>
      </c>
      <c r="C4165" s="30">
        <v>73.2</v>
      </c>
      <c r="D4165" s="30">
        <v>73.8</v>
      </c>
      <c r="E4165" s="30"/>
      <c r="F4165" s="30">
        <v>69.599999999999994</v>
      </c>
      <c r="G4165" s="30">
        <v>73</v>
      </c>
    </row>
    <row r="4166" spans="1:7" x14ac:dyDescent="0.25">
      <c r="A4166" s="29">
        <v>41772</v>
      </c>
      <c r="B4166" s="30">
        <v>63.7</v>
      </c>
      <c r="C4166" s="30">
        <v>65.8</v>
      </c>
      <c r="D4166" s="30">
        <v>68.5</v>
      </c>
      <c r="E4166" s="30"/>
      <c r="F4166" s="30">
        <v>65.3</v>
      </c>
      <c r="G4166" s="30">
        <v>68.400000000000006</v>
      </c>
    </row>
    <row r="4167" spans="1:7" x14ac:dyDescent="0.25">
      <c r="A4167" s="29">
        <v>41773</v>
      </c>
      <c r="B4167" s="30">
        <v>55.6</v>
      </c>
      <c r="C4167" s="30">
        <v>56.5</v>
      </c>
      <c r="D4167" s="30">
        <v>58.2</v>
      </c>
      <c r="E4167" s="30"/>
      <c r="F4167" s="30">
        <v>55.3</v>
      </c>
      <c r="G4167" s="30">
        <v>56.8</v>
      </c>
    </row>
    <row r="4168" spans="1:7" x14ac:dyDescent="0.25">
      <c r="A4168" s="29">
        <v>41774</v>
      </c>
      <c r="B4168" s="30">
        <v>63.1</v>
      </c>
      <c r="C4168" s="30">
        <v>60.7</v>
      </c>
      <c r="D4168" s="30">
        <v>63.1</v>
      </c>
      <c r="E4168" s="30"/>
      <c r="F4168" s="30">
        <v>64.599999999999994</v>
      </c>
      <c r="G4168" s="30">
        <v>64.099999999999994</v>
      </c>
    </row>
    <row r="4169" spans="1:7" x14ac:dyDescent="0.25">
      <c r="A4169" s="29">
        <v>41775</v>
      </c>
      <c r="B4169" s="30">
        <v>63.9</v>
      </c>
      <c r="C4169" s="30">
        <v>67.2</v>
      </c>
      <c r="D4169" s="30">
        <v>65.900000000000006</v>
      </c>
      <c r="E4169" s="30"/>
      <c r="F4169" s="30">
        <v>65.099999999999994</v>
      </c>
      <c r="G4169" s="30">
        <v>63.5</v>
      </c>
    </row>
    <row r="4170" spans="1:7" x14ac:dyDescent="0.25">
      <c r="A4170" s="29">
        <v>41776</v>
      </c>
      <c r="B4170" s="30">
        <v>62</v>
      </c>
      <c r="C4170" s="30">
        <v>62.2</v>
      </c>
      <c r="D4170" s="30">
        <v>61.6</v>
      </c>
      <c r="E4170" s="30"/>
      <c r="F4170" s="30">
        <v>61.1</v>
      </c>
      <c r="G4170" s="30">
        <v>62.4</v>
      </c>
    </row>
    <row r="4171" spans="1:7" x14ac:dyDescent="0.25">
      <c r="A4171" s="29">
        <v>41777</v>
      </c>
      <c r="B4171" s="30">
        <v>61</v>
      </c>
      <c r="C4171" s="30">
        <v>60.4</v>
      </c>
      <c r="D4171" s="30">
        <v>60</v>
      </c>
      <c r="E4171" s="30"/>
      <c r="F4171" s="30">
        <v>57.1</v>
      </c>
      <c r="G4171" s="30">
        <v>60.4</v>
      </c>
    </row>
    <row r="4172" spans="1:7" x14ac:dyDescent="0.25">
      <c r="A4172" s="29">
        <v>41778</v>
      </c>
      <c r="B4172" s="30">
        <v>61.8</v>
      </c>
      <c r="C4172" s="30">
        <v>60.4</v>
      </c>
      <c r="D4172" s="30">
        <v>60.3</v>
      </c>
      <c r="E4172" s="30"/>
      <c r="F4172" s="30">
        <v>57.6</v>
      </c>
      <c r="G4172" s="30">
        <v>61.3</v>
      </c>
    </row>
    <row r="4173" spans="1:7" x14ac:dyDescent="0.25">
      <c r="A4173" s="29">
        <v>41779</v>
      </c>
      <c r="B4173" s="30">
        <v>66.099999999999994</v>
      </c>
      <c r="C4173" s="30">
        <v>65.5</v>
      </c>
      <c r="D4173" s="30">
        <v>66.2</v>
      </c>
      <c r="E4173" s="30"/>
      <c r="F4173" s="30">
        <v>63.6</v>
      </c>
      <c r="G4173" s="30">
        <v>66.8</v>
      </c>
    </row>
    <row r="4174" spans="1:7" x14ac:dyDescent="0.25">
      <c r="A4174" s="29">
        <v>41780</v>
      </c>
      <c r="B4174" s="30">
        <v>69.099999999999994</v>
      </c>
      <c r="C4174" s="30">
        <v>69.7</v>
      </c>
      <c r="D4174" s="30">
        <v>69.5</v>
      </c>
      <c r="E4174" s="30"/>
      <c r="F4174" s="30">
        <v>64.900000000000006</v>
      </c>
      <c r="G4174" s="30">
        <v>70.3</v>
      </c>
    </row>
    <row r="4175" spans="1:7" x14ac:dyDescent="0.25">
      <c r="A4175" s="29">
        <v>41781</v>
      </c>
      <c r="B4175" s="30">
        <v>60.3</v>
      </c>
      <c r="C4175" s="30">
        <v>62.9</v>
      </c>
      <c r="D4175" s="30">
        <v>62.7</v>
      </c>
      <c r="E4175" s="30"/>
      <c r="F4175" s="30">
        <v>63</v>
      </c>
      <c r="G4175" s="30">
        <v>64.3</v>
      </c>
    </row>
    <row r="4176" spans="1:7" x14ac:dyDescent="0.25">
      <c r="A4176" s="29">
        <v>41782</v>
      </c>
      <c r="B4176" s="30">
        <v>61.7</v>
      </c>
      <c r="C4176" s="30">
        <v>60.3</v>
      </c>
      <c r="D4176" s="30">
        <v>62.2</v>
      </c>
      <c r="E4176" s="30"/>
      <c r="F4176" s="30">
        <v>64.5</v>
      </c>
      <c r="G4176" s="30">
        <v>62.4</v>
      </c>
    </row>
    <row r="4177" spans="1:7" x14ac:dyDescent="0.25">
      <c r="A4177" s="29">
        <v>41783</v>
      </c>
      <c r="B4177" s="30">
        <v>60.9</v>
      </c>
      <c r="C4177" s="30">
        <v>60.2</v>
      </c>
      <c r="D4177" s="30">
        <v>60.2</v>
      </c>
      <c r="E4177" s="30"/>
      <c r="F4177" s="30">
        <v>60</v>
      </c>
      <c r="G4177" s="30">
        <v>61.3</v>
      </c>
    </row>
    <row r="4178" spans="1:7" x14ac:dyDescent="0.25">
      <c r="A4178" s="29">
        <v>41784</v>
      </c>
      <c r="B4178" s="30">
        <v>64.7</v>
      </c>
      <c r="C4178" s="30">
        <v>65.5</v>
      </c>
      <c r="D4178" s="30">
        <v>65.8</v>
      </c>
      <c r="E4178" s="30"/>
      <c r="F4178" s="30">
        <v>63.9</v>
      </c>
      <c r="G4178" s="30">
        <v>66.2</v>
      </c>
    </row>
    <row r="4179" spans="1:7" x14ac:dyDescent="0.25">
      <c r="A4179" s="29">
        <v>41785</v>
      </c>
      <c r="B4179" s="30">
        <v>71.2</v>
      </c>
      <c r="C4179" s="30">
        <v>75.2</v>
      </c>
      <c r="D4179" s="30">
        <v>74.7</v>
      </c>
      <c r="E4179" s="30"/>
      <c r="F4179" s="30">
        <v>72.7</v>
      </c>
      <c r="G4179" s="30">
        <v>74.7</v>
      </c>
    </row>
    <row r="4180" spans="1:7" x14ac:dyDescent="0.25">
      <c r="A4180" s="29">
        <v>41786</v>
      </c>
      <c r="B4180" s="30">
        <v>75</v>
      </c>
      <c r="C4180" s="30">
        <v>79.5</v>
      </c>
      <c r="D4180" s="30">
        <v>78.3</v>
      </c>
      <c r="E4180" s="30"/>
      <c r="F4180" s="30">
        <v>76.400000000000006</v>
      </c>
      <c r="G4180" s="30">
        <v>79.400000000000006</v>
      </c>
    </row>
    <row r="4181" spans="1:7" x14ac:dyDescent="0.25">
      <c r="A4181" s="29">
        <v>41787</v>
      </c>
      <c r="B4181" s="30">
        <v>62.8</v>
      </c>
      <c r="C4181" s="30">
        <v>61.3</v>
      </c>
      <c r="D4181" s="30">
        <v>61.5</v>
      </c>
      <c r="E4181" s="30"/>
      <c r="F4181" s="30">
        <v>62.9</v>
      </c>
      <c r="G4181" s="30">
        <v>64.7</v>
      </c>
    </row>
    <row r="4182" spans="1:7" x14ac:dyDescent="0.25">
      <c r="A4182" s="29">
        <v>41788</v>
      </c>
      <c r="B4182" s="30">
        <v>56</v>
      </c>
      <c r="C4182" s="30">
        <v>55.6</v>
      </c>
      <c r="D4182" s="30">
        <v>56.3</v>
      </c>
      <c r="E4182" s="30"/>
      <c r="F4182" s="30">
        <v>54.5</v>
      </c>
      <c r="G4182" s="30">
        <v>57</v>
      </c>
    </row>
    <row r="4183" spans="1:7" x14ac:dyDescent="0.25">
      <c r="A4183" s="29">
        <v>41789</v>
      </c>
      <c r="B4183" s="30">
        <v>60.9</v>
      </c>
      <c r="C4183" s="30">
        <v>63.2</v>
      </c>
      <c r="D4183" s="30">
        <v>63.3</v>
      </c>
      <c r="E4183" s="30"/>
      <c r="F4183" s="30">
        <v>59.5</v>
      </c>
      <c r="G4183" s="30">
        <v>63.5</v>
      </c>
    </row>
    <row r="4184" spans="1:7" x14ac:dyDescent="0.25">
      <c r="A4184" s="29">
        <v>41790</v>
      </c>
      <c r="B4184" s="30">
        <v>63.4</v>
      </c>
      <c r="C4184" s="30">
        <v>64</v>
      </c>
      <c r="D4184" s="30">
        <v>64.2</v>
      </c>
      <c r="E4184" s="30"/>
      <c r="F4184" s="30">
        <v>63.2</v>
      </c>
      <c r="G4184" s="30">
        <v>65.900000000000006</v>
      </c>
    </row>
    <row r="4185" spans="1:7" x14ac:dyDescent="0.25">
      <c r="A4185" s="29">
        <v>41791</v>
      </c>
      <c r="B4185" s="30">
        <v>64.099999999999994</v>
      </c>
      <c r="C4185" s="30">
        <v>65.099999999999994</v>
      </c>
      <c r="D4185" s="30">
        <v>64.8</v>
      </c>
      <c r="E4185" s="30"/>
      <c r="F4185" s="30">
        <v>59.1</v>
      </c>
      <c r="G4185" s="30">
        <v>65</v>
      </c>
    </row>
    <row r="4186" spans="1:7" x14ac:dyDescent="0.25">
      <c r="A4186" s="29">
        <v>41792</v>
      </c>
      <c r="B4186" s="30">
        <v>65.8</v>
      </c>
      <c r="C4186" s="30">
        <v>69.7</v>
      </c>
      <c r="D4186" s="30">
        <v>69.7</v>
      </c>
      <c r="E4186" s="30"/>
      <c r="F4186" s="30">
        <v>62.2</v>
      </c>
      <c r="G4186" s="30">
        <v>69.5</v>
      </c>
    </row>
    <row r="4187" spans="1:7" x14ac:dyDescent="0.25">
      <c r="A4187" s="29">
        <v>41793</v>
      </c>
      <c r="B4187" s="30">
        <v>69.5</v>
      </c>
      <c r="C4187" s="30">
        <v>75.7</v>
      </c>
      <c r="D4187" s="30">
        <v>75.3</v>
      </c>
      <c r="E4187" s="30"/>
      <c r="F4187" s="30">
        <v>71.5</v>
      </c>
      <c r="G4187" s="30">
        <v>74.599999999999994</v>
      </c>
    </row>
    <row r="4188" spans="1:7" x14ac:dyDescent="0.25">
      <c r="A4188" s="29">
        <v>41794</v>
      </c>
      <c r="B4188" s="30">
        <v>69</v>
      </c>
      <c r="C4188" s="30">
        <v>69.5</v>
      </c>
      <c r="D4188" s="30">
        <v>70.8</v>
      </c>
      <c r="E4188" s="30"/>
      <c r="F4188" s="30">
        <v>73.2</v>
      </c>
      <c r="G4188" s="30">
        <v>72.3</v>
      </c>
    </row>
    <row r="4189" spans="1:7" x14ac:dyDescent="0.25">
      <c r="A4189" s="29">
        <v>41795</v>
      </c>
      <c r="B4189" s="30">
        <v>67.2</v>
      </c>
      <c r="C4189" s="30">
        <v>67</v>
      </c>
      <c r="D4189" s="30">
        <v>68.099999999999994</v>
      </c>
      <c r="E4189" s="30"/>
      <c r="F4189" s="30">
        <v>67.900000000000006</v>
      </c>
      <c r="G4189" s="30">
        <v>69.8</v>
      </c>
    </row>
    <row r="4190" spans="1:7" x14ac:dyDescent="0.25">
      <c r="A4190" s="29">
        <v>41796</v>
      </c>
      <c r="B4190" s="30">
        <v>69.599999999999994</v>
      </c>
      <c r="C4190" s="30">
        <v>67.8</v>
      </c>
      <c r="D4190" s="30">
        <v>67.7</v>
      </c>
      <c r="E4190" s="30"/>
      <c r="F4190" s="30">
        <v>66.599999999999994</v>
      </c>
      <c r="G4190" s="30">
        <v>69.099999999999994</v>
      </c>
    </row>
    <row r="4191" spans="1:7" x14ac:dyDescent="0.25">
      <c r="A4191" s="29">
        <v>41797</v>
      </c>
      <c r="B4191" s="30">
        <v>71.599999999999994</v>
      </c>
      <c r="C4191" s="30">
        <v>71.5</v>
      </c>
      <c r="D4191" s="30">
        <v>71</v>
      </c>
      <c r="E4191" s="30"/>
      <c r="F4191" s="30">
        <v>67</v>
      </c>
      <c r="G4191" s="30">
        <v>72.3</v>
      </c>
    </row>
    <row r="4192" spans="1:7" x14ac:dyDescent="0.25">
      <c r="A4192" s="29">
        <v>41798</v>
      </c>
      <c r="B4192" s="30">
        <v>72.5</v>
      </c>
      <c r="C4192" s="30">
        <v>76.400000000000006</v>
      </c>
      <c r="D4192" s="30">
        <v>75</v>
      </c>
      <c r="E4192" s="30"/>
      <c r="F4192" s="30">
        <v>69.7</v>
      </c>
      <c r="G4192" s="30">
        <v>75.5</v>
      </c>
    </row>
    <row r="4193" spans="1:7" x14ac:dyDescent="0.25">
      <c r="A4193" s="29">
        <v>41799</v>
      </c>
      <c r="B4193" s="30">
        <v>67</v>
      </c>
      <c r="C4193" s="30">
        <v>68</v>
      </c>
      <c r="D4193" s="30">
        <v>67.400000000000006</v>
      </c>
      <c r="E4193" s="30"/>
      <c r="F4193" s="30">
        <v>71.2</v>
      </c>
      <c r="G4193" s="30">
        <v>68.8</v>
      </c>
    </row>
    <row r="4194" spans="1:7" x14ac:dyDescent="0.25">
      <c r="A4194" s="29">
        <v>41800</v>
      </c>
      <c r="B4194" s="30">
        <v>70.3</v>
      </c>
      <c r="C4194" s="30">
        <v>66.900000000000006</v>
      </c>
      <c r="D4194" s="30">
        <v>69.5</v>
      </c>
      <c r="E4194" s="30"/>
      <c r="F4194" s="30">
        <v>73.8</v>
      </c>
      <c r="G4194" s="30">
        <v>70.400000000000006</v>
      </c>
    </row>
    <row r="4195" spans="1:7" x14ac:dyDescent="0.25">
      <c r="A4195" s="29">
        <v>41801</v>
      </c>
      <c r="B4195" s="30">
        <v>67.599999999999994</v>
      </c>
      <c r="C4195" s="30">
        <v>65.599999999999994</v>
      </c>
      <c r="D4195" s="30">
        <v>67</v>
      </c>
      <c r="E4195" s="30"/>
      <c r="F4195" s="30">
        <v>67.7</v>
      </c>
      <c r="G4195" s="30">
        <v>68.400000000000006</v>
      </c>
    </row>
    <row r="4196" spans="1:7" x14ac:dyDescent="0.25">
      <c r="A4196" s="29">
        <v>41802</v>
      </c>
      <c r="B4196" s="30">
        <v>66.400000000000006</v>
      </c>
      <c r="C4196" s="30">
        <v>63.6</v>
      </c>
      <c r="D4196" s="30">
        <v>64.7</v>
      </c>
      <c r="E4196" s="30"/>
      <c r="F4196" s="30">
        <v>68.099999999999994</v>
      </c>
      <c r="G4196" s="30">
        <v>65.400000000000006</v>
      </c>
    </row>
    <row r="4197" spans="1:7" x14ac:dyDescent="0.25">
      <c r="A4197" s="29">
        <v>41803</v>
      </c>
      <c r="B4197" s="30">
        <v>70.400000000000006</v>
      </c>
      <c r="C4197" s="30">
        <v>65.7</v>
      </c>
      <c r="D4197" s="30">
        <v>69.5</v>
      </c>
      <c r="E4197" s="30"/>
      <c r="F4197" s="30">
        <v>73</v>
      </c>
      <c r="G4197" s="30">
        <v>71.400000000000006</v>
      </c>
    </row>
    <row r="4198" spans="1:7" x14ac:dyDescent="0.25">
      <c r="A4198" s="29">
        <v>41804</v>
      </c>
      <c r="B4198" s="30">
        <v>71.3</v>
      </c>
      <c r="C4198" s="30">
        <v>69.599999999999994</v>
      </c>
      <c r="D4198" s="30">
        <v>69</v>
      </c>
      <c r="E4198" s="30"/>
      <c r="F4198" s="30">
        <v>72.599999999999994</v>
      </c>
      <c r="G4198" s="30">
        <v>70.8</v>
      </c>
    </row>
    <row r="4199" spans="1:7" x14ac:dyDescent="0.25">
      <c r="A4199" s="29">
        <v>41805</v>
      </c>
      <c r="B4199" s="30">
        <v>69.2</v>
      </c>
      <c r="C4199" s="30">
        <v>67.599999999999994</v>
      </c>
      <c r="D4199" s="30">
        <v>67.7</v>
      </c>
      <c r="E4199" s="30"/>
      <c r="F4199" s="30">
        <v>68</v>
      </c>
      <c r="G4199" s="30">
        <v>68.400000000000006</v>
      </c>
    </row>
    <row r="4200" spans="1:7" x14ac:dyDescent="0.25">
      <c r="A4200" s="29">
        <v>41806</v>
      </c>
      <c r="B4200" s="30">
        <v>72.099999999999994</v>
      </c>
      <c r="C4200" s="30">
        <v>72</v>
      </c>
      <c r="D4200" s="30">
        <v>72.3</v>
      </c>
      <c r="E4200" s="30"/>
      <c r="F4200" s="30">
        <v>71.5</v>
      </c>
      <c r="G4200" s="30">
        <v>73.099999999999994</v>
      </c>
    </row>
    <row r="4201" spans="1:7" x14ac:dyDescent="0.25">
      <c r="A4201" s="29">
        <v>41807</v>
      </c>
      <c r="B4201" s="30">
        <v>73.099999999999994</v>
      </c>
      <c r="C4201" s="30">
        <v>76.7</v>
      </c>
      <c r="D4201" s="30">
        <v>77.7</v>
      </c>
      <c r="E4201" s="30"/>
      <c r="F4201" s="30">
        <v>79.099999999999994</v>
      </c>
      <c r="G4201" s="30">
        <v>78.8</v>
      </c>
    </row>
    <row r="4202" spans="1:7" x14ac:dyDescent="0.25">
      <c r="A4202" s="29">
        <v>41808</v>
      </c>
      <c r="B4202" s="30">
        <v>81.8</v>
      </c>
      <c r="C4202" s="30">
        <v>83.2</v>
      </c>
      <c r="D4202" s="30">
        <v>83.4</v>
      </c>
      <c r="E4202" s="30"/>
      <c r="F4202" s="30">
        <v>84.7</v>
      </c>
      <c r="G4202" s="30">
        <v>85.6</v>
      </c>
    </row>
    <row r="4203" spans="1:7" x14ac:dyDescent="0.25">
      <c r="A4203" s="29">
        <v>41809</v>
      </c>
      <c r="B4203" s="30">
        <v>75</v>
      </c>
      <c r="C4203" s="30">
        <v>74.8</v>
      </c>
      <c r="D4203" s="30">
        <v>74.900000000000006</v>
      </c>
      <c r="E4203" s="30"/>
      <c r="F4203" s="30">
        <v>75.8</v>
      </c>
      <c r="G4203" s="30">
        <v>76.099999999999994</v>
      </c>
    </row>
    <row r="4204" spans="1:7" x14ac:dyDescent="0.25">
      <c r="A4204" s="29">
        <v>41810</v>
      </c>
      <c r="B4204" s="30">
        <v>73.7</v>
      </c>
      <c r="C4204" s="30">
        <v>73.3</v>
      </c>
      <c r="D4204" s="30">
        <v>71.8</v>
      </c>
      <c r="E4204" s="30"/>
      <c r="F4204" s="30">
        <v>70.400000000000006</v>
      </c>
      <c r="G4204" s="30">
        <v>73.7</v>
      </c>
    </row>
    <row r="4205" spans="1:7" x14ac:dyDescent="0.25">
      <c r="A4205" s="29">
        <v>41811</v>
      </c>
      <c r="B4205" s="30">
        <v>70.5</v>
      </c>
      <c r="C4205" s="30">
        <v>70</v>
      </c>
      <c r="D4205" s="30">
        <v>70.400000000000006</v>
      </c>
      <c r="E4205" s="30"/>
      <c r="F4205" s="30">
        <v>68.599999999999994</v>
      </c>
      <c r="G4205" s="30">
        <v>70.900000000000006</v>
      </c>
    </row>
    <row r="4206" spans="1:7" x14ac:dyDescent="0.25">
      <c r="A4206" s="29">
        <v>41812</v>
      </c>
      <c r="B4206" s="30">
        <v>68.8</v>
      </c>
      <c r="C4206" s="30">
        <v>70.099999999999994</v>
      </c>
      <c r="D4206" s="30">
        <v>69.8</v>
      </c>
      <c r="E4206" s="30"/>
      <c r="F4206" s="30">
        <v>69.8</v>
      </c>
      <c r="G4206" s="30">
        <v>70.3</v>
      </c>
    </row>
    <row r="4207" spans="1:7" x14ac:dyDescent="0.25">
      <c r="A4207" s="29">
        <v>41813</v>
      </c>
      <c r="B4207" s="30">
        <v>71.099999999999994</v>
      </c>
      <c r="C4207" s="30">
        <v>73.2</v>
      </c>
      <c r="D4207" s="30">
        <v>71.8</v>
      </c>
      <c r="E4207" s="30"/>
      <c r="F4207" s="30">
        <v>69.900000000000006</v>
      </c>
      <c r="G4207" s="30">
        <v>73</v>
      </c>
    </row>
    <row r="4208" spans="1:7" x14ac:dyDescent="0.25">
      <c r="A4208" s="29">
        <v>41814</v>
      </c>
      <c r="B4208" s="30">
        <v>71.400000000000006</v>
      </c>
      <c r="C4208" s="30">
        <v>73.5</v>
      </c>
      <c r="D4208" s="30">
        <v>73.099999999999994</v>
      </c>
      <c r="E4208" s="30"/>
      <c r="F4208" s="30">
        <v>71</v>
      </c>
      <c r="G4208" s="30">
        <v>74.599999999999994</v>
      </c>
    </row>
    <row r="4209" spans="1:7" x14ac:dyDescent="0.25">
      <c r="A4209" s="29">
        <v>41815</v>
      </c>
      <c r="B4209" s="30">
        <v>73.099999999999994</v>
      </c>
      <c r="C4209" s="30">
        <v>75.400000000000006</v>
      </c>
      <c r="D4209" s="30">
        <v>75.400000000000006</v>
      </c>
      <c r="E4209" s="30"/>
      <c r="F4209" s="30">
        <v>76.599999999999994</v>
      </c>
      <c r="G4209" s="30">
        <v>76.5</v>
      </c>
    </row>
    <row r="4210" spans="1:7" x14ac:dyDescent="0.25">
      <c r="A4210" s="29">
        <v>41816</v>
      </c>
      <c r="B4210" s="30">
        <v>77.5</v>
      </c>
      <c r="C4210" s="30">
        <v>77.5</v>
      </c>
      <c r="D4210" s="30">
        <v>76.599999999999994</v>
      </c>
      <c r="E4210" s="30"/>
      <c r="F4210" s="30">
        <v>77.2</v>
      </c>
      <c r="G4210" s="30">
        <v>78.900000000000006</v>
      </c>
    </row>
    <row r="4211" spans="1:7" x14ac:dyDescent="0.25">
      <c r="A4211" s="29">
        <v>41817</v>
      </c>
      <c r="B4211" s="30">
        <v>74.2</v>
      </c>
      <c r="C4211" s="30">
        <v>74.5</v>
      </c>
      <c r="D4211" s="30">
        <v>75.099999999999994</v>
      </c>
      <c r="E4211" s="30"/>
      <c r="F4211" s="30">
        <v>73.7</v>
      </c>
      <c r="G4211" s="30">
        <v>76.3</v>
      </c>
    </row>
    <row r="4212" spans="1:7" x14ac:dyDescent="0.25">
      <c r="A4212" s="29">
        <v>41818</v>
      </c>
      <c r="B4212" s="30">
        <v>74.3</v>
      </c>
      <c r="C4212" s="30">
        <v>75.599999999999994</v>
      </c>
      <c r="D4212" s="30">
        <v>74.5</v>
      </c>
      <c r="E4212" s="30"/>
      <c r="F4212" s="30">
        <v>70.2</v>
      </c>
      <c r="G4212" s="30">
        <v>75.5</v>
      </c>
    </row>
    <row r="4213" spans="1:7" x14ac:dyDescent="0.25">
      <c r="A4213" s="29">
        <v>41819</v>
      </c>
      <c r="B4213" s="30">
        <v>72.599999999999994</v>
      </c>
      <c r="C4213" s="30">
        <v>74.900000000000006</v>
      </c>
      <c r="D4213" s="30">
        <v>74.400000000000006</v>
      </c>
      <c r="E4213" s="30"/>
      <c r="F4213" s="30">
        <v>69.599999999999994</v>
      </c>
      <c r="G4213" s="30">
        <v>74.8</v>
      </c>
    </row>
    <row r="4214" spans="1:7" x14ac:dyDescent="0.25">
      <c r="A4214" s="29">
        <v>41820</v>
      </c>
      <c r="B4214" s="30">
        <v>73.3</v>
      </c>
      <c r="C4214" s="30">
        <v>75.8</v>
      </c>
      <c r="D4214" s="30">
        <v>75.7</v>
      </c>
      <c r="E4214" s="30"/>
      <c r="F4214" s="30">
        <v>73.400000000000006</v>
      </c>
      <c r="G4214" s="30">
        <v>76.5</v>
      </c>
    </row>
    <row r="4215" spans="1:7" x14ac:dyDescent="0.25">
      <c r="A4215" s="29">
        <v>41821</v>
      </c>
      <c r="B4215" s="30">
        <v>76.2</v>
      </c>
      <c r="C4215" s="30">
        <v>79</v>
      </c>
      <c r="D4215" s="30">
        <v>79.099999999999994</v>
      </c>
      <c r="E4215" s="30"/>
      <c r="F4215" s="30">
        <v>78.2</v>
      </c>
      <c r="G4215" s="30">
        <v>81.400000000000006</v>
      </c>
    </row>
    <row r="4216" spans="1:7" x14ac:dyDescent="0.25">
      <c r="A4216" s="29">
        <v>41822</v>
      </c>
      <c r="B4216" s="30">
        <v>77.400000000000006</v>
      </c>
      <c r="C4216" s="30">
        <v>81.7</v>
      </c>
      <c r="D4216" s="30">
        <v>81.3</v>
      </c>
      <c r="E4216" s="30"/>
      <c r="F4216" s="30">
        <v>80.3</v>
      </c>
      <c r="G4216" s="30">
        <v>83.2</v>
      </c>
    </row>
    <row r="4217" spans="1:7" x14ac:dyDescent="0.25">
      <c r="A4217" s="29">
        <v>41823</v>
      </c>
      <c r="B4217" s="30">
        <v>77.2</v>
      </c>
      <c r="C4217" s="30">
        <v>78.900000000000006</v>
      </c>
      <c r="D4217" s="30">
        <v>77.3</v>
      </c>
      <c r="E4217" s="30"/>
      <c r="F4217" s="30">
        <v>80</v>
      </c>
      <c r="G4217" s="30">
        <v>78.8</v>
      </c>
    </row>
    <row r="4218" spans="1:7" x14ac:dyDescent="0.25">
      <c r="A4218" s="29">
        <v>41824</v>
      </c>
      <c r="B4218" s="30">
        <v>71.900000000000006</v>
      </c>
      <c r="C4218" s="30">
        <v>71.099999999999994</v>
      </c>
      <c r="D4218" s="30">
        <v>70.400000000000006</v>
      </c>
      <c r="E4218" s="30"/>
      <c r="F4218" s="30">
        <v>72.2</v>
      </c>
      <c r="G4218" s="30">
        <v>72.2</v>
      </c>
    </row>
    <row r="4219" spans="1:7" x14ac:dyDescent="0.25">
      <c r="A4219" s="29">
        <v>41825</v>
      </c>
      <c r="B4219" s="30">
        <v>73.3</v>
      </c>
      <c r="C4219" s="30">
        <v>71.8</v>
      </c>
      <c r="D4219" s="30">
        <v>71.400000000000006</v>
      </c>
      <c r="E4219" s="30"/>
      <c r="F4219" s="30">
        <v>70</v>
      </c>
      <c r="G4219" s="30">
        <v>72.5</v>
      </c>
    </row>
    <row r="4220" spans="1:7" x14ac:dyDescent="0.25">
      <c r="A4220" s="29">
        <v>41826</v>
      </c>
      <c r="B4220" s="30">
        <v>75.400000000000006</v>
      </c>
      <c r="C4220" s="30">
        <v>78.2</v>
      </c>
      <c r="D4220" s="30">
        <v>76</v>
      </c>
      <c r="E4220" s="30"/>
      <c r="F4220" s="30">
        <v>72.599999999999994</v>
      </c>
      <c r="G4220" s="30">
        <v>76.5</v>
      </c>
    </row>
    <row r="4221" spans="1:7" x14ac:dyDescent="0.25">
      <c r="A4221" s="29">
        <v>41827</v>
      </c>
      <c r="B4221" s="30">
        <v>75.8</v>
      </c>
      <c r="C4221" s="30">
        <v>81.3</v>
      </c>
      <c r="D4221" s="30">
        <v>79.8</v>
      </c>
      <c r="E4221" s="30"/>
      <c r="F4221" s="30">
        <v>77.900000000000006</v>
      </c>
      <c r="G4221" s="30">
        <v>81.2</v>
      </c>
    </row>
    <row r="4222" spans="1:7" x14ac:dyDescent="0.25">
      <c r="A4222" s="29">
        <v>41828</v>
      </c>
      <c r="B4222" s="30">
        <v>78.7</v>
      </c>
      <c r="C4222" s="30">
        <v>83.8</v>
      </c>
      <c r="D4222" s="30">
        <v>81.400000000000006</v>
      </c>
      <c r="E4222" s="30"/>
      <c r="F4222" s="30">
        <v>81</v>
      </c>
      <c r="G4222" s="30">
        <v>84.4</v>
      </c>
    </row>
    <row r="4223" spans="1:7" x14ac:dyDescent="0.25">
      <c r="A4223" s="29">
        <v>41829</v>
      </c>
      <c r="B4223" s="30">
        <v>76.5</v>
      </c>
      <c r="C4223" s="30">
        <v>79.5</v>
      </c>
      <c r="D4223" s="30">
        <v>78.8</v>
      </c>
      <c r="E4223" s="30"/>
      <c r="F4223" s="30">
        <v>77.099999999999994</v>
      </c>
      <c r="G4223" s="30">
        <v>80.400000000000006</v>
      </c>
    </row>
    <row r="4224" spans="1:7" x14ac:dyDescent="0.25">
      <c r="A4224" s="29">
        <v>41830</v>
      </c>
      <c r="B4224" s="30">
        <v>75.5</v>
      </c>
      <c r="C4224" s="30">
        <v>76.3</v>
      </c>
      <c r="D4224" s="30">
        <v>75.400000000000006</v>
      </c>
      <c r="E4224" s="30"/>
      <c r="F4224" s="30">
        <v>73.400000000000006</v>
      </c>
      <c r="G4224" s="30">
        <v>77.599999999999994</v>
      </c>
    </row>
    <row r="4225" spans="1:7" x14ac:dyDescent="0.25">
      <c r="A4225" s="29">
        <v>41831</v>
      </c>
      <c r="B4225" s="30">
        <v>76.2</v>
      </c>
      <c r="C4225" s="30">
        <v>76.900000000000006</v>
      </c>
      <c r="D4225" s="30">
        <v>76.8</v>
      </c>
      <c r="E4225" s="30"/>
      <c r="F4225" s="30">
        <v>73</v>
      </c>
      <c r="G4225" s="30">
        <v>76.900000000000006</v>
      </c>
    </row>
    <row r="4226" spans="1:7" x14ac:dyDescent="0.25">
      <c r="A4226" s="29">
        <v>41832</v>
      </c>
      <c r="B4226" s="30">
        <v>73.099999999999994</v>
      </c>
      <c r="C4226" s="30">
        <v>77</v>
      </c>
      <c r="D4226" s="30">
        <v>76.2</v>
      </c>
      <c r="E4226" s="30"/>
      <c r="F4226" s="30">
        <v>72.099999999999994</v>
      </c>
      <c r="G4226" s="30">
        <v>76.8</v>
      </c>
    </row>
    <row r="4227" spans="1:7" x14ac:dyDescent="0.25">
      <c r="A4227" s="29">
        <v>41833</v>
      </c>
      <c r="B4227" s="30">
        <v>73.3</v>
      </c>
      <c r="C4227" s="30">
        <v>75.3</v>
      </c>
      <c r="D4227" s="30">
        <v>75.8</v>
      </c>
      <c r="E4227" s="30"/>
      <c r="F4227" s="30">
        <v>75</v>
      </c>
      <c r="G4227" s="30">
        <v>77</v>
      </c>
    </row>
    <row r="4228" spans="1:7" x14ac:dyDescent="0.25">
      <c r="A4228" s="29">
        <v>41834</v>
      </c>
      <c r="B4228" s="30">
        <v>75.5</v>
      </c>
      <c r="C4228" s="30">
        <v>77.2</v>
      </c>
      <c r="D4228" s="30">
        <v>75.7</v>
      </c>
      <c r="E4228" s="30"/>
      <c r="F4228" s="30">
        <v>78.099999999999994</v>
      </c>
      <c r="G4228" s="30">
        <v>77.2</v>
      </c>
    </row>
    <row r="4229" spans="1:7" x14ac:dyDescent="0.25">
      <c r="A4229" s="29">
        <v>41835</v>
      </c>
      <c r="B4229" s="30">
        <v>74</v>
      </c>
      <c r="C4229" s="30">
        <v>76.3</v>
      </c>
      <c r="D4229" s="30">
        <v>75.3</v>
      </c>
      <c r="E4229" s="30"/>
      <c r="F4229" s="30">
        <v>77.400000000000006</v>
      </c>
      <c r="G4229" s="30">
        <v>76.3</v>
      </c>
    </row>
    <row r="4230" spans="1:7" x14ac:dyDescent="0.25">
      <c r="A4230" s="29">
        <v>41836</v>
      </c>
      <c r="B4230" s="30">
        <v>74.2</v>
      </c>
      <c r="C4230" s="30">
        <v>73.8</v>
      </c>
      <c r="D4230" s="30">
        <v>73.3</v>
      </c>
      <c r="E4230" s="30"/>
      <c r="F4230" s="30">
        <v>73.599999999999994</v>
      </c>
      <c r="G4230" s="30">
        <v>75</v>
      </c>
    </row>
    <row r="4231" spans="1:7" x14ac:dyDescent="0.25">
      <c r="A4231" s="29">
        <v>41837</v>
      </c>
      <c r="B4231" s="30">
        <v>74.900000000000006</v>
      </c>
      <c r="C4231" s="30">
        <v>75</v>
      </c>
      <c r="D4231" s="30">
        <v>73.599999999999994</v>
      </c>
      <c r="E4231" s="30"/>
      <c r="F4231" s="30">
        <v>72.599999999999994</v>
      </c>
      <c r="G4231" s="30">
        <v>75</v>
      </c>
    </row>
    <row r="4232" spans="1:7" x14ac:dyDescent="0.25">
      <c r="A4232" s="29">
        <v>41838</v>
      </c>
      <c r="B4232" s="30">
        <v>74.5</v>
      </c>
      <c r="C4232" s="30">
        <v>74.599999999999994</v>
      </c>
      <c r="D4232" s="30">
        <v>73.400000000000006</v>
      </c>
      <c r="E4232" s="30"/>
      <c r="F4232" s="30">
        <v>70.5</v>
      </c>
      <c r="G4232" s="30">
        <v>74.900000000000006</v>
      </c>
    </row>
    <row r="4233" spans="1:7" x14ac:dyDescent="0.25">
      <c r="A4233" s="29">
        <v>41839</v>
      </c>
      <c r="B4233" s="30">
        <v>73.3</v>
      </c>
      <c r="C4233" s="30">
        <v>73.099999999999994</v>
      </c>
      <c r="D4233" s="30">
        <v>72.2</v>
      </c>
      <c r="E4233" s="30"/>
      <c r="F4233" s="30">
        <v>68.5</v>
      </c>
      <c r="G4233" s="30">
        <v>74.2</v>
      </c>
    </row>
    <row r="4234" spans="1:7" x14ac:dyDescent="0.25">
      <c r="A4234" s="29">
        <v>41840</v>
      </c>
      <c r="B4234" s="30">
        <v>71.8</v>
      </c>
      <c r="C4234" s="30">
        <v>71.2</v>
      </c>
      <c r="D4234" s="30">
        <v>71.900000000000006</v>
      </c>
      <c r="E4234" s="30"/>
      <c r="F4234" s="30">
        <v>70.3</v>
      </c>
      <c r="G4234" s="30">
        <v>72.599999999999994</v>
      </c>
    </row>
    <row r="4235" spans="1:7" x14ac:dyDescent="0.25">
      <c r="A4235" s="29">
        <v>41841</v>
      </c>
      <c r="B4235" s="30">
        <v>73.400000000000006</v>
      </c>
      <c r="C4235" s="30">
        <v>74</v>
      </c>
      <c r="D4235" s="30">
        <v>73.900000000000006</v>
      </c>
      <c r="E4235" s="30"/>
      <c r="F4235" s="30">
        <v>69.5</v>
      </c>
      <c r="G4235" s="30">
        <v>74.099999999999994</v>
      </c>
    </row>
    <row r="4236" spans="1:7" x14ac:dyDescent="0.25">
      <c r="A4236" s="29">
        <v>41842</v>
      </c>
      <c r="B4236" s="30">
        <v>75.400000000000006</v>
      </c>
      <c r="C4236" s="30">
        <v>78.099999999999994</v>
      </c>
      <c r="D4236" s="30">
        <v>77</v>
      </c>
      <c r="E4236" s="30"/>
      <c r="F4236" s="30">
        <v>72.5</v>
      </c>
      <c r="G4236" s="30">
        <v>78.3</v>
      </c>
    </row>
    <row r="4237" spans="1:7" x14ac:dyDescent="0.25">
      <c r="A4237" s="29">
        <v>41843</v>
      </c>
      <c r="B4237" s="30">
        <v>76.900000000000006</v>
      </c>
      <c r="C4237" s="30">
        <v>80.2</v>
      </c>
      <c r="D4237" s="30">
        <v>79.7</v>
      </c>
      <c r="E4237" s="30"/>
      <c r="F4237" s="30">
        <v>76.2</v>
      </c>
      <c r="G4237" s="30">
        <v>81</v>
      </c>
    </row>
    <row r="4238" spans="1:7" x14ac:dyDescent="0.25">
      <c r="A4238" s="29">
        <v>41844</v>
      </c>
      <c r="B4238" s="30">
        <v>77.7</v>
      </c>
      <c r="C4238" s="30">
        <v>76.8</v>
      </c>
      <c r="D4238" s="30">
        <v>75.099999999999994</v>
      </c>
      <c r="E4238" s="30"/>
      <c r="F4238" s="30">
        <v>75.2</v>
      </c>
      <c r="G4238" s="30">
        <v>76.900000000000006</v>
      </c>
    </row>
    <row r="4239" spans="1:7" x14ac:dyDescent="0.25">
      <c r="A4239" s="29">
        <v>41845</v>
      </c>
      <c r="B4239" s="30">
        <v>75.400000000000006</v>
      </c>
      <c r="C4239" s="30">
        <v>74.599999999999994</v>
      </c>
      <c r="D4239" s="30">
        <v>73.7</v>
      </c>
      <c r="E4239" s="30"/>
      <c r="F4239" s="30">
        <v>70.599999999999994</v>
      </c>
      <c r="G4239" s="30">
        <v>75</v>
      </c>
    </row>
    <row r="4240" spans="1:7" x14ac:dyDescent="0.25">
      <c r="A4240" s="29">
        <v>41846</v>
      </c>
      <c r="B4240" s="30">
        <v>74</v>
      </c>
      <c r="C4240" s="30">
        <v>75.7</v>
      </c>
      <c r="D4240" s="30">
        <v>73.900000000000006</v>
      </c>
      <c r="E4240" s="30"/>
      <c r="F4240" s="30">
        <v>71.7</v>
      </c>
      <c r="G4240" s="30">
        <v>73.8</v>
      </c>
    </row>
    <row r="4241" spans="1:7" x14ac:dyDescent="0.25">
      <c r="A4241" s="29">
        <v>41847</v>
      </c>
      <c r="B4241" s="30">
        <v>75.900000000000006</v>
      </c>
      <c r="C4241" s="30">
        <v>77.5</v>
      </c>
      <c r="D4241" s="30">
        <v>77</v>
      </c>
      <c r="E4241" s="30"/>
      <c r="F4241" s="30">
        <v>76.900000000000006</v>
      </c>
      <c r="G4241" s="30">
        <v>77.7</v>
      </c>
    </row>
    <row r="4242" spans="1:7" x14ac:dyDescent="0.25">
      <c r="A4242" s="29">
        <v>41848</v>
      </c>
      <c r="B4242" s="30">
        <v>77.599999999999994</v>
      </c>
      <c r="C4242" s="30">
        <v>78.2</v>
      </c>
      <c r="D4242" s="30">
        <v>75.8</v>
      </c>
      <c r="E4242" s="30"/>
      <c r="F4242" s="30">
        <v>77.599999999999994</v>
      </c>
      <c r="G4242" s="30">
        <v>78</v>
      </c>
    </row>
    <row r="4243" spans="1:7" x14ac:dyDescent="0.25">
      <c r="A4243" s="29">
        <v>41849</v>
      </c>
      <c r="B4243" s="30">
        <v>72</v>
      </c>
      <c r="C4243" s="30">
        <v>70.599999999999994</v>
      </c>
      <c r="D4243" s="30">
        <v>69.599999999999994</v>
      </c>
      <c r="E4243" s="30"/>
      <c r="F4243" s="30">
        <v>70.2</v>
      </c>
      <c r="G4243" s="30">
        <v>70.599999999999994</v>
      </c>
    </row>
    <row r="4244" spans="1:7" x14ac:dyDescent="0.25">
      <c r="A4244" s="29">
        <v>41850</v>
      </c>
      <c r="B4244" s="30">
        <v>72.3</v>
      </c>
      <c r="C4244" s="30">
        <v>72.5</v>
      </c>
      <c r="D4244" s="30">
        <v>70.8</v>
      </c>
      <c r="E4244" s="30"/>
      <c r="F4244" s="30">
        <v>70.2</v>
      </c>
      <c r="G4244" s="30">
        <v>72</v>
      </c>
    </row>
    <row r="4245" spans="1:7" x14ac:dyDescent="0.25">
      <c r="A4245" s="29">
        <v>41851</v>
      </c>
      <c r="B4245" s="30">
        <v>73.599999999999994</v>
      </c>
      <c r="C4245" s="30">
        <v>75.099999999999994</v>
      </c>
      <c r="D4245" s="30">
        <v>73.5</v>
      </c>
      <c r="E4245" s="30"/>
      <c r="F4245" s="30">
        <v>71.099999999999994</v>
      </c>
      <c r="G4245" s="30">
        <v>74</v>
      </c>
    </row>
    <row r="4246" spans="1:7" x14ac:dyDescent="0.25">
      <c r="A4246" s="29">
        <v>41852</v>
      </c>
      <c r="B4246" s="30">
        <v>75.099999999999994</v>
      </c>
      <c r="C4246" s="30">
        <v>76.7</v>
      </c>
      <c r="D4246" s="30">
        <v>75.5</v>
      </c>
      <c r="E4246" s="30"/>
      <c r="F4246" s="30">
        <v>74.5</v>
      </c>
      <c r="G4246" s="30">
        <v>76.099999999999994</v>
      </c>
    </row>
    <row r="4247" spans="1:7" x14ac:dyDescent="0.25">
      <c r="A4247" s="29">
        <v>41853</v>
      </c>
      <c r="B4247" s="30">
        <v>71.099999999999994</v>
      </c>
      <c r="C4247" s="30">
        <v>71.099999999999994</v>
      </c>
      <c r="D4247" s="30">
        <v>70.400000000000006</v>
      </c>
      <c r="E4247" s="30"/>
      <c r="F4247" s="30">
        <v>69.099999999999994</v>
      </c>
      <c r="G4247" s="30">
        <v>72.099999999999994</v>
      </c>
    </row>
    <row r="4248" spans="1:7" x14ac:dyDescent="0.25">
      <c r="A4248" s="29">
        <v>41854</v>
      </c>
      <c r="B4248" s="30">
        <v>69.7</v>
      </c>
      <c r="C4248" s="30">
        <v>69.599999999999994</v>
      </c>
      <c r="D4248" s="30">
        <v>69.5</v>
      </c>
      <c r="E4248" s="30"/>
      <c r="F4248" s="30">
        <v>69.099999999999994</v>
      </c>
      <c r="G4248" s="30">
        <v>71</v>
      </c>
    </row>
    <row r="4249" spans="1:7" x14ac:dyDescent="0.25">
      <c r="A4249" s="29">
        <v>41855</v>
      </c>
      <c r="B4249" s="30">
        <v>74.599999999999994</v>
      </c>
      <c r="C4249" s="30">
        <v>75.400000000000006</v>
      </c>
      <c r="D4249" s="30">
        <v>75</v>
      </c>
      <c r="E4249" s="30"/>
      <c r="F4249" s="30">
        <v>72.900000000000006</v>
      </c>
      <c r="G4249" s="30">
        <v>75.8</v>
      </c>
    </row>
    <row r="4250" spans="1:7" x14ac:dyDescent="0.25">
      <c r="A4250" s="29">
        <v>41856</v>
      </c>
      <c r="B4250" s="30">
        <v>77.3</v>
      </c>
      <c r="C4250" s="30">
        <v>79.7</v>
      </c>
      <c r="D4250" s="30">
        <v>78.599999999999994</v>
      </c>
      <c r="E4250" s="30"/>
      <c r="F4250" s="30">
        <v>74.900000000000006</v>
      </c>
      <c r="G4250" s="30">
        <v>79.5</v>
      </c>
    </row>
    <row r="4251" spans="1:7" x14ac:dyDescent="0.25">
      <c r="A4251" s="29">
        <v>41857</v>
      </c>
      <c r="B4251" s="30">
        <v>77.099999999999994</v>
      </c>
      <c r="C4251" s="30">
        <v>76.900000000000006</v>
      </c>
      <c r="D4251" s="30">
        <v>76.3</v>
      </c>
      <c r="E4251" s="30"/>
      <c r="F4251" s="30">
        <v>73.900000000000006</v>
      </c>
      <c r="G4251" s="30">
        <v>77.599999999999994</v>
      </c>
    </row>
    <row r="4252" spans="1:7" x14ac:dyDescent="0.25">
      <c r="A4252" s="29">
        <v>41858</v>
      </c>
      <c r="B4252" s="30">
        <v>76.7</v>
      </c>
      <c r="C4252" s="30">
        <v>75.2</v>
      </c>
      <c r="D4252" s="30">
        <v>74.400000000000006</v>
      </c>
      <c r="E4252" s="30"/>
      <c r="F4252" s="30">
        <v>72.599999999999994</v>
      </c>
      <c r="G4252" s="30">
        <v>76</v>
      </c>
    </row>
    <row r="4253" spans="1:7" x14ac:dyDescent="0.25">
      <c r="A4253" s="29">
        <v>41859</v>
      </c>
      <c r="B4253" s="30">
        <v>74.3</v>
      </c>
      <c r="C4253" s="30">
        <v>74</v>
      </c>
      <c r="D4253" s="30">
        <v>73.2</v>
      </c>
      <c r="E4253" s="30"/>
      <c r="F4253" s="30">
        <v>69.8</v>
      </c>
      <c r="G4253" s="30">
        <v>74.400000000000006</v>
      </c>
    </row>
    <row r="4254" spans="1:7" x14ac:dyDescent="0.25">
      <c r="A4254" s="29">
        <v>41860</v>
      </c>
      <c r="B4254" s="30">
        <v>76.3</v>
      </c>
      <c r="C4254" s="30">
        <v>77.5</v>
      </c>
      <c r="D4254" s="30">
        <v>76</v>
      </c>
      <c r="E4254" s="30"/>
      <c r="F4254" s="30">
        <v>72.400000000000006</v>
      </c>
      <c r="G4254" s="30">
        <v>77</v>
      </c>
    </row>
    <row r="4255" spans="1:7" x14ac:dyDescent="0.25">
      <c r="A4255" s="29">
        <v>41861</v>
      </c>
      <c r="B4255" s="30">
        <v>77.900000000000006</v>
      </c>
      <c r="C4255" s="30">
        <v>78.900000000000006</v>
      </c>
      <c r="D4255" s="30">
        <v>77.5</v>
      </c>
      <c r="E4255" s="30"/>
      <c r="F4255" s="30">
        <v>73.099999999999994</v>
      </c>
      <c r="G4255" s="30">
        <v>77.8</v>
      </c>
    </row>
    <row r="4256" spans="1:7" x14ac:dyDescent="0.25">
      <c r="A4256" s="29">
        <v>41862</v>
      </c>
      <c r="B4256" s="30">
        <v>76.2</v>
      </c>
      <c r="C4256" s="30">
        <v>79.7</v>
      </c>
      <c r="D4256" s="30">
        <v>77.5</v>
      </c>
      <c r="E4256" s="30"/>
      <c r="F4256" s="30">
        <v>71.5</v>
      </c>
      <c r="G4256" s="30">
        <v>77.7</v>
      </c>
    </row>
    <row r="4257" spans="1:7" x14ac:dyDescent="0.25">
      <c r="A4257" s="29">
        <v>41863</v>
      </c>
      <c r="B4257" s="30">
        <v>75.5</v>
      </c>
      <c r="C4257" s="30">
        <v>75.5</v>
      </c>
      <c r="D4257" s="30">
        <v>74.400000000000006</v>
      </c>
      <c r="E4257" s="30"/>
      <c r="F4257" s="30">
        <v>74.400000000000006</v>
      </c>
      <c r="G4257" s="30">
        <v>75.3</v>
      </c>
    </row>
    <row r="4258" spans="1:7" x14ac:dyDescent="0.25">
      <c r="A4258" s="29">
        <v>41864</v>
      </c>
      <c r="B4258" s="30">
        <v>74.8</v>
      </c>
      <c r="C4258" s="30">
        <v>73.400000000000006</v>
      </c>
      <c r="D4258" s="30">
        <v>72.5</v>
      </c>
      <c r="E4258" s="30"/>
      <c r="F4258" s="30">
        <v>74.5</v>
      </c>
      <c r="G4258" s="30">
        <v>74.900000000000006</v>
      </c>
    </row>
    <row r="4259" spans="1:7" x14ac:dyDescent="0.25">
      <c r="A4259" s="29">
        <v>41865</v>
      </c>
      <c r="B4259" s="30">
        <v>72.900000000000006</v>
      </c>
      <c r="C4259" s="30">
        <v>72</v>
      </c>
      <c r="D4259" s="30">
        <v>70.900000000000006</v>
      </c>
      <c r="E4259" s="30"/>
      <c r="F4259" s="30">
        <v>70.400000000000006</v>
      </c>
      <c r="G4259" s="30">
        <v>72.3</v>
      </c>
    </row>
    <row r="4260" spans="1:7" x14ac:dyDescent="0.25">
      <c r="A4260" s="29">
        <v>41866</v>
      </c>
      <c r="B4260" s="30">
        <v>69.900000000000006</v>
      </c>
      <c r="C4260" s="30">
        <v>69.599999999999994</v>
      </c>
      <c r="D4260" s="30">
        <v>68</v>
      </c>
      <c r="E4260" s="30"/>
      <c r="F4260" s="30">
        <v>67.400000000000006</v>
      </c>
      <c r="G4260" s="30">
        <v>68.900000000000006</v>
      </c>
    </row>
    <row r="4261" spans="1:7" x14ac:dyDescent="0.25">
      <c r="A4261" s="29">
        <v>41867</v>
      </c>
      <c r="B4261" s="30">
        <v>70.900000000000006</v>
      </c>
      <c r="C4261" s="30">
        <v>71.7</v>
      </c>
      <c r="D4261" s="30">
        <v>70.3</v>
      </c>
      <c r="E4261" s="30"/>
      <c r="F4261" s="30">
        <v>67.5</v>
      </c>
      <c r="G4261" s="30">
        <v>70.3</v>
      </c>
    </row>
    <row r="4262" spans="1:7" x14ac:dyDescent="0.25">
      <c r="A4262" s="29">
        <v>41868</v>
      </c>
      <c r="B4262" s="30">
        <v>74.599999999999994</v>
      </c>
      <c r="C4262" s="30">
        <v>74.7</v>
      </c>
      <c r="D4262" s="30">
        <v>73.599999999999994</v>
      </c>
      <c r="E4262" s="30"/>
      <c r="F4262" s="30">
        <v>71.599999999999994</v>
      </c>
      <c r="G4262" s="30">
        <v>74.400000000000006</v>
      </c>
    </row>
    <row r="4263" spans="1:7" x14ac:dyDescent="0.25">
      <c r="A4263" s="29">
        <v>41869</v>
      </c>
      <c r="B4263" s="30">
        <v>73.5</v>
      </c>
      <c r="C4263" s="30">
        <v>72.599999999999994</v>
      </c>
      <c r="D4263" s="30">
        <v>72</v>
      </c>
      <c r="E4263" s="30"/>
      <c r="F4263" s="30">
        <v>70</v>
      </c>
      <c r="G4263" s="30">
        <v>73.599999999999994</v>
      </c>
    </row>
    <row r="4264" spans="1:7" x14ac:dyDescent="0.25">
      <c r="A4264" s="29">
        <v>41870</v>
      </c>
      <c r="B4264" s="30">
        <v>71.8</v>
      </c>
      <c r="C4264" s="30">
        <v>72.5</v>
      </c>
      <c r="D4264" s="30">
        <v>72.2</v>
      </c>
      <c r="E4264" s="30"/>
      <c r="F4264" s="30">
        <v>73.099999999999994</v>
      </c>
      <c r="G4264" s="30">
        <v>72.5</v>
      </c>
    </row>
    <row r="4265" spans="1:7" x14ac:dyDescent="0.25">
      <c r="A4265" s="29">
        <v>41871</v>
      </c>
      <c r="B4265" s="30">
        <v>73.400000000000006</v>
      </c>
      <c r="C4265" s="30">
        <v>75.400000000000006</v>
      </c>
      <c r="D4265" s="30">
        <v>75.099999999999994</v>
      </c>
      <c r="E4265" s="30"/>
      <c r="F4265" s="30">
        <v>71.099999999999994</v>
      </c>
      <c r="G4265" s="30">
        <v>75.5</v>
      </c>
    </row>
    <row r="4266" spans="1:7" x14ac:dyDescent="0.25">
      <c r="A4266" s="29">
        <v>41872</v>
      </c>
      <c r="B4266" s="30">
        <v>74.099999999999994</v>
      </c>
      <c r="C4266" s="30">
        <v>75</v>
      </c>
      <c r="D4266" s="30">
        <v>73.900000000000006</v>
      </c>
      <c r="E4266" s="30"/>
      <c r="F4266" s="30">
        <v>71.8</v>
      </c>
      <c r="G4266" s="30">
        <v>74.099999999999994</v>
      </c>
    </row>
    <row r="4267" spans="1:7" x14ac:dyDescent="0.25">
      <c r="A4267" s="29">
        <v>41873</v>
      </c>
      <c r="B4267" s="30">
        <v>71.7</v>
      </c>
      <c r="C4267" s="30">
        <v>71.2</v>
      </c>
      <c r="D4267" s="30">
        <v>70.599999999999994</v>
      </c>
      <c r="E4267" s="30"/>
      <c r="F4267" s="30">
        <v>72.2</v>
      </c>
      <c r="G4267" s="30">
        <v>71.3</v>
      </c>
    </row>
    <row r="4268" spans="1:7" x14ac:dyDescent="0.25">
      <c r="A4268" s="29">
        <v>41874</v>
      </c>
      <c r="B4268" s="30">
        <v>70</v>
      </c>
      <c r="C4268" s="30">
        <v>70.099999999999994</v>
      </c>
      <c r="D4268" s="30">
        <v>70.400000000000006</v>
      </c>
      <c r="E4268" s="30"/>
      <c r="F4268" s="30">
        <v>67.7</v>
      </c>
      <c r="G4268" s="30">
        <v>70.400000000000006</v>
      </c>
    </row>
    <row r="4269" spans="1:7" x14ac:dyDescent="0.25">
      <c r="A4269" s="29">
        <v>41875</v>
      </c>
      <c r="B4269" s="30">
        <v>70.400000000000006</v>
      </c>
      <c r="C4269" s="30">
        <v>72</v>
      </c>
      <c r="D4269" s="30">
        <v>70.7</v>
      </c>
      <c r="E4269" s="30"/>
      <c r="F4269" s="30">
        <v>67.5</v>
      </c>
      <c r="G4269" s="30">
        <v>71.5</v>
      </c>
    </row>
    <row r="4270" spans="1:7" x14ac:dyDescent="0.25">
      <c r="A4270" s="29">
        <v>41876</v>
      </c>
      <c r="B4270" s="30">
        <v>74.400000000000006</v>
      </c>
      <c r="C4270" s="30">
        <v>75.400000000000006</v>
      </c>
      <c r="D4270" s="30">
        <v>74.3</v>
      </c>
      <c r="E4270" s="30"/>
      <c r="F4270" s="30">
        <v>67.8</v>
      </c>
      <c r="G4270" s="30">
        <v>74.3</v>
      </c>
    </row>
    <row r="4271" spans="1:7" x14ac:dyDescent="0.25">
      <c r="A4271" s="29">
        <v>41877</v>
      </c>
      <c r="B4271" s="30">
        <v>75.8</v>
      </c>
      <c r="C4271" s="30">
        <v>79</v>
      </c>
      <c r="D4271" s="30">
        <v>77.7</v>
      </c>
      <c r="E4271" s="30"/>
      <c r="F4271" s="30">
        <v>70.8</v>
      </c>
      <c r="G4271" s="30">
        <v>78.2</v>
      </c>
    </row>
    <row r="4272" spans="1:7" x14ac:dyDescent="0.25">
      <c r="A4272" s="29">
        <v>41878</v>
      </c>
      <c r="B4272" s="30">
        <v>75.599999999999994</v>
      </c>
      <c r="C4272" s="30">
        <v>79</v>
      </c>
      <c r="D4272" s="30">
        <v>78.5</v>
      </c>
      <c r="E4272" s="30"/>
      <c r="F4272" s="30">
        <v>71.7</v>
      </c>
      <c r="G4272" s="30">
        <v>78.900000000000006</v>
      </c>
    </row>
    <row r="4273" spans="1:7" x14ac:dyDescent="0.25">
      <c r="A4273" s="29">
        <v>41879</v>
      </c>
      <c r="B4273" s="30">
        <v>76.900000000000006</v>
      </c>
      <c r="C4273" s="30">
        <v>76.5</v>
      </c>
      <c r="D4273" s="30">
        <v>76.400000000000006</v>
      </c>
      <c r="E4273" s="30"/>
      <c r="F4273" s="30">
        <v>74.8</v>
      </c>
      <c r="G4273" s="30">
        <v>77.8</v>
      </c>
    </row>
    <row r="4274" spans="1:7" x14ac:dyDescent="0.25">
      <c r="A4274" s="29">
        <v>41880</v>
      </c>
      <c r="B4274" s="30">
        <v>71</v>
      </c>
      <c r="C4274" s="30">
        <v>70.3</v>
      </c>
      <c r="D4274" s="30">
        <v>69.599999999999994</v>
      </c>
      <c r="E4274" s="30"/>
      <c r="F4274" s="30">
        <v>64.7</v>
      </c>
      <c r="G4274" s="30">
        <v>70.099999999999994</v>
      </c>
    </row>
    <row r="4275" spans="1:7" x14ac:dyDescent="0.25">
      <c r="A4275" s="29">
        <v>41881</v>
      </c>
      <c r="B4275" s="30">
        <v>71.099999999999994</v>
      </c>
      <c r="C4275" s="30">
        <v>71.7</v>
      </c>
      <c r="D4275" s="30">
        <v>71.400000000000006</v>
      </c>
      <c r="E4275" s="30"/>
      <c r="F4275" s="30">
        <v>65.900000000000006</v>
      </c>
      <c r="G4275" s="30">
        <v>70.900000000000006</v>
      </c>
    </row>
    <row r="4276" spans="1:7" x14ac:dyDescent="0.25">
      <c r="A4276" s="29">
        <v>41882</v>
      </c>
      <c r="B4276" s="30">
        <v>76.900000000000006</v>
      </c>
      <c r="C4276" s="30">
        <v>77.400000000000006</v>
      </c>
      <c r="D4276" s="30">
        <v>77</v>
      </c>
      <c r="E4276" s="30"/>
      <c r="F4276" s="30">
        <v>78.3</v>
      </c>
      <c r="G4276" s="30">
        <v>78.3</v>
      </c>
    </row>
    <row r="4277" spans="1:7" x14ac:dyDescent="0.25">
      <c r="A4277" s="29">
        <v>41883</v>
      </c>
      <c r="B4277" s="30">
        <v>78.3</v>
      </c>
      <c r="C4277" s="30">
        <v>80.3</v>
      </c>
      <c r="D4277" s="30">
        <v>79.3</v>
      </c>
      <c r="E4277" s="30"/>
      <c r="F4277" s="30">
        <v>77.7</v>
      </c>
      <c r="G4277" s="30">
        <v>81</v>
      </c>
    </row>
    <row r="4278" spans="1:7" x14ac:dyDescent="0.25">
      <c r="A4278" s="29">
        <v>41884</v>
      </c>
      <c r="B4278" s="30">
        <v>80.8</v>
      </c>
      <c r="C4278" s="30">
        <v>84.3</v>
      </c>
      <c r="D4278" s="30">
        <v>83.5</v>
      </c>
      <c r="E4278" s="30"/>
      <c r="F4278" s="30">
        <v>81.5</v>
      </c>
      <c r="G4278" s="30">
        <v>84.5</v>
      </c>
    </row>
    <row r="4279" spans="1:7" x14ac:dyDescent="0.25">
      <c r="A4279" s="29">
        <v>41885</v>
      </c>
      <c r="B4279" s="30">
        <v>80.3</v>
      </c>
      <c r="C4279" s="30">
        <v>80.2</v>
      </c>
      <c r="D4279" s="30">
        <v>79.400000000000006</v>
      </c>
      <c r="E4279" s="30"/>
      <c r="F4279" s="30">
        <v>76.2</v>
      </c>
      <c r="G4279" s="30">
        <v>81</v>
      </c>
    </row>
    <row r="4280" spans="1:7" x14ac:dyDescent="0.25">
      <c r="A4280" s="29">
        <v>41886</v>
      </c>
      <c r="B4280" s="30">
        <v>76.900000000000006</v>
      </c>
      <c r="C4280" s="30">
        <v>78.5</v>
      </c>
      <c r="D4280" s="30">
        <v>77.900000000000006</v>
      </c>
      <c r="E4280" s="30"/>
      <c r="F4280" s="30">
        <v>72.8</v>
      </c>
      <c r="G4280" s="30">
        <v>77.900000000000006</v>
      </c>
    </row>
    <row r="4281" spans="1:7" x14ac:dyDescent="0.25">
      <c r="A4281" s="29">
        <v>41887</v>
      </c>
      <c r="B4281" s="30">
        <v>77.099999999999994</v>
      </c>
      <c r="C4281" s="30">
        <v>78.3</v>
      </c>
      <c r="D4281" s="30">
        <v>78.2</v>
      </c>
      <c r="E4281" s="30"/>
      <c r="F4281" s="30">
        <v>77.7</v>
      </c>
      <c r="G4281" s="30">
        <v>77</v>
      </c>
    </row>
    <row r="4282" spans="1:7" x14ac:dyDescent="0.25">
      <c r="A4282" s="29">
        <v>41888</v>
      </c>
      <c r="B4282" s="30">
        <v>78.7</v>
      </c>
      <c r="C4282" s="30">
        <v>80.8</v>
      </c>
      <c r="D4282" s="30">
        <v>80.900000000000006</v>
      </c>
      <c r="E4282" s="30"/>
      <c r="F4282" s="30">
        <v>81.5</v>
      </c>
      <c r="G4282" s="30">
        <v>80.099999999999994</v>
      </c>
    </row>
    <row r="4283" spans="1:7" x14ac:dyDescent="0.25">
      <c r="A4283" s="29">
        <v>41889</v>
      </c>
      <c r="B4283" s="30">
        <v>74</v>
      </c>
      <c r="C4283" s="30">
        <v>73.099999999999994</v>
      </c>
      <c r="D4283" s="30">
        <v>72.599999999999994</v>
      </c>
      <c r="E4283" s="30"/>
      <c r="F4283" s="30">
        <v>72.400000000000006</v>
      </c>
      <c r="G4283" s="30">
        <v>73.099999999999994</v>
      </c>
    </row>
    <row r="4284" spans="1:7" x14ac:dyDescent="0.25">
      <c r="A4284" s="29">
        <v>41890</v>
      </c>
      <c r="B4284" s="30">
        <v>70.599999999999994</v>
      </c>
      <c r="C4284" s="30">
        <v>71</v>
      </c>
      <c r="D4284" s="30">
        <v>70.099999999999994</v>
      </c>
      <c r="E4284" s="30"/>
      <c r="F4284" s="30">
        <v>67.8</v>
      </c>
      <c r="G4284" s="30">
        <v>70.400000000000006</v>
      </c>
    </row>
    <row r="4285" spans="1:7" x14ac:dyDescent="0.25">
      <c r="A4285" s="29">
        <v>41891</v>
      </c>
      <c r="B4285" s="30">
        <v>69.400000000000006</v>
      </c>
      <c r="C4285" s="30">
        <v>68.099999999999994</v>
      </c>
      <c r="D4285" s="30">
        <v>68.099999999999994</v>
      </c>
      <c r="E4285" s="30"/>
      <c r="F4285" s="30">
        <v>70.400000000000006</v>
      </c>
      <c r="G4285" s="30">
        <v>68.2</v>
      </c>
    </row>
    <row r="4286" spans="1:7" x14ac:dyDescent="0.25">
      <c r="A4286" s="29">
        <v>41892</v>
      </c>
      <c r="B4286" s="30">
        <v>69.3</v>
      </c>
      <c r="C4286" s="30">
        <v>68.5</v>
      </c>
      <c r="D4286" s="30">
        <v>69.400000000000006</v>
      </c>
      <c r="E4286" s="30"/>
      <c r="F4286" s="30">
        <v>68.599999999999994</v>
      </c>
      <c r="G4286" s="30">
        <v>70</v>
      </c>
    </row>
    <row r="4287" spans="1:7" x14ac:dyDescent="0.25">
      <c r="A4287" s="29">
        <v>41893</v>
      </c>
      <c r="B4287" s="30">
        <v>73.599999999999994</v>
      </c>
      <c r="C4287" s="30">
        <v>73.8</v>
      </c>
      <c r="D4287" s="30">
        <v>73.900000000000006</v>
      </c>
      <c r="E4287" s="30"/>
      <c r="F4287" s="30">
        <v>72.900000000000006</v>
      </c>
      <c r="G4287" s="30">
        <v>73.599999999999994</v>
      </c>
    </row>
    <row r="4288" spans="1:7" x14ac:dyDescent="0.25">
      <c r="A4288" s="29">
        <v>41894</v>
      </c>
      <c r="B4288" s="30">
        <v>71.8</v>
      </c>
      <c r="C4288" s="30">
        <v>70.599999999999994</v>
      </c>
      <c r="D4288" s="30">
        <v>70.099999999999994</v>
      </c>
      <c r="E4288" s="30"/>
      <c r="F4288" s="30">
        <v>70.900000000000006</v>
      </c>
      <c r="G4288" s="30">
        <v>71.3</v>
      </c>
    </row>
    <row r="4289" spans="1:7" x14ac:dyDescent="0.25">
      <c r="A4289" s="29">
        <v>41895</v>
      </c>
      <c r="B4289" s="30">
        <v>65.599999999999994</v>
      </c>
      <c r="C4289" s="30">
        <v>65.099999999999994</v>
      </c>
      <c r="D4289" s="30">
        <v>63.9</v>
      </c>
      <c r="E4289" s="30"/>
      <c r="F4289" s="30">
        <v>64</v>
      </c>
      <c r="G4289" s="30">
        <v>64.099999999999994</v>
      </c>
    </row>
    <row r="4290" spans="1:7" x14ac:dyDescent="0.25">
      <c r="A4290" s="29">
        <v>41896</v>
      </c>
      <c r="B4290" s="30">
        <v>62.2</v>
      </c>
      <c r="C4290" s="30">
        <v>62.1</v>
      </c>
      <c r="D4290" s="30">
        <v>60.9</v>
      </c>
      <c r="E4290" s="30"/>
      <c r="F4290" s="30">
        <v>60.4</v>
      </c>
      <c r="G4290" s="30">
        <v>61.8</v>
      </c>
    </row>
    <row r="4291" spans="1:7" x14ac:dyDescent="0.25">
      <c r="A4291" s="29">
        <v>41897</v>
      </c>
      <c r="B4291" s="30">
        <v>63.3</v>
      </c>
      <c r="C4291" s="30">
        <v>63.6</v>
      </c>
      <c r="D4291" s="30">
        <v>62.8</v>
      </c>
      <c r="E4291" s="30"/>
      <c r="F4291" s="30">
        <v>58.9</v>
      </c>
      <c r="G4291" s="30">
        <v>62.6</v>
      </c>
    </row>
    <row r="4292" spans="1:7" x14ac:dyDescent="0.25">
      <c r="A4292" s="29">
        <v>41898</v>
      </c>
      <c r="B4292" s="30">
        <v>63.8</v>
      </c>
      <c r="C4292" s="30">
        <v>63.9</v>
      </c>
      <c r="D4292" s="30">
        <v>63.5</v>
      </c>
      <c r="E4292" s="30"/>
      <c r="F4292" s="30">
        <v>63.4</v>
      </c>
      <c r="G4292" s="30">
        <v>63.5</v>
      </c>
    </row>
    <row r="4293" spans="1:7" x14ac:dyDescent="0.25">
      <c r="A4293" s="29">
        <v>41899</v>
      </c>
      <c r="B4293" s="30">
        <v>64.3</v>
      </c>
      <c r="C4293" s="30">
        <v>65.900000000000006</v>
      </c>
      <c r="D4293" s="30">
        <v>64.3</v>
      </c>
      <c r="E4293" s="30"/>
      <c r="F4293" s="30">
        <v>61.8</v>
      </c>
      <c r="G4293" s="30">
        <v>64.8</v>
      </c>
    </row>
    <row r="4294" spans="1:7" x14ac:dyDescent="0.25">
      <c r="A4294" s="29">
        <v>41900</v>
      </c>
      <c r="B4294" s="30">
        <v>66.7</v>
      </c>
      <c r="C4294" s="30">
        <v>67.599999999999994</v>
      </c>
      <c r="D4294" s="30">
        <v>65.8</v>
      </c>
      <c r="E4294" s="30"/>
      <c r="F4294" s="30">
        <v>61.2</v>
      </c>
      <c r="G4294" s="30">
        <v>66.099999999999994</v>
      </c>
    </row>
    <row r="4295" spans="1:7" x14ac:dyDescent="0.25">
      <c r="A4295" s="29">
        <v>41901</v>
      </c>
      <c r="B4295" s="30">
        <v>62.7</v>
      </c>
      <c r="C4295" s="30">
        <v>62.1</v>
      </c>
      <c r="D4295" s="30">
        <v>61.6</v>
      </c>
      <c r="E4295" s="30"/>
      <c r="F4295" s="30">
        <v>60.6</v>
      </c>
      <c r="G4295" s="30">
        <v>62</v>
      </c>
    </row>
    <row r="4296" spans="1:7" x14ac:dyDescent="0.25">
      <c r="A4296" s="29">
        <v>41902</v>
      </c>
      <c r="B4296" s="30">
        <v>65.3</v>
      </c>
      <c r="C4296" s="30">
        <v>65</v>
      </c>
      <c r="D4296" s="30">
        <v>65</v>
      </c>
      <c r="E4296" s="30"/>
      <c r="F4296" s="30">
        <v>66.099999999999994</v>
      </c>
      <c r="G4296" s="30">
        <v>66.5</v>
      </c>
    </row>
    <row r="4297" spans="1:7" x14ac:dyDescent="0.25">
      <c r="A4297" s="29">
        <v>41903</v>
      </c>
      <c r="B4297" s="30">
        <v>71.5</v>
      </c>
      <c r="C4297" s="30">
        <v>70.400000000000006</v>
      </c>
      <c r="D4297" s="30">
        <v>70.2</v>
      </c>
      <c r="E4297" s="30"/>
      <c r="F4297" s="30">
        <v>69.8</v>
      </c>
      <c r="G4297" s="30">
        <v>70.7</v>
      </c>
    </row>
    <row r="4298" spans="1:7" x14ac:dyDescent="0.25">
      <c r="A4298" s="29">
        <v>41904</v>
      </c>
      <c r="B4298" s="30">
        <v>69.099999999999994</v>
      </c>
      <c r="C4298" s="30">
        <v>68.8</v>
      </c>
      <c r="D4298" s="30">
        <v>67.3</v>
      </c>
      <c r="E4298" s="30"/>
      <c r="F4298" s="30">
        <v>68.099999999999994</v>
      </c>
      <c r="G4298" s="30">
        <v>68.3</v>
      </c>
    </row>
    <row r="4299" spans="1:7" x14ac:dyDescent="0.25">
      <c r="A4299" s="29">
        <v>41905</v>
      </c>
      <c r="B4299" s="30">
        <v>59.9</v>
      </c>
      <c r="C4299" s="30">
        <v>60.9</v>
      </c>
      <c r="D4299" s="30">
        <v>60.1</v>
      </c>
      <c r="E4299" s="30"/>
      <c r="F4299" s="30">
        <v>55.5</v>
      </c>
      <c r="G4299" s="30">
        <v>60.3</v>
      </c>
    </row>
    <row r="4300" spans="1:7" x14ac:dyDescent="0.25">
      <c r="A4300" s="29">
        <v>41906</v>
      </c>
      <c r="B4300" s="30">
        <v>64</v>
      </c>
      <c r="C4300" s="30">
        <v>65</v>
      </c>
      <c r="D4300" s="30">
        <v>64.099999999999994</v>
      </c>
      <c r="E4300" s="30"/>
      <c r="F4300" s="30">
        <v>58.7</v>
      </c>
      <c r="G4300" s="30">
        <v>63.5</v>
      </c>
    </row>
    <row r="4301" spans="1:7" x14ac:dyDescent="0.25">
      <c r="A4301" s="29">
        <v>41907</v>
      </c>
      <c r="B4301" s="30">
        <v>63.1</v>
      </c>
      <c r="C4301" s="30">
        <v>62.6</v>
      </c>
      <c r="D4301" s="30">
        <v>61.7</v>
      </c>
      <c r="E4301" s="30"/>
      <c r="F4301" s="30">
        <v>64.7</v>
      </c>
      <c r="G4301" s="30">
        <v>62.4</v>
      </c>
    </row>
    <row r="4302" spans="1:7" x14ac:dyDescent="0.25">
      <c r="A4302" s="29">
        <v>41908</v>
      </c>
      <c r="B4302" s="30">
        <v>66.5</v>
      </c>
      <c r="C4302" s="30">
        <v>66.400000000000006</v>
      </c>
      <c r="D4302" s="30">
        <v>66.2</v>
      </c>
      <c r="E4302" s="30"/>
      <c r="F4302" s="30">
        <v>62.9</v>
      </c>
      <c r="G4302" s="30">
        <v>65.7</v>
      </c>
    </row>
    <row r="4303" spans="1:7" x14ac:dyDescent="0.25">
      <c r="A4303" s="29">
        <v>41909</v>
      </c>
      <c r="B4303" s="30">
        <v>70.099999999999994</v>
      </c>
      <c r="C4303" s="30">
        <v>72.599999999999994</v>
      </c>
      <c r="D4303" s="30">
        <v>70.7</v>
      </c>
      <c r="E4303" s="30"/>
      <c r="F4303" s="30">
        <v>64.099999999999994</v>
      </c>
      <c r="G4303" s="30">
        <v>70.5</v>
      </c>
    </row>
    <row r="4304" spans="1:7" x14ac:dyDescent="0.25">
      <c r="A4304" s="29">
        <v>41910</v>
      </c>
      <c r="B4304" s="30">
        <v>69.5</v>
      </c>
      <c r="C4304" s="30">
        <v>73.400000000000006</v>
      </c>
      <c r="D4304" s="30">
        <v>73.099999999999994</v>
      </c>
      <c r="E4304" s="30"/>
      <c r="F4304" s="30">
        <v>65.3</v>
      </c>
      <c r="G4304" s="30">
        <v>72.7</v>
      </c>
    </row>
    <row r="4305" spans="1:7" x14ac:dyDescent="0.25">
      <c r="A4305" s="29">
        <v>41911</v>
      </c>
      <c r="B4305" s="30">
        <v>69.400000000000006</v>
      </c>
      <c r="C4305" s="30">
        <v>72.7</v>
      </c>
      <c r="D4305" s="30">
        <v>72.400000000000006</v>
      </c>
      <c r="E4305" s="30"/>
      <c r="F4305" s="30">
        <v>67.599999999999994</v>
      </c>
      <c r="G4305" s="30">
        <v>71.8</v>
      </c>
    </row>
    <row r="4306" spans="1:7" x14ac:dyDescent="0.25">
      <c r="A4306" s="29">
        <v>41912</v>
      </c>
      <c r="B4306" s="30">
        <v>67.7</v>
      </c>
      <c r="C4306" s="30">
        <v>69</v>
      </c>
      <c r="D4306" s="30">
        <v>68.8</v>
      </c>
      <c r="E4306" s="30"/>
      <c r="F4306" s="30">
        <v>66.599999999999994</v>
      </c>
      <c r="G4306" s="30">
        <v>68.7</v>
      </c>
    </row>
    <row r="4307" spans="1:7" x14ac:dyDescent="0.25">
      <c r="A4307" s="29">
        <v>41913</v>
      </c>
      <c r="B4307" s="30">
        <v>63.8</v>
      </c>
      <c r="C4307" s="30">
        <v>63.3</v>
      </c>
      <c r="D4307" s="30">
        <v>63.2</v>
      </c>
      <c r="E4307" s="30"/>
      <c r="F4307" s="30">
        <v>63.4</v>
      </c>
      <c r="G4307" s="30">
        <v>63.8</v>
      </c>
    </row>
    <row r="4308" spans="1:7" x14ac:dyDescent="0.25">
      <c r="A4308" s="29">
        <v>41914</v>
      </c>
      <c r="B4308" s="30">
        <v>63.4</v>
      </c>
      <c r="C4308" s="30">
        <v>63.3</v>
      </c>
      <c r="D4308" s="30">
        <v>63.5</v>
      </c>
      <c r="E4308" s="30"/>
      <c r="F4308" s="30">
        <v>62.2</v>
      </c>
      <c r="G4308" s="30">
        <v>63.7</v>
      </c>
    </row>
    <row r="4309" spans="1:7" x14ac:dyDescent="0.25">
      <c r="A4309" s="29">
        <v>41915</v>
      </c>
      <c r="B4309" s="30">
        <v>62.3</v>
      </c>
      <c r="C4309" s="30">
        <v>62.4</v>
      </c>
      <c r="D4309" s="30">
        <v>62.9</v>
      </c>
      <c r="E4309" s="30"/>
      <c r="F4309" s="30">
        <v>61.3</v>
      </c>
      <c r="G4309" s="30">
        <v>63.7</v>
      </c>
    </row>
    <row r="4310" spans="1:7" x14ac:dyDescent="0.25">
      <c r="A4310" s="29">
        <v>41916</v>
      </c>
      <c r="B4310" s="30">
        <v>65.900000000000006</v>
      </c>
      <c r="C4310" s="30">
        <v>65</v>
      </c>
      <c r="D4310" s="30">
        <v>64.2</v>
      </c>
      <c r="E4310" s="30"/>
      <c r="F4310" s="30">
        <v>66.3</v>
      </c>
      <c r="G4310" s="30">
        <v>65.5</v>
      </c>
    </row>
    <row r="4311" spans="1:7" x14ac:dyDescent="0.25">
      <c r="A4311" s="29">
        <v>41917</v>
      </c>
      <c r="B4311" s="30">
        <v>54.9</v>
      </c>
      <c r="C4311" s="30">
        <v>54.2</v>
      </c>
      <c r="D4311" s="30">
        <v>53.1</v>
      </c>
      <c r="E4311" s="30"/>
      <c r="F4311" s="30">
        <v>51.8</v>
      </c>
      <c r="G4311" s="30">
        <v>53.1</v>
      </c>
    </row>
    <row r="4312" spans="1:7" x14ac:dyDescent="0.25">
      <c r="A4312" s="29">
        <v>41918</v>
      </c>
      <c r="B4312" s="30">
        <v>58.3</v>
      </c>
      <c r="C4312" s="30">
        <v>59.2</v>
      </c>
      <c r="D4312" s="30">
        <v>58.6</v>
      </c>
      <c r="E4312" s="30"/>
      <c r="F4312" s="30">
        <v>53.5</v>
      </c>
      <c r="G4312" s="30">
        <v>56.9</v>
      </c>
    </row>
    <row r="4313" spans="1:7" x14ac:dyDescent="0.25">
      <c r="A4313" s="29">
        <v>41919</v>
      </c>
      <c r="B4313" s="30">
        <v>67.7</v>
      </c>
      <c r="C4313" s="30">
        <v>67.099999999999994</v>
      </c>
      <c r="D4313" s="30">
        <v>66.2</v>
      </c>
      <c r="E4313" s="30"/>
      <c r="F4313" s="30">
        <v>66.8</v>
      </c>
      <c r="G4313" s="30">
        <v>66.2</v>
      </c>
    </row>
    <row r="4314" spans="1:7" x14ac:dyDescent="0.25">
      <c r="A4314" s="29">
        <v>41920</v>
      </c>
      <c r="B4314" s="30">
        <v>68.599999999999994</v>
      </c>
      <c r="C4314" s="30">
        <v>67.599999999999994</v>
      </c>
      <c r="D4314" s="30">
        <v>66.7</v>
      </c>
      <c r="E4314" s="30"/>
      <c r="F4314" s="30">
        <v>68.099999999999994</v>
      </c>
      <c r="G4314" s="30">
        <v>67.3</v>
      </c>
    </row>
    <row r="4315" spans="1:7" x14ac:dyDescent="0.25">
      <c r="A4315" s="29">
        <v>41921</v>
      </c>
      <c r="B4315" s="30">
        <v>63.6</v>
      </c>
      <c r="C4315" s="30">
        <v>64.2</v>
      </c>
      <c r="D4315" s="30">
        <v>62.6</v>
      </c>
      <c r="E4315" s="30"/>
      <c r="F4315" s="30">
        <v>60</v>
      </c>
      <c r="G4315" s="30">
        <v>62.1</v>
      </c>
    </row>
    <row r="4316" spans="1:7" x14ac:dyDescent="0.25">
      <c r="A4316" s="29">
        <v>41922</v>
      </c>
      <c r="B4316" s="30">
        <v>59.7</v>
      </c>
      <c r="C4316" s="30">
        <v>60.3</v>
      </c>
      <c r="D4316" s="30">
        <v>58.7</v>
      </c>
      <c r="E4316" s="30"/>
      <c r="F4316" s="30">
        <v>55.8</v>
      </c>
      <c r="G4316" s="30">
        <v>58</v>
      </c>
    </row>
    <row r="4317" spans="1:7" x14ac:dyDescent="0.25">
      <c r="A4317" s="29">
        <v>41923</v>
      </c>
      <c r="B4317" s="30">
        <v>56.3</v>
      </c>
      <c r="C4317" s="30">
        <v>56.2</v>
      </c>
      <c r="D4317" s="30">
        <v>54.9</v>
      </c>
      <c r="E4317" s="30"/>
      <c r="F4317" s="30">
        <v>55.5</v>
      </c>
      <c r="G4317" s="30">
        <v>54.9</v>
      </c>
    </row>
    <row r="4318" spans="1:7" x14ac:dyDescent="0.25">
      <c r="A4318" s="29">
        <v>41924</v>
      </c>
      <c r="B4318" s="30">
        <v>54.6</v>
      </c>
      <c r="C4318" s="30">
        <v>55.1</v>
      </c>
      <c r="D4318" s="30">
        <v>54</v>
      </c>
      <c r="E4318" s="30"/>
      <c r="F4318" s="30">
        <v>52.6</v>
      </c>
      <c r="G4318" s="30">
        <v>53.2</v>
      </c>
    </row>
    <row r="4319" spans="1:7" x14ac:dyDescent="0.25">
      <c r="A4319" s="29">
        <v>41925</v>
      </c>
      <c r="B4319" s="30">
        <v>56.8</v>
      </c>
      <c r="C4319" s="30">
        <v>58.8</v>
      </c>
      <c r="D4319" s="30">
        <v>58.7</v>
      </c>
      <c r="E4319" s="30"/>
      <c r="F4319" s="30">
        <v>57.3</v>
      </c>
      <c r="G4319" s="30">
        <v>57.1</v>
      </c>
    </row>
    <row r="4320" spans="1:7" x14ac:dyDescent="0.25">
      <c r="A4320" s="29">
        <v>41926</v>
      </c>
      <c r="B4320" s="30">
        <v>68.099999999999994</v>
      </c>
      <c r="C4320" s="30">
        <v>67.599999999999994</v>
      </c>
      <c r="D4320" s="30">
        <v>67.900000000000006</v>
      </c>
      <c r="E4320" s="30"/>
      <c r="F4320" s="30">
        <v>68.599999999999994</v>
      </c>
      <c r="G4320" s="30">
        <v>68.599999999999994</v>
      </c>
    </row>
    <row r="4321" spans="1:7" x14ac:dyDescent="0.25">
      <c r="A4321" s="29">
        <v>41927</v>
      </c>
      <c r="B4321" s="30">
        <v>70.900000000000006</v>
      </c>
      <c r="C4321" s="30">
        <v>71.900000000000006</v>
      </c>
      <c r="D4321" s="30">
        <v>71.400000000000006</v>
      </c>
      <c r="E4321" s="30"/>
      <c r="F4321" s="30">
        <v>71.3</v>
      </c>
      <c r="G4321" s="30">
        <v>71.2</v>
      </c>
    </row>
    <row r="4322" spans="1:7" x14ac:dyDescent="0.25">
      <c r="A4322" s="29">
        <v>41928</v>
      </c>
      <c r="B4322" s="30">
        <v>69.099999999999994</v>
      </c>
      <c r="C4322" s="30">
        <v>69.8</v>
      </c>
      <c r="D4322" s="30">
        <v>68.8</v>
      </c>
      <c r="E4322" s="30"/>
      <c r="F4322" s="30">
        <v>67.5</v>
      </c>
      <c r="G4322" s="30">
        <v>69.3</v>
      </c>
    </row>
    <row r="4323" spans="1:7" x14ac:dyDescent="0.25">
      <c r="A4323" s="29">
        <v>41929</v>
      </c>
      <c r="B4323" s="30">
        <v>64.7</v>
      </c>
      <c r="C4323" s="30">
        <v>65.8</v>
      </c>
      <c r="D4323" s="30">
        <v>64.599999999999994</v>
      </c>
      <c r="E4323" s="30"/>
      <c r="F4323" s="30">
        <v>62.3</v>
      </c>
      <c r="G4323" s="30">
        <v>64.5</v>
      </c>
    </row>
    <row r="4324" spans="1:7" x14ac:dyDescent="0.25">
      <c r="A4324" s="29">
        <v>41930</v>
      </c>
      <c r="B4324" s="30">
        <v>64.900000000000006</v>
      </c>
      <c r="C4324" s="30">
        <v>64.099999999999994</v>
      </c>
      <c r="D4324" s="30">
        <v>63.8</v>
      </c>
      <c r="E4324" s="30"/>
      <c r="F4324" s="30">
        <v>63.9</v>
      </c>
      <c r="G4324" s="30">
        <v>63</v>
      </c>
    </row>
    <row r="4325" spans="1:7" x14ac:dyDescent="0.25">
      <c r="A4325" s="29">
        <v>41931</v>
      </c>
      <c r="B4325" s="30">
        <v>55.7</v>
      </c>
      <c r="C4325" s="30">
        <v>54.5</v>
      </c>
      <c r="D4325" s="30">
        <v>53.4</v>
      </c>
      <c r="E4325" s="30"/>
      <c r="F4325" s="30">
        <v>52.8</v>
      </c>
      <c r="G4325" s="30">
        <v>54.3</v>
      </c>
    </row>
    <row r="4326" spans="1:7" x14ac:dyDescent="0.25">
      <c r="A4326" s="29">
        <v>41932</v>
      </c>
      <c r="B4326" s="30">
        <v>50.1</v>
      </c>
      <c r="C4326" s="30">
        <v>49.8</v>
      </c>
      <c r="D4326" s="30">
        <v>49.4</v>
      </c>
      <c r="E4326" s="30"/>
      <c r="F4326" s="30">
        <v>46.3</v>
      </c>
      <c r="G4326" s="30">
        <v>48.6</v>
      </c>
    </row>
    <row r="4327" spans="1:7" x14ac:dyDescent="0.25">
      <c r="A4327" s="29">
        <v>41933</v>
      </c>
      <c r="B4327" s="30">
        <v>59.2</v>
      </c>
      <c r="C4327" s="30">
        <v>60</v>
      </c>
      <c r="D4327" s="30">
        <v>60.2</v>
      </c>
      <c r="E4327" s="30"/>
      <c r="F4327" s="30">
        <v>58.1</v>
      </c>
      <c r="G4327" s="30">
        <v>58.4</v>
      </c>
    </row>
    <row r="4328" spans="1:7" x14ac:dyDescent="0.25">
      <c r="A4328" s="29">
        <v>41934</v>
      </c>
      <c r="B4328" s="30">
        <v>56.5</v>
      </c>
      <c r="C4328" s="30">
        <v>57</v>
      </c>
      <c r="D4328" s="30">
        <v>55.5</v>
      </c>
      <c r="E4328" s="30"/>
      <c r="F4328" s="30">
        <v>54.8</v>
      </c>
      <c r="G4328" s="30">
        <v>55.5</v>
      </c>
    </row>
    <row r="4329" spans="1:7" x14ac:dyDescent="0.25">
      <c r="A4329" s="29">
        <v>41935</v>
      </c>
      <c r="B4329" s="30">
        <v>52.6</v>
      </c>
      <c r="C4329" s="30">
        <v>52.2</v>
      </c>
      <c r="D4329" s="30">
        <v>51.4</v>
      </c>
      <c r="E4329" s="30"/>
      <c r="F4329" s="30">
        <v>51.5</v>
      </c>
      <c r="G4329" s="30">
        <v>52.6</v>
      </c>
    </row>
    <row r="4330" spans="1:7" x14ac:dyDescent="0.25">
      <c r="A4330" s="29">
        <v>41936</v>
      </c>
      <c r="B4330" s="30">
        <v>55.3</v>
      </c>
      <c r="C4330" s="30">
        <v>54.7</v>
      </c>
      <c r="D4330" s="30">
        <v>54.7</v>
      </c>
      <c r="E4330" s="30"/>
      <c r="F4330" s="30">
        <v>55.1</v>
      </c>
      <c r="G4330" s="30">
        <v>56.3</v>
      </c>
    </row>
    <row r="4331" spans="1:7" x14ac:dyDescent="0.25">
      <c r="A4331" s="29">
        <v>41937</v>
      </c>
      <c r="B4331" s="30">
        <v>57.3</v>
      </c>
      <c r="C4331" s="30">
        <v>58.7</v>
      </c>
      <c r="D4331" s="30">
        <v>58.1</v>
      </c>
      <c r="E4331" s="30"/>
      <c r="F4331" s="30">
        <v>55.4</v>
      </c>
      <c r="G4331" s="30">
        <v>58.7</v>
      </c>
    </row>
    <row r="4332" spans="1:7" x14ac:dyDescent="0.25">
      <c r="A4332" s="29">
        <v>41938</v>
      </c>
      <c r="B4332" s="30">
        <v>59.9</v>
      </c>
      <c r="C4332" s="30">
        <v>59.6</v>
      </c>
      <c r="D4332" s="30">
        <v>58.4</v>
      </c>
      <c r="E4332" s="30"/>
      <c r="F4332" s="30">
        <v>59.3</v>
      </c>
      <c r="G4332" s="30">
        <v>59.6</v>
      </c>
    </row>
    <row r="4333" spans="1:7" x14ac:dyDescent="0.25">
      <c r="A4333" s="29">
        <v>41939</v>
      </c>
      <c r="B4333" s="30">
        <v>57.1</v>
      </c>
      <c r="C4333" s="30">
        <v>57</v>
      </c>
      <c r="D4333" s="30">
        <v>56</v>
      </c>
      <c r="E4333" s="30"/>
      <c r="F4333" s="30">
        <v>51.9</v>
      </c>
      <c r="G4333" s="30">
        <v>56.3</v>
      </c>
    </row>
    <row r="4334" spans="1:7" x14ac:dyDescent="0.25">
      <c r="A4334" s="29">
        <v>41940</v>
      </c>
      <c r="B4334" s="30">
        <v>59</v>
      </c>
      <c r="C4334" s="30">
        <v>60.4</v>
      </c>
      <c r="D4334" s="30">
        <v>60.6</v>
      </c>
      <c r="E4334" s="30"/>
      <c r="F4334" s="30">
        <v>59.1</v>
      </c>
      <c r="G4334" s="30">
        <v>58.7</v>
      </c>
    </row>
    <row r="4335" spans="1:7" x14ac:dyDescent="0.25">
      <c r="A4335" s="29">
        <v>41941</v>
      </c>
      <c r="B4335" s="30">
        <v>63</v>
      </c>
      <c r="C4335" s="30">
        <v>64.2</v>
      </c>
      <c r="D4335" s="30">
        <v>64.5</v>
      </c>
      <c r="E4335" s="30"/>
      <c r="F4335" s="30">
        <v>64.900000000000006</v>
      </c>
      <c r="G4335" s="30">
        <v>63</v>
      </c>
    </row>
    <row r="4336" spans="1:7" x14ac:dyDescent="0.25">
      <c r="A4336" s="29">
        <v>41942</v>
      </c>
      <c r="B4336" s="30">
        <v>54.2</v>
      </c>
      <c r="C4336" s="30">
        <v>54</v>
      </c>
      <c r="D4336" s="30">
        <v>52.5</v>
      </c>
      <c r="E4336" s="30"/>
      <c r="F4336" s="30">
        <v>51</v>
      </c>
      <c r="G4336" s="30">
        <v>51.8</v>
      </c>
    </row>
    <row r="4337" spans="1:7" x14ac:dyDescent="0.25">
      <c r="A4337" s="29">
        <v>41943</v>
      </c>
      <c r="B4337" s="30">
        <v>50.5</v>
      </c>
      <c r="C4337" s="30">
        <v>49.9</v>
      </c>
      <c r="D4337" s="30">
        <v>49.9</v>
      </c>
      <c r="E4337" s="30"/>
      <c r="F4337" s="30">
        <v>44.7</v>
      </c>
      <c r="G4337" s="30">
        <v>48.3</v>
      </c>
    </row>
    <row r="4338" spans="1:7" x14ac:dyDescent="0.25">
      <c r="A4338" s="29">
        <v>41944</v>
      </c>
      <c r="B4338" s="30">
        <v>47.8</v>
      </c>
      <c r="C4338" s="30">
        <v>48.1</v>
      </c>
      <c r="D4338" s="30">
        <v>46.5</v>
      </c>
      <c r="E4338" s="30"/>
      <c r="F4338" s="30">
        <v>47.3</v>
      </c>
      <c r="G4338" s="30">
        <v>47</v>
      </c>
    </row>
    <row r="4339" spans="1:7" x14ac:dyDescent="0.25">
      <c r="A4339" s="29">
        <v>41945</v>
      </c>
      <c r="B4339" s="30">
        <v>44.9</v>
      </c>
      <c r="C4339" s="30">
        <v>44.6</v>
      </c>
      <c r="D4339" s="30">
        <v>44.1</v>
      </c>
      <c r="E4339" s="30"/>
      <c r="F4339" s="30">
        <v>43.9</v>
      </c>
      <c r="G4339" s="30">
        <v>44.3</v>
      </c>
    </row>
    <row r="4340" spans="1:7" x14ac:dyDescent="0.25">
      <c r="A4340" s="29">
        <v>41946</v>
      </c>
      <c r="B4340" s="30">
        <v>47.8</v>
      </c>
      <c r="C4340" s="30">
        <v>48.1</v>
      </c>
      <c r="D4340" s="30">
        <v>47.6</v>
      </c>
      <c r="E4340" s="30"/>
      <c r="F4340" s="30">
        <v>44.9</v>
      </c>
      <c r="G4340" s="30">
        <v>47.1</v>
      </c>
    </row>
    <row r="4341" spans="1:7" x14ac:dyDescent="0.25">
      <c r="A4341" s="29">
        <v>41947</v>
      </c>
      <c r="B4341" s="30">
        <v>57.3</v>
      </c>
      <c r="C4341" s="30">
        <v>60.2</v>
      </c>
      <c r="D4341" s="30">
        <v>59.5</v>
      </c>
      <c r="E4341" s="30"/>
      <c r="F4341" s="30">
        <v>56.1</v>
      </c>
      <c r="G4341" s="30">
        <v>58.3</v>
      </c>
    </row>
    <row r="4342" spans="1:7" x14ac:dyDescent="0.25">
      <c r="A4342" s="29">
        <v>41948</v>
      </c>
      <c r="B4342" s="30">
        <v>58.5</v>
      </c>
      <c r="C4342" s="30">
        <v>61.4</v>
      </c>
      <c r="D4342" s="30">
        <v>60.4</v>
      </c>
      <c r="E4342" s="30"/>
      <c r="F4342" s="30">
        <v>58.7</v>
      </c>
      <c r="G4342" s="30">
        <v>59.1</v>
      </c>
    </row>
    <row r="4343" spans="1:7" x14ac:dyDescent="0.25">
      <c r="A4343" s="29">
        <v>41949</v>
      </c>
      <c r="B4343" s="30">
        <v>52.3</v>
      </c>
      <c r="C4343" s="30">
        <v>52.7</v>
      </c>
      <c r="D4343" s="30">
        <v>52</v>
      </c>
      <c r="E4343" s="30"/>
      <c r="F4343" s="30">
        <v>54.2</v>
      </c>
      <c r="G4343" s="30">
        <v>50.8</v>
      </c>
    </row>
    <row r="4344" spans="1:7" x14ac:dyDescent="0.25">
      <c r="A4344" s="29">
        <v>41950</v>
      </c>
      <c r="B4344" s="30">
        <v>50.3</v>
      </c>
      <c r="C4344" s="30">
        <v>49.6</v>
      </c>
      <c r="D4344" s="30">
        <v>49</v>
      </c>
      <c r="E4344" s="30"/>
      <c r="F4344" s="30">
        <v>50.1</v>
      </c>
      <c r="G4344" s="30">
        <v>48.8</v>
      </c>
    </row>
    <row r="4345" spans="1:7" x14ac:dyDescent="0.25">
      <c r="A4345" s="29">
        <v>41951</v>
      </c>
      <c r="B4345" s="30">
        <v>42.8</v>
      </c>
      <c r="C4345" s="30">
        <v>42.4</v>
      </c>
      <c r="D4345" s="30">
        <v>41.9</v>
      </c>
      <c r="E4345" s="30"/>
      <c r="F4345" s="30">
        <v>39.6</v>
      </c>
      <c r="G4345" s="30">
        <v>40.799999999999997</v>
      </c>
    </row>
    <row r="4346" spans="1:7" x14ac:dyDescent="0.25">
      <c r="A4346" s="29">
        <v>41952</v>
      </c>
      <c r="B4346" s="30">
        <v>49.6</v>
      </c>
      <c r="C4346" s="30">
        <v>49.9</v>
      </c>
      <c r="D4346" s="30">
        <v>50</v>
      </c>
      <c r="E4346" s="30"/>
      <c r="F4346" s="30">
        <v>48.3</v>
      </c>
      <c r="G4346" s="30">
        <v>48.3</v>
      </c>
    </row>
    <row r="4347" spans="1:7" x14ac:dyDescent="0.25">
      <c r="A4347" s="29">
        <v>41953</v>
      </c>
      <c r="B4347" s="30">
        <v>49.3</v>
      </c>
      <c r="C4347" s="30">
        <v>51.8</v>
      </c>
      <c r="D4347" s="30">
        <v>51.9</v>
      </c>
      <c r="E4347" s="30"/>
      <c r="F4347" s="30">
        <v>44.7</v>
      </c>
      <c r="G4347" s="30">
        <v>48</v>
      </c>
    </row>
    <row r="4348" spans="1:7" x14ac:dyDescent="0.25">
      <c r="A4348" s="29">
        <v>41954</v>
      </c>
      <c r="B4348" s="30">
        <v>54</v>
      </c>
      <c r="C4348" s="30">
        <v>54.9</v>
      </c>
      <c r="D4348" s="30">
        <v>56.4</v>
      </c>
      <c r="E4348" s="30"/>
      <c r="F4348" s="30">
        <v>49</v>
      </c>
      <c r="G4348" s="30">
        <v>52</v>
      </c>
    </row>
    <row r="4349" spans="1:7" x14ac:dyDescent="0.25">
      <c r="A4349" s="29">
        <v>41955</v>
      </c>
      <c r="B4349" s="30">
        <v>59.9</v>
      </c>
      <c r="C4349" s="30">
        <v>58.7</v>
      </c>
      <c r="D4349" s="30">
        <v>59.5</v>
      </c>
      <c r="E4349" s="30"/>
      <c r="F4349" s="30">
        <v>58.7</v>
      </c>
      <c r="G4349" s="30">
        <v>59.3</v>
      </c>
    </row>
    <row r="4350" spans="1:7" x14ac:dyDescent="0.25">
      <c r="A4350" s="29">
        <v>41956</v>
      </c>
      <c r="B4350" s="30">
        <v>46</v>
      </c>
      <c r="C4350" s="30">
        <v>45.7</v>
      </c>
      <c r="D4350" s="30">
        <v>45.1</v>
      </c>
      <c r="E4350" s="30"/>
      <c r="F4350" s="30">
        <v>43.7</v>
      </c>
      <c r="G4350" s="30">
        <v>44.7</v>
      </c>
    </row>
    <row r="4351" spans="1:7" x14ac:dyDescent="0.25">
      <c r="A4351" s="29">
        <v>41957</v>
      </c>
      <c r="B4351" s="30">
        <v>40.200000000000003</v>
      </c>
      <c r="C4351" s="30">
        <v>39.299999999999997</v>
      </c>
      <c r="D4351" s="30">
        <v>38.6</v>
      </c>
      <c r="E4351" s="30"/>
      <c r="F4351" s="30">
        <v>37.5</v>
      </c>
      <c r="G4351" s="30">
        <v>38.6</v>
      </c>
    </row>
    <row r="4352" spans="1:7" x14ac:dyDescent="0.25">
      <c r="A4352" s="29">
        <v>41958</v>
      </c>
      <c r="B4352" s="30">
        <v>38.200000000000003</v>
      </c>
      <c r="C4352" s="30">
        <v>37.799999999999997</v>
      </c>
      <c r="D4352" s="30">
        <v>37.200000000000003</v>
      </c>
      <c r="E4352" s="30"/>
      <c r="F4352" s="30">
        <v>33.200000000000003</v>
      </c>
      <c r="G4352" s="30">
        <v>36.4</v>
      </c>
    </row>
    <row r="4353" spans="1:7" x14ac:dyDescent="0.25">
      <c r="A4353" s="29">
        <v>41959</v>
      </c>
      <c r="B4353" s="30">
        <v>38.4</v>
      </c>
      <c r="C4353" s="30">
        <v>39.4</v>
      </c>
      <c r="D4353" s="30">
        <v>40</v>
      </c>
      <c r="E4353" s="30"/>
      <c r="F4353" s="30">
        <v>35.6</v>
      </c>
      <c r="G4353" s="30">
        <v>36.700000000000003</v>
      </c>
    </row>
    <row r="4354" spans="1:7" x14ac:dyDescent="0.25">
      <c r="A4354" s="29">
        <v>41960</v>
      </c>
      <c r="B4354" s="30">
        <v>45.3</v>
      </c>
      <c r="C4354" s="30">
        <v>43.6</v>
      </c>
      <c r="D4354" s="30">
        <v>43.7</v>
      </c>
      <c r="E4354" s="30"/>
      <c r="F4354" s="30">
        <v>46.2</v>
      </c>
      <c r="G4354" s="30">
        <v>42.3</v>
      </c>
    </row>
    <row r="4355" spans="1:7" x14ac:dyDescent="0.25">
      <c r="A4355" s="29">
        <v>41961</v>
      </c>
      <c r="B4355" s="30">
        <v>37.700000000000003</v>
      </c>
      <c r="C4355" s="30">
        <v>37.1</v>
      </c>
      <c r="D4355" s="30">
        <v>35.4</v>
      </c>
      <c r="E4355" s="30"/>
      <c r="F4355" s="30">
        <v>36.200000000000003</v>
      </c>
      <c r="G4355" s="30">
        <v>36.200000000000003</v>
      </c>
    </row>
    <row r="4356" spans="1:7" x14ac:dyDescent="0.25">
      <c r="A4356" s="29">
        <v>41962</v>
      </c>
      <c r="B4356" s="30">
        <v>27.6</v>
      </c>
      <c r="C4356" s="30">
        <v>26.7</v>
      </c>
      <c r="D4356" s="30">
        <v>26.7</v>
      </c>
      <c r="E4356" s="30"/>
      <c r="F4356" s="30">
        <v>26.4</v>
      </c>
      <c r="G4356" s="30">
        <v>26.1</v>
      </c>
    </row>
    <row r="4357" spans="1:7" x14ac:dyDescent="0.25">
      <c r="A4357" s="29">
        <v>41963</v>
      </c>
      <c r="B4357" s="30">
        <v>39.5</v>
      </c>
      <c r="C4357" s="30">
        <v>38.1</v>
      </c>
      <c r="D4357" s="30">
        <v>38.200000000000003</v>
      </c>
      <c r="E4357" s="30"/>
      <c r="F4357" s="30">
        <v>40</v>
      </c>
      <c r="G4357" s="30">
        <v>36.1</v>
      </c>
    </row>
    <row r="4358" spans="1:7" x14ac:dyDescent="0.25">
      <c r="A4358" s="29">
        <v>41964</v>
      </c>
      <c r="B4358" s="30">
        <v>33.700000000000003</v>
      </c>
      <c r="C4358" s="30">
        <v>33.1</v>
      </c>
      <c r="D4358" s="30">
        <v>32.299999999999997</v>
      </c>
      <c r="E4358" s="30"/>
      <c r="F4358" s="30">
        <v>32.299999999999997</v>
      </c>
      <c r="G4358" s="30">
        <v>31.8</v>
      </c>
    </row>
    <row r="4359" spans="1:7" x14ac:dyDescent="0.25">
      <c r="A4359" s="29">
        <v>41965</v>
      </c>
      <c r="B4359" s="30">
        <v>34.1</v>
      </c>
      <c r="C4359" s="30">
        <v>34.299999999999997</v>
      </c>
      <c r="D4359" s="30">
        <v>34.299999999999997</v>
      </c>
      <c r="E4359" s="30"/>
      <c r="F4359" s="30">
        <v>30.8</v>
      </c>
      <c r="G4359" s="30">
        <v>32.200000000000003</v>
      </c>
    </row>
    <row r="4360" spans="1:7" x14ac:dyDescent="0.25">
      <c r="A4360" s="29">
        <v>41966</v>
      </c>
      <c r="B4360" s="30">
        <v>46.4</v>
      </c>
      <c r="C4360" s="30">
        <v>46.9</v>
      </c>
      <c r="D4360" s="30">
        <v>47.4</v>
      </c>
      <c r="E4360" s="30"/>
      <c r="F4360" s="30">
        <v>46</v>
      </c>
      <c r="G4360" s="30">
        <v>46.5</v>
      </c>
    </row>
    <row r="4361" spans="1:7" x14ac:dyDescent="0.25">
      <c r="A4361" s="29">
        <v>41967</v>
      </c>
      <c r="B4361" s="30">
        <v>57.3</v>
      </c>
      <c r="C4361" s="30">
        <v>57.5</v>
      </c>
      <c r="D4361" s="30">
        <v>60.7</v>
      </c>
      <c r="E4361" s="30"/>
      <c r="F4361" s="30">
        <v>60.4</v>
      </c>
      <c r="G4361" s="30">
        <v>61.1</v>
      </c>
    </row>
    <row r="4362" spans="1:7" x14ac:dyDescent="0.25">
      <c r="A4362" s="29">
        <v>41968</v>
      </c>
      <c r="B4362" s="30">
        <v>56.6</v>
      </c>
      <c r="C4362" s="30">
        <v>60.1</v>
      </c>
      <c r="D4362" s="30">
        <v>60</v>
      </c>
      <c r="E4362" s="30"/>
      <c r="F4362" s="30">
        <v>58.5</v>
      </c>
      <c r="G4362" s="30">
        <v>59.9</v>
      </c>
    </row>
    <row r="4363" spans="1:7" x14ac:dyDescent="0.25">
      <c r="A4363" s="29">
        <v>41969</v>
      </c>
      <c r="B4363" s="30">
        <v>44</v>
      </c>
      <c r="C4363" s="30">
        <v>44</v>
      </c>
      <c r="D4363" s="30">
        <v>42.9</v>
      </c>
      <c r="E4363" s="30"/>
      <c r="F4363" s="30">
        <v>42.9</v>
      </c>
      <c r="G4363" s="30">
        <v>42.2</v>
      </c>
    </row>
    <row r="4364" spans="1:7" x14ac:dyDescent="0.25">
      <c r="A4364" s="29">
        <v>41970</v>
      </c>
      <c r="B4364" s="30">
        <v>37.299999999999997</v>
      </c>
      <c r="C4364" s="30">
        <v>36.5</v>
      </c>
      <c r="D4364" s="30">
        <v>36.299999999999997</v>
      </c>
      <c r="E4364" s="30"/>
      <c r="F4364" s="30">
        <v>37.5</v>
      </c>
      <c r="G4364" s="30">
        <v>36.5</v>
      </c>
    </row>
    <row r="4365" spans="1:7" x14ac:dyDescent="0.25">
      <c r="A4365" s="29">
        <v>41971</v>
      </c>
      <c r="B4365" s="30">
        <v>35.200000000000003</v>
      </c>
      <c r="C4365" s="30">
        <v>34.4</v>
      </c>
      <c r="D4365" s="30">
        <v>33.5</v>
      </c>
      <c r="E4365" s="30"/>
      <c r="F4365" s="30">
        <v>32.799999999999997</v>
      </c>
      <c r="G4365" s="30">
        <v>32.799999999999997</v>
      </c>
    </row>
    <row r="4366" spans="1:7" x14ac:dyDescent="0.25">
      <c r="A4366" s="29">
        <v>41972</v>
      </c>
      <c r="B4366" s="30">
        <v>31.5</v>
      </c>
      <c r="C4366" s="30">
        <v>31.4</v>
      </c>
      <c r="D4366" s="30">
        <v>31.4</v>
      </c>
      <c r="E4366" s="30"/>
      <c r="F4366" s="30">
        <v>27.1</v>
      </c>
      <c r="G4366" s="30">
        <v>29.3</v>
      </c>
    </row>
    <row r="4367" spans="1:7" x14ac:dyDescent="0.25">
      <c r="A4367" s="29">
        <v>41973</v>
      </c>
      <c r="B4367" s="30">
        <v>47.9</v>
      </c>
      <c r="C4367" s="30">
        <v>46.5</v>
      </c>
      <c r="D4367" s="30">
        <v>47.5</v>
      </c>
      <c r="E4367" s="30"/>
      <c r="F4367" s="30">
        <v>47.1</v>
      </c>
      <c r="G4367" s="30">
        <v>44.7</v>
      </c>
    </row>
    <row r="4368" spans="1:7" x14ac:dyDescent="0.25">
      <c r="A4368" s="29">
        <v>41974</v>
      </c>
      <c r="B4368" s="30">
        <v>53.6</v>
      </c>
      <c r="C4368" s="30">
        <v>55.4</v>
      </c>
      <c r="D4368" s="30">
        <v>55.4</v>
      </c>
      <c r="E4368" s="30"/>
      <c r="F4368" s="30">
        <v>58</v>
      </c>
      <c r="G4368" s="30">
        <v>52.5</v>
      </c>
    </row>
    <row r="4369" spans="1:7" x14ac:dyDescent="0.25">
      <c r="A4369" s="29">
        <v>41975</v>
      </c>
      <c r="B4369" s="30">
        <v>40.799999999999997</v>
      </c>
      <c r="C4369" s="30">
        <v>39.700000000000003</v>
      </c>
      <c r="D4369" s="30">
        <v>39.4</v>
      </c>
      <c r="E4369" s="30"/>
      <c r="F4369" s="30">
        <v>40.799999999999997</v>
      </c>
      <c r="G4369" s="30">
        <v>38.9</v>
      </c>
    </row>
    <row r="4370" spans="1:7" x14ac:dyDescent="0.25">
      <c r="A4370" s="29">
        <v>41976</v>
      </c>
      <c r="B4370" s="30">
        <v>45.3</v>
      </c>
      <c r="C4370" s="30">
        <v>43.5</v>
      </c>
      <c r="D4370" s="30">
        <v>43.8</v>
      </c>
      <c r="E4370" s="30"/>
      <c r="F4370" s="30">
        <v>48.4</v>
      </c>
      <c r="G4370" s="30">
        <v>42.9</v>
      </c>
    </row>
    <row r="4371" spans="1:7" x14ac:dyDescent="0.25">
      <c r="A4371" s="29">
        <v>41977</v>
      </c>
      <c r="B4371" s="30">
        <v>42.3</v>
      </c>
      <c r="C4371" s="30">
        <v>42</v>
      </c>
      <c r="D4371" s="30">
        <v>41.2</v>
      </c>
      <c r="E4371" s="30"/>
      <c r="F4371" s="30">
        <v>38.700000000000003</v>
      </c>
      <c r="G4371" s="30">
        <v>40.200000000000003</v>
      </c>
    </row>
    <row r="4372" spans="1:7" x14ac:dyDescent="0.25">
      <c r="A4372" s="29">
        <v>41978</v>
      </c>
      <c r="B4372" s="30">
        <v>40.4</v>
      </c>
      <c r="C4372" s="30">
        <v>38.4</v>
      </c>
      <c r="D4372" s="30">
        <v>38.4</v>
      </c>
      <c r="E4372" s="30"/>
      <c r="F4372" s="30">
        <v>41.7</v>
      </c>
      <c r="G4372" s="30">
        <v>36.700000000000003</v>
      </c>
    </row>
    <row r="4373" spans="1:7" x14ac:dyDescent="0.25">
      <c r="A4373" s="29">
        <v>41979</v>
      </c>
      <c r="B4373" s="30">
        <v>48</v>
      </c>
      <c r="C4373" s="30">
        <v>44.9</v>
      </c>
      <c r="D4373" s="30">
        <v>44.8</v>
      </c>
      <c r="E4373" s="30"/>
      <c r="F4373" s="30">
        <v>48</v>
      </c>
      <c r="G4373" s="30">
        <v>43.4</v>
      </c>
    </row>
    <row r="4374" spans="1:7" x14ac:dyDescent="0.25">
      <c r="A4374" s="29">
        <v>41980</v>
      </c>
      <c r="B4374" s="30">
        <v>40.6</v>
      </c>
      <c r="C4374" s="30">
        <v>39.4</v>
      </c>
      <c r="D4374" s="30">
        <v>38.200000000000003</v>
      </c>
      <c r="E4374" s="30"/>
      <c r="F4374" s="30">
        <v>42.8</v>
      </c>
      <c r="G4374" s="30">
        <v>39.5</v>
      </c>
    </row>
    <row r="4375" spans="1:7" x14ac:dyDescent="0.25">
      <c r="A4375" s="29">
        <v>41981</v>
      </c>
      <c r="B4375" s="30">
        <v>30.7</v>
      </c>
      <c r="C4375" s="30">
        <v>29.8</v>
      </c>
      <c r="D4375" s="30">
        <v>29.2</v>
      </c>
      <c r="E4375" s="30"/>
      <c r="F4375" s="30">
        <v>32.9</v>
      </c>
      <c r="G4375" s="30">
        <v>27.9</v>
      </c>
    </row>
    <row r="4376" spans="1:7" x14ac:dyDescent="0.25">
      <c r="A4376" s="29">
        <v>41982</v>
      </c>
      <c r="B4376" s="30">
        <v>40</v>
      </c>
      <c r="C4376" s="30">
        <v>38.700000000000003</v>
      </c>
      <c r="D4376" s="30">
        <v>38.200000000000003</v>
      </c>
      <c r="E4376" s="30"/>
      <c r="F4376" s="30">
        <v>42</v>
      </c>
      <c r="G4376" s="30">
        <v>37.9</v>
      </c>
    </row>
    <row r="4377" spans="1:7" x14ac:dyDescent="0.25">
      <c r="A4377" s="29">
        <v>41983</v>
      </c>
      <c r="B4377" s="30">
        <v>39.700000000000003</v>
      </c>
      <c r="C4377" s="30">
        <v>38.6</v>
      </c>
      <c r="D4377" s="30">
        <v>37.700000000000003</v>
      </c>
      <c r="E4377" s="30"/>
      <c r="F4377" s="30">
        <v>40.4</v>
      </c>
      <c r="G4377" s="30">
        <v>39.6</v>
      </c>
    </row>
    <row r="4378" spans="1:7" x14ac:dyDescent="0.25">
      <c r="A4378" s="29">
        <v>41984</v>
      </c>
      <c r="B4378" s="30">
        <v>35</v>
      </c>
      <c r="C4378" s="30">
        <v>34.200000000000003</v>
      </c>
      <c r="D4378" s="30">
        <v>34.1</v>
      </c>
      <c r="E4378" s="30"/>
      <c r="F4378" s="30">
        <v>35.1</v>
      </c>
      <c r="G4378" s="30">
        <v>34</v>
      </c>
    </row>
    <row r="4379" spans="1:7" x14ac:dyDescent="0.25">
      <c r="A4379" s="29">
        <v>41985</v>
      </c>
      <c r="B4379" s="30">
        <v>35.700000000000003</v>
      </c>
      <c r="C4379" s="30">
        <v>34.5</v>
      </c>
      <c r="D4379" s="30">
        <v>34.5</v>
      </c>
      <c r="E4379" s="30"/>
      <c r="F4379" s="30">
        <v>34.700000000000003</v>
      </c>
      <c r="G4379" s="30">
        <v>34.5</v>
      </c>
    </row>
    <row r="4380" spans="1:7" x14ac:dyDescent="0.25">
      <c r="A4380" s="29">
        <v>41986</v>
      </c>
      <c r="B4380" s="30">
        <v>38.200000000000003</v>
      </c>
      <c r="C4380" s="30">
        <v>37.200000000000003</v>
      </c>
      <c r="D4380" s="30">
        <v>37.5</v>
      </c>
      <c r="E4380" s="30"/>
      <c r="F4380" s="30">
        <v>36.4</v>
      </c>
      <c r="G4380" s="30">
        <v>37.799999999999997</v>
      </c>
    </row>
    <row r="4381" spans="1:7" x14ac:dyDescent="0.25">
      <c r="A4381" s="29">
        <v>41987</v>
      </c>
      <c r="B4381" s="30">
        <v>41.1</v>
      </c>
      <c r="C4381" s="30">
        <v>40.4</v>
      </c>
      <c r="D4381" s="30">
        <v>41</v>
      </c>
      <c r="E4381" s="30"/>
      <c r="F4381" s="30">
        <v>37.9</v>
      </c>
      <c r="G4381" s="30">
        <v>40.9</v>
      </c>
    </row>
    <row r="4382" spans="1:7" x14ac:dyDescent="0.25">
      <c r="A4382" s="29">
        <v>41988</v>
      </c>
      <c r="B4382" s="30">
        <v>40.799999999999997</v>
      </c>
      <c r="C4382" s="30">
        <v>41.6</v>
      </c>
      <c r="D4382" s="30">
        <v>41.6</v>
      </c>
      <c r="E4382" s="30"/>
      <c r="F4382" s="30">
        <v>41.9</v>
      </c>
      <c r="G4382" s="30">
        <v>41.2</v>
      </c>
    </row>
    <row r="4383" spans="1:7" x14ac:dyDescent="0.25">
      <c r="A4383" s="29">
        <v>41989</v>
      </c>
      <c r="B4383" s="30">
        <v>41.2</v>
      </c>
      <c r="C4383" s="30">
        <v>41.5</v>
      </c>
      <c r="D4383" s="30">
        <v>43.2</v>
      </c>
      <c r="E4383" s="30"/>
      <c r="F4383" s="30">
        <v>37.200000000000003</v>
      </c>
      <c r="G4383" s="30">
        <v>40.5</v>
      </c>
    </row>
    <row r="4384" spans="1:7" x14ac:dyDescent="0.25">
      <c r="A4384" s="29">
        <v>41990</v>
      </c>
      <c r="B4384" s="30">
        <v>48.8</v>
      </c>
      <c r="C4384" s="30">
        <v>46.5</v>
      </c>
      <c r="D4384" s="30">
        <v>47.4</v>
      </c>
      <c r="E4384" s="30"/>
      <c r="F4384" s="30">
        <v>47.6</v>
      </c>
      <c r="G4384" s="30">
        <v>47.4</v>
      </c>
    </row>
    <row r="4385" spans="1:7" x14ac:dyDescent="0.25">
      <c r="A4385" s="29">
        <v>41991</v>
      </c>
      <c r="B4385" s="30">
        <v>42.3</v>
      </c>
      <c r="C4385" s="30">
        <v>41</v>
      </c>
      <c r="D4385" s="30">
        <v>40.700000000000003</v>
      </c>
      <c r="E4385" s="30"/>
      <c r="F4385" s="30">
        <v>37.5</v>
      </c>
      <c r="G4385" s="30">
        <v>40.700000000000003</v>
      </c>
    </row>
    <row r="4386" spans="1:7" x14ac:dyDescent="0.25">
      <c r="A4386" s="29">
        <v>41992</v>
      </c>
      <c r="B4386" s="30">
        <v>38.299999999999997</v>
      </c>
      <c r="C4386" s="30">
        <v>36.799999999999997</v>
      </c>
      <c r="D4386" s="30">
        <v>36.200000000000003</v>
      </c>
      <c r="E4386" s="30"/>
      <c r="F4386" s="30">
        <v>36.5</v>
      </c>
      <c r="G4386" s="30">
        <v>36.799999999999997</v>
      </c>
    </row>
    <row r="4387" spans="1:7" x14ac:dyDescent="0.25">
      <c r="A4387" s="29">
        <v>41993</v>
      </c>
      <c r="B4387" s="30">
        <v>32.799999999999997</v>
      </c>
      <c r="C4387" s="30">
        <v>31.9</v>
      </c>
      <c r="D4387" s="30">
        <v>31.7</v>
      </c>
      <c r="E4387" s="30"/>
      <c r="F4387" s="30">
        <v>29.9</v>
      </c>
      <c r="G4387" s="30">
        <v>32</v>
      </c>
    </row>
    <row r="4388" spans="1:7" x14ac:dyDescent="0.25">
      <c r="A4388" s="29">
        <v>41994</v>
      </c>
      <c r="B4388" s="30">
        <v>34.9</v>
      </c>
      <c r="C4388" s="30">
        <v>33.1</v>
      </c>
      <c r="D4388" s="30">
        <v>32.4</v>
      </c>
      <c r="E4388" s="30"/>
      <c r="F4388" s="30">
        <v>31.9</v>
      </c>
      <c r="G4388" s="30">
        <v>33.200000000000003</v>
      </c>
    </row>
    <row r="4389" spans="1:7" x14ac:dyDescent="0.25">
      <c r="A4389" s="29">
        <v>41995</v>
      </c>
      <c r="B4389" s="30">
        <v>40.299999999999997</v>
      </c>
      <c r="C4389" s="30">
        <v>37.9</v>
      </c>
      <c r="D4389" s="30">
        <v>37.4</v>
      </c>
      <c r="E4389" s="30"/>
      <c r="F4389" s="30">
        <v>31</v>
      </c>
      <c r="G4389" s="30">
        <v>37.299999999999997</v>
      </c>
    </row>
    <row r="4390" spans="1:7" x14ac:dyDescent="0.25">
      <c r="A4390" s="29">
        <v>41996</v>
      </c>
      <c r="B4390" s="30">
        <v>47.7</v>
      </c>
      <c r="C4390" s="30">
        <v>44.1</v>
      </c>
      <c r="D4390" s="30">
        <v>44.4</v>
      </c>
      <c r="E4390" s="30"/>
      <c r="F4390" s="30">
        <v>48.9</v>
      </c>
      <c r="G4390" s="30">
        <v>45.3</v>
      </c>
    </row>
    <row r="4391" spans="1:7" x14ac:dyDescent="0.25">
      <c r="A4391" s="29">
        <v>41997</v>
      </c>
      <c r="B4391" s="30">
        <v>49.2</v>
      </c>
      <c r="C4391" s="30">
        <v>44.5</v>
      </c>
      <c r="D4391" s="30">
        <v>45.5</v>
      </c>
      <c r="E4391" s="30"/>
      <c r="F4391" s="30">
        <v>52</v>
      </c>
      <c r="G4391" s="30">
        <v>46.6</v>
      </c>
    </row>
    <row r="4392" spans="1:7" x14ac:dyDescent="0.25">
      <c r="A4392" s="29">
        <v>41998</v>
      </c>
      <c r="B4392" s="30">
        <v>52.3</v>
      </c>
      <c r="C4392" s="30">
        <v>52.6</v>
      </c>
      <c r="D4392" s="30">
        <v>53.2</v>
      </c>
      <c r="E4392" s="30"/>
      <c r="F4392" s="30">
        <v>53.6</v>
      </c>
      <c r="G4392" s="30">
        <v>53.5</v>
      </c>
    </row>
    <row r="4393" spans="1:7" x14ac:dyDescent="0.25">
      <c r="A4393" s="29">
        <v>41999</v>
      </c>
      <c r="B4393" s="30">
        <v>45</v>
      </c>
      <c r="C4393" s="30">
        <v>45.3</v>
      </c>
      <c r="D4393" s="30">
        <v>44.9</v>
      </c>
      <c r="E4393" s="30"/>
      <c r="F4393" s="30">
        <v>41.8</v>
      </c>
      <c r="G4393" s="30">
        <v>43.2</v>
      </c>
    </row>
    <row r="4394" spans="1:7" x14ac:dyDescent="0.25">
      <c r="A4394" s="29">
        <v>42000</v>
      </c>
      <c r="B4394" s="30">
        <v>44.3</v>
      </c>
      <c r="C4394" s="30">
        <v>47.4</v>
      </c>
      <c r="D4394" s="30">
        <v>47.7</v>
      </c>
      <c r="E4394" s="30"/>
      <c r="F4394" s="30">
        <v>40.700000000000003</v>
      </c>
      <c r="G4394" s="30">
        <v>43.9</v>
      </c>
    </row>
    <row r="4395" spans="1:7" x14ac:dyDescent="0.25">
      <c r="A4395" s="29">
        <v>42001</v>
      </c>
      <c r="B4395" s="30">
        <v>47.1</v>
      </c>
      <c r="C4395" s="30">
        <v>48.1</v>
      </c>
      <c r="D4395" s="30">
        <v>49.4</v>
      </c>
      <c r="E4395" s="30"/>
      <c r="F4395" s="30">
        <v>47.4</v>
      </c>
      <c r="G4395" s="30">
        <v>46.6</v>
      </c>
    </row>
    <row r="4396" spans="1:7" x14ac:dyDescent="0.25">
      <c r="A4396" s="29">
        <v>42002</v>
      </c>
      <c r="B4396" s="30">
        <v>43</v>
      </c>
      <c r="C4396" s="30">
        <v>41.3</v>
      </c>
      <c r="D4396" s="30">
        <v>41.4</v>
      </c>
      <c r="E4396" s="30"/>
      <c r="F4396" s="30">
        <v>42.3</v>
      </c>
      <c r="G4396" s="30">
        <v>41.9</v>
      </c>
    </row>
    <row r="4397" spans="1:7" x14ac:dyDescent="0.25">
      <c r="A4397" s="29">
        <v>42003</v>
      </c>
      <c r="B4397" s="30">
        <v>33.6</v>
      </c>
      <c r="C4397" s="30">
        <v>32.6</v>
      </c>
      <c r="D4397" s="30">
        <v>32.5</v>
      </c>
      <c r="E4397" s="30"/>
      <c r="F4397" s="30">
        <v>34.1</v>
      </c>
      <c r="G4397" s="30">
        <v>32.6</v>
      </c>
    </row>
    <row r="4398" spans="1:7" x14ac:dyDescent="0.25">
      <c r="A4398" s="29">
        <v>42004</v>
      </c>
      <c r="B4398" s="30">
        <v>30.4</v>
      </c>
      <c r="C4398" s="30">
        <v>29.4</v>
      </c>
      <c r="D4398" s="30">
        <v>29.4</v>
      </c>
      <c r="E4398" s="30"/>
      <c r="F4398" s="30">
        <v>26.1</v>
      </c>
      <c r="G4398" s="30">
        <v>28.3</v>
      </c>
    </row>
    <row r="4399" spans="1:7" x14ac:dyDescent="0.25">
      <c r="A4399" s="29">
        <v>42005</v>
      </c>
      <c r="B4399">
        <v>32.6</v>
      </c>
      <c r="C4399">
        <v>31.2</v>
      </c>
      <c r="D4399">
        <v>31.4</v>
      </c>
      <c r="F4399">
        <v>31.4</v>
      </c>
      <c r="G4399">
        <v>28.9</v>
      </c>
    </row>
    <row r="4400" spans="1:7" x14ac:dyDescent="0.25">
      <c r="A4400" s="29">
        <v>42006</v>
      </c>
      <c r="B4400">
        <v>39.299999999999997</v>
      </c>
      <c r="C4400">
        <v>38.6</v>
      </c>
      <c r="D4400">
        <v>38.700000000000003</v>
      </c>
      <c r="F4400">
        <v>37.200000000000003</v>
      </c>
      <c r="G4400">
        <v>36.6</v>
      </c>
    </row>
    <row r="4401" spans="1:7" x14ac:dyDescent="0.25">
      <c r="A4401" s="29">
        <v>42007</v>
      </c>
      <c r="B4401">
        <v>36.5</v>
      </c>
      <c r="C4401">
        <v>35.200000000000003</v>
      </c>
      <c r="D4401">
        <v>35.5</v>
      </c>
      <c r="F4401">
        <v>33.700000000000003</v>
      </c>
      <c r="G4401">
        <v>33.700000000000003</v>
      </c>
    </row>
    <row r="4402" spans="1:7" x14ac:dyDescent="0.25">
      <c r="A4402" s="29">
        <v>42008</v>
      </c>
      <c r="B4402">
        <v>47.3</v>
      </c>
      <c r="C4402">
        <v>45.1</v>
      </c>
      <c r="D4402">
        <v>45.4</v>
      </c>
      <c r="F4402">
        <v>53.2</v>
      </c>
      <c r="G4402">
        <v>43.8</v>
      </c>
    </row>
    <row r="4403" spans="1:7" x14ac:dyDescent="0.25">
      <c r="A4403" s="29">
        <v>42009</v>
      </c>
      <c r="B4403">
        <v>43</v>
      </c>
      <c r="C4403">
        <v>42.5</v>
      </c>
      <c r="D4403">
        <v>40.9</v>
      </c>
      <c r="F4403">
        <v>43.7</v>
      </c>
      <c r="G4403">
        <v>41.7</v>
      </c>
    </row>
    <row r="4404" spans="1:7" x14ac:dyDescent="0.25">
      <c r="A4404" s="29">
        <v>42010</v>
      </c>
      <c r="B4404">
        <v>22.1</v>
      </c>
      <c r="C4404">
        <v>21.2</v>
      </c>
      <c r="D4404">
        <v>21</v>
      </c>
      <c r="F4404">
        <v>23.2</v>
      </c>
      <c r="G4404">
        <v>20.5</v>
      </c>
    </row>
    <row r="4405" spans="1:7" x14ac:dyDescent="0.25">
      <c r="A4405" s="29">
        <v>42011</v>
      </c>
      <c r="B4405">
        <v>22</v>
      </c>
      <c r="C4405">
        <v>21.7</v>
      </c>
      <c r="D4405">
        <v>20.7</v>
      </c>
      <c r="F4405">
        <v>18.8</v>
      </c>
      <c r="G4405">
        <v>19.3</v>
      </c>
    </row>
    <row r="4406" spans="1:7" x14ac:dyDescent="0.25">
      <c r="A4406" s="29">
        <v>42012</v>
      </c>
      <c r="B4406">
        <v>13.9</v>
      </c>
      <c r="C4406">
        <v>13.2</v>
      </c>
      <c r="D4406">
        <v>13</v>
      </c>
      <c r="F4406">
        <v>13.9</v>
      </c>
      <c r="G4406">
        <v>12</v>
      </c>
    </row>
    <row r="4407" spans="1:7" x14ac:dyDescent="0.25">
      <c r="A4407" s="29">
        <v>42013</v>
      </c>
      <c r="B4407">
        <v>26.1</v>
      </c>
      <c r="C4407">
        <v>24</v>
      </c>
      <c r="D4407">
        <v>24.9</v>
      </c>
      <c r="F4407">
        <v>26.3</v>
      </c>
      <c r="G4407">
        <v>22.8</v>
      </c>
    </row>
    <row r="4408" spans="1:7" x14ac:dyDescent="0.25">
      <c r="A4408" s="29">
        <v>42014</v>
      </c>
      <c r="B4408">
        <v>22.4</v>
      </c>
      <c r="C4408">
        <v>21.7</v>
      </c>
      <c r="D4408">
        <v>21.1</v>
      </c>
      <c r="F4408">
        <v>20.8</v>
      </c>
      <c r="G4408">
        <v>20.2</v>
      </c>
    </row>
    <row r="4409" spans="1:7" x14ac:dyDescent="0.25">
      <c r="A4409" s="29">
        <v>42015</v>
      </c>
      <c r="B4409">
        <v>25.7</v>
      </c>
      <c r="C4409">
        <v>24.8</v>
      </c>
      <c r="D4409">
        <v>25.7</v>
      </c>
      <c r="F4409">
        <v>20.100000000000001</v>
      </c>
      <c r="G4409">
        <v>22.8</v>
      </c>
    </row>
    <row r="4410" spans="1:7" x14ac:dyDescent="0.25">
      <c r="A4410" s="29">
        <v>42016</v>
      </c>
      <c r="B4410">
        <v>36.200000000000003</v>
      </c>
      <c r="C4410">
        <v>36</v>
      </c>
      <c r="D4410">
        <v>36.9</v>
      </c>
      <c r="F4410">
        <v>36.200000000000003</v>
      </c>
      <c r="G4410">
        <v>34.700000000000003</v>
      </c>
    </row>
    <row r="4411" spans="1:7" x14ac:dyDescent="0.25">
      <c r="A4411" s="29">
        <v>42017</v>
      </c>
      <c r="B4411">
        <v>32.1</v>
      </c>
      <c r="C4411">
        <v>30.2</v>
      </c>
      <c r="D4411">
        <v>29.5</v>
      </c>
      <c r="F4411">
        <v>33.799999999999997</v>
      </c>
      <c r="G4411">
        <v>31</v>
      </c>
    </row>
    <row r="4412" spans="1:7" x14ac:dyDescent="0.25">
      <c r="A4412" s="29">
        <v>42018</v>
      </c>
      <c r="B4412">
        <v>24.4</v>
      </c>
      <c r="C4412">
        <v>22</v>
      </c>
      <c r="D4412">
        <v>22.8</v>
      </c>
      <c r="F4412">
        <v>27.7</v>
      </c>
      <c r="G4412">
        <v>20.100000000000001</v>
      </c>
    </row>
    <row r="4413" spans="1:7" x14ac:dyDescent="0.25">
      <c r="A4413" s="29">
        <v>42019</v>
      </c>
      <c r="B4413">
        <v>30.9</v>
      </c>
      <c r="C4413">
        <v>29.5</v>
      </c>
      <c r="D4413">
        <v>29.5</v>
      </c>
      <c r="F4413">
        <v>31.2</v>
      </c>
      <c r="G4413">
        <v>29.7</v>
      </c>
    </row>
    <row r="4414" spans="1:7" x14ac:dyDescent="0.25">
      <c r="A4414" s="29">
        <v>42020</v>
      </c>
      <c r="B4414">
        <v>34.4</v>
      </c>
      <c r="C4414">
        <v>34</v>
      </c>
      <c r="D4414">
        <v>33.4</v>
      </c>
      <c r="F4414">
        <v>33.299999999999997</v>
      </c>
      <c r="G4414">
        <v>31.5</v>
      </c>
    </row>
    <row r="4415" spans="1:7" x14ac:dyDescent="0.25">
      <c r="A4415" s="29">
        <v>42021</v>
      </c>
      <c r="B4415">
        <v>23.2</v>
      </c>
      <c r="C4415">
        <v>22.3</v>
      </c>
      <c r="D4415">
        <v>22.2</v>
      </c>
      <c r="F4415">
        <v>24.7</v>
      </c>
      <c r="G4415">
        <v>21.9</v>
      </c>
    </row>
    <row r="4416" spans="1:7" x14ac:dyDescent="0.25">
      <c r="A4416" s="29">
        <v>42022</v>
      </c>
      <c r="B4416">
        <v>36.200000000000003</v>
      </c>
      <c r="C4416">
        <v>32.700000000000003</v>
      </c>
      <c r="D4416">
        <v>35.1</v>
      </c>
      <c r="F4416">
        <v>37.5</v>
      </c>
      <c r="G4416">
        <v>30</v>
      </c>
    </row>
    <row r="4417" spans="1:7" x14ac:dyDescent="0.25">
      <c r="A4417" s="29">
        <v>42023</v>
      </c>
      <c r="B4417">
        <v>39.700000000000003</v>
      </c>
      <c r="C4417">
        <v>39.4</v>
      </c>
      <c r="D4417">
        <v>39.200000000000003</v>
      </c>
      <c r="F4417">
        <v>38.799999999999997</v>
      </c>
      <c r="G4417">
        <v>38.1</v>
      </c>
    </row>
    <row r="4418" spans="1:7" x14ac:dyDescent="0.25">
      <c r="A4418" s="29">
        <v>42024</v>
      </c>
      <c r="B4418">
        <v>39</v>
      </c>
      <c r="C4418">
        <v>37.200000000000003</v>
      </c>
      <c r="D4418">
        <v>37.5</v>
      </c>
      <c r="F4418">
        <v>36.9</v>
      </c>
      <c r="G4418">
        <v>37.6</v>
      </c>
    </row>
    <row r="4419" spans="1:7" x14ac:dyDescent="0.25">
      <c r="A4419" s="29">
        <v>42025</v>
      </c>
      <c r="B4419">
        <v>32.4</v>
      </c>
      <c r="C4419">
        <v>30.5</v>
      </c>
      <c r="D4419">
        <v>31.4</v>
      </c>
      <c r="F4419">
        <v>30.8</v>
      </c>
      <c r="G4419">
        <v>30.2</v>
      </c>
    </row>
    <row r="4420" spans="1:7" x14ac:dyDescent="0.25">
      <c r="A4420" s="29">
        <v>42026</v>
      </c>
      <c r="B4420">
        <v>35.4</v>
      </c>
      <c r="C4420">
        <v>34</v>
      </c>
      <c r="D4420">
        <v>34.4</v>
      </c>
      <c r="F4420">
        <v>31.3</v>
      </c>
      <c r="G4420">
        <v>33.700000000000003</v>
      </c>
    </row>
    <row r="4421" spans="1:7" x14ac:dyDescent="0.25">
      <c r="A4421" s="29">
        <v>42027</v>
      </c>
      <c r="B4421">
        <v>33.200000000000003</v>
      </c>
      <c r="C4421">
        <v>32.4</v>
      </c>
      <c r="D4421">
        <v>32.700000000000003</v>
      </c>
      <c r="F4421">
        <v>30.3</v>
      </c>
      <c r="G4421">
        <v>32.200000000000003</v>
      </c>
    </row>
    <row r="4422" spans="1:7" x14ac:dyDescent="0.25">
      <c r="A4422" s="29">
        <v>42028</v>
      </c>
      <c r="B4422">
        <v>35.4</v>
      </c>
      <c r="C4422">
        <v>35.1</v>
      </c>
      <c r="D4422">
        <v>35.4</v>
      </c>
      <c r="F4422">
        <v>35.6</v>
      </c>
      <c r="G4422">
        <v>34.6</v>
      </c>
    </row>
    <row r="4423" spans="1:7" x14ac:dyDescent="0.25">
      <c r="A4423" s="29">
        <v>42029</v>
      </c>
      <c r="B4423">
        <v>38.700000000000003</v>
      </c>
      <c r="C4423">
        <v>37.6</v>
      </c>
      <c r="D4423">
        <v>37.799999999999997</v>
      </c>
      <c r="F4423">
        <v>38.5</v>
      </c>
      <c r="G4423">
        <v>36.700000000000003</v>
      </c>
    </row>
    <row r="4424" spans="1:7" x14ac:dyDescent="0.25">
      <c r="A4424" s="29">
        <v>42030</v>
      </c>
      <c r="B4424">
        <v>28.4</v>
      </c>
      <c r="C4424">
        <v>26.6</v>
      </c>
      <c r="D4424">
        <v>26.5</v>
      </c>
      <c r="F4424">
        <v>35.200000000000003</v>
      </c>
      <c r="G4424">
        <v>25.8</v>
      </c>
    </row>
    <row r="4425" spans="1:7" x14ac:dyDescent="0.25">
      <c r="A4425" s="29">
        <v>42031</v>
      </c>
      <c r="B4425">
        <v>24.8</v>
      </c>
      <c r="C4425">
        <v>24.4</v>
      </c>
      <c r="D4425">
        <v>24.8</v>
      </c>
      <c r="F4425">
        <v>28.3</v>
      </c>
      <c r="G4425">
        <v>24.6</v>
      </c>
    </row>
    <row r="4426" spans="1:7" x14ac:dyDescent="0.25">
      <c r="A4426" s="29">
        <v>42032</v>
      </c>
      <c r="B4426">
        <v>23.5</v>
      </c>
      <c r="C4426">
        <v>23.5</v>
      </c>
      <c r="D4426">
        <v>23.6</v>
      </c>
      <c r="F4426">
        <v>24.6</v>
      </c>
      <c r="G4426">
        <v>22.9</v>
      </c>
    </row>
    <row r="4427" spans="1:7" x14ac:dyDescent="0.25">
      <c r="A4427" s="29">
        <v>42033</v>
      </c>
      <c r="B4427">
        <v>25.4</v>
      </c>
      <c r="C4427">
        <v>26.3</v>
      </c>
      <c r="D4427">
        <v>26.6</v>
      </c>
      <c r="F4427">
        <v>24.4</v>
      </c>
      <c r="G4427">
        <v>24.2</v>
      </c>
    </row>
    <row r="4428" spans="1:7" x14ac:dyDescent="0.25">
      <c r="A4428" s="29">
        <v>42034</v>
      </c>
      <c r="B4428">
        <v>35.5</v>
      </c>
      <c r="C4428">
        <v>33.9</v>
      </c>
      <c r="D4428">
        <v>34.200000000000003</v>
      </c>
      <c r="F4428">
        <v>36.5</v>
      </c>
      <c r="G4428">
        <v>32.799999999999997</v>
      </c>
    </row>
    <row r="4429" spans="1:7" x14ac:dyDescent="0.25">
      <c r="A4429" s="29">
        <v>42035</v>
      </c>
      <c r="B4429">
        <v>20.8</v>
      </c>
      <c r="C4429">
        <v>20.399999999999999</v>
      </c>
      <c r="D4429">
        <v>19.600000000000001</v>
      </c>
      <c r="F4429">
        <v>22.3</v>
      </c>
      <c r="G4429">
        <v>19.3</v>
      </c>
    </row>
    <row r="4430" spans="1:7" x14ac:dyDescent="0.25">
      <c r="A4430" s="29">
        <v>42036</v>
      </c>
      <c r="B4430">
        <v>27.4</v>
      </c>
      <c r="C4430">
        <v>27.5</v>
      </c>
      <c r="D4430">
        <v>27.6</v>
      </c>
      <c r="F4430">
        <v>28.3</v>
      </c>
      <c r="G4430">
        <v>25.3</v>
      </c>
    </row>
    <row r="4431" spans="1:7" x14ac:dyDescent="0.25">
      <c r="A4431" s="29">
        <v>42037</v>
      </c>
      <c r="B4431">
        <v>31.7</v>
      </c>
      <c r="C4431">
        <v>29.6</v>
      </c>
      <c r="D4431">
        <v>29.9</v>
      </c>
      <c r="F4431">
        <v>40.4</v>
      </c>
      <c r="G4431">
        <v>30.4</v>
      </c>
    </row>
    <row r="4432" spans="1:7" x14ac:dyDescent="0.25">
      <c r="A4432" s="29">
        <v>42038</v>
      </c>
      <c r="B4432">
        <v>19.7</v>
      </c>
      <c r="C4432">
        <v>19.3</v>
      </c>
      <c r="D4432">
        <v>18.100000000000001</v>
      </c>
      <c r="F4432">
        <v>23.6</v>
      </c>
      <c r="G4432">
        <v>18.100000000000001</v>
      </c>
    </row>
    <row r="4433" spans="1:7" x14ac:dyDescent="0.25">
      <c r="A4433" s="29">
        <v>42039</v>
      </c>
      <c r="B4433">
        <v>30.7</v>
      </c>
      <c r="C4433">
        <v>30</v>
      </c>
      <c r="D4433">
        <v>31.2</v>
      </c>
      <c r="F4433">
        <v>31.2</v>
      </c>
      <c r="G4433">
        <v>26.5</v>
      </c>
    </row>
    <row r="4434" spans="1:7" x14ac:dyDescent="0.25">
      <c r="A4434" s="29">
        <v>42040</v>
      </c>
      <c r="B4434">
        <v>32.9</v>
      </c>
      <c r="C4434">
        <v>33.200000000000003</v>
      </c>
      <c r="D4434">
        <v>33.799999999999997</v>
      </c>
      <c r="F4434">
        <v>34.299999999999997</v>
      </c>
      <c r="G4434">
        <v>32.9</v>
      </c>
    </row>
    <row r="4435" spans="1:7" x14ac:dyDescent="0.25">
      <c r="A4435" s="29">
        <v>42041</v>
      </c>
      <c r="B4435">
        <v>18.600000000000001</v>
      </c>
      <c r="C4435">
        <v>18.100000000000001</v>
      </c>
      <c r="D4435">
        <v>17.899999999999999</v>
      </c>
      <c r="F4435">
        <v>21.3</v>
      </c>
      <c r="G4435">
        <v>16.399999999999999</v>
      </c>
    </row>
    <row r="4436" spans="1:7" x14ac:dyDescent="0.25">
      <c r="A4436" s="29">
        <v>42042</v>
      </c>
      <c r="B4436">
        <v>29.7</v>
      </c>
      <c r="C4436">
        <v>29</v>
      </c>
      <c r="D4436">
        <v>29.8</v>
      </c>
      <c r="F4436">
        <v>28.5</v>
      </c>
      <c r="G4436">
        <v>27.2</v>
      </c>
    </row>
    <row r="4437" spans="1:7" x14ac:dyDescent="0.25">
      <c r="A4437" s="29">
        <v>42043</v>
      </c>
      <c r="B4437">
        <v>37.200000000000003</v>
      </c>
      <c r="C4437">
        <v>33</v>
      </c>
      <c r="D4437">
        <v>35.1</v>
      </c>
      <c r="F4437">
        <v>41.4</v>
      </c>
      <c r="G4437">
        <v>34.299999999999997</v>
      </c>
    </row>
    <row r="4438" spans="1:7" x14ac:dyDescent="0.25">
      <c r="A4438" s="29">
        <v>42044</v>
      </c>
      <c r="B4438">
        <v>28.4</v>
      </c>
      <c r="C4438">
        <v>28.9</v>
      </c>
      <c r="D4438">
        <v>27.7</v>
      </c>
      <c r="F4438">
        <v>34.299999999999997</v>
      </c>
      <c r="G4438">
        <v>28.6</v>
      </c>
    </row>
    <row r="4439" spans="1:7" x14ac:dyDescent="0.25">
      <c r="A4439" s="29">
        <v>42045</v>
      </c>
      <c r="B4439">
        <v>29.9</v>
      </c>
      <c r="C4439">
        <v>29.9</v>
      </c>
      <c r="D4439">
        <v>30</v>
      </c>
      <c r="F4439">
        <v>31.2</v>
      </c>
      <c r="G4439">
        <v>29.1</v>
      </c>
    </row>
    <row r="4440" spans="1:7" x14ac:dyDescent="0.25">
      <c r="A4440" s="29">
        <v>42046</v>
      </c>
      <c r="B4440">
        <v>29.6</v>
      </c>
      <c r="C4440">
        <v>28.4</v>
      </c>
      <c r="D4440">
        <v>28.3</v>
      </c>
      <c r="F4440">
        <v>31.1</v>
      </c>
      <c r="G4440">
        <v>27.5</v>
      </c>
    </row>
    <row r="4441" spans="1:7" x14ac:dyDescent="0.25">
      <c r="A4441" s="29">
        <v>42047</v>
      </c>
      <c r="B4441">
        <v>31.2</v>
      </c>
      <c r="C4441">
        <v>32.299999999999997</v>
      </c>
      <c r="D4441">
        <v>32.299999999999997</v>
      </c>
      <c r="F4441">
        <v>29.8</v>
      </c>
      <c r="G4441">
        <v>31</v>
      </c>
    </row>
    <row r="4442" spans="1:7" x14ac:dyDescent="0.25">
      <c r="A4442" s="29">
        <v>42048</v>
      </c>
      <c r="B4442">
        <v>18.8</v>
      </c>
      <c r="C4442">
        <v>17.600000000000001</v>
      </c>
      <c r="D4442">
        <v>16.100000000000001</v>
      </c>
      <c r="F4442">
        <v>19.600000000000001</v>
      </c>
      <c r="G4442">
        <v>16.3</v>
      </c>
    </row>
    <row r="4443" spans="1:7" x14ac:dyDescent="0.25">
      <c r="A4443" s="29">
        <v>42049</v>
      </c>
      <c r="B4443">
        <v>24.2</v>
      </c>
      <c r="C4443">
        <v>22.9</v>
      </c>
      <c r="D4443">
        <v>23.4</v>
      </c>
      <c r="F4443">
        <v>22.2</v>
      </c>
      <c r="G4443">
        <v>21.3</v>
      </c>
    </row>
    <row r="4444" spans="1:7" x14ac:dyDescent="0.25">
      <c r="A4444" s="29">
        <v>42050</v>
      </c>
      <c r="B4444">
        <v>21.3</v>
      </c>
      <c r="C4444">
        <v>20.5</v>
      </c>
      <c r="D4444">
        <v>18.899999999999999</v>
      </c>
      <c r="F4444">
        <v>16.600000000000001</v>
      </c>
      <c r="G4444">
        <v>19.2</v>
      </c>
    </row>
    <row r="4445" spans="1:7" x14ac:dyDescent="0.25">
      <c r="A4445" s="29">
        <v>42051</v>
      </c>
      <c r="B4445">
        <v>11.3</v>
      </c>
      <c r="C4445">
        <v>10.199999999999999</v>
      </c>
      <c r="D4445">
        <v>9.8000000000000007</v>
      </c>
      <c r="F4445">
        <v>9.3000000000000007</v>
      </c>
      <c r="G4445">
        <v>9</v>
      </c>
    </row>
    <row r="4446" spans="1:7" x14ac:dyDescent="0.25">
      <c r="A4446" s="29">
        <v>42052</v>
      </c>
      <c r="B4446">
        <v>20.399999999999999</v>
      </c>
      <c r="C4446">
        <v>19.399999999999999</v>
      </c>
      <c r="D4446">
        <v>20.2</v>
      </c>
      <c r="F4446">
        <v>17</v>
      </c>
      <c r="G4446">
        <v>18.899999999999999</v>
      </c>
    </row>
    <row r="4447" spans="1:7" x14ac:dyDescent="0.25">
      <c r="A4447" s="29">
        <v>42053</v>
      </c>
      <c r="B4447">
        <v>22.7</v>
      </c>
      <c r="C4447">
        <v>24.2</v>
      </c>
      <c r="D4447">
        <v>24.9</v>
      </c>
      <c r="F4447">
        <v>18.7</v>
      </c>
      <c r="G4447">
        <v>22.2</v>
      </c>
    </row>
    <row r="4448" spans="1:7" x14ac:dyDescent="0.25">
      <c r="A4448" s="29">
        <v>42054</v>
      </c>
      <c r="B4448">
        <v>22.1</v>
      </c>
      <c r="C4448">
        <v>22</v>
      </c>
      <c r="D4448">
        <v>20.9</v>
      </c>
      <c r="F4448">
        <v>18.5</v>
      </c>
      <c r="G4448">
        <v>20.399999999999999</v>
      </c>
    </row>
    <row r="4449" spans="1:7" x14ac:dyDescent="0.25">
      <c r="A4449" s="29">
        <v>42055</v>
      </c>
      <c r="B4449">
        <v>11.2</v>
      </c>
      <c r="C4449">
        <v>10.9</v>
      </c>
      <c r="D4449">
        <v>10</v>
      </c>
      <c r="F4449">
        <v>8.6999999999999993</v>
      </c>
      <c r="G4449">
        <v>9.4</v>
      </c>
    </row>
    <row r="4450" spans="1:7" x14ac:dyDescent="0.25">
      <c r="A4450" s="29">
        <v>42056</v>
      </c>
      <c r="B4450">
        <v>20.7</v>
      </c>
      <c r="C4450">
        <v>20.100000000000001</v>
      </c>
      <c r="D4450">
        <v>20.5</v>
      </c>
      <c r="F4450">
        <v>12.6</v>
      </c>
      <c r="G4450">
        <v>16.899999999999999</v>
      </c>
    </row>
    <row r="4451" spans="1:7" x14ac:dyDescent="0.25">
      <c r="A4451" s="29">
        <v>42057</v>
      </c>
      <c r="B4451">
        <v>34.200000000000003</v>
      </c>
      <c r="C4451">
        <v>34.1</v>
      </c>
      <c r="D4451">
        <v>34.299999999999997</v>
      </c>
      <c r="F4451">
        <v>36.1</v>
      </c>
      <c r="G4451">
        <v>33.700000000000003</v>
      </c>
    </row>
    <row r="4452" spans="1:7" x14ac:dyDescent="0.25">
      <c r="A4452" s="29">
        <v>42058</v>
      </c>
      <c r="B4452">
        <v>29.4</v>
      </c>
      <c r="C4452">
        <v>29.3</v>
      </c>
      <c r="D4452">
        <v>28.2</v>
      </c>
      <c r="F4452">
        <v>30.8</v>
      </c>
      <c r="G4452">
        <v>28.9</v>
      </c>
    </row>
    <row r="4453" spans="1:7" x14ac:dyDescent="0.25">
      <c r="A4453" s="29">
        <v>42059</v>
      </c>
      <c r="B4453">
        <v>13.5</v>
      </c>
      <c r="C4453">
        <v>12.4</v>
      </c>
      <c r="D4453">
        <v>12.1</v>
      </c>
      <c r="F4453">
        <v>14.5</v>
      </c>
      <c r="G4453">
        <v>11.8</v>
      </c>
    </row>
    <row r="4454" spans="1:7" x14ac:dyDescent="0.25">
      <c r="A4454" s="29">
        <v>42060</v>
      </c>
      <c r="B4454">
        <v>27.8</v>
      </c>
      <c r="C4454">
        <v>27.7</v>
      </c>
      <c r="D4454">
        <v>27.6</v>
      </c>
      <c r="F4454">
        <v>25.8</v>
      </c>
      <c r="G4454">
        <v>25.1</v>
      </c>
    </row>
    <row r="4455" spans="1:7" x14ac:dyDescent="0.25">
      <c r="A4455" s="29">
        <v>42061</v>
      </c>
      <c r="B4455">
        <v>27.8</v>
      </c>
      <c r="C4455">
        <v>26.9</v>
      </c>
      <c r="D4455">
        <v>26.8</v>
      </c>
      <c r="F4455">
        <v>29.1</v>
      </c>
      <c r="G4455">
        <v>25.7</v>
      </c>
    </row>
    <row r="4456" spans="1:7" x14ac:dyDescent="0.25">
      <c r="A4456" s="29">
        <v>42062</v>
      </c>
      <c r="B4456">
        <v>24.9</v>
      </c>
      <c r="C4456">
        <v>23.7</v>
      </c>
      <c r="D4456">
        <v>23.2</v>
      </c>
      <c r="F4456">
        <v>23.1</v>
      </c>
      <c r="G4456">
        <v>23.4</v>
      </c>
    </row>
    <row r="4457" spans="1:7" x14ac:dyDescent="0.25">
      <c r="A4457" s="29">
        <v>42063</v>
      </c>
      <c r="B4457">
        <v>23.2</v>
      </c>
      <c r="C4457">
        <v>22.1</v>
      </c>
      <c r="D4457">
        <v>21.5</v>
      </c>
      <c r="F4457">
        <v>21.9</v>
      </c>
      <c r="G4457">
        <v>21.8</v>
      </c>
    </row>
    <row r="4458" spans="1:7" x14ac:dyDescent="0.25">
      <c r="A4458" s="29">
        <v>42064</v>
      </c>
      <c r="B4458">
        <v>26</v>
      </c>
      <c r="C4458">
        <v>26.7</v>
      </c>
      <c r="D4458">
        <v>27.2</v>
      </c>
      <c r="F4458">
        <v>22.4</v>
      </c>
      <c r="G4458">
        <v>23.9</v>
      </c>
    </row>
    <row r="4459" spans="1:7" x14ac:dyDescent="0.25">
      <c r="A4459" s="29">
        <v>42065</v>
      </c>
      <c r="B4459">
        <v>32.5</v>
      </c>
      <c r="C4459">
        <v>32.200000000000003</v>
      </c>
      <c r="D4459">
        <v>32.4</v>
      </c>
      <c r="F4459">
        <v>34.9</v>
      </c>
      <c r="G4459">
        <v>31.4</v>
      </c>
    </row>
    <row r="4460" spans="1:7" x14ac:dyDescent="0.25">
      <c r="A4460" s="29">
        <v>42066</v>
      </c>
      <c r="B4460">
        <v>28.6</v>
      </c>
      <c r="C4460">
        <v>28.4</v>
      </c>
      <c r="D4460">
        <v>28.2</v>
      </c>
      <c r="F4460">
        <v>28.2</v>
      </c>
      <c r="G4460">
        <v>27.4</v>
      </c>
    </row>
    <row r="4461" spans="1:7" x14ac:dyDescent="0.25">
      <c r="A4461" s="29">
        <v>42067</v>
      </c>
      <c r="B4461">
        <v>36.6</v>
      </c>
      <c r="C4461">
        <v>38.9</v>
      </c>
      <c r="D4461">
        <v>38.5</v>
      </c>
      <c r="F4461">
        <v>40.299999999999997</v>
      </c>
      <c r="G4461">
        <v>36.5</v>
      </c>
    </row>
    <row r="4462" spans="1:7" x14ac:dyDescent="0.25">
      <c r="A4462" s="29">
        <v>42068</v>
      </c>
      <c r="B4462">
        <v>32.799999999999997</v>
      </c>
      <c r="C4462">
        <v>32.9</v>
      </c>
      <c r="D4462">
        <v>30.3</v>
      </c>
      <c r="F4462">
        <v>35.1</v>
      </c>
      <c r="G4462">
        <v>32</v>
      </c>
    </row>
    <row r="4463" spans="1:7" x14ac:dyDescent="0.25">
      <c r="A4463" s="29">
        <v>42069</v>
      </c>
      <c r="B4463">
        <v>20.2</v>
      </c>
      <c r="C4463">
        <v>21</v>
      </c>
      <c r="D4463">
        <v>19.399999999999999</v>
      </c>
      <c r="F4463">
        <v>18.2</v>
      </c>
      <c r="G4463">
        <v>19.7</v>
      </c>
    </row>
    <row r="4464" spans="1:7" x14ac:dyDescent="0.25">
      <c r="A4464" s="29">
        <v>42070</v>
      </c>
      <c r="B4464">
        <v>25.5</v>
      </c>
      <c r="C4464">
        <v>26.8</v>
      </c>
      <c r="D4464">
        <v>26.1</v>
      </c>
      <c r="F4464">
        <v>22.4</v>
      </c>
      <c r="G4464">
        <v>23.1</v>
      </c>
    </row>
    <row r="4465" spans="1:7" x14ac:dyDescent="0.25">
      <c r="A4465" s="29">
        <v>42071</v>
      </c>
      <c r="B4465">
        <v>38.9</v>
      </c>
      <c r="C4465">
        <v>40.200000000000003</v>
      </c>
      <c r="D4465">
        <v>41.4</v>
      </c>
      <c r="F4465">
        <v>40.799999999999997</v>
      </c>
      <c r="G4465">
        <v>38.6</v>
      </c>
    </row>
    <row r="4466" spans="1:7" x14ac:dyDescent="0.25">
      <c r="A4466" s="29">
        <v>42072</v>
      </c>
      <c r="B4466">
        <v>42.4</v>
      </c>
      <c r="C4466">
        <v>44.9</v>
      </c>
      <c r="D4466">
        <v>46.6</v>
      </c>
      <c r="F4466">
        <v>42.2</v>
      </c>
      <c r="G4466">
        <v>43.1</v>
      </c>
    </row>
    <row r="4467" spans="1:7" x14ac:dyDescent="0.25">
      <c r="A4467" s="29">
        <v>42073</v>
      </c>
      <c r="B4467">
        <v>42.3</v>
      </c>
      <c r="C4467">
        <v>40.700000000000003</v>
      </c>
      <c r="D4467">
        <v>47.2</v>
      </c>
      <c r="F4467">
        <v>42</v>
      </c>
      <c r="G4467">
        <v>43.8</v>
      </c>
    </row>
    <row r="4468" spans="1:7" x14ac:dyDescent="0.25">
      <c r="A4468" s="29">
        <v>42074</v>
      </c>
      <c r="B4468">
        <v>48.8</v>
      </c>
      <c r="C4468">
        <v>46.4</v>
      </c>
      <c r="D4468">
        <v>48.8</v>
      </c>
      <c r="F4468">
        <v>51.6</v>
      </c>
      <c r="G4468">
        <v>50</v>
      </c>
    </row>
    <row r="4469" spans="1:7" x14ac:dyDescent="0.25">
      <c r="A4469" s="29">
        <v>42075</v>
      </c>
      <c r="B4469">
        <v>46.8</v>
      </c>
      <c r="C4469">
        <v>45.3</v>
      </c>
      <c r="D4469">
        <v>45.1</v>
      </c>
      <c r="F4469">
        <v>46.7</v>
      </c>
      <c r="G4469">
        <v>46.4</v>
      </c>
    </row>
    <row r="4470" spans="1:7" x14ac:dyDescent="0.25">
      <c r="A4470" s="29">
        <v>42076</v>
      </c>
      <c r="B4470">
        <v>37.1</v>
      </c>
      <c r="C4470">
        <v>37.1</v>
      </c>
      <c r="D4470">
        <v>37.6</v>
      </c>
      <c r="F4470">
        <v>35.9</v>
      </c>
      <c r="G4470">
        <v>37.1</v>
      </c>
    </row>
    <row r="4471" spans="1:7" x14ac:dyDescent="0.25">
      <c r="A4471" s="29">
        <v>42077</v>
      </c>
      <c r="B4471">
        <v>42.7</v>
      </c>
      <c r="C4471">
        <v>43.6</v>
      </c>
      <c r="D4471">
        <v>44</v>
      </c>
      <c r="F4471">
        <v>46.6</v>
      </c>
      <c r="G4471">
        <v>43</v>
      </c>
    </row>
    <row r="4472" spans="1:7" x14ac:dyDescent="0.25">
      <c r="A4472" s="29">
        <v>42078</v>
      </c>
      <c r="B4472">
        <v>45.1</v>
      </c>
      <c r="C4472">
        <v>44.1</v>
      </c>
      <c r="D4472">
        <v>42.4</v>
      </c>
      <c r="F4472">
        <v>46.5</v>
      </c>
      <c r="G4472">
        <v>43.7</v>
      </c>
    </row>
    <row r="4473" spans="1:7" x14ac:dyDescent="0.25">
      <c r="A4473" s="29">
        <v>42079</v>
      </c>
      <c r="B4473">
        <v>40.9</v>
      </c>
      <c r="C4473">
        <v>40.200000000000003</v>
      </c>
      <c r="D4473">
        <v>40.700000000000003</v>
      </c>
      <c r="F4473">
        <v>41.5</v>
      </c>
      <c r="G4473">
        <v>41.4</v>
      </c>
    </row>
    <row r="4474" spans="1:7" x14ac:dyDescent="0.25">
      <c r="A4474" s="29">
        <v>42080</v>
      </c>
      <c r="B4474">
        <v>46.8</v>
      </c>
      <c r="C4474">
        <v>47.9</v>
      </c>
      <c r="D4474">
        <v>49.7</v>
      </c>
      <c r="F4474">
        <v>52.8</v>
      </c>
      <c r="G4474">
        <v>49.8</v>
      </c>
    </row>
    <row r="4475" spans="1:7" x14ac:dyDescent="0.25">
      <c r="A4475" s="29">
        <v>42081</v>
      </c>
      <c r="B4475">
        <v>35.200000000000003</v>
      </c>
      <c r="C4475">
        <v>33.700000000000003</v>
      </c>
      <c r="D4475">
        <v>33.9</v>
      </c>
      <c r="F4475">
        <v>38.1</v>
      </c>
      <c r="G4475">
        <v>34.6</v>
      </c>
    </row>
    <row r="4476" spans="1:7" x14ac:dyDescent="0.25">
      <c r="A4476" s="29">
        <v>42082</v>
      </c>
      <c r="B4476">
        <v>34.6</v>
      </c>
      <c r="C4476">
        <v>33.5</v>
      </c>
      <c r="D4476">
        <v>34</v>
      </c>
      <c r="F4476">
        <v>32.4</v>
      </c>
      <c r="G4476">
        <v>34.200000000000003</v>
      </c>
    </row>
    <row r="4477" spans="1:7" x14ac:dyDescent="0.25">
      <c r="A4477" s="29">
        <v>42083</v>
      </c>
      <c r="B4477">
        <v>35</v>
      </c>
      <c r="C4477">
        <v>34.4</v>
      </c>
      <c r="D4477">
        <v>34.5</v>
      </c>
      <c r="F4477">
        <v>33.200000000000003</v>
      </c>
      <c r="G4477">
        <v>35.1</v>
      </c>
    </row>
    <row r="4478" spans="1:7" x14ac:dyDescent="0.25">
      <c r="A4478" s="29">
        <v>42084</v>
      </c>
      <c r="B4478">
        <v>34.6</v>
      </c>
      <c r="C4478">
        <v>34.9</v>
      </c>
      <c r="D4478">
        <v>33.700000000000003</v>
      </c>
      <c r="F4478">
        <v>38.700000000000003</v>
      </c>
      <c r="G4478">
        <v>34.799999999999997</v>
      </c>
    </row>
    <row r="4479" spans="1:7" x14ac:dyDescent="0.25">
      <c r="A4479" s="29">
        <v>42085</v>
      </c>
      <c r="B4479">
        <v>41.3</v>
      </c>
      <c r="C4479">
        <v>39.9</v>
      </c>
      <c r="D4479">
        <v>39.1</v>
      </c>
      <c r="F4479">
        <v>43.9</v>
      </c>
      <c r="G4479">
        <v>40.799999999999997</v>
      </c>
    </row>
    <row r="4480" spans="1:7" x14ac:dyDescent="0.25">
      <c r="A4480" s="29">
        <v>42086</v>
      </c>
      <c r="B4480">
        <v>32.1</v>
      </c>
      <c r="C4480">
        <v>30.5</v>
      </c>
      <c r="D4480">
        <v>30.3</v>
      </c>
      <c r="F4480">
        <v>32.799999999999997</v>
      </c>
      <c r="G4480">
        <v>31.6</v>
      </c>
    </row>
    <row r="4481" spans="1:7" x14ac:dyDescent="0.25">
      <c r="A4481" s="29">
        <v>42087</v>
      </c>
      <c r="B4481">
        <v>33.700000000000003</v>
      </c>
      <c r="C4481">
        <v>33.6</v>
      </c>
      <c r="D4481">
        <v>33.799999999999997</v>
      </c>
      <c r="F4481">
        <v>33.700000000000003</v>
      </c>
      <c r="G4481">
        <v>34.299999999999997</v>
      </c>
    </row>
    <row r="4482" spans="1:7" x14ac:dyDescent="0.25">
      <c r="A4482" s="29">
        <v>42088</v>
      </c>
      <c r="B4482">
        <v>37.4</v>
      </c>
      <c r="C4482">
        <v>39.1</v>
      </c>
      <c r="D4482">
        <v>39.9</v>
      </c>
      <c r="F4482">
        <v>32.700000000000003</v>
      </c>
      <c r="G4482">
        <v>37.700000000000003</v>
      </c>
    </row>
    <row r="4483" spans="1:7" x14ac:dyDescent="0.25">
      <c r="A4483" s="29">
        <v>42089</v>
      </c>
      <c r="B4483">
        <v>45.3</v>
      </c>
      <c r="C4483">
        <v>45.2</v>
      </c>
      <c r="D4483">
        <v>46.9</v>
      </c>
      <c r="F4483">
        <v>51.9</v>
      </c>
      <c r="G4483">
        <v>45.1</v>
      </c>
    </row>
    <row r="4484" spans="1:7" x14ac:dyDescent="0.25">
      <c r="A4484" s="29">
        <v>42090</v>
      </c>
      <c r="B4484">
        <v>45.3</v>
      </c>
      <c r="C4484">
        <v>44.9</v>
      </c>
      <c r="D4484">
        <v>43.9</v>
      </c>
      <c r="F4484">
        <v>45.5</v>
      </c>
      <c r="G4484">
        <v>46.4</v>
      </c>
    </row>
    <row r="4485" spans="1:7" x14ac:dyDescent="0.25">
      <c r="A4485" s="29">
        <v>42091</v>
      </c>
      <c r="B4485">
        <v>39</v>
      </c>
      <c r="C4485">
        <v>37.6</v>
      </c>
      <c r="D4485">
        <v>37.200000000000003</v>
      </c>
      <c r="F4485">
        <v>39.299999999999997</v>
      </c>
      <c r="G4485">
        <v>39.4</v>
      </c>
    </row>
    <row r="4486" spans="1:7" x14ac:dyDescent="0.25">
      <c r="A4486" s="29">
        <v>42092</v>
      </c>
      <c r="B4486">
        <v>34.200000000000003</v>
      </c>
      <c r="C4486">
        <v>33.5</v>
      </c>
      <c r="D4486">
        <v>33.4</v>
      </c>
      <c r="F4486">
        <v>33.299999999999997</v>
      </c>
      <c r="G4486">
        <v>34.1</v>
      </c>
    </row>
    <row r="4487" spans="1:7" x14ac:dyDescent="0.25">
      <c r="A4487" s="29">
        <v>42093</v>
      </c>
      <c r="B4487">
        <v>41.7</v>
      </c>
      <c r="C4487">
        <v>42.2</v>
      </c>
      <c r="D4487">
        <v>43.3</v>
      </c>
      <c r="F4487">
        <v>42.1</v>
      </c>
      <c r="G4487">
        <v>42.6</v>
      </c>
    </row>
    <row r="4488" spans="1:7" x14ac:dyDescent="0.25">
      <c r="A4488" s="29">
        <v>42094</v>
      </c>
      <c r="B4488">
        <v>44.5</v>
      </c>
      <c r="C4488">
        <v>42.8</v>
      </c>
      <c r="D4488">
        <v>42.2</v>
      </c>
      <c r="F4488">
        <v>46.6</v>
      </c>
      <c r="G4488">
        <v>42.9</v>
      </c>
    </row>
    <row r="4489" spans="1:7" x14ac:dyDescent="0.25">
      <c r="A4489" s="29">
        <v>42095</v>
      </c>
      <c r="B4489">
        <v>41.5</v>
      </c>
      <c r="C4489">
        <v>39.799999999999997</v>
      </c>
      <c r="D4489">
        <v>38.9</v>
      </c>
      <c r="F4489">
        <v>42.5</v>
      </c>
      <c r="G4489">
        <v>40.5</v>
      </c>
    </row>
    <row r="4490" spans="1:7" x14ac:dyDescent="0.25">
      <c r="A4490" s="29">
        <v>42096</v>
      </c>
      <c r="B4490">
        <v>46.3</v>
      </c>
      <c r="C4490">
        <v>49.9</v>
      </c>
      <c r="D4490">
        <v>51.8</v>
      </c>
      <c r="F4490">
        <v>45.7</v>
      </c>
      <c r="G4490">
        <v>50.4</v>
      </c>
    </row>
    <row r="4491" spans="1:7" x14ac:dyDescent="0.25">
      <c r="A4491" s="29">
        <v>42097</v>
      </c>
      <c r="B4491">
        <v>49.9</v>
      </c>
      <c r="C4491">
        <v>59.2</v>
      </c>
      <c r="D4491">
        <v>61.1</v>
      </c>
      <c r="F4491">
        <v>56.3</v>
      </c>
      <c r="G4491">
        <v>60.9</v>
      </c>
    </row>
    <row r="4492" spans="1:7" x14ac:dyDescent="0.25">
      <c r="A4492" s="29">
        <v>42098</v>
      </c>
      <c r="B4492">
        <v>50.8</v>
      </c>
      <c r="C4492">
        <v>52</v>
      </c>
      <c r="D4492">
        <v>52.9</v>
      </c>
      <c r="F4492">
        <v>57.5</v>
      </c>
      <c r="G4492">
        <v>55.9</v>
      </c>
    </row>
    <row r="4493" spans="1:7" x14ac:dyDescent="0.25">
      <c r="A4493" s="29">
        <v>42099</v>
      </c>
      <c r="B4493">
        <v>50.2</v>
      </c>
      <c r="C4493">
        <v>50.1</v>
      </c>
      <c r="D4493">
        <v>49.3</v>
      </c>
      <c r="F4493">
        <v>50.6</v>
      </c>
      <c r="G4493">
        <v>49.6</v>
      </c>
    </row>
    <row r="4494" spans="1:7" x14ac:dyDescent="0.25">
      <c r="A4494" s="29">
        <v>42100</v>
      </c>
      <c r="B4494">
        <v>49.1</v>
      </c>
      <c r="C4494">
        <v>46.7</v>
      </c>
      <c r="D4494">
        <v>50.8</v>
      </c>
      <c r="F4494">
        <v>55.5</v>
      </c>
      <c r="G4494">
        <v>52.3</v>
      </c>
    </row>
    <row r="4495" spans="1:7" x14ac:dyDescent="0.25">
      <c r="A4495" s="29">
        <v>42101</v>
      </c>
      <c r="B4495">
        <v>51.2</v>
      </c>
      <c r="C4495">
        <v>50.6</v>
      </c>
      <c r="D4495">
        <v>54.9</v>
      </c>
      <c r="F4495">
        <v>58</v>
      </c>
      <c r="G4495">
        <v>56.6</v>
      </c>
    </row>
    <row r="4496" spans="1:7" x14ac:dyDescent="0.25">
      <c r="A4496" s="29">
        <v>42102</v>
      </c>
      <c r="B4496">
        <v>45.3</v>
      </c>
      <c r="C4496">
        <v>43</v>
      </c>
      <c r="D4496">
        <v>42.3</v>
      </c>
      <c r="F4496">
        <v>42.2</v>
      </c>
      <c r="G4496">
        <v>44.7</v>
      </c>
    </row>
    <row r="4497" spans="1:7" x14ac:dyDescent="0.25">
      <c r="A4497" s="29">
        <v>42103</v>
      </c>
      <c r="B4497">
        <v>40.200000000000003</v>
      </c>
      <c r="C4497">
        <v>39.299999999999997</v>
      </c>
      <c r="D4497">
        <v>38.799999999999997</v>
      </c>
      <c r="F4497">
        <v>40</v>
      </c>
      <c r="G4497">
        <v>40.5</v>
      </c>
    </row>
    <row r="4498" spans="1:7" x14ac:dyDescent="0.25">
      <c r="A4498" s="29">
        <v>42104</v>
      </c>
      <c r="B4498">
        <v>44</v>
      </c>
      <c r="C4498">
        <v>43</v>
      </c>
      <c r="D4498">
        <v>44.6</v>
      </c>
      <c r="F4498">
        <v>49.3</v>
      </c>
      <c r="G4498">
        <v>45.4</v>
      </c>
    </row>
    <row r="4499" spans="1:7" x14ac:dyDescent="0.25">
      <c r="A4499" s="29">
        <v>42105</v>
      </c>
      <c r="B4499">
        <v>56.1</v>
      </c>
      <c r="C4499">
        <v>55.3</v>
      </c>
      <c r="D4499">
        <v>54.1</v>
      </c>
      <c r="F4499">
        <v>57.1</v>
      </c>
      <c r="G4499">
        <v>55.6</v>
      </c>
    </row>
    <row r="4500" spans="1:7" x14ac:dyDescent="0.25">
      <c r="A4500" s="29">
        <v>42106</v>
      </c>
      <c r="B4500">
        <v>50.9</v>
      </c>
      <c r="C4500">
        <v>51.3</v>
      </c>
      <c r="D4500">
        <v>51.3</v>
      </c>
      <c r="F4500">
        <v>48.3</v>
      </c>
      <c r="G4500">
        <v>52.4</v>
      </c>
    </row>
    <row r="4501" spans="1:7" x14ac:dyDescent="0.25">
      <c r="A4501" s="29">
        <v>42107</v>
      </c>
      <c r="B4501">
        <v>51.1</v>
      </c>
      <c r="C4501">
        <v>55.6</v>
      </c>
      <c r="D4501">
        <v>57.7</v>
      </c>
      <c r="F4501">
        <v>52.9</v>
      </c>
      <c r="G4501">
        <v>56.9</v>
      </c>
    </row>
    <row r="4502" spans="1:7" x14ac:dyDescent="0.25">
      <c r="A4502" s="29">
        <v>42108</v>
      </c>
      <c r="B4502">
        <v>55.8</v>
      </c>
      <c r="C4502">
        <v>59.3</v>
      </c>
      <c r="D4502">
        <v>60.7</v>
      </c>
      <c r="F4502">
        <v>58.1</v>
      </c>
      <c r="G4502">
        <v>61.8</v>
      </c>
    </row>
    <row r="4503" spans="1:7" x14ac:dyDescent="0.25">
      <c r="A4503" s="29">
        <v>42109</v>
      </c>
      <c r="B4503">
        <v>59.5</v>
      </c>
      <c r="C4503">
        <v>59.1</v>
      </c>
      <c r="D4503">
        <v>61</v>
      </c>
      <c r="F4503">
        <v>54.4</v>
      </c>
      <c r="G4503">
        <v>61.8</v>
      </c>
    </row>
    <row r="4504" spans="1:7" x14ac:dyDescent="0.25">
      <c r="A4504" s="29">
        <v>42110</v>
      </c>
      <c r="B4504">
        <v>56.8</v>
      </c>
      <c r="C4504">
        <v>56.5</v>
      </c>
      <c r="D4504">
        <v>58</v>
      </c>
      <c r="F4504">
        <v>53.1</v>
      </c>
      <c r="G4504">
        <v>56.5</v>
      </c>
    </row>
    <row r="4505" spans="1:7" x14ac:dyDescent="0.25">
      <c r="A4505" s="29">
        <v>42111</v>
      </c>
      <c r="B4505">
        <v>55.6</v>
      </c>
      <c r="C4505">
        <v>59.7</v>
      </c>
      <c r="D4505">
        <v>60.5</v>
      </c>
      <c r="F4505">
        <v>60.9</v>
      </c>
      <c r="G4505">
        <v>59.4</v>
      </c>
    </row>
    <row r="4506" spans="1:7" x14ac:dyDescent="0.25">
      <c r="A4506" s="29">
        <v>42112</v>
      </c>
      <c r="B4506">
        <v>61.6</v>
      </c>
      <c r="C4506">
        <v>66</v>
      </c>
      <c r="D4506">
        <v>68</v>
      </c>
      <c r="F4506">
        <v>64.7</v>
      </c>
      <c r="G4506">
        <v>68.3</v>
      </c>
    </row>
    <row r="4507" spans="1:7" x14ac:dyDescent="0.25">
      <c r="A4507" s="29">
        <v>42113</v>
      </c>
      <c r="B4507">
        <v>55.9</v>
      </c>
      <c r="C4507">
        <v>57.6</v>
      </c>
      <c r="D4507">
        <v>58.7</v>
      </c>
      <c r="F4507">
        <v>55.9</v>
      </c>
      <c r="G4507">
        <v>58.3</v>
      </c>
    </row>
    <row r="4508" spans="1:7" x14ac:dyDescent="0.25">
      <c r="A4508" s="29">
        <v>42114</v>
      </c>
      <c r="B4508">
        <v>51.1</v>
      </c>
      <c r="C4508">
        <v>50.6</v>
      </c>
      <c r="D4508">
        <v>51.1</v>
      </c>
      <c r="F4508">
        <v>57.1</v>
      </c>
      <c r="G4508">
        <v>52.5</v>
      </c>
    </row>
    <row r="4509" spans="1:7" x14ac:dyDescent="0.25">
      <c r="A4509" s="29">
        <v>42115</v>
      </c>
      <c r="B4509">
        <v>58</v>
      </c>
      <c r="C4509">
        <v>57.4</v>
      </c>
      <c r="D4509">
        <v>56.3</v>
      </c>
      <c r="F4509">
        <v>61.8</v>
      </c>
      <c r="G4509">
        <v>59</v>
      </c>
    </row>
    <row r="4510" spans="1:7" x14ac:dyDescent="0.25">
      <c r="A4510" s="29">
        <v>42116</v>
      </c>
      <c r="B4510">
        <v>55.1</v>
      </c>
      <c r="C4510">
        <v>58.8</v>
      </c>
      <c r="D4510">
        <v>57.7</v>
      </c>
      <c r="F4510">
        <v>56.9</v>
      </c>
      <c r="G4510">
        <v>57.8</v>
      </c>
    </row>
    <row r="4511" spans="1:7" x14ac:dyDescent="0.25">
      <c r="A4511" s="29">
        <v>42117</v>
      </c>
      <c r="B4511">
        <v>48.3</v>
      </c>
      <c r="C4511">
        <v>47.4</v>
      </c>
      <c r="D4511">
        <v>46.8</v>
      </c>
      <c r="F4511">
        <v>49.4</v>
      </c>
      <c r="G4511">
        <v>46.9</v>
      </c>
    </row>
    <row r="4512" spans="1:7" x14ac:dyDescent="0.25">
      <c r="A4512" s="29">
        <v>42118</v>
      </c>
      <c r="B4512">
        <v>44.5</v>
      </c>
      <c r="C4512">
        <v>43.4</v>
      </c>
      <c r="D4512">
        <v>43.5</v>
      </c>
      <c r="F4512">
        <v>45</v>
      </c>
      <c r="G4512">
        <v>44.4</v>
      </c>
    </row>
    <row r="4513" spans="1:7" x14ac:dyDescent="0.25">
      <c r="A4513" s="29">
        <v>42119</v>
      </c>
      <c r="B4513">
        <v>46.2</v>
      </c>
      <c r="C4513">
        <v>46.1</v>
      </c>
      <c r="D4513">
        <v>47</v>
      </c>
      <c r="F4513">
        <v>44.6</v>
      </c>
      <c r="G4513">
        <v>47.1</v>
      </c>
    </row>
    <row r="4514" spans="1:7" x14ac:dyDescent="0.25">
      <c r="A4514" s="29">
        <v>42120</v>
      </c>
      <c r="B4514">
        <v>50.5</v>
      </c>
      <c r="C4514">
        <v>52</v>
      </c>
      <c r="D4514">
        <v>54.1</v>
      </c>
      <c r="F4514">
        <v>50.2</v>
      </c>
      <c r="G4514">
        <v>53.6</v>
      </c>
    </row>
    <row r="4515" spans="1:7" x14ac:dyDescent="0.25">
      <c r="A4515" s="29">
        <v>42121</v>
      </c>
      <c r="B4515">
        <v>55</v>
      </c>
      <c r="C4515">
        <v>53.8</v>
      </c>
      <c r="D4515">
        <v>54.5</v>
      </c>
      <c r="F4515">
        <v>50.4</v>
      </c>
      <c r="G4515">
        <v>54.6</v>
      </c>
    </row>
    <row r="4516" spans="1:7" x14ac:dyDescent="0.25">
      <c r="A4516" s="29">
        <v>42122</v>
      </c>
      <c r="B4516">
        <v>58.2</v>
      </c>
      <c r="C4516">
        <v>57.2</v>
      </c>
      <c r="D4516">
        <v>59</v>
      </c>
      <c r="F4516">
        <v>56.4</v>
      </c>
      <c r="G4516">
        <v>58.8</v>
      </c>
    </row>
    <row r="4517" spans="1:7" x14ac:dyDescent="0.25">
      <c r="A4517" s="29">
        <v>42123</v>
      </c>
      <c r="B4517">
        <v>62.7</v>
      </c>
      <c r="C4517">
        <v>64.2</v>
      </c>
      <c r="D4517">
        <v>64.900000000000006</v>
      </c>
      <c r="F4517">
        <v>61.7</v>
      </c>
      <c r="G4517">
        <v>66</v>
      </c>
    </row>
    <row r="4518" spans="1:7" x14ac:dyDescent="0.25">
      <c r="A4518" s="29">
        <v>42124</v>
      </c>
      <c r="B4518">
        <v>54.9</v>
      </c>
      <c r="C4518">
        <v>52.4</v>
      </c>
      <c r="D4518">
        <v>55.6</v>
      </c>
      <c r="F4518">
        <v>58.7</v>
      </c>
      <c r="G4518">
        <v>55.6</v>
      </c>
    </row>
    <row r="4519" spans="1:7" x14ac:dyDescent="0.25">
      <c r="A4519" s="29">
        <v>42125</v>
      </c>
      <c r="B4519">
        <v>51.4</v>
      </c>
      <c r="C4519">
        <v>52.6</v>
      </c>
      <c r="D4519">
        <v>53.6</v>
      </c>
      <c r="F4519">
        <v>51.7</v>
      </c>
      <c r="G4519">
        <v>53.1</v>
      </c>
    </row>
    <row r="4520" spans="1:7" x14ac:dyDescent="0.25">
      <c r="A4520" s="29">
        <v>42126</v>
      </c>
      <c r="B4520">
        <v>51</v>
      </c>
      <c r="C4520">
        <v>53.9</v>
      </c>
      <c r="D4520">
        <v>55.1</v>
      </c>
      <c r="F4520">
        <v>51</v>
      </c>
      <c r="G4520">
        <v>54.2</v>
      </c>
    </row>
    <row r="4521" spans="1:7" x14ac:dyDescent="0.25">
      <c r="A4521" s="29">
        <v>42127</v>
      </c>
      <c r="B4521">
        <v>54.6</v>
      </c>
      <c r="C4521">
        <v>59.5</v>
      </c>
      <c r="D4521">
        <v>61.6</v>
      </c>
      <c r="F4521">
        <v>58.3</v>
      </c>
      <c r="G4521">
        <v>60.3</v>
      </c>
    </row>
    <row r="4522" spans="1:7" x14ac:dyDescent="0.25">
      <c r="A4522" s="29">
        <v>42128</v>
      </c>
      <c r="B4522">
        <v>60.7</v>
      </c>
      <c r="C4522">
        <v>66.5</v>
      </c>
      <c r="D4522">
        <v>70.099999999999994</v>
      </c>
      <c r="F4522">
        <v>65.2</v>
      </c>
      <c r="G4522">
        <v>70.5</v>
      </c>
    </row>
    <row r="4523" spans="1:7" x14ac:dyDescent="0.25">
      <c r="A4523" s="29">
        <v>42129</v>
      </c>
      <c r="B4523">
        <v>66.5</v>
      </c>
      <c r="C4523">
        <v>72.7</v>
      </c>
      <c r="D4523">
        <v>73.7</v>
      </c>
      <c r="F4523">
        <v>72.900000000000006</v>
      </c>
      <c r="G4523">
        <v>74.599999999999994</v>
      </c>
    </row>
    <row r="4524" spans="1:7" x14ac:dyDescent="0.25">
      <c r="A4524" s="29">
        <v>42130</v>
      </c>
      <c r="B4524">
        <v>65.5</v>
      </c>
      <c r="C4524">
        <v>65.3</v>
      </c>
      <c r="D4524">
        <v>68.099999999999994</v>
      </c>
      <c r="F4524">
        <v>67.7</v>
      </c>
      <c r="G4524">
        <v>69</v>
      </c>
    </row>
    <row r="4525" spans="1:7" x14ac:dyDescent="0.25">
      <c r="A4525" s="29">
        <v>42131</v>
      </c>
      <c r="B4525">
        <v>61.5</v>
      </c>
      <c r="C4525">
        <v>64.599999999999994</v>
      </c>
      <c r="D4525">
        <v>66.2</v>
      </c>
      <c r="F4525">
        <v>61.5</v>
      </c>
      <c r="G4525">
        <v>64.8</v>
      </c>
    </row>
    <row r="4526" spans="1:7" x14ac:dyDescent="0.25">
      <c r="A4526" s="29">
        <v>42132</v>
      </c>
      <c r="B4526">
        <v>59.9</v>
      </c>
      <c r="C4526">
        <v>64.2</v>
      </c>
      <c r="D4526">
        <v>66.900000000000006</v>
      </c>
      <c r="F4526">
        <v>62.7</v>
      </c>
      <c r="G4526">
        <v>66.5</v>
      </c>
    </row>
    <row r="4527" spans="1:7" x14ac:dyDescent="0.25">
      <c r="A4527" s="29">
        <v>42133</v>
      </c>
      <c r="B4527">
        <v>60.8</v>
      </c>
      <c r="C4527">
        <v>58</v>
      </c>
      <c r="D4527">
        <v>62.3</v>
      </c>
      <c r="F4527">
        <v>63.8</v>
      </c>
      <c r="G4527">
        <v>63.1</v>
      </c>
    </row>
    <row r="4528" spans="1:7" x14ac:dyDescent="0.25">
      <c r="A4528" s="29">
        <v>42134</v>
      </c>
      <c r="B4528">
        <v>64.2</v>
      </c>
      <c r="C4528">
        <v>66.3</v>
      </c>
      <c r="D4528">
        <v>70</v>
      </c>
      <c r="F4528">
        <v>68.7</v>
      </c>
      <c r="G4528">
        <v>68.900000000000006</v>
      </c>
    </row>
    <row r="4529" spans="1:7" x14ac:dyDescent="0.25">
      <c r="A4529" s="29">
        <v>42135</v>
      </c>
      <c r="B4529">
        <v>67.599999999999994</v>
      </c>
      <c r="C4529">
        <v>74.400000000000006</v>
      </c>
      <c r="D4529">
        <v>75.3</v>
      </c>
      <c r="F4529">
        <v>71.3</v>
      </c>
      <c r="G4529">
        <v>76</v>
      </c>
    </row>
    <row r="4530" spans="1:7" x14ac:dyDescent="0.25">
      <c r="A4530" s="29">
        <v>42136</v>
      </c>
      <c r="B4530">
        <v>72.7</v>
      </c>
      <c r="C4530">
        <v>74.900000000000006</v>
      </c>
      <c r="D4530">
        <v>75.599999999999994</v>
      </c>
      <c r="F4530">
        <v>75.900000000000006</v>
      </c>
      <c r="G4530">
        <v>74.7</v>
      </c>
    </row>
    <row r="4531" spans="1:7" x14ac:dyDescent="0.25">
      <c r="A4531" s="29">
        <v>42137</v>
      </c>
      <c r="B4531">
        <v>67</v>
      </c>
      <c r="C4531">
        <v>65.099999999999994</v>
      </c>
      <c r="D4531">
        <v>64.5</v>
      </c>
      <c r="F4531">
        <v>68.099999999999994</v>
      </c>
      <c r="G4531">
        <v>65.8</v>
      </c>
    </row>
    <row r="4532" spans="1:7" x14ac:dyDescent="0.25">
      <c r="A4532" s="29">
        <v>42138</v>
      </c>
      <c r="B4532">
        <v>59.8</v>
      </c>
      <c r="C4532">
        <v>59.7</v>
      </c>
      <c r="D4532">
        <v>60</v>
      </c>
      <c r="F4532">
        <v>58</v>
      </c>
      <c r="G4532">
        <v>60.4</v>
      </c>
    </row>
    <row r="4533" spans="1:7" x14ac:dyDescent="0.25">
      <c r="A4533" s="29">
        <v>42139</v>
      </c>
      <c r="B4533">
        <v>60.6</v>
      </c>
      <c r="C4533">
        <v>63.2</v>
      </c>
      <c r="D4533">
        <v>63.1</v>
      </c>
      <c r="F4533">
        <v>58.6</v>
      </c>
      <c r="G4533">
        <v>62.4</v>
      </c>
    </row>
    <row r="4534" spans="1:7" x14ac:dyDescent="0.25">
      <c r="A4534" s="29">
        <v>42140</v>
      </c>
      <c r="B4534">
        <v>62.5</v>
      </c>
      <c r="C4534">
        <v>65.2</v>
      </c>
      <c r="D4534">
        <v>65.400000000000006</v>
      </c>
      <c r="F4534">
        <v>67.5</v>
      </c>
      <c r="G4534">
        <v>66.900000000000006</v>
      </c>
    </row>
    <row r="4535" spans="1:7" x14ac:dyDescent="0.25">
      <c r="A4535" s="29">
        <v>42141</v>
      </c>
      <c r="B4535">
        <v>69.5</v>
      </c>
      <c r="C4535">
        <v>70.400000000000006</v>
      </c>
      <c r="D4535">
        <v>72.2</v>
      </c>
      <c r="F4535">
        <v>74.400000000000006</v>
      </c>
      <c r="G4535">
        <v>73.900000000000006</v>
      </c>
    </row>
    <row r="4536" spans="1:7" x14ac:dyDescent="0.25">
      <c r="A4536" s="29">
        <v>42142</v>
      </c>
      <c r="B4536">
        <v>63.4</v>
      </c>
      <c r="C4536">
        <v>63.6</v>
      </c>
      <c r="D4536">
        <v>67.2</v>
      </c>
      <c r="F4536">
        <v>70.8</v>
      </c>
      <c r="G4536">
        <v>68.900000000000006</v>
      </c>
    </row>
    <row r="4537" spans="1:7" x14ac:dyDescent="0.25">
      <c r="A4537" s="29">
        <v>42143</v>
      </c>
      <c r="B4537">
        <v>62.4</v>
      </c>
      <c r="C4537">
        <v>61.6</v>
      </c>
      <c r="D4537">
        <v>65.2</v>
      </c>
      <c r="F4537">
        <v>69.3</v>
      </c>
      <c r="G4537">
        <v>64.7</v>
      </c>
    </row>
    <row r="4538" spans="1:7" x14ac:dyDescent="0.25">
      <c r="A4538" s="29">
        <v>42144</v>
      </c>
      <c r="B4538">
        <v>63.5</v>
      </c>
      <c r="C4538">
        <v>62</v>
      </c>
      <c r="D4538">
        <v>62</v>
      </c>
      <c r="F4538">
        <v>67.5</v>
      </c>
      <c r="G4538">
        <v>64.2</v>
      </c>
    </row>
    <row r="4539" spans="1:7" x14ac:dyDescent="0.25">
      <c r="A4539" s="29">
        <v>42145</v>
      </c>
      <c r="B4539">
        <v>56.3</v>
      </c>
      <c r="C4539">
        <v>57.1</v>
      </c>
      <c r="D4539">
        <v>56.7</v>
      </c>
      <c r="F4539">
        <v>52.4</v>
      </c>
      <c r="G4539">
        <v>56.5</v>
      </c>
    </row>
    <row r="4540" spans="1:7" x14ac:dyDescent="0.25">
      <c r="A4540" s="29">
        <v>42146</v>
      </c>
      <c r="B4540">
        <v>62.8</v>
      </c>
      <c r="C4540">
        <v>61.8</v>
      </c>
      <c r="D4540">
        <v>62.1</v>
      </c>
      <c r="F4540">
        <v>58.9</v>
      </c>
      <c r="G4540">
        <v>62.4</v>
      </c>
    </row>
    <row r="4541" spans="1:7" x14ac:dyDescent="0.25">
      <c r="A4541" s="29">
        <v>42147</v>
      </c>
      <c r="B4541">
        <v>60</v>
      </c>
      <c r="C4541">
        <v>59.3</v>
      </c>
      <c r="D4541">
        <v>59.3</v>
      </c>
      <c r="F4541">
        <v>59.6</v>
      </c>
      <c r="G4541">
        <v>60.3</v>
      </c>
    </row>
    <row r="4542" spans="1:7" x14ac:dyDescent="0.25">
      <c r="A4542" s="29">
        <v>42148</v>
      </c>
      <c r="B4542">
        <v>62.2</v>
      </c>
      <c r="C4542">
        <v>65.7</v>
      </c>
      <c r="D4542">
        <v>66.2</v>
      </c>
      <c r="F4542">
        <v>61.7</v>
      </c>
      <c r="G4542">
        <v>66</v>
      </c>
    </row>
    <row r="4543" spans="1:7" x14ac:dyDescent="0.25">
      <c r="A4543" s="29">
        <v>42149</v>
      </c>
      <c r="B4543">
        <v>66.099999999999994</v>
      </c>
      <c r="C4543">
        <v>72.5</v>
      </c>
      <c r="D4543">
        <v>73.8</v>
      </c>
      <c r="F4543">
        <v>69.8</v>
      </c>
      <c r="G4543">
        <v>74.3</v>
      </c>
    </row>
    <row r="4544" spans="1:7" x14ac:dyDescent="0.25">
      <c r="A4544" s="29">
        <v>42150</v>
      </c>
      <c r="B4544">
        <v>68.2</v>
      </c>
      <c r="C4544">
        <v>75.2</v>
      </c>
      <c r="D4544">
        <v>76.099999999999994</v>
      </c>
      <c r="F4544">
        <v>71.900000000000006</v>
      </c>
      <c r="G4544">
        <v>78</v>
      </c>
    </row>
    <row r="4545" spans="1:7" x14ac:dyDescent="0.25">
      <c r="A4545" s="29">
        <v>42151</v>
      </c>
      <c r="B4545">
        <v>66.3</v>
      </c>
      <c r="C4545">
        <v>73.5</v>
      </c>
      <c r="D4545">
        <v>75.7</v>
      </c>
      <c r="F4545">
        <v>72</v>
      </c>
      <c r="G4545">
        <v>77.3</v>
      </c>
    </row>
    <row r="4546" spans="1:7" x14ac:dyDescent="0.25">
      <c r="A4546" s="29">
        <v>42152</v>
      </c>
      <c r="B4546">
        <v>65.5</v>
      </c>
      <c r="C4546">
        <v>73.400000000000006</v>
      </c>
      <c r="D4546">
        <v>75.900000000000006</v>
      </c>
      <c r="F4546">
        <v>73</v>
      </c>
      <c r="G4546">
        <v>76.7</v>
      </c>
    </row>
    <row r="4547" spans="1:7" x14ac:dyDescent="0.25">
      <c r="A4547" s="29">
        <v>42153</v>
      </c>
      <c r="B4547">
        <v>71.400000000000006</v>
      </c>
      <c r="C4547">
        <v>73</v>
      </c>
      <c r="D4547">
        <v>73.599999999999994</v>
      </c>
      <c r="F4547">
        <v>71.5</v>
      </c>
      <c r="G4547">
        <v>74.400000000000006</v>
      </c>
    </row>
    <row r="4548" spans="1:7" x14ac:dyDescent="0.25">
      <c r="A4548" s="29">
        <v>42154</v>
      </c>
      <c r="B4548">
        <v>68.7</v>
      </c>
      <c r="C4548">
        <v>73.099999999999994</v>
      </c>
      <c r="D4548">
        <v>73.5</v>
      </c>
      <c r="F4548">
        <v>72.8</v>
      </c>
      <c r="G4548">
        <v>74.400000000000006</v>
      </c>
    </row>
    <row r="4549" spans="1:7" x14ac:dyDescent="0.25">
      <c r="A4549" s="29">
        <v>42155</v>
      </c>
      <c r="B4549">
        <v>69.400000000000006</v>
      </c>
      <c r="C4549">
        <v>74.599999999999994</v>
      </c>
      <c r="D4549">
        <v>74.400000000000006</v>
      </c>
      <c r="F4549">
        <v>74.5</v>
      </c>
      <c r="G4549">
        <v>75.3</v>
      </c>
    </row>
    <row r="4550" spans="1:7" x14ac:dyDescent="0.25">
      <c r="A4550" s="29">
        <v>42156</v>
      </c>
      <c r="B4550">
        <v>61.9</v>
      </c>
      <c r="C4550">
        <v>57.4</v>
      </c>
      <c r="D4550">
        <v>58</v>
      </c>
      <c r="F4550">
        <v>72</v>
      </c>
      <c r="G4550">
        <v>59.4</v>
      </c>
    </row>
    <row r="4551" spans="1:7" x14ac:dyDescent="0.25">
      <c r="A4551" s="29">
        <v>42157</v>
      </c>
      <c r="B4551">
        <v>53.4</v>
      </c>
      <c r="C4551">
        <v>52</v>
      </c>
      <c r="D4551">
        <v>52.4</v>
      </c>
      <c r="F4551">
        <v>57.1</v>
      </c>
      <c r="G4551">
        <v>53.6</v>
      </c>
    </row>
    <row r="4552" spans="1:7" x14ac:dyDescent="0.25">
      <c r="A4552" s="29">
        <v>42158</v>
      </c>
      <c r="B4552">
        <v>57.7</v>
      </c>
      <c r="C4552">
        <v>58.2</v>
      </c>
      <c r="D4552">
        <v>58</v>
      </c>
      <c r="F4552">
        <v>56.8</v>
      </c>
      <c r="G4552">
        <v>58</v>
      </c>
    </row>
    <row r="4553" spans="1:7" x14ac:dyDescent="0.25">
      <c r="A4553" s="29">
        <v>42159</v>
      </c>
      <c r="B4553">
        <v>59.2</v>
      </c>
      <c r="C4553">
        <v>58.1</v>
      </c>
      <c r="D4553">
        <v>58</v>
      </c>
      <c r="F4553">
        <v>58.7</v>
      </c>
      <c r="G4553">
        <v>59.3</v>
      </c>
    </row>
    <row r="4554" spans="1:7" x14ac:dyDescent="0.25">
      <c r="A4554" s="29">
        <v>42160</v>
      </c>
      <c r="B4554">
        <v>60</v>
      </c>
      <c r="C4554">
        <v>59.5</v>
      </c>
      <c r="D4554">
        <v>59.4</v>
      </c>
      <c r="F4554">
        <v>58.6</v>
      </c>
      <c r="G4554">
        <v>60.6</v>
      </c>
    </row>
    <row r="4555" spans="1:7" x14ac:dyDescent="0.25">
      <c r="A4555" s="29">
        <v>42161</v>
      </c>
      <c r="B4555">
        <v>66.2</v>
      </c>
      <c r="C4555">
        <v>65.7</v>
      </c>
      <c r="D4555">
        <v>65.900000000000006</v>
      </c>
      <c r="F4555">
        <v>64.7</v>
      </c>
      <c r="G4555">
        <v>67.5</v>
      </c>
    </row>
    <row r="4556" spans="1:7" x14ac:dyDescent="0.25">
      <c r="A4556" s="29">
        <v>42162</v>
      </c>
      <c r="B4556">
        <v>64.099999999999994</v>
      </c>
      <c r="C4556">
        <v>65.3</v>
      </c>
      <c r="D4556">
        <v>65</v>
      </c>
      <c r="F4556">
        <v>62.1</v>
      </c>
      <c r="G4556">
        <v>64.900000000000006</v>
      </c>
    </row>
    <row r="4557" spans="1:7" x14ac:dyDescent="0.25">
      <c r="A4557" s="29">
        <v>42163</v>
      </c>
      <c r="B4557">
        <v>65.7</v>
      </c>
      <c r="C4557">
        <v>67.5</v>
      </c>
      <c r="D4557">
        <v>68.599999999999994</v>
      </c>
      <c r="F4557">
        <v>67.7</v>
      </c>
      <c r="G4557">
        <v>70</v>
      </c>
    </row>
    <row r="4558" spans="1:7" x14ac:dyDescent="0.25">
      <c r="A4558" s="29">
        <v>42164</v>
      </c>
      <c r="B4558">
        <v>70.099999999999994</v>
      </c>
      <c r="C4558">
        <v>73.3</v>
      </c>
      <c r="D4558">
        <v>73.7</v>
      </c>
      <c r="F4558">
        <v>74.3</v>
      </c>
      <c r="G4558">
        <v>75</v>
      </c>
    </row>
    <row r="4559" spans="1:7" x14ac:dyDescent="0.25">
      <c r="A4559" s="29">
        <v>42165</v>
      </c>
      <c r="B4559">
        <v>74</v>
      </c>
      <c r="C4559">
        <v>74.2</v>
      </c>
      <c r="D4559">
        <v>74</v>
      </c>
      <c r="F4559">
        <v>72.900000000000006</v>
      </c>
      <c r="G4559">
        <v>75.3</v>
      </c>
    </row>
    <row r="4560" spans="1:7" x14ac:dyDescent="0.25">
      <c r="A4560" s="29">
        <v>42166</v>
      </c>
      <c r="B4560">
        <v>74.599999999999994</v>
      </c>
      <c r="C4560">
        <v>80.2</v>
      </c>
      <c r="D4560">
        <v>79.599999999999994</v>
      </c>
      <c r="F4560">
        <v>77.3</v>
      </c>
      <c r="G4560">
        <v>80.599999999999994</v>
      </c>
    </row>
    <row r="4561" spans="1:7" x14ac:dyDescent="0.25">
      <c r="A4561" s="29">
        <v>42167</v>
      </c>
      <c r="B4561">
        <v>77.900000000000006</v>
      </c>
      <c r="C4561">
        <v>80.7</v>
      </c>
      <c r="D4561">
        <v>81.599999999999994</v>
      </c>
      <c r="F4561">
        <v>80.3</v>
      </c>
      <c r="G4561">
        <v>83</v>
      </c>
    </row>
    <row r="4562" spans="1:7" x14ac:dyDescent="0.25">
      <c r="A4562" s="29">
        <v>42168</v>
      </c>
      <c r="B4562">
        <v>79.5</v>
      </c>
      <c r="C4562">
        <v>80.5</v>
      </c>
      <c r="D4562">
        <v>81.400000000000006</v>
      </c>
      <c r="F4562">
        <v>80</v>
      </c>
      <c r="G4562">
        <v>82.1</v>
      </c>
    </row>
    <row r="4563" spans="1:7" x14ac:dyDescent="0.25">
      <c r="A4563" s="29">
        <v>42169</v>
      </c>
      <c r="B4563">
        <v>75</v>
      </c>
      <c r="C4563">
        <v>77</v>
      </c>
      <c r="D4563">
        <v>77.900000000000006</v>
      </c>
      <c r="F4563">
        <v>76.400000000000006</v>
      </c>
      <c r="G4563">
        <v>77.900000000000006</v>
      </c>
    </row>
    <row r="4564" spans="1:7" x14ac:dyDescent="0.25">
      <c r="A4564" s="29">
        <v>42170</v>
      </c>
      <c r="B4564">
        <v>71.900000000000006</v>
      </c>
      <c r="C4564">
        <v>70.3</v>
      </c>
      <c r="D4564">
        <v>70.8</v>
      </c>
      <c r="F4564">
        <v>77.2</v>
      </c>
      <c r="G4564">
        <v>73.400000000000006</v>
      </c>
    </row>
    <row r="4565" spans="1:7" x14ac:dyDescent="0.25">
      <c r="A4565" s="29">
        <v>42171</v>
      </c>
      <c r="B4565">
        <v>68.5</v>
      </c>
      <c r="C4565">
        <v>68.099999999999994</v>
      </c>
      <c r="D4565">
        <v>69.900000000000006</v>
      </c>
      <c r="F4565">
        <v>78.099999999999994</v>
      </c>
      <c r="G4565">
        <v>69.7</v>
      </c>
    </row>
    <row r="4566" spans="1:7" x14ac:dyDescent="0.25">
      <c r="A4566" s="29">
        <v>42172</v>
      </c>
      <c r="B4566">
        <v>74.3</v>
      </c>
      <c r="C4566">
        <v>73.900000000000006</v>
      </c>
      <c r="D4566">
        <v>73.3</v>
      </c>
      <c r="F4566">
        <v>73.5</v>
      </c>
      <c r="G4566">
        <v>74.099999999999994</v>
      </c>
    </row>
    <row r="4567" spans="1:7" x14ac:dyDescent="0.25">
      <c r="A4567" s="29">
        <v>42173</v>
      </c>
      <c r="B4567">
        <v>67</v>
      </c>
      <c r="C4567">
        <v>66.8</v>
      </c>
      <c r="D4567">
        <v>66.8</v>
      </c>
      <c r="F4567">
        <v>67.400000000000006</v>
      </c>
      <c r="G4567">
        <v>67</v>
      </c>
    </row>
    <row r="4568" spans="1:7" x14ac:dyDescent="0.25">
      <c r="A4568" s="29">
        <v>42174</v>
      </c>
      <c r="B4568">
        <v>74.3</v>
      </c>
      <c r="C4568">
        <v>73.2</v>
      </c>
      <c r="D4568">
        <v>74.599999999999994</v>
      </c>
      <c r="F4568">
        <v>75.099999999999994</v>
      </c>
      <c r="G4568">
        <v>74.400000000000006</v>
      </c>
    </row>
    <row r="4569" spans="1:7" x14ac:dyDescent="0.25">
      <c r="A4569" s="29">
        <v>42175</v>
      </c>
      <c r="B4569">
        <v>72.099999999999994</v>
      </c>
      <c r="C4569">
        <v>69.5</v>
      </c>
      <c r="D4569">
        <v>70.099999999999994</v>
      </c>
      <c r="F4569">
        <v>76.2</v>
      </c>
      <c r="G4569">
        <v>71.900000000000006</v>
      </c>
    </row>
    <row r="4570" spans="1:7" x14ac:dyDescent="0.25">
      <c r="A4570" s="29">
        <v>42176</v>
      </c>
      <c r="B4570">
        <v>76.599999999999994</v>
      </c>
      <c r="C4570">
        <v>75</v>
      </c>
      <c r="D4570">
        <v>76.3</v>
      </c>
      <c r="F4570">
        <v>78.8</v>
      </c>
      <c r="G4570">
        <v>77.3</v>
      </c>
    </row>
    <row r="4571" spans="1:7" x14ac:dyDescent="0.25">
      <c r="A4571" s="29">
        <v>42177</v>
      </c>
      <c r="B4571">
        <v>81.8</v>
      </c>
      <c r="C4571">
        <v>79.599999999999994</v>
      </c>
      <c r="D4571">
        <v>78.3</v>
      </c>
      <c r="F4571">
        <v>81.400000000000006</v>
      </c>
      <c r="G4571">
        <v>80.8</v>
      </c>
    </row>
    <row r="4572" spans="1:7" x14ac:dyDescent="0.25">
      <c r="A4572" s="29">
        <v>42178</v>
      </c>
      <c r="B4572">
        <v>78.900000000000006</v>
      </c>
      <c r="C4572">
        <v>84.4</v>
      </c>
      <c r="D4572">
        <v>82.1</v>
      </c>
      <c r="F4572">
        <v>82.6</v>
      </c>
      <c r="G4572">
        <v>82.6</v>
      </c>
    </row>
    <row r="4573" spans="1:7" x14ac:dyDescent="0.25">
      <c r="A4573" s="29">
        <v>42179</v>
      </c>
      <c r="B4573">
        <v>78.7</v>
      </c>
      <c r="C4573">
        <v>77.099999999999994</v>
      </c>
      <c r="D4573">
        <v>76.7</v>
      </c>
      <c r="F4573">
        <v>74.900000000000006</v>
      </c>
      <c r="G4573">
        <v>77.7</v>
      </c>
    </row>
    <row r="4574" spans="1:7" x14ac:dyDescent="0.25">
      <c r="A4574" s="29">
        <v>42180</v>
      </c>
      <c r="B4574">
        <v>75.7</v>
      </c>
      <c r="C4574">
        <v>76.8</v>
      </c>
      <c r="D4574">
        <v>75</v>
      </c>
      <c r="F4574">
        <v>73.599999999999994</v>
      </c>
      <c r="G4574">
        <v>76.099999999999994</v>
      </c>
    </row>
    <row r="4575" spans="1:7" x14ac:dyDescent="0.25">
      <c r="A4575" s="29">
        <v>42181</v>
      </c>
      <c r="B4575">
        <v>74.2</v>
      </c>
      <c r="C4575">
        <v>74.8</v>
      </c>
      <c r="D4575">
        <v>74.400000000000006</v>
      </c>
      <c r="F4575">
        <v>69.7</v>
      </c>
      <c r="G4575">
        <v>74.3</v>
      </c>
    </row>
    <row r="4576" spans="1:7" x14ac:dyDescent="0.25">
      <c r="A4576" s="29">
        <v>42182</v>
      </c>
      <c r="B4576">
        <v>68.400000000000006</v>
      </c>
      <c r="C4576">
        <v>69</v>
      </c>
      <c r="D4576">
        <v>67.7</v>
      </c>
      <c r="F4576">
        <v>67.2</v>
      </c>
      <c r="G4576">
        <v>69.599999999999994</v>
      </c>
    </row>
    <row r="4577" spans="1:7" x14ac:dyDescent="0.25">
      <c r="A4577" s="29">
        <v>42183</v>
      </c>
      <c r="B4577">
        <v>67.099999999999994</v>
      </c>
      <c r="C4577">
        <v>64.2</v>
      </c>
      <c r="D4577">
        <v>64.3</v>
      </c>
      <c r="F4577">
        <v>74.900000000000006</v>
      </c>
      <c r="G4577">
        <v>65.900000000000006</v>
      </c>
    </row>
    <row r="4578" spans="1:7" x14ac:dyDescent="0.25">
      <c r="A4578" s="29">
        <v>42184</v>
      </c>
      <c r="B4578">
        <v>71.8</v>
      </c>
      <c r="C4578">
        <v>71.3</v>
      </c>
      <c r="D4578">
        <v>70.3</v>
      </c>
      <c r="F4578">
        <v>71.400000000000006</v>
      </c>
      <c r="G4578">
        <v>71.599999999999994</v>
      </c>
    </row>
    <row r="4579" spans="1:7" x14ac:dyDescent="0.25">
      <c r="A4579" s="29">
        <v>42185</v>
      </c>
      <c r="B4579">
        <v>73.2</v>
      </c>
      <c r="C4579">
        <v>75.3</v>
      </c>
      <c r="D4579">
        <v>74.5</v>
      </c>
      <c r="F4579">
        <v>73.099999999999994</v>
      </c>
      <c r="G4579">
        <v>74.2</v>
      </c>
    </row>
    <row r="4580" spans="1:7" x14ac:dyDescent="0.25">
      <c r="A4580" s="29">
        <v>42186</v>
      </c>
      <c r="B4580">
        <v>76</v>
      </c>
      <c r="C4580">
        <v>76.400000000000006</v>
      </c>
      <c r="D4580">
        <v>75</v>
      </c>
      <c r="F4580">
        <v>77.5</v>
      </c>
      <c r="G4580">
        <v>76.099999999999994</v>
      </c>
    </row>
    <row r="4581" spans="1:7" x14ac:dyDescent="0.25">
      <c r="A4581" s="29">
        <v>42187</v>
      </c>
      <c r="B4581">
        <v>76.599999999999994</v>
      </c>
      <c r="C4581">
        <v>75.7</v>
      </c>
      <c r="D4581">
        <v>74.7</v>
      </c>
      <c r="F4581">
        <v>70.8</v>
      </c>
      <c r="G4581">
        <v>75.3</v>
      </c>
    </row>
    <row r="4582" spans="1:7" x14ac:dyDescent="0.25">
      <c r="A4582" s="29">
        <v>42188</v>
      </c>
      <c r="B4582">
        <v>73.099999999999994</v>
      </c>
      <c r="C4582">
        <v>73.5</v>
      </c>
      <c r="D4582">
        <v>73.5</v>
      </c>
      <c r="F4582">
        <v>69.099999999999994</v>
      </c>
      <c r="G4582">
        <v>73.599999999999994</v>
      </c>
    </row>
    <row r="4583" spans="1:7" x14ac:dyDescent="0.25">
      <c r="A4583" s="29">
        <v>42189</v>
      </c>
      <c r="B4583">
        <v>73.3</v>
      </c>
      <c r="C4583">
        <v>71.8</v>
      </c>
      <c r="D4583">
        <v>72</v>
      </c>
      <c r="F4583">
        <v>73.099999999999994</v>
      </c>
      <c r="G4583">
        <v>73.099999999999994</v>
      </c>
    </row>
    <row r="4584" spans="1:7" x14ac:dyDescent="0.25">
      <c r="A4584" s="29">
        <v>42190</v>
      </c>
      <c r="B4584">
        <v>74</v>
      </c>
      <c r="C4584">
        <v>75.099999999999994</v>
      </c>
      <c r="D4584">
        <v>74.599999999999994</v>
      </c>
      <c r="F4584">
        <v>72.8</v>
      </c>
      <c r="G4584">
        <v>75.7</v>
      </c>
    </row>
    <row r="4585" spans="1:7" x14ac:dyDescent="0.25">
      <c r="A4585" s="29">
        <v>42191</v>
      </c>
      <c r="B4585">
        <v>75.2</v>
      </c>
      <c r="C4585">
        <v>77.099999999999994</v>
      </c>
      <c r="D4585">
        <v>76.8</v>
      </c>
      <c r="F4585">
        <v>75.400000000000006</v>
      </c>
      <c r="G4585">
        <v>76.599999999999994</v>
      </c>
    </row>
    <row r="4586" spans="1:7" x14ac:dyDescent="0.25">
      <c r="A4586" s="29">
        <v>42192</v>
      </c>
      <c r="B4586">
        <v>78</v>
      </c>
      <c r="C4586">
        <v>79.5</v>
      </c>
      <c r="D4586">
        <v>78.7</v>
      </c>
      <c r="F4586">
        <v>81</v>
      </c>
      <c r="G4586">
        <v>80</v>
      </c>
    </row>
    <row r="4587" spans="1:7" x14ac:dyDescent="0.25">
      <c r="A4587" s="29">
        <v>42193</v>
      </c>
      <c r="B4587">
        <v>79.599999999999994</v>
      </c>
      <c r="C4587">
        <v>82</v>
      </c>
      <c r="D4587">
        <v>80.5</v>
      </c>
      <c r="F4587">
        <v>80.8</v>
      </c>
      <c r="G4587">
        <v>81.400000000000006</v>
      </c>
    </row>
    <row r="4588" spans="1:7" x14ac:dyDescent="0.25">
      <c r="A4588" s="29">
        <v>42194</v>
      </c>
      <c r="B4588">
        <v>74.8</v>
      </c>
      <c r="C4588">
        <v>73.8</v>
      </c>
      <c r="D4588">
        <v>74.7</v>
      </c>
      <c r="F4588">
        <v>77.5</v>
      </c>
      <c r="G4588">
        <v>75.5</v>
      </c>
    </row>
    <row r="4589" spans="1:7" x14ac:dyDescent="0.25">
      <c r="A4589" s="29">
        <v>42195</v>
      </c>
      <c r="B4589">
        <v>77.3</v>
      </c>
      <c r="C4589">
        <v>75.8</v>
      </c>
      <c r="D4589">
        <v>76.099999999999994</v>
      </c>
      <c r="F4589">
        <v>77.900000000000006</v>
      </c>
      <c r="G4589">
        <v>76.8</v>
      </c>
    </row>
    <row r="4590" spans="1:7" x14ac:dyDescent="0.25">
      <c r="A4590" s="29">
        <v>42196</v>
      </c>
      <c r="B4590">
        <v>78</v>
      </c>
      <c r="C4590">
        <v>78.599999999999994</v>
      </c>
      <c r="D4590">
        <v>78.7</v>
      </c>
      <c r="F4590">
        <v>75.2</v>
      </c>
      <c r="G4590">
        <v>78.599999999999994</v>
      </c>
    </row>
    <row r="4591" spans="1:7" x14ac:dyDescent="0.25">
      <c r="A4591" s="29">
        <v>42197</v>
      </c>
      <c r="B4591">
        <v>78.400000000000006</v>
      </c>
      <c r="C4591">
        <v>81.099999999999994</v>
      </c>
      <c r="D4591">
        <v>79.900000000000006</v>
      </c>
      <c r="F4591">
        <v>74.8</v>
      </c>
      <c r="G4591">
        <v>80.400000000000006</v>
      </c>
    </row>
    <row r="4592" spans="1:7" x14ac:dyDescent="0.25">
      <c r="A4592" s="29">
        <v>42198</v>
      </c>
      <c r="B4592">
        <v>77.099999999999994</v>
      </c>
      <c r="C4592">
        <v>80.400000000000006</v>
      </c>
      <c r="D4592">
        <v>79.5</v>
      </c>
      <c r="F4592">
        <v>75.099999999999994</v>
      </c>
      <c r="G4592">
        <v>78.900000000000006</v>
      </c>
    </row>
    <row r="4593" spans="1:7" x14ac:dyDescent="0.25">
      <c r="A4593" s="29">
        <v>42199</v>
      </c>
      <c r="B4593">
        <v>75.900000000000006</v>
      </c>
      <c r="C4593">
        <v>76.099999999999994</v>
      </c>
      <c r="D4593">
        <v>75.3</v>
      </c>
      <c r="F4593">
        <v>77.8</v>
      </c>
      <c r="G4593">
        <v>76.2</v>
      </c>
    </row>
    <row r="4594" spans="1:7" x14ac:dyDescent="0.25">
      <c r="A4594" s="29">
        <v>42200</v>
      </c>
      <c r="B4594">
        <v>76.599999999999994</v>
      </c>
      <c r="C4594">
        <v>75.900000000000006</v>
      </c>
      <c r="D4594">
        <v>77</v>
      </c>
      <c r="F4594">
        <v>74.599999999999994</v>
      </c>
      <c r="G4594">
        <v>78</v>
      </c>
    </row>
    <row r="4595" spans="1:7" x14ac:dyDescent="0.25">
      <c r="A4595" s="29">
        <v>42201</v>
      </c>
      <c r="B4595">
        <v>73</v>
      </c>
      <c r="C4595">
        <v>72.099999999999994</v>
      </c>
      <c r="D4595">
        <v>72.8</v>
      </c>
      <c r="F4595">
        <v>70.900000000000006</v>
      </c>
      <c r="G4595">
        <v>73</v>
      </c>
    </row>
    <row r="4596" spans="1:7" x14ac:dyDescent="0.25">
      <c r="A4596" s="29">
        <v>42202</v>
      </c>
      <c r="B4596">
        <v>72.400000000000006</v>
      </c>
      <c r="C4596">
        <v>73.5</v>
      </c>
      <c r="D4596">
        <v>72.5</v>
      </c>
      <c r="F4596">
        <v>69.599999999999994</v>
      </c>
      <c r="G4596">
        <v>72.599999999999994</v>
      </c>
    </row>
    <row r="4597" spans="1:7" x14ac:dyDescent="0.25">
      <c r="A4597" s="29">
        <v>42203</v>
      </c>
      <c r="B4597">
        <v>75.900000000000006</v>
      </c>
      <c r="C4597">
        <v>76.3</v>
      </c>
      <c r="D4597">
        <v>76.2</v>
      </c>
      <c r="F4597">
        <v>77.5</v>
      </c>
      <c r="G4597">
        <v>76.900000000000006</v>
      </c>
    </row>
    <row r="4598" spans="1:7" x14ac:dyDescent="0.25">
      <c r="A4598" s="29">
        <v>42204</v>
      </c>
      <c r="B4598">
        <v>80.099999999999994</v>
      </c>
      <c r="C4598">
        <v>84.3</v>
      </c>
      <c r="D4598">
        <v>84.9</v>
      </c>
      <c r="F4598">
        <v>81.3</v>
      </c>
      <c r="G4598">
        <v>85.9</v>
      </c>
    </row>
    <row r="4599" spans="1:7" x14ac:dyDescent="0.25">
      <c r="A4599" s="29">
        <v>42205</v>
      </c>
      <c r="B4599">
        <v>85.5</v>
      </c>
      <c r="C4599">
        <v>89.1</v>
      </c>
      <c r="D4599">
        <v>88</v>
      </c>
      <c r="F4599">
        <v>85.1</v>
      </c>
      <c r="G4599">
        <v>89.1</v>
      </c>
    </row>
    <row r="4600" spans="1:7" x14ac:dyDescent="0.25">
      <c r="A4600" s="29">
        <v>42206</v>
      </c>
      <c r="B4600">
        <v>84</v>
      </c>
      <c r="C4600">
        <v>86</v>
      </c>
      <c r="D4600">
        <v>83.7</v>
      </c>
      <c r="F4600">
        <v>81</v>
      </c>
      <c r="G4600">
        <v>85.6</v>
      </c>
    </row>
    <row r="4601" spans="1:7" x14ac:dyDescent="0.25">
      <c r="A4601" s="29">
        <v>42207</v>
      </c>
      <c r="B4601">
        <v>79.900000000000006</v>
      </c>
      <c r="C4601">
        <v>77.099999999999994</v>
      </c>
      <c r="D4601">
        <v>77.3</v>
      </c>
      <c r="F4601">
        <v>75.7</v>
      </c>
      <c r="G4601">
        <v>78</v>
      </c>
    </row>
    <row r="4602" spans="1:7" x14ac:dyDescent="0.25">
      <c r="A4602" s="29">
        <v>42208</v>
      </c>
      <c r="B4602">
        <v>78.8</v>
      </c>
      <c r="C4602">
        <v>77.099999999999994</v>
      </c>
      <c r="D4602">
        <v>76.7</v>
      </c>
      <c r="F4602">
        <v>74</v>
      </c>
      <c r="G4602">
        <v>77.3</v>
      </c>
    </row>
    <row r="4603" spans="1:7" x14ac:dyDescent="0.25">
      <c r="A4603" s="29">
        <v>42209</v>
      </c>
      <c r="B4603">
        <v>78.3</v>
      </c>
      <c r="C4603">
        <v>78.2</v>
      </c>
      <c r="D4603">
        <v>77.8</v>
      </c>
      <c r="F4603">
        <v>72.900000000000006</v>
      </c>
      <c r="G4603">
        <v>78.099999999999994</v>
      </c>
    </row>
    <row r="4604" spans="1:7" x14ac:dyDescent="0.25">
      <c r="A4604" s="29">
        <v>42210</v>
      </c>
      <c r="B4604">
        <v>77.5</v>
      </c>
      <c r="C4604">
        <v>78.099999999999994</v>
      </c>
      <c r="D4604">
        <v>78.2</v>
      </c>
      <c r="F4604">
        <v>73.8</v>
      </c>
      <c r="G4604">
        <v>78.2</v>
      </c>
    </row>
    <row r="4605" spans="1:7" x14ac:dyDescent="0.25">
      <c r="A4605" s="29">
        <v>42211</v>
      </c>
      <c r="B4605">
        <v>78.599999999999994</v>
      </c>
      <c r="C4605">
        <v>79.8</v>
      </c>
      <c r="D4605">
        <v>79.8</v>
      </c>
      <c r="F4605">
        <v>76.8</v>
      </c>
      <c r="G4605">
        <v>80.5</v>
      </c>
    </row>
    <row r="4606" spans="1:7" x14ac:dyDescent="0.25">
      <c r="A4606" s="29">
        <v>42212</v>
      </c>
      <c r="B4606">
        <v>78.5</v>
      </c>
      <c r="C4606">
        <v>79.900000000000006</v>
      </c>
      <c r="D4606">
        <v>78.5</v>
      </c>
      <c r="F4606">
        <v>76.5</v>
      </c>
      <c r="G4606">
        <v>79.7</v>
      </c>
    </row>
    <row r="4607" spans="1:7" x14ac:dyDescent="0.25">
      <c r="A4607" s="29">
        <v>42213</v>
      </c>
      <c r="B4607">
        <v>79.599999999999994</v>
      </c>
      <c r="C4607">
        <v>82.8</v>
      </c>
      <c r="D4607">
        <v>82.7</v>
      </c>
      <c r="F4607">
        <v>78.7</v>
      </c>
      <c r="G4607">
        <v>82</v>
      </c>
    </row>
    <row r="4608" spans="1:7" x14ac:dyDescent="0.25">
      <c r="A4608" s="29">
        <v>42214</v>
      </c>
      <c r="B4608">
        <v>84</v>
      </c>
      <c r="C4608">
        <v>86.3</v>
      </c>
      <c r="D4608">
        <v>85.4</v>
      </c>
      <c r="F4608">
        <v>80</v>
      </c>
      <c r="G4608">
        <v>85.9</v>
      </c>
    </row>
    <row r="4609" spans="1:7" x14ac:dyDescent="0.25">
      <c r="A4609" s="29">
        <v>42215</v>
      </c>
      <c r="B4609">
        <v>79.2</v>
      </c>
      <c r="C4609">
        <v>82.1</v>
      </c>
      <c r="D4609">
        <v>80.5</v>
      </c>
      <c r="F4609">
        <v>80.599999999999994</v>
      </c>
      <c r="G4609">
        <v>82.3</v>
      </c>
    </row>
    <row r="4610" spans="1:7" x14ac:dyDescent="0.25">
      <c r="A4610" s="29">
        <v>42216</v>
      </c>
      <c r="B4610">
        <v>81.3</v>
      </c>
      <c r="C4610">
        <v>81.099999999999994</v>
      </c>
      <c r="D4610">
        <v>80.5</v>
      </c>
      <c r="F4610">
        <v>79.599999999999994</v>
      </c>
      <c r="G4610">
        <v>81.8</v>
      </c>
    </row>
    <row r="4611" spans="1:7" x14ac:dyDescent="0.25">
      <c r="A4611" s="29">
        <v>42217</v>
      </c>
      <c r="B4611">
        <v>81.900000000000006</v>
      </c>
      <c r="C4611">
        <v>83.7</v>
      </c>
      <c r="D4611">
        <v>81.599999999999994</v>
      </c>
      <c r="F4611">
        <v>80.900000000000006</v>
      </c>
      <c r="G4611">
        <v>82.3</v>
      </c>
    </row>
    <row r="4612" spans="1:7" x14ac:dyDescent="0.25">
      <c r="A4612" s="29">
        <v>42218</v>
      </c>
      <c r="B4612">
        <v>81.3</v>
      </c>
      <c r="C4612">
        <v>81</v>
      </c>
      <c r="D4612">
        <v>79.900000000000006</v>
      </c>
      <c r="F4612">
        <v>79</v>
      </c>
      <c r="G4612">
        <v>80.599999999999994</v>
      </c>
    </row>
    <row r="4613" spans="1:7" x14ac:dyDescent="0.25">
      <c r="A4613" s="29">
        <v>42219</v>
      </c>
      <c r="B4613">
        <v>79.2</v>
      </c>
      <c r="C4613">
        <v>82.5</v>
      </c>
      <c r="D4613">
        <v>81.3</v>
      </c>
      <c r="F4613">
        <v>79.099999999999994</v>
      </c>
      <c r="G4613">
        <v>82.4</v>
      </c>
    </row>
    <row r="4614" spans="1:7" x14ac:dyDescent="0.25">
      <c r="A4614" s="29">
        <v>42220</v>
      </c>
      <c r="B4614">
        <v>80.8</v>
      </c>
      <c r="C4614">
        <v>83.1</v>
      </c>
      <c r="D4614">
        <v>80.7</v>
      </c>
      <c r="F4614">
        <v>83.3</v>
      </c>
      <c r="G4614">
        <v>82.1</v>
      </c>
    </row>
    <row r="4615" spans="1:7" x14ac:dyDescent="0.25">
      <c r="A4615" s="29">
        <v>42221</v>
      </c>
      <c r="B4615">
        <v>82.1</v>
      </c>
      <c r="C4615">
        <v>80.5</v>
      </c>
      <c r="D4615">
        <v>79.3</v>
      </c>
      <c r="F4615">
        <v>79.3</v>
      </c>
      <c r="G4615">
        <v>80.400000000000006</v>
      </c>
    </row>
    <row r="4616" spans="1:7" x14ac:dyDescent="0.25">
      <c r="A4616" s="29">
        <v>42222</v>
      </c>
      <c r="B4616">
        <v>77.5</v>
      </c>
      <c r="C4616">
        <v>76.3</v>
      </c>
      <c r="D4616">
        <v>75.599999999999994</v>
      </c>
      <c r="F4616">
        <v>73.2</v>
      </c>
      <c r="G4616">
        <v>76.900000000000006</v>
      </c>
    </row>
    <row r="4617" spans="1:7" x14ac:dyDescent="0.25">
      <c r="A4617" s="29">
        <v>42223</v>
      </c>
      <c r="B4617">
        <v>76.7</v>
      </c>
      <c r="C4617">
        <v>75.8</v>
      </c>
      <c r="D4617">
        <v>76.400000000000006</v>
      </c>
      <c r="F4617">
        <v>72.7</v>
      </c>
      <c r="G4617">
        <v>76.2</v>
      </c>
    </row>
    <row r="4618" spans="1:7" x14ac:dyDescent="0.25">
      <c r="A4618" s="29">
        <v>42224</v>
      </c>
      <c r="B4618">
        <v>74.900000000000006</v>
      </c>
      <c r="C4618">
        <v>74.7</v>
      </c>
      <c r="D4618">
        <v>74.7</v>
      </c>
      <c r="F4618">
        <v>69.8</v>
      </c>
      <c r="G4618">
        <v>75</v>
      </c>
    </row>
    <row r="4619" spans="1:7" x14ac:dyDescent="0.25">
      <c r="A4619" s="29">
        <v>42225</v>
      </c>
      <c r="B4619">
        <v>75.400000000000006</v>
      </c>
      <c r="C4619">
        <v>75.7</v>
      </c>
      <c r="D4619">
        <v>75</v>
      </c>
      <c r="F4619">
        <v>70.400000000000006</v>
      </c>
      <c r="G4619">
        <v>76</v>
      </c>
    </row>
    <row r="4620" spans="1:7" x14ac:dyDescent="0.25">
      <c r="A4620" s="29">
        <v>42226</v>
      </c>
      <c r="B4620">
        <v>74.7</v>
      </c>
      <c r="C4620">
        <v>74.5</v>
      </c>
      <c r="D4620">
        <v>74.900000000000006</v>
      </c>
      <c r="F4620">
        <v>71.7</v>
      </c>
      <c r="G4620">
        <v>74.400000000000006</v>
      </c>
    </row>
    <row r="4621" spans="1:7" x14ac:dyDescent="0.25">
      <c r="A4621" s="29">
        <v>42227</v>
      </c>
      <c r="B4621">
        <v>75.7</v>
      </c>
      <c r="C4621">
        <v>75.099999999999994</v>
      </c>
      <c r="D4621">
        <v>74.900000000000006</v>
      </c>
      <c r="F4621">
        <v>74.599999999999994</v>
      </c>
      <c r="G4621">
        <v>75.099999999999994</v>
      </c>
    </row>
    <row r="4622" spans="1:7" x14ac:dyDescent="0.25">
      <c r="A4622" s="29">
        <v>42228</v>
      </c>
      <c r="B4622">
        <v>79.2</v>
      </c>
      <c r="C4622">
        <v>77.3</v>
      </c>
      <c r="D4622">
        <v>77</v>
      </c>
      <c r="F4622">
        <v>74.900000000000006</v>
      </c>
      <c r="G4622">
        <v>77.599999999999994</v>
      </c>
    </row>
    <row r="4623" spans="1:7" x14ac:dyDescent="0.25">
      <c r="A4623" s="29">
        <v>42229</v>
      </c>
      <c r="B4623">
        <v>77.099999999999994</v>
      </c>
      <c r="C4623">
        <v>75.7</v>
      </c>
      <c r="D4623">
        <v>75.400000000000006</v>
      </c>
      <c r="F4623">
        <v>73.099999999999994</v>
      </c>
      <c r="G4623">
        <v>76.2</v>
      </c>
    </row>
    <row r="4624" spans="1:7" x14ac:dyDescent="0.25">
      <c r="A4624" s="29">
        <v>42230</v>
      </c>
      <c r="B4624">
        <v>76.8</v>
      </c>
      <c r="C4624">
        <v>78.900000000000006</v>
      </c>
      <c r="D4624">
        <v>77.099999999999994</v>
      </c>
      <c r="F4624">
        <v>73.2</v>
      </c>
      <c r="G4624">
        <v>77.400000000000006</v>
      </c>
    </row>
    <row r="4625" spans="1:7" x14ac:dyDescent="0.25">
      <c r="A4625" s="29">
        <v>42231</v>
      </c>
      <c r="B4625">
        <v>78.400000000000006</v>
      </c>
      <c r="C4625">
        <v>81.400000000000006</v>
      </c>
      <c r="D4625">
        <v>80.7</v>
      </c>
      <c r="F4625">
        <v>76.599999999999994</v>
      </c>
      <c r="G4625">
        <v>80.7</v>
      </c>
    </row>
    <row r="4626" spans="1:7" x14ac:dyDescent="0.25">
      <c r="A4626" s="29">
        <v>42232</v>
      </c>
      <c r="B4626">
        <v>80.3</v>
      </c>
      <c r="C4626">
        <v>82.8</v>
      </c>
      <c r="D4626">
        <v>82.8</v>
      </c>
      <c r="F4626">
        <v>78.599999999999994</v>
      </c>
      <c r="G4626">
        <v>83.7</v>
      </c>
    </row>
    <row r="4627" spans="1:7" x14ac:dyDescent="0.25">
      <c r="A4627" s="29">
        <v>42233</v>
      </c>
      <c r="B4627">
        <v>80.5</v>
      </c>
      <c r="C4627">
        <v>84.7</v>
      </c>
      <c r="D4627">
        <v>84.4</v>
      </c>
      <c r="F4627">
        <v>78.900000000000006</v>
      </c>
      <c r="G4627">
        <v>85.4</v>
      </c>
    </row>
    <row r="4628" spans="1:7" x14ac:dyDescent="0.25">
      <c r="A4628" s="29">
        <v>42234</v>
      </c>
      <c r="B4628">
        <v>80.099999999999994</v>
      </c>
      <c r="C4628">
        <v>83.4</v>
      </c>
      <c r="D4628">
        <v>81.8</v>
      </c>
      <c r="F4628">
        <v>78.2</v>
      </c>
      <c r="G4628">
        <v>83.8</v>
      </c>
    </row>
    <row r="4629" spans="1:7" x14ac:dyDescent="0.25">
      <c r="A4629" s="29">
        <v>42235</v>
      </c>
      <c r="B4629">
        <v>80.099999999999994</v>
      </c>
      <c r="C4629">
        <v>80.2</v>
      </c>
      <c r="D4629">
        <v>80</v>
      </c>
      <c r="F4629">
        <v>80.099999999999994</v>
      </c>
      <c r="G4629">
        <v>79.7</v>
      </c>
    </row>
    <row r="4630" spans="1:7" x14ac:dyDescent="0.25">
      <c r="A4630" s="29">
        <v>42236</v>
      </c>
      <c r="B4630">
        <v>80.7</v>
      </c>
      <c r="C4630">
        <v>81</v>
      </c>
      <c r="D4630">
        <v>80.5</v>
      </c>
      <c r="F4630">
        <v>79.7</v>
      </c>
      <c r="G4630">
        <v>79.900000000000006</v>
      </c>
    </row>
    <row r="4631" spans="1:7" x14ac:dyDescent="0.25">
      <c r="A4631" s="29">
        <v>42237</v>
      </c>
      <c r="B4631">
        <v>79.2</v>
      </c>
      <c r="C4631">
        <v>78.7</v>
      </c>
      <c r="D4631">
        <v>78.7</v>
      </c>
      <c r="F4631">
        <v>79.8</v>
      </c>
      <c r="G4631">
        <v>79.900000000000006</v>
      </c>
    </row>
    <row r="4632" spans="1:7" x14ac:dyDescent="0.25">
      <c r="A4632" s="29">
        <v>42238</v>
      </c>
      <c r="B4632">
        <v>77.5</v>
      </c>
      <c r="C4632">
        <v>76.599999999999994</v>
      </c>
      <c r="D4632">
        <v>76.900000000000006</v>
      </c>
      <c r="F4632">
        <v>74.5</v>
      </c>
      <c r="G4632">
        <v>77.5</v>
      </c>
    </row>
    <row r="4633" spans="1:7" x14ac:dyDescent="0.25">
      <c r="A4633" s="29">
        <v>42239</v>
      </c>
      <c r="B4633">
        <v>75.8</v>
      </c>
      <c r="C4633">
        <v>75.8</v>
      </c>
      <c r="D4633">
        <v>76</v>
      </c>
      <c r="F4633">
        <v>71.400000000000006</v>
      </c>
      <c r="G4633">
        <v>75.400000000000006</v>
      </c>
    </row>
    <row r="4634" spans="1:7" x14ac:dyDescent="0.25">
      <c r="A4634" s="29">
        <v>42240</v>
      </c>
      <c r="B4634">
        <v>77.2</v>
      </c>
      <c r="C4634">
        <v>78.5</v>
      </c>
      <c r="D4634">
        <v>78.2</v>
      </c>
      <c r="F4634">
        <v>74.099999999999994</v>
      </c>
      <c r="G4634">
        <v>77.5</v>
      </c>
    </row>
    <row r="4635" spans="1:7" x14ac:dyDescent="0.25">
      <c r="A4635" s="29">
        <v>42241</v>
      </c>
      <c r="B4635">
        <v>79.400000000000006</v>
      </c>
      <c r="C4635">
        <v>80.599999999999994</v>
      </c>
      <c r="D4635">
        <v>80.900000000000006</v>
      </c>
      <c r="F4635">
        <v>79.900000000000006</v>
      </c>
      <c r="G4635">
        <v>81.3</v>
      </c>
    </row>
    <row r="4636" spans="1:7" x14ac:dyDescent="0.25">
      <c r="A4636" s="29">
        <v>42242</v>
      </c>
      <c r="B4636">
        <v>77.2</v>
      </c>
      <c r="C4636">
        <v>76.900000000000006</v>
      </c>
      <c r="D4636">
        <v>76</v>
      </c>
      <c r="F4636">
        <v>72.8</v>
      </c>
      <c r="G4636">
        <v>75.900000000000006</v>
      </c>
    </row>
    <row r="4637" spans="1:7" x14ac:dyDescent="0.25">
      <c r="A4637" s="29">
        <v>42243</v>
      </c>
      <c r="B4637">
        <v>75.5</v>
      </c>
      <c r="C4637">
        <v>74.2</v>
      </c>
      <c r="D4637">
        <v>73.8</v>
      </c>
      <c r="F4637">
        <v>70.400000000000006</v>
      </c>
      <c r="G4637">
        <v>74</v>
      </c>
    </row>
    <row r="4638" spans="1:7" x14ac:dyDescent="0.25">
      <c r="A4638" s="29">
        <v>42244</v>
      </c>
      <c r="B4638">
        <v>73.400000000000006</v>
      </c>
      <c r="C4638">
        <v>73.099999999999994</v>
      </c>
      <c r="D4638">
        <v>72.7</v>
      </c>
      <c r="F4638">
        <v>69.8</v>
      </c>
      <c r="G4638">
        <v>72.900000000000006</v>
      </c>
    </row>
    <row r="4639" spans="1:7" x14ac:dyDescent="0.25">
      <c r="A4639" s="29">
        <v>42245</v>
      </c>
      <c r="B4639">
        <v>75.5</v>
      </c>
      <c r="C4639">
        <v>76.8</v>
      </c>
      <c r="D4639">
        <v>75.7</v>
      </c>
      <c r="F4639">
        <v>71.5</v>
      </c>
      <c r="G4639">
        <v>75</v>
      </c>
    </row>
    <row r="4640" spans="1:7" x14ac:dyDescent="0.25">
      <c r="A4640" s="29">
        <v>42246</v>
      </c>
      <c r="B4640">
        <v>76.8</v>
      </c>
      <c r="C4640">
        <v>79.099999999999994</v>
      </c>
      <c r="D4640">
        <v>79.099999999999994</v>
      </c>
      <c r="F4640">
        <v>76.3</v>
      </c>
      <c r="G4640">
        <v>78.3</v>
      </c>
    </row>
    <row r="4641" spans="1:7" x14ac:dyDescent="0.25">
      <c r="A4641" s="29">
        <v>42247</v>
      </c>
      <c r="B4641">
        <v>80.7</v>
      </c>
      <c r="C4641">
        <v>82.7</v>
      </c>
      <c r="D4641">
        <v>81.7</v>
      </c>
      <c r="F4641">
        <v>79.900000000000006</v>
      </c>
      <c r="G4641">
        <v>83.3</v>
      </c>
    </row>
    <row r="4642" spans="1:7" x14ac:dyDescent="0.25">
      <c r="A4642" s="29">
        <v>42248</v>
      </c>
      <c r="B4642">
        <v>81.099999999999994</v>
      </c>
      <c r="C4642">
        <v>82.6</v>
      </c>
      <c r="D4642">
        <v>82</v>
      </c>
      <c r="F4642">
        <v>79.099999999999994</v>
      </c>
      <c r="G4642">
        <v>82.2</v>
      </c>
    </row>
    <row r="4643" spans="1:7" x14ac:dyDescent="0.25">
      <c r="A4643" s="29">
        <v>42249</v>
      </c>
      <c r="B4643">
        <v>77.7</v>
      </c>
      <c r="C4643">
        <v>80.2</v>
      </c>
      <c r="D4643">
        <v>81.099999999999994</v>
      </c>
      <c r="F4643">
        <v>76.5</v>
      </c>
      <c r="G4643">
        <v>80</v>
      </c>
    </row>
    <row r="4644" spans="1:7" x14ac:dyDescent="0.25">
      <c r="A4644" s="29">
        <v>42250</v>
      </c>
      <c r="B4644">
        <v>80.8</v>
      </c>
      <c r="C4644">
        <v>82.6</v>
      </c>
      <c r="D4644">
        <v>82.6</v>
      </c>
      <c r="F4644">
        <v>78.900000000000006</v>
      </c>
      <c r="G4644">
        <v>83</v>
      </c>
    </row>
    <row r="4645" spans="1:7" x14ac:dyDescent="0.25">
      <c r="A4645" s="29">
        <v>42251</v>
      </c>
      <c r="B4645">
        <v>78.5</v>
      </c>
      <c r="C4645">
        <v>80.3</v>
      </c>
      <c r="D4645">
        <v>80.599999999999994</v>
      </c>
      <c r="F4645">
        <v>76</v>
      </c>
      <c r="G4645">
        <v>80.599999999999994</v>
      </c>
    </row>
    <row r="4646" spans="1:7" x14ac:dyDescent="0.25">
      <c r="A4646" s="29">
        <v>42252</v>
      </c>
      <c r="B4646">
        <v>72.5</v>
      </c>
      <c r="C4646">
        <v>72.900000000000006</v>
      </c>
      <c r="D4646">
        <v>74</v>
      </c>
      <c r="F4646">
        <v>74.7</v>
      </c>
      <c r="G4646">
        <v>73.900000000000006</v>
      </c>
    </row>
    <row r="4647" spans="1:7" x14ac:dyDescent="0.25">
      <c r="A4647" s="29">
        <v>42253</v>
      </c>
      <c r="B4647">
        <v>71.3</v>
      </c>
      <c r="C4647">
        <v>73.900000000000006</v>
      </c>
      <c r="D4647">
        <v>74.099999999999994</v>
      </c>
      <c r="F4647">
        <v>68.8</v>
      </c>
      <c r="G4647">
        <v>72.8</v>
      </c>
    </row>
    <row r="4648" spans="1:7" x14ac:dyDescent="0.25">
      <c r="A4648" s="29">
        <v>42254</v>
      </c>
      <c r="B4648">
        <v>75.8</v>
      </c>
      <c r="C4648">
        <v>77.8</v>
      </c>
      <c r="D4648">
        <v>78.400000000000006</v>
      </c>
      <c r="F4648">
        <v>72.5</v>
      </c>
      <c r="G4648">
        <v>78.3</v>
      </c>
    </row>
    <row r="4649" spans="1:7" x14ac:dyDescent="0.25">
      <c r="A4649" s="29">
        <v>42255</v>
      </c>
      <c r="B4649">
        <v>79.8</v>
      </c>
      <c r="C4649">
        <v>83.3</v>
      </c>
      <c r="D4649">
        <v>84.2</v>
      </c>
      <c r="F4649">
        <v>78.3</v>
      </c>
      <c r="G4649">
        <v>83.9</v>
      </c>
    </row>
    <row r="4650" spans="1:7" x14ac:dyDescent="0.25">
      <c r="A4650" s="29">
        <v>42256</v>
      </c>
      <c r="B4650">
        <v>79.2</v>
      </c>
      <c r="C4650">
        <v>81.099999999999994</v>
      </c>
      <c r="D4650">
        <v>82</v>
      </c>
      <c r="F4650">
        <v>79.900000000000006</v>
      </c>
      <c r="G4650">
        <v>81.3</v>
      </c>
    </row>
    <row r="4651" spans="1:7" x14ac:dyDescent="0.25">
      <c r="A4651" s="29">
        <v>42257</v>
      </c>
      <c r="B4651">
        <v>75.5</v>
      </c>
      <c r="C4651">
        <v>75.3</v>
      </c>
      <c r="D4651">
        <v>75.2</v>
      </c>
      <c r="F4651">
        <v>76.400000000000006</v>
      </c>
      <c r="G4651">
        <v>75.599999999999994</v>
      </c>
    </row>
    <row r="4652" spans="1:7" x14ac:dyDescent="0.25">
      <c r="A4652" s="29">
        <v>42258</v>
      </c>
      <c r="B4652">
        <v>72.900000000000006</v>
      </c>
      <c r="C4652">
        <v>72.400000000000006</v>
      </c>
      <c r="D4652">
        <v>72.3</v>
      </c>
      <c r="F4652">
        <v>72.5</v>
      </c>
      <c r="G4652">
        <v>72.400000000000006</v>
      </c>
    </row>
    <row r="4653" spans="1:7" x14ac:dyDescent="0.25">
      <c r="A4653" s="29">
        <v>42259</v>
      </c>
      <c r="B4653">
        <v>73.599999999999994</v>
      </c>
      <c r="C4653">
        <v>74.599999999999994</v>
      </c>
      <c r="D4653">
        <v>74</v>
      </c>
      <c r="F4653">
        <v>69.5</v>
      </c>
      <c r="G4653">
        <v>73.5</v>
      </c>
    </row>
    <row r="4654" spans="1:7" x14ac:dyDescent="0.25">
      <c r="A4654" s="29">
        <v>42260</v>
      </c>
      <c r="B4654">
        <v>72.5</v>
      </c>
      <c r="C4654">
        <v>72.599999999999994</v>
      </c>
      <c r="D4654">
        <v>72</v>
      </c>
      <c r="F4654">
        <v>69.5</v>
      </c>
      <c r="G4654">
        <v>72.3</v>
      </c>
    </row>
    <row r="4655" spans="1:7" x14ac:dyDescent="0.25">
      <c r="A4655" s="29">
        <v>42261</v>
      </c>
      <c r="B4655">
        <v>67.599999999999994</v>
      </c>
      <c r="C4655">
        <v>66.599999999999994</v>
      </c>
      <c r="D4655">
        <v>66.400000000000006</v>
      </c>
      <c r="F4655">
        <v>64.2</v>
      </c>
      <c r="G4655">
        <v>66.2</v>
      </c>
    </row>
    <row r="4656" spans="1:7" x14ac:dyDescent="0.25">
      <c r="A4656" s="29">
        <v>42262</v>
      </c>
      <c r="B4656">
        <v>71.900000000000006</v>
      </c>
      <c r="C4656">
        <v>73.2</v>
      </c>
      <c r="D4656">
        <v>72</v>
      </c>
      <c r="F4656">
        <v>67.099999999999994</v>
      </c>
      <c r="G4656">
        <v>71.2</v>
      </c>
    </row>
    <row r="4657" spans="1:7" x14ac:dyDescent="0.25">
      <c r="A4657" s="29">
        <v>42263</v>
      </c>
      <c r="B4657">
        <v>73.7</v>
      </c>
      <c r="C4657">
        <v>76.8</v>
      </c>
      <c r="D4657">
        <v>75.8</v>
      </c>
      <c r="F4657">
        <v>71.5</v>
      </c>
      <c r="G4657">
        <v>75.400000000000006</v>
      </c>
    </row>
    <row r="4658" spans="1:7" x14ac:dyDescent="0.25">
      <c r="A4658" s="29">
        <v>42264</v>
      </c>
      <c r="B4658">
        <v>74.099999999999994</v>
      </c>
      <c r="C4658">
        <v>78</v>
      </c>
      <c r="D4658">
        <v>77</v>
      </c>
      <c r="F4658">
        <v>70.8</v>
      </c>
      <c r="G4658">
        <v>76</v>
      </c>
    </row>
    <row r="4659" spans="1:7" x14ac:dyDescent="0.25">
      <c r="A4659" s="29">
        <v>42265</v>
      </c>
      <c r="B4659">
        <v>73.599999999999994</v>
      </c>
      <c r="C4659">
        <v>76.900000000000006</v>
      </c>
      <c r="D4659">
        <v>76.3</v>
      </c>
      <c r="F4659">
        <v>69.2</v>
      </c>
      <c r="G4659">
        <v>74.5</v>
      </c>
    </row>
    <row r="4660" spans="1:7" x14ac:dyDescent="0.25">
      <c r="A4660" s="29">
        <v>42266</v>
      </c>
      <c r="B4660">
        <v>73</v>
      </c>
      <c r="C4660">
        <v>73.900000000000006</v>
      </c>
      <c r="D4660">
        <v>74.7</v>
      </c>
      <c r="F4660">
        <v>69.599999999999994</v>
      </c>
      <c r="G4660">
        <v>72.8</v>
      </c>
    </row>
    <row r="4661" spans="1:7" x14ac:dyDescent="0.25">
      <c r="A4661" s="29">
        <v>42267</v>
      </c>
      <c r="B4661">
        <v>73.8</v>
      </c>
      <c r="C4661">
        <v>73.3</v>
      </c>
      <c r="D4661">
        <v>73.900000000000006</v>
      </c>
      <c r="F4661">
        <v>71.7</v>
      </c>
      <c r="G4661">
        <v>73.599999999999994</v>
      </c>
    </row>
    <row r="4662" spans="1:7" x14ac:dyDescent="0.25">
      <c r="A4662" s="29">
        <v>42268</v>
      </c>
      <c r="B4662">
        <v>65.7</v>
      </c>
      <c r="C4662">
        <v>65.400000000000006</v>
      </c>
      <c r="D4662">
        <v>65.8</v>
      </c>
      <c r="F4662">
        <v>65</v>
      </c>
      <c r="G4662">
        <v>65</v>
      </c>
    </row>
    <row r="4663" spans="1:7" x14ac:dyDescent="0.25">
      <c r="A4663" s="29">
        <v>42269</v>
      </c>
      <c r="B4663">
        <v>66.8</v>
      </c>
      <c r="C4663">
        <v>66.3</v>
      </c>
      <c r="D4663">
        <v>66.8</v>
      </c>
      <c r="F4663">
        <v>67.400000000000006</v>
      </c>
      <c r="G4663">
        <v>66.900000000000006</v>
      </c>
    </row>
    <row r="4664" spans="1:7" x14ac:dyDescent="0.25">
      <c r="A4664" s="29">
        <v>42270</v>
      </c>
      <c r="B4664">
        <v>67.599999999999994</v>
      </c>
      <c r="C4664">
        <v>67.599999999999994</v>
      </c>
      <c r="D4664">
        <v>68.400000000000006</v>
      </c>
      <c r="F4664">
        <v>66</v>
      </c>
      <c r="G4664">
        <v>67.5</v>
      </c>
    </row>
    <row r="4665" spans="1:7" x14ac:dyDescent="0.25">
      <c r="A4665" s="29">
        <v>42271</v>
      </c>
      <c r="B4665">
        <v>69</v>
      </c>
      <c r="C4665">
        <v>69.900000000000006</v>
      </c>
      <c r="D4665">
        <v>69.7</v>
      </c>
      <c r="F4665">
        <v>63.6</v>
      </c>
      <c r="G4665">
        <v>68.599999999999994</v>
      </c>
    </row>
    <row r="4666" spans="1:7" x14ac:dyDescent="0.25">
      <c r="A4666" s="29">
        <v>42272</v>
      </c>
      <c r="B4666">
        <v>68.3</v>
      </c>
      <c r="C4666">
        <v>68.5</v>
      </c>
      <c r="D4666">
        <v>69</v>
      </c>
      <c r="F4666">
        <v>65.900000000000006</v>
      </c>
      <c r="G4666">
        <v>69.5</v>
      </c>
    </row>
    <row r="4667" spans="1:7" x14ac:dyDescent="0.25">
      <c r="A4667" s="29">
        <v>42273</v>
      </c>
      <c r="B4667">
        <v>65.900000000000006</v>
      </c>
      <c r="C4667">
        <v>65.900000000000006</v>
      </c>
      <c r="D4667">
        <v>66.5</v>
      </c>
      <c r="F4667">
        <v>67</v>
      </c>
      <c r="G4667">
        <v>66.8</v>
      </c>
    </row>
    <row r="4668" spans="1:7" x14ac:dyDescent="0.25">
      <c r="A4668" s="29">
        <v>42274</v>
      </c>
      <c r="B4668">
        <v>62.9</v>
      </c>
      <c r="C4668">
        <v>62.2</v>
      </c>
      <c r="D4668">
        <v>63.5</v>
      </c>
      <c r="F4668">
        <v>66.5</v>
      </c>
      <c r="G4668">
        <v>63.4</v>
      </c>
    </row>
    <row r="4669" spans="1:7" x14ac:dyDescent="0.25">
      <c r="A4669" s="29">
        <v>42275</v>
      </c>
      <c r="B4669">
        <v>67.599999999999994</v>
      </c>
      <c r="C4669">
        <v>68.5</v>
      </c>
      <c r="D4669">
        <v>70.099999999999994</v>
      </c>
      <c r="F4669">
        <v>69.099999999999994</v>
      </c>
      <c r="G4669">
        <v>70.400000000000006</v>
      </c>
    </row>
    <row r="4670" spans="1:7" x14ac:dyDescent="0.25">
      <c r="A4670" s="29">
        <v>42276</v>
      </c>
      <c r="B4670">
        <v>73</v>
      </c>
      <c r="C4670">
        <v>74.7</v>
      </c>
      <c r="D4670">
        <v>75.599999999999994</v>
      </c>
      <c r="F4670">
        <v>72.599999999999994</v>
      </c>
      <c r="G4670">
        <v>74.400000000000006</v>
      </c>
    </row>
    <row r="4671" spans="1:7" x14ac:dyDescent="0.25">
      <c r="A4671" s="29">
        <v>42277</v>
      </c>
      <c r="B4671">
        <v>73.400000000000006</v>
      </c>
      <c r="C4671">
        <v>73.2</v>
      </c>
      <c r="D4671">
        <v>73.5</v>
      </c>
      <c r="F4671">
        <v>75.5</v>
      </c>
      <c r="G4671">
        <v>74.5</v>
      </c>
    </row>
    <row r="4672" spans="1:7" x14ac:dyDescent="0.25">
      <c r="A4672" s="29">
        <v>42278</v>
      </c>
      <c r="B4672">
        <v>59.9</v>
      </c>
      <c r="C4672">
        <v>59.4</v>
      </c>
      <c r="D4672">
        <v>59.8</v>
      </c>
      <c r="F4672">
        <v>60.9</v>
      </c>
      <c r="G4672">
        <v>59.7</v>
      </c>
    </row>
    <row r="4673" spans="1:7" x14ac:dyDescent="0.25">
      <c r="A4673" s="29">
        <v>42279</v>
      </c>
      <c r="B4673">
        <v>53.7</v>
      </c>
      <c r="C4673">
        <v>53.9</v>
      </c>
      <c r="D4673">
        <v>52.7</v>
      </c>
      <c r="F4673">
        <v>56.1</v>
      </c>
      <c r="G4673">
        <v>52.4</v>
      </c>
    </row>
    <row r="4674" spans="1:7" x14ac:dyDescent="0.25">
      <c r="A4674" s="29">
        <v>42280</v>
      </c>
      <c r="B4674">
        <v>52.5</v>
      </c>
      <c r="C4674">
        <v>51.6</v>
      </c>
      <c r="D4674">
        <v>50.2</v>
      </c>
      <c r="F4674">
        <v>57</v>
      </c>
      <c r="G4674">
        <v>49.7</v>
      </c>
    </row>
    <row r="4675" spans="1:7" x14ac:dyDescent="0.25">
      <c r="A4675" s="29">
        <v>42281</v>
      </c>
      <c r="B4675">
        <v>58.4</v>
      </c>
      <c r="C4675">
        <v>57.1</v>
      </c>
      <c r="D4675">
        <v>56.5</v>
      </c>
      <c r="F4675">
        <v>58.7</v>
      </c>
      <c r="G4675">
        <v>55.9</v>
      </c>
    </row>
    <row r="4676" spans="1:7" x14ac:dyDescent="0.25">
      <c r="A4676" s="29">
        <v>42282</v>
      </c>
      <c r="B4676">
        <v>58.3</v>
      </c>
      <c r="C4676">
        <v>57.2</v>
      </c>
      <c r="D4676">
        <v>57.7</v>
      </c>
      <c r="F4676">
        <v>58.3</v>
      </c>
      <c r="G4676">
        <v>57.1</v>
      </c>
    </row>
    <row r="4677" spans="1:7" x14ac:dyDescent="0.25">
      <c r="A4677" s="29">
        <v>42283</v>
      </c>
      <c r="B4677">
        <v>61.3</v>
      </c>
      <c r="C4677">
        <v>62.4</v>
      </c>
      <c r="D4677">
        <v>61.2</v>
      </c>
      <c r="F4677">
        <v>57.6</v>
      </c>
      <c r="G4677">
        <v>60.8</v>
      </c>
    </row>
    <row r="4678" spans="1:7" x14ac:dyDescent="0.25">
      <c r="A4678" s="29">
        <v>42284</v>
      </c>
      <c r="B4678">
        <v>63.8</v>
      </c>
      <c r="C4678">
        <v>64.599999999999994</v>
      </c>
      <c r="D4678">
        <v>64.900000000000006</v>
      </c>
      <c r="F4678">
        <v>60.9</v>
      </c>
      <c r="G4678">
        <v>64.5</v>
      </c>
    </row>
    <row r="4679" spans="1:7" x14ac:dyDescent="0.25">
      <c r="A4679" s="29">
        <v>42285</v>
      </c>
      <c r="B4679">
        <v>63.7</v>
      </c>
      <c r="C4679">
        <v>64.2</v>
      </c>
      <c r="D4679">
        <v>63.8</v>
      </c>
      <c r="F4679">
        <v>60.3</v>
      </c>
      <c r="G4679">
        <v>63.5</v>
      </c>
    </row>
    <row r="4680" spans="1:7" x14ac:dyDescent="0.25">
      <c r="A4680" s="29">
        <v>42286</v>
      </c>
      <c r="B4680">
        <v>65.8</v>
      </c>
      <c r="C4680">
        <v>66.900000000000006</v>
      </c>
      <c r="D4680">
        <v>66.599999999999994</v>
      </c>
      <c r="F4680">
        <v>67.099999999999994</v>
      </c>
      <c r="G4680">
        <v>66.5</v>
      </c>
    </row>
    <row r="4681" spans="1:7" x14ac:dyDescent="0.25">
      <c r="A4681" s="29">
        <v>42287</v>
      </c>
      <c r="B4681">
        <v>60.6</v>
      </c>
      <c r="C4681">
        <v>60</v>
      </c>
      <c r="D4681">
        <v>58.9</v>
      </c>
      <c r="F4681">
        <v>59.2</v>
      </c>
      <c r="G4681">
        <v>59.9</v>
      </c>
    </row>
    <row r="4682" spans="1:7" x14ac:dyDescent="0.25">
      <c r="A4682" s="29">
        <v>42288</v>
      </c>
      <c r="B4682">
        <v>58.2</v>
      </c>
      <c r="C4682">
        <v>59.7</v>
      </c>
      <c r="D4682">
        <v>59.3</v>
      </c>
      <c r="F4682">
        <v>52.3</v>
      </c>
      <c r="G4682">
        <v>57.5</v>
      </c>
    </row>
    <row r="4683" spans="1:7" x14ac:dyDescent="0.25">
      <c r="A4683" s="29">
        <v>42289</v>
      </c>
      <c r="B4683">
        <v>62.3</v>
      </c>
      <c r="C4683">
        <v>64.5</v>
      </c>
      <c r="D4683">
        <v>64.400000000000006</v>
      </c>
      <c r="F4683">
        <v>56.2</v>
      </c>
      <c r="G4683">
        <v>62.2</v>
      </c>
    </row>
    <row r="4684" spans="1:7" x14ac:dyDescent="0.25">
      <c r="A4684" s="29">
        <v>42290</v>
      </c>
      <c r="B4684">
        <v>66.099999999999994</v>
      </c>
      <c r="C4684">
        <v>66.099999999999994</v>
      </c>
      <c r="D4684">
        <v>65.8</v>
      </c>
      <c r="F4684">
        <v>65.400000000000006</v>
      </c>
      <c r="G4684">
        <v>65.2</v>
      </c>
    </row>
    <row r="4685" spans="1:7" x14ac:dyDescent="0.25">
      <c r="A4685" s="29">
        <v>42291</v>
      </c>
      <c r="B4685">
        <v>64.5</v>
      </c>
      <c r="C4685">
        <v>64.5</v>
      </c>
      <c r="D4685">
        <v>63.8</v>
      </c>
      <c r="F4685">
        <v>62.4</v>
      </c>
      <c r="G4685">
        <v>63.3</v>
      </c>
    </row>
    <row r="4686" spans="1:7" x14ac:dyDescent="0.25">
      <c r="A4686" s="29">
        <v>42292</v>
      </c>
      <c r="B4686">
        <v>59.3</v>
      </c>
      <c r="C4686">
        <v>58.5</v>
      </c>
      <c r="D4686">
        <v>58.2</v>
      </c>
      <c r="F4686">
        <v>55.8</v>
      </c>
      <c r="G4686">
        <v>58.1</v>
      </c>
    </row>
    <row r="4687" spans="1:7" x14ac:dyDescent="0.25">
      <c r="A4687" s="29">
        <v>42293</v>
      </c>
      <c r="B4687">
        <v>60.2</v>
      </c>
      <c r="C4687">
        <v>59</v>
      </c>
      <c r="D4687">
        <v>58.5</v>
      </c>
      <c r="F4687">
        <v>57.4</v>
      </c>
      <c r="G4687">
        <v>57.3</v>
      </c>
    </row>
    <row r="4688" spans="1:7" x14ac:dyDescent="0.25">
      <c r="A4688" s="29">
        <v>42294</v>
      </c>
      <c r="B4688">
        <v>53.8</v>
      </c>
      <c r="C4688">
        <v>52.9</v>
      </c>
      <c r="D4688">
        <v>51.6</v>
      </c>
      <c r="F4688">
        <v>50</v>
      </c>
      <c r="G4688">
        <v>51.4</v>
      </c>
    </row>
    <row r="4689" spans="1:7" x14ac:dyDescent="0.25">
      <c r="A4689" s="29">
        <v>42295</v>
      </c>
      <c r="B4689">
        <v>44.9</v>
      </c>
      <c r="C4689">
        <v>44.4</v>
      </c>
      <c r="D4689">
        <v>43.5</v>
      </c>
      <c r="F4689">
        <v>41.2</v>
      </c>
      <c r="G4689">
        <v>43.4</v>
      </c>
    </row>
    <row r="4690" spans="1:7" x14ac:dyDescent="0.25">
      <c r="A4690" s="29">
        <v>42296</v>
      </c>
      <c r="B4690">
        <v>43.3</v>
      </c>
      <c r="C4690">
        <v>43.5</v>
      </c>
      <c r="D4690">
        <v>42.9</v>
      </c>
      <c r="F4690">
        <v>39.4</v>
      </c>
      <c r="G4690">
        <v>42.5</v>
      </c>
    </row>
    <row r="4691" spans="1:7" x14ac:dyDescent="0.25">
      <c r="A4691" s="29">
        <v>42297</v>
      </c>
      <c r="B4691">
        <v>55.8</v>
      </c>
      <c r="C4691">
        <v>56</v>
      </c>
      <c r="D4691">
        <v>56.2</v>
      </c>
      <c r="F4691">
        <v>54</v>
      </c>
      <c r="G4691">
        <v>54.7</v>
      </c>
    </row>
    <row r="4692" spans="1:7" x14ac:dyDescent="0.25">
      <c r="A4692" s="29">
        <v>42298</v>
      </c>
      <c r="B4692">
        <v>61.2</v>
      </c>
      <c r="C4692">
        <v>65.5</v>
      </c>
      <c r="D4692">
        <v>65</v>
      </c>
      <c r="F4692">
        <v>60.6</v>
      </c>
      <c r="G4692">
        <v>62.4</v>
      </c>
    </row>
    <row r="4693" spans="1:7" x14ac:dyDescent="0.25">
      <c r="A4693" s="29">
        <v>42299</v>
      </c>
      <c r="B4693">
        <v>61.1</v>
      </c>
      <c r="C4693">
        <v>65</v>
      </c>
      <c r="D4693">
        <v>65.400000000000006</v>
      </c>
      <c r="F4693">
        <v>60.7</v>
      </c>
      <c r="G4693">
        <v>63</v>
      </c>
    </row>
    <row r="4694" spans="1:7" x14ac:dyDescent="0.25">
      <c r="A4694" s="29">
        <v>42300</v>
      </c>
      <c r="B4694">
        <v>60.1</v>
      </c>
      <c r="C4694">
        <v>60</v>
      </c>
      <c r="D4694">
        <v>58.8</v>
      </c>
      <c r="F4694">
        <v>60.4</v>
      </c>
      <c r="G4694">
        <v>60.2</v>
      </c>
    </row>
    <row r="4695" spans="1:7" x14ac:dyDescent="0.25">
      <c r="A4695" s="29">
        <v>42301</v>
      </c>
      <c r="B4695">
        <v>49.1</v>
      </c>
      <c r="C4695">
        <v>48.3</v>
      </c>
      <c r="D4695">
        <v>48.4</v>
      </c>
      <c r="F4695">
        <v>48.1</v>
      </c>
      <c r="G4695">
        <v>47.8</v>
      </c>
    </row>
    <row r="4696" spans="1:7" x14ac:dyDescent="0.25">
      <c r="A4696" s="29">
        <v>42302</v>
      </c>
      <c r="B4696">
        <v>60.8</v>
      </c>
      <c r="C4696">
        <v>59.3</v>
      </c>
      <c r="D4696">
        <v>59.1</v>
      </c>
      <c r="F4696">
        <v>59.7</v>
      </c>
      <c r="G4696">
        <v>59.6</v>
      </c>
    </row>
    <row r="4697" spans="1:7" x14ac:dyDescent="0.25">
      <c r="A4697" s="29">
        <v>42303</v>
      </c>
      <c r="B4697">
        <v>52.7</v>
      </c>
      <c r="C4697">
        <v>53</v>
      </c>
      <c r="D4697">
        <v>51.8</v>
      </c>
      <c r="F4697">
        <v>51.5</v>
      </c>
      <c r="G4697">
        <v>52.4</v>
      </c>
    </row>
    <row r="4698" spans="1:7" x14ac:dyDescent="0.25">
      <c r="A4698" s="29">
        <v>42304</v>
      </c>
      <c r="B4698">
        <v>50.9</v>
      </c>
      <c r="C4698">
        <v>52.2</v>
      </c>
      <c r="D4698">
        <v>51.9</v>
      </c>
      <c r="F4698">
        <v>46.6</v>
      </c>
      <c r="G4698">
        <v>49.4</v>
      </c>
    </row>
    <row r="4699" spans="1:7" x14ac:dyDescent="0.25">
      <c r="A4699" s="29">
        <v>42305</v>
      </c>
      <c r="B4699">
        <v>57.3</v>
      </c>
      <c r="C4699">
        <v>56.9</v>
      </c>
      <c r="D4699">
        <v>58</v>
      </c>
      <c r="F4699">
        <v>62.1</v>
      </c>
      <c r="G4699">
        <v>58.2</v>
      </c>
    </row>
    <row r="4700" spans="1:7" x14ac:dyDescent="0.25">
      <c r="A4700" s="29">
        <v>42306</v>
      </c>
      <c r="B4700">
        <v>66.7</v>
      </c>
      <c r="C4700">
        <v>67.599999999999994</v>
      </c>
      <c r="D4700">
        <v>67.2</v>
      </c>
      <c r="F4700">
        <v>68.400000000000006</v>
      </c>
      <c r="G4700">
        <v>67.5</v>
      </c>
    </row>
    <row r="4701" spans="1:7" x14ac:dyDescent="0.25">
      <c r="A4701" s="29">
        <v>42307</v>
      </c>
      <c r="B4701">
        <v>57.6</v>
      </c>
      <c r="C4701">
        <v>56.8</v>
      </c>
      <c r="D4701">
        <v>55.8</v>
      </c>
      <c r="F4701">
        <v>53.5</v>
      </c>
      <c r="G4701">
        <v>56.1</v>
      </c>
    </row>
    <row r="4702" spans="1:7" x14ac:dyDescent="0.25">
      <c r="A4702" s="29">
        <v>42308</v>
      </c>
      <c r="B4702">
        <v>48.8</v>
      </c>
      <c r="C4702">
        <v>49</v>
      </c>
      <c r="D4702">
        <v>49.1</v>
      </c>
      <c r="F4702">
        <v>46.3</v>
      </c>
      <c r="G4702">
        <v>48.5</v>
      </c>
    </row>
    <row r="4703" spans="1:7" x14ac:dyDescent="0.25">
      <c r="A4703" s="29">
        <v>42309</v>
      </c>
      <c r="B4703">
        <v>57.8</v>
      </c>
      <c r="C4703">
        <v>57.3</v>
      </c>
      <c r="D4703">
        <v>57.9</v>
      </c>
      <c r="F4703">
        <v>57.2</v>
      </c>
      <c r="G4703">
        <v>56.2</v>
      </c>
    </row>
    <row r="4704" spans="1:7" x14ac:dyDescent="0.25">
      <c r="A4704" s="29">
        <v>42310</v>
      </c>
      <c r="B4704">
        <v>58.9</v>
      </c>
      <c r="C4704">
        <v>60.2</v>
      </c>
      <c r="D4704">
        <v>59.4</v>
      </c>
      <c r="F4704">
        <v>58.3</v>
      </c>
      <c r="G4704">
        <v>58.6</v>
      </c>
    </row>
    <row r="4705" spans="1:7" x14ac:dyDescent="0.25">
      <c r="A4705" s="29">
        <v>42311</v>
      </c>
      <c r="B4705">
        <v>56.5</v>
      </c>
      <c r="C4705">
        <v>61.3</v>
      </c>
      <c r="D4705">
        <v>60.6</v>
      </c>
      <c r="F4705">
        <v>53.8</v>
      </c>
      <c r="G4705">
        <v>58.6</v>
      </c>
    </row>
    <row r="4706" spans="1:7" x14ac:dyDescent="0.25">
      <c r="A4706" s="29">
        <v>42312</v>
      </c>
      <c r="B4706">
        <v>59.7</v>
      </c>
      <c r="C4706">
        <v>61.5</v>
      </c>
      <c r="D4706">
        <v>62.9</v>
      </c>
      <c r="F4706">
        <v>55.3</v>
      </c>
      <c r="G4706">
        <v>60.9</v>
      </c>
    </row>
    <row r="4707" spans="1:7" x14ac:dyDescent="0.25">
      <c r="A4707" s="29">
        <v>42313</v>
      </c>
      <c r="B4707">
        <v>59.8</v>
      </c>
      <c r="C4707">
        <v>62</v>
      </c>
      <c r="D4707">
        <v>62.8</v>
      </c>
      <c r="F4707">
        <v>59.5</v>
      </c>
      <c r="G4707">
        <v>61.1</v>
      </c>
    </row>
    <row r="4708" spans="1:7" x14ac:dyDescent="0.25">
      <c r="A4708" s="29">
        <v>42314</v>
      </c>
      <c r="B4708">
        <v>65.3</v>
      </c>
      <c r="C4708">
        <v>68.3</v>
      </c>
      <c r="D4708">
        <v>69.400000000000006</v>
      </c>
      <c r="F4708">
        <v>67</v>
      </c>
      <c r="G4708">
        <v>68.599999999999994</v>
      </c>
    </row>
    <row r="4709" spans="1:7" x14ac:dyDescent="0.25">
      <c r="A4709" s="29">
        <v>42315</v>
      </c>
      <c r="B4709">
        <v>64.8</v>
      </c>
      <c r="C4709">
        <v>65.900000000000006</v>
      </c>
      <c r="D4709">
        <v>64.900000000000006</v>
      </c>
      <c r="F4709">
        <v>64.099999999999994</v>
      </c>
      <c r="G4709">
        <v>66.2</v>
      </c>
    </row>
    <row r="4710" spans="1:7" x14ac:dyDescent="0.25">
      <c r="A4710" s="29">
        <v>42316</v>
      </c>
      <c r="B4710">
        <v>54.3</v>
      </c>
      <c r="C4710">
        <v>53.5</v>
      </c>
      <c r="D4710">
        <v>51.9</v>
      </c>
      <c r="F4710">
        <v>51.2</v>
      </c>
      <c r="G4710">
        <v>53.6</v>
      </c>
    </row>
    <row r="4711" spans="1:7" x14ac:dyDescent="0.25">
      <c r="A4711" s="29">
        <v>42317</v>
      </c>
      <c r="B4711">
        <v>49.8</v>
      </c>
      <c r="C4711">
        <v>53</v>
      </c>
      <c r="D4711">
        <v>51.1</v>
      </c>
      <c r="F4711">
        <v>44.3</v>
      </c>
      <c r="G4711">
        <v>49.5</v>
      </c>
    </row>
    <row r="4712" spans="1:7" x14ac:dyDescent="0.25">
      <c r="A4712" s="29">
        <v>42318</v>
      </c>
      <c r="B4712">
        <v>56.6</v>
      </c>
      <c r="C4712">
        <v>56</v>
      </c>
      <c r="D4712">
        <v>55</v>
      </c>
      <c r="F4712">
        <v>58.7</v>
      </c>
      <c r="G4712">
        <v>55.7</v>
      </c>
    </row>
    <row r="4713" spans="1:7" x14ac:dyDescent="0.25">
      <c r="A4713" s="29">
        <v>42319</v>
      </c>
      <c r="B4713">
        <v>54</v>
      </c>
      <c r="C4713">
        <v>53.2</v>
      </c>
      <c r="D4713">
        <v>52.7</v>
      </c>
      <c r="F4713">
        <v>57.5</v>
      </c>
      <c r="G4713">
        <v>54.4</v>
      </c>
    </row>
    <row r="4714" spans="1:7" x14ac:dyDescent="0.25">
      <c r="A4714" s="29">
        <v>42320</v>
      </c>
      <c r="B4714">
        <v>56.1</v>
      </c>
      <c r="C4714">
        <v>55.2</v>
      </c>
      <c r="D4714">
        <v>55.4</v>
      </c>
      <c r="F4714">
        <v>53.8</v>
      </c>
      <c r="G4714">
        <v>55.9</v>
      </c>
    </row>
    <row r="4715" spans="1:7" x14ac:dyDescent="0.25">
      <c r="A4715" s="29">
        <v>42321</v>
      </c>
      <c r="B4715">
        <v>57.1</v>
      </c>
      <c r="C4715">
        <v>56.8</v>
      </c>
      <c r="D4715">
        <v>55.4</v>
      </c>
      <c r="F4715">
        <v>55.9</v>
      </c>
      <c r="G4715">
        <v>56.4</v>
      </c>
    </row>
    <row r="4716" spans="1:7" x14ac:dyDescent="0.25">
      <c r="A4716" s="29">
        <v>42322</v>
      </c>
      <c r="B4716">
        <v>48.7</v>
      </c>
      <c r="C4716">
        <v>47.8</v>
      </c>
      <c r="D4716">
        <v>46.4</v>
      </c>
      <c r="F4716">
        <v>47.9</v>
      </c>
      <c r="G4716">
        <v>47.9</v>
      </c>
    </row>
    <row r="4717" spans="1:7" x14ac:dyDescent="0.25">
      <c r="A4717" s="29">
        <v>42323</v>
      </c>
      <c r="B4717">
        <v>47.6</v>
      </c>
      <c r="C4717">
        <v>47.4</v>
      </c>
      <c r="D4717">
        <v>46.5</v>
      </c>
      <c r="F4717">
        <v>44.9</v>
      </c>
      <c r="G4717">
        <v>46.2</v>
      </c>
    </row>
    <row r="4718" spans="1:7" x14ac:dyDescent="0.25">
      <c r="A4718" s="29">
        <v>42324</v>
      </c>
      <c r="B4718">
        <v>55.8</v>
      </c>
      <c r="C4718">
        <v>58.8</v>
      </c>
      <c r="D4718">
        <v>58.1</v>
      </c>
      <c r="F4718">
        <v>56.2</v>
      </c>
      <c r="G4718">
        <v>55.7</v>
      </c>
    </row>
    <row r="4719" spans="1:7" x14ac:dyDescent="0.25">
      <c r="A4719" s="29">
        <v>42325</v>
      </c>
      <c r="B4719">
        <v>49.6</v>
      </c>
      <c r="C4719">
        <v>49.1</v>
      </c>
      <c r="D4719">
        <v>47.5</v>
      </c>
      <c r="F4719">
        <v>49.7</v>
      </c>
      <c r="G4719">
        <v>49</v>
      </c>
    </row>
    <row r="4720" spans="1:7" x14ac:dyDescent="0.25">
      <c r="A4720" s="29">
        <v>42326</v>
      </c>
      <c r="B4720">
        <v>50.2</v>
      </c>
      <c r="C4720">
        <v>50.5</v>
      </c>
      <c r="D4720">
        <v>50.9</v>
      </c>
      <c r="F4720">
        <v>52.5</v>
      </c>
      <c r="G4720">
        <v>51</v>
      </c>
    </row>
    <row r="4721" spans="1:7" x14ac:dyDescent="0.25">
      <c r="A4721" s="29">
        <v>42327</v>
      </c>
      <c r="B4721">
        <v>59.8</v>
      </c>
      <c r="C4721">
        <v>59.7</v>
      </c>
      <c r="D4721">
        <v>59.5</v>
      </c>
      <c r="F4721">
        <v>62.2</v>
      </c>
      <c r="G4721">
        <v>59.8</v>
      </c>
    </row>
    <row r="4722" spans="1:7" x14ac:dyDescent="0.25">
      <c r="A4722" s="29">
        <v>42328</v>
      </c>
      <c r="B4722">
        <v>59.3</v>
      </c>
      <c r="C4722">
        <v>58.9</v>
      </c>
      <c r="D4722">
        <v>58.1</v>
      </c>
      <c r="F4722">
        <v>57.1</v>
      </c>
      <c r="G4722">
        <v>58.5</v>
      </c>
    </row>
    <row r="4723" spans="1:7" x14ac:dyDescent="0.25">
      <c r="A4723" s="29">
        <v>42329</v>
      </c>
      <c r="B4723">
        <v>47.6</v>
      </c>
      <c r="C4723">
        <v>47.2</v>
      </c>
      <c r="D4723">
        <v>46.4</v>
      </c>
      <c r="F4723">
        <v>42.9</v>
      </c>
      <c r="G4723">
        <v>46</v>
      </c>
    </row>
    <row r="4724" spans="1:7" x14ac:dyDescent="0.25">
      <c r="A4724" s="29">
        <v>42330</v>
      </c>
      <c r="B4724">
        <v>53.2</v>
      </c>
      <c r="C4724">
        <v>52.1</v>
      </c>
      <c r="D4724">
        <v>51.2</v>
      </c>
      <c r="F4724">
        <v>49.6</v>
      </c>
      <c r="G4724">
        <v>50.3</v>
      </c>
    </row>
    <row r="4725" spans="1:7" x14ac:dyDescent="0.25">
      <c r="A4725" s="29">
        <v>42331</v>
      </c>
      <c r="B4725">
        <v>42.4</v>
      </c>
      <c r="C4725">
        <v>41.8</v>
      </c>
      <c r="D4725">
        <v>39.799999999999997</v>
      </c>
      <c r="F4725">
        <v>38.6</v>
      </c>
      <c r="G4725">
        <v>40.9</v>
      </c>
    </row>
    <row r="4726" spans="1:7" x14ac:dyDescent="0.25">
      <c r="A4726" s="29">
        <v>42332</v>
      </c>
      <c r="B4726">
        <v>39.1</v>
      </c>
      <c r="C4726">
        <v>39.200000000000003</v>
      </c>
      <c r="D4726">
        <v>38.200000000000003</v>
      </c>
      <c r="F4726">
        <v>35</v>
      </c>
      <c r="G4726">
        <v>37.200000000000003</v>
      </c>
    </row>
    <row r="4727" spans="1:7" x14ac:dyDescent="0.25">
      <c r="A4727" s="29">
        <v>42333</v>
      </c>
      <c r="B4727">
        <v>42.4</v>
      </c>
      <c r="C4727">
        <v>44</v>
      </c>
      <c r="D4727">
        <v>42.5</v>
      </c>
      <c r="F4727">
        <v>37.299999999999997</v>
      </c>
      <c r="G4727">
        <v>42.5</v>
      </c>
    </row>
    <row r="4728" spans="1:7" x14ac:dyDescent="0.25">
      <c r="A4728" s="29">
        <v>42334</v>
      </c>
      <c r="B4728">
        <v>46</v>
      </c>
      <c r="C4728">
        <v>48.1</v>
      </c>
      <c r="D4728">
        <v>49</v>
      </c>
      <c r="F4728">
        <v>45</v>
      </c>
      <c r="G4728">
        <v>45.7</v>
      </c>
    </row>
    <row r="4729" spans="1:7" x14ac:dyDescent="0.25">
      <c r="A4729" s="29">
        <v>42335</v>
      </c>
      <c r="B4729">
        <v>54</v>
      </c>
      <c r="C4729">
        <v>55.6</v>
      </c>
      <c r="D4729">
        <v>57.1</v>
      </c>
      <c r="F4729">
        <v>50.2</v>
      </c>
      <c r="G4729">
        <v>52.7</v>
      </c>
    </row>
    <row r="4730" spans="1:7" x14ac:dyDescent="0.25">
      <c r="A4730" s="29">
        <v>42336</v>
      </c>
      <c r="B4730">
        <v>54.8</v>
      </c>
      <c r="C4730">
        <v>57.2</v>
      </c>
      <c r="D4730">
        <v>56.3</v>
      </c>
      <c r="F4730">
        <v>56.9</v>
      </c>
      <c r="G4730">
        <v>55.6</v>
      </c>
    </row>
    <row r="4731" spans="1:7" x14ac:dyDescent="0.25">
      <c r="A4731" s="29">
        <v>42337</v>
      </c>
      <c r="B4731">
        <v>44.5</v>
      </c>
      <c r="C4731">
        <v>43</v>
      </c>
      <c r="D4731">
        <v>41.5</v>
      </c>
      <c r="F4731">
        <v>47</v>
      </c>
      <c r="G4731">
        <v>43.6</v>
      </c>
    </row>
    <row r="4732" spans="1:7" x14ac:dyDescent="0.25">
      <c r="A4732" s="29">
        <v>42338</v>
      </c>
      <c r="B4732">
        <v>41.3</v>
      </c>
      <c r="C4732">
        <v>39.799999999999997</v>
      </c>
      <c r="D4732">
        <v>39.4</v>
      </c>
      <c r="F4732">
        <v>42</v>
      </c>
      <c r="G4732">
        <v>39</v>
      </c>
    </row>
    <row r="4733" spans="1:7" x14ac:dyDescent="0.25">
      <c r="A4733" s="29">
        <v>42339</v>
      </c>
      <c r="B4733">
        <v>47.9</v>
      </c>
      <c r="C4733">
        <v>47.1</v>
      </c>
      <c r="D4733">
        <v>46.5</v>
      </c>
      <c r="F4733">
        <v>53.6</v>
      </c>
      <c r="G4733">
        <v>46.8</v>
      </c>
    </row>
    <row r="4734" spans="1:7" x14ac:dyDescent="0.25">
      <c r="A4734" s="29">
        <v>42340</v>
      </c>
      <c r="B4734">
        <v>49.8</v>
      </c>
      <c r="C4734">
        <v>48.1</v>
      </c>
      <c r="D4734">
        <v>49.3</v>
      </c>
      <c r="F4734">
        <v>55.8</v>
      </c>
      <c r="G4734">
        <v>48.6</v>
      </c>
    </row>
    <row r="4735" spans="1:7" x14ac:dyDescent="0.25">
      <c r="A4735" s="29">
        <v>42341</v>
      </c>
      <c r="B4735">
        <v>52</v>
      </c>
      <c r="C4735">
        <v>51.4</v>
      </c>
      <c r="D4735">
        <v>50.9</v>
      </c>
      <c r="F4735">
        <v>51.2</v>
      </c>
      <c r="G4735">
        <v>50.7</v>
      </c>
    </row>
    <row r="4736" spans="1:7" x14ac:dyDescent="0.25">
      <c r="A4736" s="29">
        <v>42342</v>
      </c>
      <c r="B4736">
        <v>47.3</v>
      </c>
      <c r="C4736">
        <v>46.9</v>
      </c>
      <c r="D4736">
        <v>46.4</v>
      </c>
      <c r="F4736">
        <v>42.6</v>
      </c>
      <c r="G4736">
        <v>46.6</v>
      </c>
    </row>
    <row r="4737" spans="1:7" x14ac:dyDescent="0.25">
      <c r="A4737" s="29">
        <v>42343</v>
      </c>
      <c r="B4737">
        <v>45</v>
      </c>
      <c r="C4737">
        <v>47.1</v>
      </c>
      <c r="D4737">
        <v>45.7</v>
      </c>
      <c r="F4737">
        <v>39.700000000000003</v>
      </c>
      <c r="G4737">
        <v>44.4</v>
      </c>
    </row>
    <row r="4738" spans="1:7" x14ac:dyDescent="0.25">
      <c r="A4738" s="29">
        <v>42344</v>
      </c>
      <c r="B4738">
        <v>44.6</v>
      </c>
      <c r="C4738">
        <v>47.1</v>
      </c>
      <c r="D4738">
        <v>46.5</v>
      </c>
      <c r="F4738">
        <v>40</v>
      </c>
      <c r="G4738">
        <v>42.8</v>
      </c>
    </row>
    <row r="4739" spans="1:7" x14ac:dyDescent="0.25">
      <c r="A4739" s="29">
        <v>42345</v>
      </c>
      <c r="B4739">
        <v>46.8</v>
      </c>
      <c r="C4739">
        <v>48.8</v>
      </c>
      <c r="D4739">
        <v>48</v>
      </c>
      <c r="F4739">
        <v>41.9</v>
      </c>
      <c r="G4739">
        <v>45.1</v>
      </c>
    </row>
    <row r="4740" spans="1:7" x14ac:dyDescent="0.25">
      <c r="A4740" s="29">
        <v>42346</v>
      </c>
      <c r="B4740">
        <v>46.1</v>
      </c>
      <c r="C4740">
        <v>45.3</v>
      </c>
      <c r="D4740">
        <v>44.6</v>
      </c>
      <c r="F4740">
        <v>43.5</v>
      </c>
      <c r="G4740">
        <v>44.5</v>
      </c>
    </row>
    <row r="4741" spans="1:7" x14ac:dyDescent="0.25">
      <c r="A4741" s="29">
        <v>42347</v>
      </c>
      <c r="B4741">
        <v>44.4</v>
      </c>
      <c r="C4741">
        <v>45.7</v>
      </c>
      <c r="D4741">
        <v>45.8</v>
      </c>
      <c r="F4741">
        <v>40.200000000000003</v>
      </c>
      <c r="G4741">
        <v>43.5</v>
      </c>
    </row>
    <row r="4742" spans="1:7" x14ac:dyDescent="0.25">
      <c r="A4742" s="29">
        <v>42348</v>
      </c>
      <c r="B4742">
        <v>54.2</v>
      </c>
      <c r="C4742">
        <v>55</v>
      </c>
      <c r="D4742">
        <v>54.9</v>
      </c>
      <c r="F4742">
        <v>54.6</v>
      </c>
      <c r="G4742">
        <v>53.9</v>
      </c>
    </row>
    <row r="4743" spans="1:7" x14ac:dyDescent="0.25">
      <c r="A4743" s="29">
        <v>42349</v>
      </c>
      <c r="B4743">
        <v>51.8</v>
      </c>
      <c r="C4743">
        <v>54.3</v>
      </c>
      <c r="D4743">
        <v>55.2</v>
      </c>
      <c r="F4743">
        <v>51.6</v>
      </c>
      <c r="G4743">
        <v>52.7</v>
      </c>
    </row>
    <row r="4744" spans="1:7" x14ac:dyDescent="0.25">
      <c r="A4744" s="29">
        <v>42350</v>
      </c>
      <c r="B4744">
        <v>55.7</v>
      </c>
      <c r="C4744">
        <v>59</v>
      </c>
      <c r="D4744">
        <v>59.6</v>
      </c>
      <c r="F4744">
        <v>56.9</v>
      </c>
      <c r="G4744">
        <v>56.1</v>
      </c>
    </row>
    <row r="4745" spans="1:7" x14ac:dyDescent="0.25">
      <c r="A4745" s="29">
        <v>42351</v>
      </c>
      <c r="B4745">
        <v>57.5</v>
      </c>
      <c r="C4745">
        <v>57.1</v>
      </c>
      <c r="D4745">
        <v>61.8</v>
      </c>
      <c r="F4745">
        <v>59.7</v>
      </c>
      <c r="G4745">
        <v>59.3</v>
      </c>
    </row>
    <row r="4746" spans="1:7" x14ac:dyDescent="0.25">
      <c r="A4746" s="29">
        <v>42352</v>
      </c>
      <c r="B4746">
        <v>55.2</v>
      </c>
      <c r="C4746">
        <v>53.7</v>
      </c>
      <c r="D4746">
        <v>56.8</v>
      </c>
      <c r="F4746">
        <v>57</v>
      </c>
      <c r="G4746">
        <v>56</v>
      </c>
    </row>
    <row r="4747" spans="1:7" x14ac:dyDescent="0.25">
      <c r="A4747" s="29">
        <v>42353</v>
      </c>
      <c r="B4747">
        <v>60.3</v>
      </c>
      <c r="C4747">
        <v>60.7</v>
      </c>
      <c r="D4747">
        <v>61.8</v>
      </c>
      <c r="F4747">
        <v>60.8</v>
      </c>
      <c r="G4747">
        <v>61.2</v>
      </c>
    </row>
    <row r="4748" spans="1:7" x14ac:dyDescent="0.25">
      <c r="A4748" s="29">
        <v>42354</v>
      </c>
      <c r="B4748">
        <v>51.1</v>
      </c>
      <c r="C4748">
        <v>50</v>
      </c>
      <c r="D4748">
        <v>50.6</v>
      </c>
      <c r="F4748">
        <v>49.1</v>
      </c>
      <c r="G4748">
        <v>50.5</v>
      </c>
    </row>
    <row r="4749" spans="1:7" x14ac:dyDescent="0.25">
      <c r="A4749" s="29">
        <v>42355</v>
      </c>
      <c r="B4749">
        <v>53.9</v>
      </c>
      <c r="C4749">
        <v>53.4</v>
      </c>
      <c r="D4749">
        <v>54.7</v>
      </c>
      <c r="F4749">
        <v>53.4</v>
      </c>
      <c r="G4749">
        <v>53.5</v>
      </c>
    </row>
    <row r="4750" spans="1:7" x14ac:dyDescent="0.25">
      <c r="A4750" s="29">
        <v>42356</v>
      </c>
      <c r="B4750">
        <v>51.7</v>
      </c>
      <c r="C4750">
        <v>51.1</v>
      </c>
      <c r="D4750">
        <v>51.9</v>
      </c>
      <c r="F4750">
        <v>50</v>
      </c>
      <c r="G4750">
        <v>50.9</v>
      </c>
    </row>
    <row r="4751" spans="1:7" x14ac:dyDescent="0.25">
      <c r="A4751" s="29">
        <v>42357</v>
      </c>
      <c r="B4751">
        <v>39.200000000000003</v>
      </c>
      <c r="C4751">
        <v>39.200000000000003</v>
      </c>
      <c r="D4751">
        <v>38.200000000000003</v>
      </c>
      <c r="F4751">
        <v>37.5</v>
      </c>
      <c r="G4751">
        <v>37.9</v>
      </c>
    </row>
    <row r="4752" spans="1:7" x14ac:dyDescent="0.25">
      <c r="A4752" s="29">
        <v>42358</v>
      </c>
      <c r="B4752">
        <v>39.700000000000003</v>
      </c>
      <c r="C4752">
        <v>39.799999999999997</v>
      </c>
      <c r="D4752">
        <v>38.6</v>
      </c>
      <c r="F4752">
        <v>35.6</v>
      </c>
      <c r="G4752">
        <v>38.700000000000003</v>
      </c>
    </row>
    <row r="4753" spans="1:7" x14ac:dyDescent="0.25">
      <c r="A4753" s="29">
        <v>42359</v>
      </c>
      <c r="B4753">
        <v>45.8</v>
      </c>
      <c r="C4753">
        <v>45.6</v>
      </c>
      <c r="D4753">
        <v>45</v>
      </c>
      <c r="F4753">
        <v>44.1</v>
      </c>
      <c r="G4753">
        <v>41.6</v>
      </c>
    </row>
    <row r="4754" spans="1:7" x14ac:dyDescent="0.25">
      <c r="A4754" s="29">
        <v>42360</v>
      </c>
      <c r="B4754">
        <v>54.5</v>
      </c>
      <c r="C4754">
        <v>56.8</v>
      </c>
      <c r="D4754">
        <v>57.2</v>
      </c>
      <c r="F4754">
        <v>56.9</v>
      </c>
      <c r="G4754">
        <v>55.7</v>
      </c>
    </row>
    <row r="4755" spans="1:7" x14ac:dyDescent="0.25">
      <c r="A4755" s="29">
        <v>42361</v>
      </c>
      <c r="B4755">
        <v>54.4</v>
      </c>
      <c r="C4755">
        <v>54.2</v>
      </c>
      <c r="D4755">
        <v>56.4</v>
      </c>
      <c r="F4755">
        <v>58.7</v>
      </c>
      <c r="G4755">
        <v>54.6</v>
      </c>
    </row>
    <row r="4756" spans="1:7" x14ac:dyDescent="0.25">
      <c r="A4756" s="29">
        <v>42362</v>
      </c>
      <c r="B4756">
        <v>61.6</v>
      </c>
      <c r="C4756">
        <v>64</v>
      </c>
      <c r="D4756">
        <v>66.400000000000006</v>
      </c>
      <c r="F4756">
        <v>65.900000000000006</v>
      </c>
      <c r="G4756">
        <v>67.400000000000006</v>
      </c>
    </row>
    <row r="4757" spans="1:7" x14ac:dyDescent="0.25">
      <c r="A4757" s="29">
        <v>42363</v>
      </c>
      <c r="B4757">
        <v>59</v>
      </c>
      <c r="C4757">
        <v>60.3</v>
      </c>
      <c r="D4757">
        <v>62</v>
      </c>
      <c r="F4757">
        <v>66.099999999999994</v>
      </c>
      <c r="G4757">
        <v>60.5</v>
      </c>
    </row>
    <row r="4758" spans="1:7" x14ac:dyDescent="0.25">
      <c r="A4758" s="29">
        <v>42364</v>
      </c>
      <c r="B4758">
        <v>55.5</v>
      </c>
      <c r="C4758">
        <v>54.5</v>
      </c>
      <c r="D4758">
        <v>54.5</v>
      </c>
      <c r="F4758">
        <v>56.8</v>
      </c>
      <c r="G4758">
        <v>54.5</v>
      </c>
    </row>
    <row r="4759" spans="1:7" x14ac:dyDescent="0.25">
      <c r="A4759" s="29">
        <v>42365</v>
      </c>
      <c r="B4759">
        <v>53.8</v>
      </c>
      <c r="C4759">
        <v>52.4</v>
      </c>
      <c r="D4759">
        <v>52</v>
      </c>
      <c r="F4759">
        <v>57.9</v>
      </c>
      <c r="G4759">
        <v>52.3</v>
      </c>
    </row>
    <row r="4760" spans="1:7" x14ac:dyDescent="0.25">
      <c r="A4760" s="29">
        <v>42366</v>
      </c>
      <c r="B4760">
        <v>45.5</v>
      </c>
      <c r="C4760">
        <v>44.8</v>
      </c>
      <c r="D4760">
        <v>43.6</v>
      </c>
      <c r="F4760">
        <v>47.7</v>
      </c>
      <c r="G4760">
        <v>44.1</v>
      </c>
    </row>
    <row r="4761" spans="1:7" x14ac:dyDescent="0.25">
      <c r="A4761" s="29">
        <v>42367</v>
      </c>
      <c r="B4761">
        <v>41.9</v>
      </c>
      <c r="C4761">
        <v>40.200000000000003</v>
      </c>
      <c r="D4761">
        <v>39.299999999999997</v>
      </c>
      <c r="F4761">
        <v>52.1</v>
      </c>
      <c r="G4761">
        <v>39.6</v>
      </c>
    </row>
    <row r="4762" spans="1:7" x14ac:dyDescent="0.25">
      <c r="A4762" s="29">
        <v>42368</v>
      </c>
      <c r="B4762">
        <v>43.2</v>
      </c>
      <c r="C4762">
        <v>42.1</v>
      </c>
      <c r="D4762">
        <v>41.5</v>
      </c>
      <c r="F4762">
        <v>49.8</v>
      </c>
      <c r="G4762">
        <v>42.9</v>
      </c>
    </row>
    <row r="4763" spans="1:7" x14ac:dyDescent="0.25">
      <c r="A4763" s="29">
        <v>42369</v>
      </c>
      <c r="B4763">
        <v>48.4</v>
      </c>
      <c r="C4763">
        <v>47.3</v>
      </c>
      <c r="D4763">
        <v>46.4</v>
      </c>
      <c r="F4763">
        <v>51.7</v>
      </c>
      <c r="G4763">
        <v>47.1</v>
      </c>
    </row>
    <row r="4764" spans="1:7" x14ac:dyDescent="0.25">
      <c r="A4764" s="29">
        <v>42370</v>
      </c>
      <c r="B4764">
        <v>42.4</v>
      </c>
      <c r="C4764">
        <v>41.9</v>
      </c>
      <c r="D4764">
        <v>40.4</v>
      </c>
      <c r="F4764">
        <v>40.200000000000003</v>
      </c>
      <c r="G4764">
        <v>41</v>
      </c>
    </row>
    <row r="4765" spans="1:7" x14ac:dyDescent="0.25">
      <c r="A4765" s="29">
        <v>42371</v>
      </c>
      <c r="B4765">
        <v>37.6</v>
      </c>
      <c r="C4765">
        <v>37.299999999999997</v>
      </c>
      <c r="D4765">
        <v>35.799999999999997</v>
      </c>
      <c r="F4765">
        <v>34.799999999999997</v>
      </c>
      <c r="G4765">
        <v>35.799999999999997</v>
      </c>
    </row>
    <row r="4766" spans="1:7" x14ac:dyDescent="0.25">
      <c r="A4766" s="29">
        <v>42372</v>
      </c>
      <c r="B4766">
        <v>40.299999999999997</v>
      </c>
      <c r="C4766">
        <v>40</v>
      </c>
      <c r="D4766">
        <v>38.4</v>
      </c>
      <c r="F4766">
        <v>36.5</v>
      </c>
      <c r="G4766">
        <v>36.6</v>
      </c>
    </row>
    <row r="4767" spans="1:7" x14ac:dyDescent="0.25">
      <c r="A4767" s="29">
        <v>42373</v>
      </c>
      <c r="B4767">
        <v>33.799999999999997</v>
      </c>
      <c r="C4767">
        <v>33.700000000000003</v>
      </c>
      <c r="D4767">
        <v>30.8</v>
      </c>
      <c r="F4767">
        <v>31.5</v>
      </c>
      <c r="G4767">
        <v>31.7</v>
      </c>
    </row>
    <row r="4768" spans="1:7" x14ac:dyDescent="0.25">
      <c r="A4768" s="29">
        <v>42374</v>
      </c>
      <c r="B4768">
        <v>19</v>
      </c>
      <c r="C4768">
        <v>19.5</v>
      </c>
      <c r="D4768">
        <v>18.399999999999999</v>
      </c>
      <c r="F4768">
        <v>18.8</v>
      </c>
      <c r="G4768">
        <v>18.600000000000001</v>
      </c>
    </row>
    <row r="4769" spans="1:7" x14ac:dyDescent="0.25">
      <c r="A4769" s="29">
        <v>42375</v>
      </c>
      <c r="B4769">
        <v>29.5</v>
      </c>
      <c r="C4769">
        <v>32.200000000000003</v>
      </c>
      <c r="D4769">
        <v>31.2</v>
      </c>
      <c r="F4769">
        <v>22.9</v>
      </c>
      <c r="G4769">
        <v>28.3</v>
      </c>
    </row>
    <row r="4770" spans="1:7" x14ac:dyDescent="0.25">
      <c r="A4770" s="29">
        <v>42376</v>
      </c>
      <c r="B4770">
        <v>36.9</v>
      </c>
      <c r="C4770">
        <v>39</v>
      </c>
      <c r="D4770">
        <v>37.9</v>
      </c>
      <c r="F4770">
        <v>34</v>
      </c>
      <c r="G4770">
        <v>34.799999999999997</v>
      </c>
    </row>
    <row r="4771" spans="1:7" x14ac:dyDescent="0.25">
      <c r="A4771" s="29">
        <v>42377</v>
      </c>
      <c r="B4771">
        <v>39.700000000000003</v>
      </c>
      <c r="C4771">
        <v>40.299999999999997</v>
      </c>
      <c r="D4771">
        <v>40.200000000000003</v>
      </c>
      <c r="F4771">
        <v>40.200000000000003</v>
      </c>
      <c r="G4771">
        <v>38.4</v>
      </c>
    </row>
    <row r="4772" spans="1:7" x14ac:dyDescent="0.25">
      <c r="A4772" s="29">
        <v>42378</v>
      </c>
      <c r="B4772">
        <v>45</v>
      </c>
      <c r="C4772">
        <v>43.7</v>
      </c>
      <c r="D4772">
        <v>43.3</v>
      </c>
      <c r="F4772">
        <v>44.7</v>
      </c>
      <c r="G4772">
        <v>43.7</v>
      </c>
    </row>
    <row r="4773" spans="1:7" x14ac:dyDescent="0.25">
      <c r="A4773" s="29">
        <v>42379</v>
      </c>
      <c r="B4773">
        <v>52.2</v>
      </c>
      <c r="C4773">
        <v>50.9</v>
      </c>
      <c r="D4773">
        <v>50.4</v>
      </c>
      <c r="F4773">
        <v>56.8</v>
      </c>
      <c r="G4773">
        <v>52.8</v>
      </c>
    </row>
    <row r="4774" spans="1:7" x14ac:dyDescent="0.25">
      <c r="A4774" s="29">
        <v>42380</v>
      </c>
      <c r="B4774">
        <v>37.6</v>
      </c>
      <c r="C4774">
        <v>37.799999999999997</v>
      </c>
      <c r="D4774">
        <v>35.200000000000003</v>
      </c>
      <c r="F4774">
        <v>36.5</v>
      </c>
      <c r="G4774">
        <v>36.4</v>
      </c>
    </row>
    <row r="4775" spans="1:7" x14ac:dyDescent="0.25">
      <c r="A4775" s="29">
        <v>42381</v>
      </c>
      <c r="B4775">
        <v>32.700000000000003</v>
      </c>
      <c r="C4775">
        <v>32.9</v>
      </c>
      <c r="D4775">
        <v>32.200000000000003</v>
      </c>
      <c r="F4775">
        <v>30.8</v>
      </c>
      <c r="G4775">
        <v>30.9</v>
      </c>
    </row>
    <row r="4776" spans="1:7" x14ac:dyDescent="0.25">
      <c r="A4776" s="29">
        <v>42382</v>
      </c>
      <c r="B4776">
        <v>29.5</v>
      </c>
      <c r="C4776">
        <v>29.3</v>
      </c>
      <c r="D4776">
        <v>27.1</v>
      </c>
      <c r="F4776">
        <v>28.7</v>
      </c>
      <c r="G4776">
        <v>27.2</v>
      </c>
    </row>
    <row r="4777" spans="1:7" x14ac:dyDescent="0.25">
      <c r="A4777" s="29">
        <v>42383</v>
      </c>
      <c r="B4777">
        <v>29.3</v>
      </c>
      <c r="C4777">
        <v>28.7</v>
      </c>
      <c r="D4777">
        <v>27.9</v>
      </c>
      <c r="F4777">
        <v>36.5</v>
      </c>
      <c r="G4777">
        <v>28</v>
      </c>
    </row>
    <row r="4778" spans="1:7" x14ac:dyDescent="0.25">
      <c r="A4778" s="29">
        <v>42384</v>
      </c>
      <c r="B4778">
        <v>40.200000000000003</v>
      </c>
      <c r="C4778">
        <v>40.200000000000003</v>
      </c>
      <c r="D4778">
        <v>41.2</v>
      </c>
      <c r="F4778">
        <v>48.9</v>
      </c>
      <c r="G4778">
        <v>38.5</v>
      </c>
    </row>
    <row r="4779" spans="1:7" x14ac:dyDescent="0.25">
      <c r="A4779" s="29">
        <v>42385</v>
      </c>
      <c r="B4779">
        <v>47.7</v>
      </c>
      <c r="C4779">
        <v>46.3</v>
      </c>
      <c r="D4779">
        <v>46</v>
      </c>
      <c r="F4779">
        <v>46.7</v>
      </c>
      <c r="G4779">
        <v>46.7</v>
      </c>
    </row>
    <row r="4780" spans="1:7" x14ac:dyDescent="0.25">
      <c r="A4780" s="29">
        <v>42386</v>
      </c>
      <c r="B4780">
        <v>39</v>
      </c>
      <c r="C4780">
        <v>38.9</v>
      </c>
      <c r="D4780">
        <v>37.299999999999997</v>
      </c>
      <c r="F4780">
        <v>35.200000000000003</v>
      </c>
      <c r="G4780">
        <v>37.799999999999997</v>
      </c>
    </row>
    <row r="4781" spans="1:7" x14ac:dyDescent="0.25">
      <c r="A4781" s="29">
        <v>42387</v>
      </c>
      <c r="B4781">
        <v>28.8</v>
      </c>
      <c r="C4781">
        <v>29</v>
      </c>
      <c r="D4781">
        <v>27.1</v>
      </c>
      <c r="F4781">
        <v>25.5</v>
      </c>
      <c r="G4781">
        <v>26.8</v>
      </c>
    </row>
    <row r="4782" spans="1:7" x14ac:dyDescent="0.25">
      <c r="A4782" s="29">
        <v>42388</v>
      </c>
      <c r="B4782">
        <v>22.7</v>
      </c>
      <c r="C4782">
        <v>22.8</v>
      </c>
      <c r="D4782">
        <v>21.1</v>
      </c>
      <c r="F4782">
        <v>19.600000000000001</v>
      </c>
      <c r="G4782">
        <v>21.4</v>
      </c>
    </row>
    <row r="4783" spans="1:7" x14ac:dyDescent="0.25">
      <c r="A4783" s="29">
        <v>42389</v>
      </c>
      <c r="B4783">
        <v>32.299999999999997</v>
      </c>
      <c r="C4783">
        <v>32.1</v>
      </c>
      <c r="D4783">
        <v>30.7</v>
      </c>
      <c r="F4783">
        <v>25.8</v>
      </c>
      <c r="G4783">
        <v>31.1</v>
      </c>
    </row>
    <row r="4784" spans="1:7" x14ac:dyDescent="0.25">
      <c r="A4784" s="29">
        <v>42390</v>
      </c>
      <c r="B4784">
        <v>32.799999999999997</v>
      </c>
      <c r="C4784">
        <v>32.6</v>
      </c>
      <c r="D4784">
        <v>30.9</v>
      </c>
      <c r="F4784">
        <v>29.2</v>
      </c>
      <c r="G4784">
        <v>32</v>
      </c>
    </row>
    <row r="4785" spans="1:7" x14ac:dyDescent="0.25">
      <c r="A4785" s="29">
        <v>42391</v>
      </c>
      <c r="B4785">
        <v>27.3</v>
      </c>
      <c r="C4785">
        <v>27.3</v>
      </c>
      <c r="D4785">
        <v>25.9</v>
      </c>
      <c r="F4785">
        <v>23.7</v>
      </c>
      <c r="G4785">
        <v>26.2</v>
      </c>
    </row>
    <row r="4786" spans="1:7" x14ac:dyDescent="0.25">
      <c r="A4786" s="29">
        <v>42392</v>
      </c>
      <c r="B4786">
        <v>28.7</v>
      </c>
      <c r="C4786">
        <v>27.9</v>
      </c>
      <c r="D4786">
        <v>26.2</v>
      </c>
      <c r="F4786">
        <v>31.1</v>
      </c>
      <c r="G4786">
        <v>25.9</v>
      </c>
    </row>
    <row r="4787" spans="1:7" x14ac:dyDescent="0.25">
      <c r="A4787" s="29">
        <v>42393</v>
      </c>
      <c r="B4787">
        <v>27.1</v>
      </c>
      <c r="C4787">
        <v>28.3</v>
      </c>
      <c r="D4787">
        <v>26.7</v>
      </c>
      <c r="F4787">
        <v>27.5</v>
      </c>
      <c r="G4787">
        <v>26.1</v>
      </c>
    </row>
    <row r="4788" spans="1:7" x14ac:dyDescent="0.25">
      <c r="A4788" s="29">
        <v>42394</v>
      </c>
      <c r="B4788">
        <v>30.8</v>
      </c>
      <c r="C4788">
        <v>33.9</v>
      </c>
      <c r="D4788">
        <v>32.700000000000003</v>
      </c>
      <c r="F4788">
        <v>27.5</v>
      </c>
      <c r="G4788">
        <v>29.3</v>
      </c>
    </row>
    <row r="4789" spans="1:7" x14ac:dyDescent="0.25">
      <c r="A4789" s="29">
        <v>42395</v>
      </c>
      <c r="B4789">
        <v>38.6</v>
      </c>
      <c r="C4789">
        <v>40.200000000000003</v>
      </c>
      <c r="D4789">
        <v>41.4</v>
      </c>
      <c r="F4789">
        <v>42.6</v>
      </c>
      <c r="G4789">
        <v>34.5</v>
      </c>
    </row>
    <row r="4790" spans="1:7" x14ac:dyDescent="0.25">
      <c r="A4790" s="29">
        <v>42396</v>
      </c>
      <c r="B4790">
        <v>42.7</v>
      </c>
      <c r="C4790">
        <v>44.4</v>
      </c>
      <c r="D4790">
        <v>43.9</v>
      </c>
      <c r="F4790">
        <v>44.3</v>
      </c>
      <c r="G4790">
        <v>41.8</v>
      </c>
    </row>
    <row r="4791" spans="1:7" x14ac:dyDescent="0.25">
      <c r="A4791" s="29">
        <v>42397</v>
      </c>
      <c r="B4791">
        <v>34.6</v>
      </c>
      <c r="C4791">
        <v>37.9</v>
      </c>
      <c r="D4791">
        <v>37</v>
      </c>
      <c r="F4791">
        <v>33.200000000000003</v>
      </c>
      <c r="G4791">
        <v>34.4</v>
      </c>
    </row>
    <row r="4792" spans="1:7" x14ac:dyDescent="0.25">
      <c r="A4792" s="29">
        <v>42398</v>
      </c>
      <c r="B4792">
        <v>37.700000000000003</v>
      </c>
      <c r="C4792">
        <v>39.799999999999997</v>
      </c>
      <c r="D4792">
        <v>38.299999999999997</v>
      </c>
      <c r="F4792">
        <v>34.4</v>
      </c>
      <c r="G4792">
        <v>36.5</v>
      </c>
    </row>
    <row r="4793" spans="1:7" x14ac:dyDescent="0.25">
      <c r="A4793" s="29">
        <v>42399</v>
      </c>
      <c r="B4793">
        <v>33.5</v>
      </c>
      <c r="C4793">
        <v>34</v>
      </c>
      <c r="D4793">
        <v>32.799999999999997</v>
      </c>
      <c r="F4793">
        <v>32.799999999999997</v>
      </c>
      <c r="G4793">
        <v>32.200000000000003</v>
      </c>
    </row>
    <row r="4794" spans="1:7" x14ac:dyDescent="0.25">
      <c r="A4794" s="29">
        <v>42400</v>
      </c>
      <c r="B4794">
        <v>39.9</v>
      </c>
      <c r="C4794">
        <v>42.4</v>
      </c>
      <c r="D4794">
        <v>42.6</v>
      </c>
      <c r="F4794">
        <v>45.3</v>
      </c>
      <c r="G4794">
        <v>38.9</v>
      </c>
    </row>
    <row r="4795" spans="1:7" x14ac:dyDescent="0.25">
      <c r="A4795" s="29">
        <v>42401</v>
      </c>
      <c r="B4795">
        <v>48.1</v>
      </c>
      <c r="C4795">
        <v>50.5</v>
      </c>
      <c r="D4795">
        <v>52.1</v>
      </c>
      <c r="F4795">
        <v>53.7</v>
      </c>
      <c r="G4795">
        <v>45.5</v>
      </c>
    </row>
    <row r="4796" spans="1:7" x14ac:dyDescent="0.25">
      <c r="A4796" s="29">
        <v>42402</v>
      </c>
      <c r="B4796">
        <v>44.5</v>
      </c>
      <c r="C4796">
        <v>45.5</v>
      </c>
      <c r="D4796">
        <v>44.5</v>
      </c>
      <c r="F4796">
        <v>42.7</v>
      </c>
      <c r="G4796">
        <v>43.4</v>
      </c>
    </row>
    <row r="4797" spans="1:7" x14ac:dyDescent="0.25">
      <c r="A4797" s="29">
        <v>42403</v>
      </c>
      <c r="B4797">
        <v>46.6</v>
      </c>
      <c r="C4797">
        <v>48.1</v>
      </c>
      <c r="D4797">
        <v>48.8</v>
      </c>
      <c r="F4797">
        <v>47.4</v>
      </c>
      <c r="G4797">
        <v>47.7</v>
      </c>
    </row>
    <row r="4798" spans="1:7" x14ac:dyDescent="0.25">
      <c r="A4798" s="29">
        <v>42404</v>
      </c>
      <c r="B4798">
        <v>52.8</v>
      </c>
      <c r="C4798">
        <v>54</v>
      </c>
      <c r="D4798">
        <v>54.7</v>
      </c>
      <c r="F4798">
        <v>54.4</v>
      </c>
      <c r="G4798">
        <v>54.3</v>
      </c>
    </row>
    <row r="4799" spans="1:7" x14ac:dyDescent="0.25">
      <c r="A4799" s="29">
        <v>42405</v>
      </c>
      <c r="B4799">
        <v>38.9</v>
      </c>
      <c r="C4799">
        <v>39.4</v>
      </c>
      <c r="D4799">
        <v>37.4</v>
      </c>
      <c r="F4799">
        <v>38</v>
      </c>
      <c r="G4799">
        <v>38.5</v>
      </c>
    </row>
    <row r="4800" spans="1:7" x14ac:dyDescent="0.25">
      <c r="A4800" s="29">
        <v>42406</v>
      </c>
      <c r="B4800">
        <v>33.4</v>
      </c>
      <c r="C4800">
        <v>36</v>
      </c>
      <c r="D4800">
        <v>34.6</v>
      </c>
      <c r="F4800">
        <v>31.6</v>
      </c>
      <c r="G4800">
        <v>33.5</v>
      </c>
    </row>
    <row r="4801" spans="1:7" x14ac:dyDescent="0.25">
      <c r="A4801" s="29">
        <v>42407</v>
      </c>
      <c r="B4801">
        <v>37.4</v>
      </c>
      <c r="C4801">
        <v>39.6</v>
      </c>
      <c r="D4801">
        <v>39.1</v>
      </c>
      <c r="F4801">
        <v>33.1</v>
      </c>
      <c r="G4801">
        <v>36.700000000000003</v>
      </c>
    </row>
    <row r="4802" spans="1:7" x14ac:dyDescent="0.25">
      <c r="A4802" s="29">
        <v>42408</v>
      </c>
      <c r="B4802">
        <v>35.6</v>
      </c>
      <c r="C4802">
        <v>36.700000000000003</v>
      </c>
      <c r="D4802">
        <v>36</v>
      </c>
      <c r="F4802">
        <v>38.799999999999997</v>
      </c>
      <c r="G4802">
        <v>37.4</v>
      </c>
    </row>
    <row r="4803" spans="1:7" x14ac:dyDescent="0.25">
      <c r="A4803" s="29">
        <v>42409</v>
      </c>
      <c r="B4803">
        <v>30.3</v>
      </c>
      <c r="C4803">
        <v>30.2</v>
      </c>
      <c r="D4803">
        <v>30.3</v>
      </c>
      <c r="F4803">
        <v>35.5</v>
      </c>
      <c r="G4803">
        <v>31</v>
      </c>
    </row>
    <row r="4804" spans="1:7" x14ac:dyDescent="0.25">
      <c r="A4804" s="29">
        <v>42410</v>
      </c>
      <c r="B4804">
        <v>34.9</v>
      </c>
      <c r="C4804">
        <v>35.4</v>
      </c>
      <c r="D4804">
        <v>34.799999999999997</v>
      </c>
      <c r="F4804">
        <v>33.1</v>
      </c>
      <c r="G4804">
        <v>34.700000000000003</v>
      </c>
    </row>
    <row r="4805" spans="1:7" x14ac:dyDescent="0.25">
      <c r="A4805" s="29">
        <v>42411</v>
      </c>
      <c r="B4805">
        <v>28.1</v>
      </c>
      <c r="C4805">
        <v>28.1</v>
      </c>
      <c r="D4805">
        <v>26.1</v>
      </c>
      <c r="F4805">
        <v>26.2</v>
      </c>
      <c r="G4805">
        <v>26.9</v>
      </c>
    </row>
    <row r="4806" spans="1:7" x14ac:dyDescent="0.25">
      <c r="A4806" s="29">
        <v>42412</v>
      </c>
      <c r="B4806">
        <v>21.5</v>
      </c>
      <c r="C4806">
        <v>21.7</v>
      </c>
      <c r="D4806">
        <v>20.399999999999999</v>
      </c>
      <c r="F4806">
        <v>21.5</v>
      </c>
      <c r="G4806">
        <v>20.8</v>
      </c>
    </row>
    <row r="4807" spans="1:7" x14ac:dyDescent="0.25">
      <c r="A4807" s="29">
        <v>42413</v>
      </c>
      <c r="B4807">
        <v>22.1</v>
      </c>
      <c r="C4807">
        <v>21.6</v>
      </c>
      <c r="D4807">
        <v>19.3</v>
      </c>
      <c r="F4807">
        <v>21.7</v>
      </c>
      <c r="G4807">
        <v>20.6</v>
      </c>
    </row>
    <row r="4808" spans="1:7" x14ac:dyDescent="0.25">
      <c r="A4808" s="29">
        <v>42414</v>
      </c>
      <c r="B4808">
        <v>8.5</v>
      </c>
      <c r="C4808">
        <v>8.3000000000000007</v>
      </c>
      <c r="D4808">
        <v>6.9</v>
      </c>
      <c r="F4808">
        <v>13.6</v>
      </c>
      <c r="G4808">
        <v>8.3000000000000007</v>
      </c>
    </row>
    <row r="4809" spans="1:7" x14ac:dyDescent="0.25">
      <c r="A4809" s="29">
        <v>42415</v>
      </c>
      <c r="B4809">
        <v>19.3</v>
      </c>
      <c r="C4809">
        <v>19.100000000000001</v>
      </c>
      <c r="D4809">
        <v>19.100000000000001</v>
      </c>
      <c r="F4809">
        <v>21.7</v>
      </c>
      <c r="G4809">
        <v>17.7</v>
      </c>
    </row>
    <row r="4810" spans="1:7" x14ac:dyDescent="0.25">
      <c r="A4810" s="29">
        <v>42416</v>
      </c>
      <c r="B4810">
        <v>46.1</v>
      </c>
      <c r="C4810">
        <v>46.1</v>
      </c>
      <c r="D4810">
        <v>45</v>
      </c>
      <c r="F4810">
        <v>50.8</v>
      </c>
      <c r="G4810">
        <v>42.6</v>
      </c>
    </row>
    <row r="4811" spans="1:7" x14ac:dyDescent="0.25">
      <c r="A4811" s="29">
        <v>42417</v>
      </c>
      <c r="B4811">
        <v>40</v>
      </c>
      <c r="C4811">
        <v>39.9</v>
      </c>
      <c r="D4811">
        <v>39.1</v>
      </c>
      <c r="F4811">
        <v>39.4</v>
      </c>
      <c r="G4811">
        <v>39.200000000000003</v>
      </c>
    </row>
    <row r="4812" spans="1:7" x14ac:dyDescent="0.25">
      <c r="A4812" s="29">
        <v>42418</v>
      </c>
      <c r="B4812">
        <v>34.6</v>
      </c>
      <c r="C4812">
        <v>33.9</v>
      </c>
      <c r="D4812">
        <v>32.5</v>
      </c>
      <c r="F4812">
        <v>32.5</v>
      </c>
      <c r="G4812">
        <v>33.299999999999997</v>
      </c>
    </row>
    <row r="4813" spans="1:7" x14ac:dyDescent="0.25">
      <c r="A4813" s="29">
        <v>42419</v>
      </c>
      <c r="B4813">
        <v>29.8</v>
      </c>
      <c r="C4813">
        <v>30.2</v>
      </c>
      <c r="D4813">
        <v>30.1</v>
      </c>
      <c r="F4813">
        <v>27.6</v>
      </c>
      <c r="G4813">
        <v>29</v>
      </c>
    </row>
    <row r="4814" spans="1:7" x14ac:dyDescent="0.25">
      <c r="A4814" s="29">
        <v>42420</v>
      </c>
      <c r="B4814">
        <v>46.1</v>
      </c>
      <c r="C4814">
        <v>47.4</v>
      </c>
      <c r="D4814">
        <v>47.7</v>
      </c>
      <c r="F4814">
        <v>47</v>
      </c>
      <c r="G4814">
        <v>47</v>
      </c>
    </row>
    <row r="4815" spans="1:7" x14ac:dyDescent="0.25">
      <c r="A4815" s="29">
        <v>42421</v>
      </c>
      <c r="B4815">
        <v>49.4</v>
      </c>
      <c r="C4815">
        <v>53.1</v>
      </c>
      <c r="D4815">
        <v>52.8</v>
      </c>
      <c r="F4815">
        <v>53.2</v>
      </c>
      <c r="G4815">
        <v>50.9</v>
      </c>
    </row>
    <row r="4816" spans="1:7" x14ac:dyDescent="0.25">
      <c r="A4816" s="29">
        <v>42422</v>
      </c>
      <c r="B4816">
        <v>44.9</v>
      </c>
      <c r="C4816">
        <v>46</v>
      </c>
      <c r="D4816">
        <v>45.3</v>
      </c>
      <c r="F4816">
        <v>44.6</v>
      </c>
      <c r="G4816">
        <v>45.5</v>
      </c>
    </row>
    <row r="4817" spans="1:7" x14ac:dyDescent="0.25">
      <c r="A4817" s="29">
        <v>42423</v>
      </c>
      <c r="B4817">
        <v>39.299999999999997</v>
      </c>
      <c r="C4817">
        <v>38.799999999999997</v>
      </c>
      <c r="D4817">
        <v>38</v>
      </c>
      <c r="F4817">
        <v>40.799999999999997</v>
      </c>
      <c r="G4817">
        <v>38.6</v>
      </c>
    </row>
    <row r="4818" spans="1:7" x14ac:dyDescent="0.25">
      <c r="A4818" s="29">
        <v>42424</v>
      </c>
      <c r="B4818">
        <v>44.1</v>
      </c>
      <c r="C4818">
        <v>39.799999999999997</v>
      </c>
      <c r="D4818">
        <v>40.700000000000003</v>
      </c>
      <c r="F4818">
        <v>50.3</v>
      </c>
      <c r="G4818">
        <v>41.5</v>
      </c>
    </row>
    <row r="4819" spans="1:7" x14ac:dyDescent="0.25">
      <c r="A4819" s="29">
        <v>42425</v>
      </c>
      <c r="B4819">
        <v>50.4</v>
      </c>
      <c r="C4819">
        <v>52.7</v>
      </c>
      <c r="D4819">
        <v>52.6</v>
      </c>
      <c r="F4819">
        <v>52.6</v>
      </c>
      <c r="G4819">
        <v>54.4</v>
      </c>
    </row>
    <row r="4820" spans="1:7" x14ac:dyDescent="0.25">
      <c r="A4820" s="29">
        <v>42426</v>
      </c>
      <c r="B4820">
        <v>37.6</v>
      </c>
      <c r="C4820">
        <v>36.6</v>
      </c>
      <c r="D4820">
        <v>35.5</v>
      </c>
      <c r="F4820">
        <v>38.6</v>
      </c>
      <c r="G4820">
        <v>36.5</v>
      </c>
    </row>
    <row r="4821" spans="1:7" x14ac:dyDescent="0.25">
      <c r="A4821" s="29">
        <v>42427</v>
      </c>
      <c r="B4821">
        <v>32.5</v>
      </c>
      <c r="C4821">
        <v>32.6</v>
      </c>
      <c r="D4821">
        <v>31.9</v>
      </c>
      <c r="F4821">
        <v>31.3</v>
      </c>
      <c r="G4821">
        <v>32.5</v>
      </c>
    </row>
    <row r="4822" spans="1:7" x14ac:dyDescent="0.25">
      <c r="A4822" s="29">
        <v>42428</v>
      </c>
      <c r="B4822">
        <v>43.2</v>
      </c>
      <c r="C4822">
        <v>46.3</v>
      </c>
      <c r="D4822">
        <v>46</v>
      </c>
      <c r="F4822">
        <v>43.5</v>
      </c>
      <c r="G4822">
        <v>44.8</v>
      </c>
    </row>
    <row r="4823" spans="1:7" x14ac:dyDescent="0.25">
      <c r="A4823" s="29">
        <v>42429</v>
      </c>
      <c r="B4823">
        <v>48</v>
      </c>
      <c r="C4823">
        <v>51.2</v>
      </c>
      <c r="D4823">
        <v>52.8</v>
      </c>
      <c r="F4823">
        <v>50.8</v>
      </c>
      <c r="G4823">
        <v>51.2</v>
      </c>
    </row>
    <row r="4824" spans="1:7" x14ac:dyDescent="0.25">
      <c r="A4824" s="29">
        <v>42430</v>
      </c>
      <c r="B4824">
        <v>46.1</v>
      </c>
      <c r="C4824">
        <v>46.6</v>
      </c>
      <c r="D4824">
        <v>45.6</v>
      </c>
      <c r="F4824">
        <v>48.3</v>
      </c>
      <c r="G4824">
        <v>45.2</v>
      </c>
    </row>
    <row r="4825" spans="1:7" x14ac:dyDescent="0.25">
      <c r="A4825" s="29">
        <v>42431</v>
      </c>
      <c r="B4825">
        <v>46.7</v>
      </c>
      <c r="C4825">
        <v>46.5</v>
      </c>
      <c r="D4825">
        <v>45.8</v>
      </c>
      <c r="F4825">
        <v>48.2</v>
      </c>
      <c r="G4825">
        <v>47.2</v>
      </c>
    </row>
    <row r="4826" spans="1:7" x14ac:dyDescent="0.25">
      <c r="A4826" s="29">
        <v>42432</v>
      </c>
      <c r="B4826">
        <v>31.7</v>
      </c>
      <c r="C4826">
        <v>31.5</v>
      </c>
      <c r="D4826">
        <v>30.3</v>
      </c>
      <c r="F4826">
        <v>31.9</v>
      </c>
      <c r="G4826">
        <v>31.7</v>
      </c>
    </row>
    <row r="4827" spans="1:7" x14ac:dyDescent="0.25">
      <c r="A4827" s="29">
        <v>42433</v>
      </c>
      <c r="B4827">
        <v>33.299999999999997</v>
      </c>
      <c r="C4827">
        <v>33.700000000000003</v>
      </c>
      <c r="D4827">
        <v>33.4</v>
      </c>
      <c r="F4827">
        <v>32.5</v>
      </c>
      <c r="G4827">
        <v>33.200000000000003</v>
      </c>
    </row>
    <row r="4828" spans="1:7" x14ac:dyDescent="0.25">
      <c r="A4828" s="29">
        <v>42434</v>
      </c>
      <c r="B4828">
        <v>35</v>
      </c>
      <c r="C4828">
        <v>34.799999999999997</v>
      </c>
      <c r="D4828">
        <v>33.799999999999997</v>
      </c>
      <c r="F4828">
        <v>31.5</v>
      </c>
      <c r="G4828">
        <v>34.799999999999997</v>
      </c>
    </row>
    <row r="4829" spans="1:7" x14ac:dyDescent="0.25">
      <c r="A4829" s="29">
        <v>42435</v>
      </c>
      <c r="B4829">
        <v>36.9</v>
      </c>
      <c r="C4829">
        <v>37.799999999999997</v>
      </c>
      <c r="D4829">
        <v>37.299999999999997</v>
      </c>
      <c r="F4829">
        <v>34.799999999999997</v>
      </c>
      <c r="G4829">
        <v>36.5</v>
      </c>
    </row>
    <row r="4830" spans="1:7" x14ac:dyDescent="0.25">
      <c r="A4830" s="29">
        <v>42436</v>
      </c>
      <c r="B4830">
        <v>41.5</v>
      </c>
      <c r="C4830">
        <v>45.1</v>
      </c>
      <c r="D4830">
        <v>45.2</v>
      </c>
      <c r="F4830">
        <v>38.700000000000003</v>
      </c>
      <c r="G4830">
        <v>43.4</v>
      </c>
    </row>
    <row r="4831" spans="1:7" x14ac:dyDescent="0.25">
      <c r="A4831" s="29">
        <v>42437</v>
      </c>
      <c r="B4831">
        <v>50.9</v>
      </c>
      <c r="C4831">
        <v>53.9</v>
      </c>
      <c r="D4831">
        <v>55.1</v>
      </c>
      <c r="F4831">
        <v>57.6</v>
      </c>
      <c r="G4831">
        <v>54</v>
      </c>
    </row>
    <row r="4832" spans="1:7" x14ac:dyDescent="0.25">
      <c r="A4832" s="29">
        <v>42438</v>
      </c>
      <c r="B4832">
        <v>49.7</v>
      </c>
      <c r="C4832">
        <v>54</v>
      </c>
      <c r="D4832">
        <v>57.2</v>
      </c>
      <c r="F4832">
        <v>59.6</v>
      </c>
      <c r="G4832">
        <v>57.7</v>
      </c>
    </row>
    <row r="4833" spans="1:7" x14ac:dyDescent="0.25">
      <c r="A4833" s="29">
        <v>42439</v>
      </c>
      <c r="B4833">
        <v>58.7</v>
      </c>
      <c r="C4833">
        <v>70</v>
      </c>
      <c r="D4833">
        <v>70.5</v>
      </c>
      <c r="F4833">
        <v>65.900000000000006</v>
      </c>
      <c r="G4833">
        <v>70</v>
      </c>
    </row>
    <row r="4834" spans="1:7" x14ac:dyDescent="0.25">
      <c r="A4834" s="29">
        <v>42440</v>
      </c>
      <c r="B4834">
        <v>61.3</v>
      </c>
      <c r="C4834">
        <v>61.2</v>
      </c>
      <c r="D4834">
        <v>61.6</v>
      </c>
      <c r="F4834">
        <v>65.400000000000006</v>
      </c>
      <c r="G4834">
        <v>63.9</v>
      </c>
    </row>
    <row r="4835" spans="1:7" x14ac:dyDescent="0.25">
      <c r="A4835" s="29">
        <v>42441</v>
      </c>
      <c r="B4835">
        <v>48.9</v>
      </c>
      <c r="C4835">
        <v>49.6</v>
      </c>
      <c r="D4835">
        <v>50.1</v>
      </c>
      <c r="F4835">
        <v>47.6</v>
      </c>
      <c r="G4835">
        <v>50</v>
      </c>
    </row>
    <row r="4836" spans="1:7" x14ac:dyDescent="0.25">
      <c r="A4836" s="29">
        <v>42442</v>
      </c>
      <c r="B4836">
        <v>55.1</v>
      </c>
      <c r="C4836">
        <v>56.7</v>
      </c>
      <c r="D4836">
        <v>56.7</v>
      </c>
      <c r="F4836">
        <v>51.8</v>
      </c>
      <c r="G4836">
        <v>56.1</v>
      </c>
    </row>
    <row r="4837" spans="1:7" x14ac:dyDescent="0.25">
      <c r="A4837" s="29">
        <v>42443</v>
      </c>
      <c r="B4837">
        <v>48.2</v>
      </c>
      <c r="C4837">
        <v>47.6</v>
      </c>
      <c r="D4837">
        <v>46.3</v>
      </c>
      <c r="F4837">
        <v>48.6</v>
      </c>
      <c r="G4837">
        <v>48</v>
      </c>
    </row>
    <row r="4838" spans="1:7" x14ac:dyDescent="0.25">
      <c r="A4838" s="29">
        <v>42444</v>
      </c>
      <c r="B4838">
        <v>48.8</v>
      </c>
      <c r="C4838">
        <v>48</v>
      </c>
      <c r="D4838">
        <v>48</v>
      </c>
      <c r="F4838">
        <v>47.6</v>
      </c>
      <c r="G4838">
        <v>48.3</v>
      </c>
    </row>
    <row r="4839" spans="1:7" x14ac:dyDescent="0.25">
      <c r="A4839" s="29">
        <v>42445</v>
      </c>
      <c r="B4839">
        <v>50.1</v>
      </c>
      <c r="C4839">
        <v>53.5</v>
      </c>
      <c r="D4839">
        <v>54.5</v>
      </c>
      <c r="F4839">
        <v>50.1</v>
      </c>
      <c r="G4839">
        <v>54.3</v>
      </c>
    </row>
    <row r="4840" spans="1:7" x14ac:dyDescent="0.25">
      <c r="A4840" s="29">
        <v>42446</v>
      </c>
      <c r="B4840">
        <v>51.2</v>
      </c>
      <c r="C4840">
        <v>52.2</v>
      </c>
      <c r="D4840">
        <v>52</v>
      </c>
      <c r="F4840">
        <v>51.5</v>
      </c>
      <c r="G4840">
        <v>53</v>
      </c>
    </row>
    <row r="4841" spans="1:7" x14ac:dyDescent="0.25">
      <c r="A4841" s="29">
        <v>42447</v>
      </c>
      <c r="B4841">
        <v>52.4</v>
      </c>
      <c r="C4841">
        <v>53</v>
      </c>
      <c r="D4841">
        <v>52</v>
      </c>
      <c r="F4841">
        <v>55.2</v>
      </c>
      <c r="G4841">
        <v>51.8</v>
      </c>
    </row>
    <row r="4842" spans="1:7" x14ac:dyDescent="0.25">
      <c r="A4842" s="29">
        <v>42448</v>
      </c>
      <c r="B4842">
        <v>43.8</v>
      </c>
      <c r="C4842">
        <v>43.5</v>
      </c>
      <c r="D4842">
        <v>42.3</v>
      </c>
      <c r="F4842">
        <v>42.6</v>
      </c>
      <c r="G4842">
        <v>43.4</v>
      </c>
    </row>
    <row r="4843" spans="1:7" x14ac:dyDescent="0.25">
      <c r="A4843" s="29">
        <v>42449</v>
      </c>
      <c r="B4843">
        <v>39.6</v>
      </c>
      <c r="C4843">
        <v>38.9</v>
      </c>
      <c r="D4843">
        <v>37.799999999999997</v>
      </c>
      <c r="F4843">
        <v>37.799999999999997</v>
      </c>
      <c r="G4843">
        <v>38.6</v>
      </c>
    </row>
    <row r="4844" spans="1:7" x14ac:dyDescent="0.25">
      <c r="A4844" s="29">
        <v>42450</v>
      </c>
      <c r="B4844">
        <v>39.5</v>
      </c>
      <c r="C4844">
        <v>39.6</v>
      </c>
      <c r="D4844">
        <v>38.6</v>
      </c>
      <c r="F4844">
        <v>38.5</v>
      </c>
      <c r="G4844">
        <v>40.1</v>
      </c>
    </row>
    <row r="4845" spans="1:7" x14ac:dyDescent="0.25">
      <c r="A4845" s="29">
        <v>42451</v>
      </c>
      <c r="B4845">
        <v>43</v>
      </c>
      <c r="C4845">
        <v>43.8</v>
      </c>
      <c r="D4845">
        <v>43.2</v>
      </c>
      <c r="F4845">
        <v>42.6</v>
      </c>
      <c r="G4845">
        <v>44</v>
      </c>
    </row>
    <row r="4846" spans="1:7" x14ac:dyDescent="0.25">
      <c r="A4846" s="29">
        <v>42452</v>
      </c>
      <c r="B4846">
        <v>55.2</v>
      </c>
      <c r="C4846">
        <v>57.4</v>
      </c>
      <c r="D4846">
        <v>57</v>
      </c>
      <c r="F4846">
        <v>57.3</v>
      </c>
      <c r="G4846">
        <v>57.2</v>
      </c>
    </row>
    <row r="4847" spans="1:7" x14ac:dyDescent="0.25">
      <c r="A4847" s="29">
        <v>42453</v>
      </c>
      <c r="B4847">
        <v>49.2</v>
      </c>
      <c r="C4847">
        <v>50.1</v>
      </c>
      <c r="D4847">
        <v>49.8</v>
      </c>
      <c r="F4847">
        <v>52.6</v>
      </c>
      <c r="G4847">
        <v>51.8</v>
      </c>
    </row>
    <row r="4848" spans="1:7" x14ac:dyDescent="0.25">
      <c r="A4848" s="29">
        <v>42454</v>
      </c>
      <c r="B4848">
        <v>52</v>
      </c>
      <c r="C4848">
        <v>55.9</v>
      </c>
      <c r="D4848">
        <v>57.7</v>
      </c>
      <c r="F4848">
        <v>60</v>
      </c>
      <c r="G4848">
        <v>57.1</v>
      </c>
    </row>
    <row r="4849" spans="1:7" x14ac:dyDescent="0.25">
      <c r="A4849" s="29">
        <v>42455</v>
      </c>
      <c r="B4849">
        <v>47.3</v>
      </c>
      <c r="C4849">
        <v>47</v>
      </c>
      <c r="D4849">
        <v>46.3</v>
      </c>
      <c r="F4849">
        <v>48.4</v>
      </c>
      <c r="G4849">
        <v>47.5</v>
      </c>
    </row>
    <row r="4850" spans="1:7" x14ac:dyDescent="0.25">
      <c r="A4850" s="29">
        <v>42456</v>
      </c>
      <c r="B4850">
        <v>44.2</v>
      </c>
      <c r="C4850">
        <v>45.8</v>
      </c>
      <c r="D4850">
        <v>45.7</v>
      </c>
      <c r="F4850">
        <v>46.8</v>
      </c>
      <c r="G4850">
        <v>45.6</v>
      </c>
    </row>
    <row r="4851" spans="1:7" x14ac:dyDescent="0.25">
      <c r="A4851" s="29">
        <v>42457</v>
      </c>
      <c r="B4851">
        <v>48.5</v>
      </c>
      <c r="C4851">
        <v>47.3</v>
      </c>
      <c r="D4851">
        <v>47.2</v>
      </c>
      <c r="F4851">
        <v>53.8</v>
      </c>
      <c r="G4851">
        <v>48.3</v>
      </c>
    </row>
    <row r="4852" spans="1:7" x14ac:dyDescent="0.25">
      <c r="A4852" s="29">
        <v>42458</v>
      </c>
      <c r="B4852">
        <v>50.7</v>
      </c>
      <c r="C4852">
        <v>49.7</v>
      </c>
      <c r="D4852">
        <v>48.5</v>
      </c>
      <c r="F4852">
        <v>52.7</v>
      </c>
      <c r="G4852">
        <v>50.6</v>
      </c>
    </row>
    <row r="4853" spans="1:7" x14ac:dyDescent="0.25">
      <c r="A4853" s="29">
        <v>42459</v>
      </c>
      <c r="B4853">
        <v>43.6</v>
      </c>
      <c r="C4853">
        <v>45.4</v>
      </c>
      <c r="D4853">
        <v>44.5</v>
      </c>
      <c r="F4853">
        <v>42.7</v>
      </c>
      <c r="G4853">
        <v>44.9</v>
      </c>
    </row>
    <row r="4854" spans="1:7" x14ac:dyDescent="0.25">
      <c r="A4854" s="29">
        <v>42460</v>
      </c>
      <c r="B4854">
        <v>52.5</v>
      </c>
      <c r="C4854">
        <v>57.2</v>
      </c>
      <c r="D4854">
        <v>58.4</v>
      </c>
      <c r="F4854">
        <v>57.2</v>
      </c>
      <c r="G4854">
        <v>58.1</v>
      </c>
    </row>
    <row r="4855" spans="1:7" x14ac:dyDescent="0.25">
      <c r="A4855" s="29">
        <v>42461</v>
      </c>
      <c r="B4855">
        <v>55.8</v>
      </c>
      <c r="C4855">
        <v>62.6</v>
      </c>
      <c r="D4855">
        <v>67.3</v>
      </c>
      <c r="F4855">
        <v>63.3</v>
      </c>
      <c r="G4855">
        <v>69.7</v>
      </c>
    </row>
    <row r="4856" spans="1:7" x14ac:dyDescent="0.25">
      <c r="A4856" s="29">
        <v>42462</v>
      </c>
      <c r="B4856">
        <v>53.3</v>
      </c>
      <c r="C4856">
        <v>56.3</v>
      </c>
      <c r="D4856">
        <v>55.4</v>
      </c>
      <c r="F4856">
        <v>56.1</v>
      </c>
      <c r="G4856">
        <v>57</v>
      </c>
    </row>
    <row r="4857" spans="1:7" x14ac:dyDescent="0.25">
      <c r="A4857" s="29">
        <v>42463</v>
      </c>
      <c r="B4857">
        <v>41.8</v>
      </c>
      <c r="C4857">
        <v>42.3</v>
      </c>
      <c r="D4857">
        <v>41</v>
      </c>
      <c r="F4857">
        <v>43.2</v>
      </c>
      <c r="G4857">
        <v>43</v>
      </c>
    </row>
    <row r="4858" spans="1:7" x14ac:dyDescent="0.25">
      <c r="A4858" s="29">
        <v>42464</v>
      </c>
      <c r="B4858">
        <v>41.7</v>
      </c>
      <c r="C4858">
        <v>39.700000000000003</v>
      </c>
      <c r="D4858">
        <v>39.700000000000003</v>
      </c>
      <c r="F4858">
        <v>50.2</v>
      </c>
      <c r="G4858">
        <v>40.9</v>
      </c>
    </row>
    <row r="4859" spans="1:7" x14ac:dyDescent="0.25">
      <c r="A4859" s="29">
        <v>42465</v>
      </c>
      <c r="B4859">
        <v>33.700000000000003</v>
      </c>
      <c r="C4859">
        <v>33.299999999999997</v>
      </c>
      <c r="D4859">
        <v>33</v>
      </c>
      <c r="F4859">
        <v>38.299999999999997</v>
      </c>
      <c r="G4859">
        <v>33.799999999999997</v>
      </c>
    </row>
    <row r="4860" spans="1:7" x14ac:dyDescent="0.25">
      <c r="A4860" s="29">
        <v>42466</v>
      </c>
      <c r="B4860">
        <v>37.299999999999997</v>
      </c>
      <c r="C4860">
        <v>39</v>
      </c>
      <c r="D4860">
        <v>37.9</v>
      </c>
      <c r="F4860">
        <v>36.799999999999997</v>
      </c>
      <c r="G4860">
        <v>38.299999999999997</v>
      </c>
    </row>
    <row r="4861" spans="1:7" x14ac:dyDescent="0.25">
      <c r="A4861" s="29">
        <v>42467</v>
      </c>
      <c r="B4861">
        <v>50.9</v>
      </c>
      <c r="C4861">
        <v>52</v>
      </c>
      <c r="D4861">
        <v>52.4</v>
      </c>
      <c r="F4861">
        <v>54.2</v>
      </c>
      <c r="G4861">
        <v>52.8</v>
      </c>
    </row>
    <row r="4862" spans="1:7" x14ac:dyDescent="0.25">
      <c r="A4862" s="29">
        <v>42468</v>
      </c>
      <c r="B4862">
        <v>48.4</v>
      </c>
      <c r="C4862">
        <v>48.9</v>
      </c>
      <c r="D4862">
        <v>47.3</v>
      </c>
      <c r="F4862">
        <v>48</v>
      </c>
      <c r="G4862">
        <v>48.2</v>
      </c>
    </row>
    <row r="4863" spans="1:7" x14ac:dyDescent="0.25">
      <c r="A4863" s="29">
        <v>42469</v>
      </c>
      <c r="B4863">
        <v>40.4</v>
      </c>
      <c r="C4863">
        <v>41.1</v>
      </c>
      <c r="D4863">
        <v>40</v>
      </c>
      <c r="F4863">
        <v>36.5</v>
      </c>
      <c r="G4863">
        <v>39.799999999999997</v>
      </c>
    </row>
    <row r="4864" spans="1:7" x14ac:dyDescent="0.25">
      <c r="A4864" s="29">
        <v>42470</v>
      </c>
      <c r="B4864">
        <v>39.6</v>
      </c>
      <c r="C4864">
        <v>40.5</v>
      </c>
      <c r="D4864">
        <v>39.6</v>
      </c>
      <c r="F4864">
        <v>37.6</v>
      </c>
      <c r="G4864">
        <v>40.1</v>
      </c>
    </row>
    <row r="4865" spans="1:7" x14ac:dyDescent="0.25">
      <c r="A4865" s="29">
        <v>42471</v>
      </c>
      <c r="B4865">
        <v>48</v>
      </c>
      <c r="C4865">
        <v>50.2</v>
      </c>
      <c r="D4865">
        <v>50.9</v>
      </c>
      <c r="F4865">
        <v>50.3</v>
      </c>
      <c r="G4865">
        <v>51.5</v>
      </c>
    </row>
    <row r="4866" spans="1:7" x14ac:dyDescent="0.25">
      <c r="A4866" s="29">
        <v>42472</v>
      </c>
      <c r="B4866">
        <v>52.1</v>
      </c>
      <c r="C4866">
        <v>53.2</v>
      </c>
      <c r="D4866">
        <v>54</v>
      </c>
      <c r="F4866">
        <v>55.9</v>
      </c>
      <c r="G4866">
        <v>56.3</v>
      </c>
    </row>
    <row r="4867" spans="1:7" x14ac:dyDescent="0.25">
      <c r="A4867" s="29">
        <v>42473</v>
      </c>
      <c r="B4867">
        <v>46.6</v>
      </c>
      <c r="C4867">
        <v>48.4</v>
      </c>
      <c r="D4867">
        <v>47.7</v>
      </c>
      <c r="F4867">
        <v>44.7</v>
      </c>
      <c r="G4867">
        <v>48.3</v>
      </c>
    </row>
    <row r="4868" spans="1:7" x14ac:dyDescent="0.25">
      <c r="A4868" s="29">
        <v>42474</v>
      </c>
      <c r="B4868">
        <v>46.9</v>
      </c>
      <c r="C4868">
        <v>49.9</v>
      </c>
      <c r="D4868">
        <v>50.5</v>
      </c>
      <c r="F4868">
        <v>44</v>
      </c>
      <c r="G4868">
        <v>50</v>
      </c>
    </row>
    <row r="4869" spans="1:7" x14ac:dyDescent="0.25">
      <c r="A4869" s="29">
        <v>42475</v>
      </c>
      <c r="B4869">
        <v>48.3</v>
      </c>
      <c r="C4869">
        <v>50.8</v>
      </c>
      <c r="D4869">
        <v>51.7</v>
      </c>
      <c r="F4869">
        <v>45</v>
      </c>
      <c r="G4869">
        <v>51.3</v>
      </c>
    </row>
    <row r="4870" spans="1:7" x14ac:dyDescent="0.25">
      <c r="A4870" s="29">
        <v>42476</v>
      </c>
      <c r="B4870">
        <v>50.4</v>
      </c>
      <c r="C4870">
        <v>52.6</v>
      </c>
      <c r="D4870">
        <v>53.2</v>
      </c>
      <c r="F4870">
        <v>47.1</v>
      </c>
      <c r="G4870">
        <v>53.7</v>
      </c>
    </row>
    <row r="4871" spans="1:7" x14ac:dyDescent="0.25">
      <c r="A4871" s="29">
        <v>42477</v>
      </c>
      <c r="B4871">
        <v>53</v>
      </c>
      <c r="C4871">
        <v>55.8</v>
      </c>
      <c r="D4871">
        <v>56.1</v>
      </c>
      <c r="F4871">
        <v>49.3</v>
      </c>
      <c r="G4871">
        <v>55.5</v>
      </c>
    </row>
    <row r="4872" spans="1:7" x14ac:dyDescent="0.25">
      <c r="A4872" s="29">
        <v>42478</v>
      </c>
      <c r="B4872">
        <v>59.7</v>
      </c>
      <c r="C4872">
        <v>62.5</v>
      </c>
      <c r="D4872">
        <v>63.8</v>
      </c>
      <c r="F4872">
        <v>58.2</v>
      </c>
      <c r="G4872">
        <v>64.099999999999994</v>
      </c>
    </row>
    <row r="4873" spans="1:7" x14ac:dyDescent="0.25">
      <c r="A4873" s="29">
        <v>42479</v>
      </c>
      <c r="B4873">
        <v>62.8</v>
      </c>
      <c r="C4873">
        <v>65.5</v>
      </c>
      <c r="D4873">
        <v>66.3</v>
      </c>
      <c r="F4873">
        <v>62.5</v>
      </c>
      <c r="G4873">
        <v>66.5</v>
      </c>
    </row>
    <row r="4874" spans="1:7" x14ac:dyDescent="0.25">
      <c r="A4874" s="29">
        <v>42480</v>
      </c>
      <c r="B4874">
        <v>57.9</v>
      </c>
      <c r="C4874">
        <v>58.8</v>
      </c>
      <c r="D4874">
        <v>58.5</v>
      </c>
      <c r="F4874">
        <v>54.3</v>
      </c>
      <c r="G4874">
        <v>60</v>
      </c>
    </row>
    <row r="4875" spans="1:7" x14ac:dyDescent="0.25">
      <c r="A4875" s="29">
        <v>42481</v>
      </c>
      <c r="B4875">
        <v>54</v>
      </c>
      <c r="C4875">
        <v>58.8</v>
      </c>
      <c r="D4875">
        <v>59.5</v>
      </c>
      <c r="F4875">
        <v>54.8</v>
      </c>
      <c r="G4875">
        <v>59.7</v>
      </c>
    </row>
    <row r="4876" spans="1:7" x14ac:dyDescent="0.25">
      <c r="A4876" s="29">
        <v>42482</v>
      </c>
      <c r="B4876">
        <v>60.7</v>
      </c>
      <c r="C4876">
        <v>70</v>
      </c>
      <c r="D4876">
        <v>70.3</v>
      </c>
      <c r="F4876">
        <v>67.099999999999994</v>
      </c>
      <c r="G4876">
        <v>71.099999999999994</v>
      </c>
    </row>
    <row r="4877" spans="1:7" x14ac:dyDescent="0.25">
      <c r="A4877" s="29">
        <v>42483</v>
      </c>
      <c r="B4877">
        <v>63.8</v>
      </c>
      <c r="C4877">
        <v>66.5</v>
      </c>
      <c r="D4877">
        <v>65.599999999999994</v>
      </c>
      <c r="F4877">
        <v>63.8</v>
      </c>
      <c r="G4877">
        <v>67.2</v>
      </c>
    </row>
    <row r="4878" spans="1:7" x14ac:dyDescent="0.25">
      <c r="A4878" s="29">
        <v>42484</v>
      </c>
      <c r="B4878">
        <v>55.8</v>
      </c>
      <c r="C4878">
        <v>56.5</v>
      </c>
      <c r="D4878">
        <v>56.2</v>
      </c>
      <c r="F4878">
        <v>53</v>
      </c>
      <c r="G4878">
        <v>57.6</v>
      </c>
    </row>
    <row r="4879" spans="1:7" x14ac:dyDescent="0.25">
      <c r="A4879" s="29">
        <v>42485</v>
      </c>
      <c r="B4879">
        <v>54.9</v>
      </c>
      <c r="C4879">
        <v>56.6</v>
      </c>
      <c r="D4879">
        <v>58</v>
      </c>
      <c r="F4879">
        <v>55.2</v>
      </c>
      <c r="G4879">
        <v>58.5</v>
      </c>
    </row>
    <row r="4880" spans="1:7" x14ac:dyDescent="0.25">
      <c r="A4880" s="29">
        <v>42486</v>
      </c>
      <c r="B4880">
        <v>56.5</v>
      </c>
      <c r="C4880">
        <v>54.4</v>
      </c>
      <c r="D4880">
        <v>54.9</v>
      </c>
      <c r="F4880">
        <v>67</v>
      </c>
      <c r="G4880">
        <v>58.4</v>
      </c>
    </row>
    <row r="4881" spans="1:7" x14ac:dyDescent="0.25">
      <c r="A4881" s="29">
        <v>42487</v>
      </c>
      <c r="B4881">
        <v>49.6</v>
      </c>
      <c r="C4881">
        <v>51.1</v>
      </c>
      <c r="D4881">
        <v>51.3</v>
      </c>
      <c r="F4881">
        <v>50.2</v>
      </c>
      <c r="G4881">
        <v>51.3</v>
      </c>
    </row>
    <row r="4882" spans="1:7" x14ac:dyDescent="0.25">
      <c r="A4882" s="29">
        <v>42488</v>
      </c>
      <c r="B4882">
        <v>51.8</v>
      </c>
      <c r="C4882">
        <v>53.3</v>
      </c>
      <c r="D4882">
        <v>52.6</v>
      </c>
      <c r="F4882">
        <v>47.9</v>
      </c>
      <c r="G4882">
        <v>52.3</v>
      </c>
    </row>
    <row r="4883" spans="1:7" x14ac:dyDescent="0.25">
      <c r="A4883" s="29">
        <v>42489</v>
      </c>
      <c r="B4883">
        <v>51</v>
      </c>
      <c r="C4883">
        <v>52</v>
      </c>
      <c r="D4883">
        <v>51.4</v>
      </c>
      <c r="F4883">
        <v>47.9</v>
      </c>
      <c r="G4883">
        <v>51.5</v>
      </c>
    </row>
    <row r="4884" spans="1:7" x14ac:dyDescent="0.25">
      <c r="A4884" s="29">
        <v>42490</v>
      </c>
      <c r="B4884">
        <v>51</v>
      </c>
      <c r="C4884">
        <v>52.8</v>
      </c>
      <c r="D4884">
        <v>52.7</v>
      </c>
      <c r="F4884">
        <v>50.3</v>
      </c>
      <c r="G4884">
        <v>52.3</v>
      </c>
    </row>
    <row r="4885" spans="1:7" x14ac:dyDescent="0.25">
      <c r="A4885" s="29">
        <v>42491</v>
      </c>
      <c r="B4885">
        <v>48.8</v>
      </c>
      <c r="C4885">
        <v>50.1</v>
      </c>
      <c r="D4885">
        <v>49</v>
      </c>
      <c r="F4885">
        <v>49.5</v>
      </c>
      <c r="G4885">
        <v>49</v>
      </c>
    </row>
    <row r="4886" spans="1:7" x14ac:dyDescent="0.25">
      <c r="A4886" s="29">
        <v>42492</v>
      </c>
      <c r="B4886">
        <v>49.1</v>
      </c>
      <c r="C4886">
        <v>50.6</v>
      </c>
      <c r="D4886">
        <v>50.1</v>
      </c>
      <c r="F4886">
        <v>53.5</v>
      </c>
      <c r="G4886">
        <v>50.3</v>
      </c>
    </row>
    <row r="4887" spans="1:7" x14ac:dyDescent="0.25">
      <c r="A4887" s="29">
        <v>42493</v>
      </c>
      <c r="B4887">
        <v>53.2</v>
      </c>
      <c r="C4887">
        <v>54.5</v>
      </c>
      <c r="D4887">
        <v>53.3</v>
      </c>
      <c r="F4887">
        <v>53.9</v>
      </c>
      <c r="G4887">
        <v>54.5</v>
      </c>
    </row>
    <row r="4888" spans="1:7" x14ac:dyDescent="0.25">
      <c r="A4888" s="29">
        <v>42494</v>
      </c>
      <c r="B4888">
        <v>50.5</v>
      </c>
      <c r="C4888">
        <v>51.3</v>
      </c>
      <c r="D4888">
        <v>50.4</v>
      </c>
      <c r="F4888">
        <v>49.4</v>
      </c>
      <c r="G4888">
        <v>51.6</v>
      </c>
    </row>
    <row r="4889" spans="1:7" x14ac:dyDescent="0.25">
      <c r="A4889" s="29">
        <v>42495</v>
      </c>
      <c r="B4889">
        <v>50.7</v>
      </c>
      <c r="C4889">
        <v>51.8</v>
      </c>
      <c r="D4889">
        <v>50.9</v>
      </c>
      <c r="F4889">
        <v>49.2</v>
      </c>
      <c r="G4889">
        <v>51.2</v>
      </c>
    </row>
    <row r="4890" spans="1:7" x14ac:dyDescent="0.25">
      <c r="A4890" s="29">
        <v>42496</v>
      </c>
      <c r="B4890">
        <v>50.6</v>
      </c>
      <c r="C4890">
        <v>52.2</v>
      </c>
      <c r="D4890">
        <v>50.7</v>
      </c>
      <c r="F4890">
        <v>49.8</v>
      </c>
      <c r="G4890">
        <v>51.7</v>
      </c>
    </row>
    <row r="4891" spans="1:7" x14ac:dyDescent="0.25">
      <c r="A4891" s="29">
        <v>42497</v>
      </c>
      <c r="B4891">
        <v>51.1</v>
      </c>
      <c r="C4891">
        <v>52.3</v>
      </c>
      <c r="D4891">
        <v>52.2</v>
      </c>
      <c r="F4891">
        <v>52.2</v>
      </c>
      <c r="G4891">
        <v>52.4</v>
      </c>
    </row>
    <row r="4892" spans="1:7" x14ac:dyDescent="0.25">
      <c r="A4892" s="29">
        <v>42498</v>
      </c>
      <c r="B4892">
        <v>54.3</v>
      </c>
      <c r="C4892">
        <v>55.4</v>
      </c>
      <c r="D4892">
        <v>55.6</v>
      </c>
      <c r="F4892">
        <v>58</v>
      </c>
      <c r="G4892">
        <v>55.7</v>
      </c>
    </row>
    <row r="4893" spans="1:7" x14ac:dyDescent="0.25">
      <c r="A4893" s="29">
        <v>42499</v>
      </c>
      <c r="B4893">
        <v>60.8</v>
      </c>
      <c r="C4893">
        <v>62.9</v>
      </c>
      <c r="D4893">
        <v>61.8</v>
      </c>
      <c r="F4893">
        <v>59.3</v>
      </c>
      <c r="G4893">
        <v>60.9</v>
      </c>
    </row>
    <row r="4894" spans="1:7" x14ac:dyDescent="0.25">
      <c r="A4894" s="29">
        <v>42500</v>
      </c>
      <c r="B4894">
        <v>57.4</v>
      </c>
      <c r="C4894">
        <v>59.1</v>
      </c>
      <c r="D4894">
        <v>57.6</v>
      </c>
      <c r="F4894">
        <v>56.5</v>
      </c>
      <c r="G4894">
        <v>57.3</v>
      </c>
    </row>
    <row r="4895" spans="1:7" x14ac:dyDescent="0.25">
      <c r="A4895" s="29">
        <v>42501</v>
      </c>
      <c r="B4895">
        <v>59.5</v>
      </c>
      <c r="C4895">
        <v>63</v>
      </c>
      <c r="D4895">
        <v>62.4</v>
      </c>
      <c r="F4895">
        <v>56.4</v>
      </c>
      <c r="G4895">
        <v>61.1</v>
      </c>
    </row>
    <row r="4896" spans="1:7" x14ac:dyDescent="0.25">
      <c r="A4896" s="29">
        <v>42502</v>
      </c>
      <c r="B4896">
        <v>62.4</v>
      </c>
      <c r="C4896">
        <v>66.2</v>
      </c>
      <c r="D4896">
        <v>66.5</v>
      </c>
      <c r="F4896">
        <v>63.6</v>
      </c>
      <c r="G4896">
        <v>66.900000000000006</v>
      </c>
    </row>
    <row r="4897" spans="1:7" x14ac:dyDescent="0.25">
      <c r="A4897" s="29">
        <v>42503</v>
      </c>
      <c r="B4897">
        <v>57.4</v>
      </c>
      <c r="C4897">
        <v>61.6</v>
      </c>
      <c r="D4897">
        <v>61</v>
      </c>
      <c r="F4897">
        <v>61.3</v>
      </c>
      <c r="G4897">
        <v>62.3</v>
      </c>
    </row>
    <row r="4898" spans="1:7" x14ac:dyDescent="0.25">
      <c r="A4898" s="29">
        <v>42504</v>
      </c>
      <c r="B4898">
        <v>63.4</v>
      </c>
      <c r="C4898">
        <v>66.2</v>
      </c>
      <c r="D4898">
        <v>63.5</v>
      </c>
      <c r="F4898">
        <v>63.7</v>
      </c>
      <c r="G4898">
        <v>65.7</v>
      </c>
    </row>
    <row r="4899" spans="1:7" x14ac:dyDescent="0.25">
      <c r="A4899" s="29">
        <v>42505</v>
      </c>
      <c r="B4899">
        <v>55.5</v>
      </c>
      <c r="C4899">
        <v>56</v>
      </c>
      <c r="D4899">
        <v>54.6</v>
      </c>
      <c r="F4899">
        <v>55.4</v>
      </c>
      <c r="G4899">
        <v>54.5</v>
      </c>
    </row>
    <row r="4900" spans="1:7" x14ac:dyDescent="0.25">
      <c r="A4900" s="29">
        <v>42506</v>
      </c>
      <c r="B4900">
        <v>53</v>
      </c>
      <c r="C4900">
        <v>52.8</v>
      </c>
      <c r="D4900">
        <v>52.5</v>
      </c>
      <c r="F4900">
        <v>52.2</v>
      </c>
      <c r="G4900">
        <v>51.8</v>
      </c>
    </row>
    <row r="4901" spans="1:7" x14ac:dyDescent="0.25">
      <c r="A4901" s="29">
        <v>42507</v>
      </c>
      <c r="B4901">
        <v>59</v>
      </c>
      <c r="C4901">
        <v>62.3</v>
      </c>
      <c r="D4901">
        <v>59.1</v>
      </c>
      <c r="F4901">
        <v>56.6</v>
      </c>
      <c r="G4901">
        <v>58.8</v>
      </c>
    </row>
    <row r="4902" spans="1:7" x14ac:dyDescent="0.25">
      <c r="A4902" s="29">
        <v>42508</v>
      </c>
      <c r="B4902">
        <v>57.3</v>
      </c>
      <c r="C4902">
        <v>59.3</v>
      </c>
      <c r="D4902">
        <v>57.8</v>
      </c>
      <c r="F4902">
        <v>55.6</v>
      </c>
      <c r="G4902">
        <v>57.2</v>
      </c>
    </row>
    <row r="4903" spans="1:7" x14ac:dyDescent="0.25">
      <c r="A4903" s="29">
        <v>42509</v>
      </c>
      <c r="B4903">
        <v>57.3</v>
      </c>
      <c r="C4903">
        <v>60.9</v>
      </c>
      <c r="D4903">
        <v>60.3</v>
      </c>
      <c r="F4903">
        <v>58.9</v>
      </c>
      <c r="G4903">
        <v>60.7</v>
      </c>
    </row>
    <row r="4904" spans="1:7" x14ac:dyDescent="0.25">
      <c r="A4904" s="29">
        <v>42510</v>
      </c>
      <c r="B4904">
        <v>61.4</v>
      </c>
      <c r="C4904">
        <v>64.400000000000006</v>
      </c>
      <c r="D4904">
        <v>63.4</v>
      </c>
      <c r="F4904">
        <v>60.1</v>
      </c>
      <c r="G4904">
        <v>64</v>
      </c>
    </row>
    <row r="4905" spans="1:7" x14ac:dyDescent="0.25">
      <c r="A4905" s="29">
        <v>42511</v>
      </c>
      <c r="B4905">
        <v>58</v>
      </c>
      <c r="C4905">
        <v>62.4</v>
      </c>
      <c r="D4905">
        <v>61.7</v>
      </c>
      <c r="F4905">
        <v>58.1</v>
      </c>
      <c r="G4905">
        <v>61.5</v>
      </c>
    </row>
    <row r="4906" spans="1:7" x14ac:dyDescent="0.25">
      <c r="A4906" s="29">
        <v>42512</v>
      </c>
      <c r="B4906">
        <v>59.3</v>
      </c>
      <c r="C4906">
        <v>60.7</v>
      </c>
      <c r="D4906">
        <v>59.7</v>
      </c>
      <c r="F4906">
        <v>56.8</v>
      </c>
      <c r="G4906">
        <v>59.7</v>
      </c>
    </row>
    <row r="4907" spans="1:7" x14ac:dyDescent="0.25">
      <c r="A4907" s="29">
        <v>42513</v>
      </c>
      <c r="B4907">
        <v>61.4</v>
      </c>
      <c r="C4907">
        <v>65</v>
      </c>
      <c r="D4907">
        <v>64.400000000000006</v>
      </c>
      <c r="F4907">
        <v>60.5</v>
      </c>
      <c r="G4907">
        <v>64.5</v>
      </c>
    </row>
    <row r="4908" spans="1:7" x14ac:dyDescent="0.25">
      <c r="A4908" s="29">
        <v>42514</v>
      </c>
      <c r="B4908">
        <v>64.900000000000006</v>
      </c>
      <c r="C4908">
        <v>65.5</v>
      </c>
      <c r="D4908">
        <v>63.6</v>
      </c>
      <c r="F4908">
        <v>64.599999999999994</v>
      </c>
      <c r="G4908">
        <v>65.099999999999994</v>
      </c>
    </row>
    <row r="4909" spans="1:7" x14ac:dyDescent="0.25">
      <c r="A4909" s="29">
        <v>42515</v>
      </c>
      <c r="B4909">
        <v>63.9</v>
      </c>
      <c r="C4909">
        <v>65.8</v>
      </c>
      <c r="D4909">
        <v>65.7</v>
      </c>
      <c r="F4909">
        <v>64.900000000000006</v>
      </c>
      <c r="G4909">
        <v>66.2</v>
      </c>
    </row>
    <row r="4910" spans="1:7" x14ac:dyDescent="0.25">
      <c r="A4910" s="29">
        <v>42516</v>
      </c>
    </row>
    <row r="4911" spans="1:7" x14ac:dyDescent="0.25">
      <c r="A4911" s="29">
        <v>42517</v>
      </c>
    </row>
    <row r="4912" spans="1:7" x14ac:dyDescent="0.25">
      <c r="A4912" s="29">
        <v>42518</v>
      </c>
    </row>
    <row r="4913" spans="1:1" x14ac:dyDescent="0.25">
      <c r="A4913" s="29">
        <v>42519</v>
      </c>
    </row>
    <row r="4914" spans="1:1" x14ac:dyDescent="0.25">
      <c r="A4914" s="29">
        <v>42520</v>
      </c>
    </row>
    <row r="4915" spans="1:1" x14ac:dyDescent="0.25">
      <c r="A4915" s="29">
        <v>42521</v>
      </c>
    </row>
    <row r="4916" spans="1:1" x14ac:dyDescent="0.25">
      <c r="A4916" s="29">
        <v>42522</v>
      </c>
    </row>
    <row r="4917" spans="1:1" x14ac:dyDescent="0.25">
      <c r="A4917" s="29">
        <v>42523</v>
      </c>
    </row>
    <row r="4918" spans="1:1" x14ac:dyDescent="0.25">
      <c r="A4918" s="29">
        <v>42524</v>
      </c>
    </row>
    <row r="4919" spans="1:1" x14ac:dyDescent="0.25">
      <c r="A4919" s="29">
        <v>42525</v>
      </c>
    </row>
    <row r="4920" spans="1:1" x14ac:dyDescent="0.25">
      <c r="A4920" s="29">
        <v>42526</v>
      </c>
    </row>
    <row r="4921" spans="1:1" x14ac:dyDescent="0.25">
      <c r="A4921" s="29">
        <v>42527</v>
      </c>
    </row>
    <row r="4922" spans="1:1" x14ac:dyDescent="0.25">
      <c r="A4922" s="29">
        <v>42528</v>
      </c>
    </row>
    <row r="4923" spans="1:1" x14ac:dyDescent="0.25">
      <c r="A4923" s="29">
        <v>42529</v>
      </c>
    </row>
    <row r="4924" spans="1:1" x14ac:dyDescent="0.25">
      <c r="A4924" s="29">
        <v>42530</v>
      </c>
    </row>
    <row r="4925" spans="1:1" x14ac:dyDescent="0.25">
      <c r="A4925" s="29">
        <v>42531</v>
      </c>
    </row>
    <row r="4926" spans="1:1" x14ac:dyDescent="0.25">
      <c r="A4926" s="29">
        <v>42532</v>
      </c>
    </row>
    <row r="4927" spans="1:1" x14ac:dyDescent="0.25">
      <c r="A4927" s="29">
        <v>42533</v>
      </c>
    </row>
    <row r="4928" spans="1:1" x14ac:dyDescent="0.25">
      <c r="A4928" s="29">
        <v>42534</v>
      </c>
    </row>
    <row r="4929" spans="1:1" x14ac:dyDescent="0.25">
      <c r="A4929" s="29">
        <v>42535</v>
      </c>
    </row>
    <row r="4930" spans="1:1" x14ac:dyDescent="0.25">
      <c r="A4930" s="29">
        <v>42536</v>
      </c>
    </row>
    <row r="4931" spans="1:1" x14ac:dyDescent="0.25">
      <c r="A4931" s="29">
        <v>42537</v>
      </c>
    </row>
    <row r="4932" spans="1:1" x14ac:dyDescent="0.25">
      <c r="A4932" s="29">
        <v>42538</v>
      </c>
    </row>
    <row r="4933" spans="1:1" x14ac:dyDescent="0.25">
      <c r="A4933" s="29">
        <v>42539</v>
      </c>
    </row>
    <row r="4934" spans="1:1" x14ac:dyDescent="0.25">
      <c r="A4934" s="29">
        <v>42540</v>
      </c>
    </row>
    <row r="4935" spans="1:1" x14ac:dyDescent="0.25">
      <c r="A4935" s="29">
        <v>42541</v>
      </c>
    </row>
    <row r="4936" spans="1:1" x14ac:dyDescent="0.25">
      <c r="A4936" s="29">
        <v>42542</v>
      </c>
    </row>
    <row r="4937" spans="1:1" x14ac:dyDescent="0.25">
      <c r="A4937" s="29">
        <v>42543</v>
      </c>
    </row>
    <row r="4938" spans="1:1" x14ac:dyDescent="0.25">
      <c r="A4938" s="29">
        <v>42544</v>
      </c>
    </row>
    <row r="4939" spans="1:1" x14ac:dyDescent="0.25">
      <c r="A4939" s="29">
        <v>42545</v>
      </c>
    </row>
    <row r="4940" spans="1:1" x14ac:dyDescent="0.25">
      <c r="A4940" s="29">
        <v>42546</v>
      </c>
    </row>
    <row r="4941" spans="1:1" x14ac:dyDescent="0.25">
      <c r="A4941" s="29">
        <v>42547</v>
      </c>
    </row>
    <row r="4942" spans="1:1" x14ac:dyDescent="0.25">
      <c r="A4942" s="29">
        <v>42548</v>
      </c>
    </row>
    <row r="4943" spans="1:1" x14ac:dyDescent="0.25">
      <c r="A4943" s="29">
        <v>42549</v>
      </c>
    </row>
    <row r="4944" spans="1:1" x14ac:dyDescent="0.25">
      <c r="A4944" s="29">
        <v>42550</v>
      </c>
    </row>
    <row r="4945" spans="1:1" x14ac:dyDescent="0.25">
      <c r="A4945" s="29">
        <v>42551</v>
      </c>
    </row>
    <row r="4946" spans="1:1" x14ac:dyDescent="0.25">
      <c r="A4946" s="29">
        <v>42552</v>
      </c>
    </row>
    <row r="4947" spans="1:1" x14ac:dyDescent="0.25">
      <c r="A4947" s="29">
        <v>42553</v>
      </c>
    </row>
    <row r="4948" spans="1:1" x14ac:dyDescent="0.25">
      <c r="A4948" s="29">
        <v>42554</v>
      </c>
    </row>
    <row r="4949" spans="1:1" x14ac:dyDescent="0.25">
      <c r="A4949" s="29">
        <v>42555</v>
      </c>
    </row>
    <row r="4950" spans="1:1" x14ac:dyDescent="0.25">
      <c r="A4950" s="29">
        <v>42556</v>
      </c>
    </row>
    <row r="4951" spans="1:1" x14ac:dyDescent="0.25">
      <c r="A4951" s="29">
        <v>42557</v>
      </c>
    </row>
    <row r="4952" spans="1:1" x14ac:dyDescent="0.25">
      <c r="A4952" s="29">
        <v>42558</v>
      </c>
    </row>
    <row r="4953" spans="1:1" x14ac:dyDescent="0.25">
      <c r="A4953" s="29">
        <v>42559</v>
      </c>
    </row>
    <row r="4954" spans="1:1" x14ac:dyDescent="0.25">
      <c r="A4954" s="29">
        <v>42560</v>
      </c>
    </row>
    <row r="4955" spans="1:1" x14ac:dyDescent="0.25">
      <c r="A4955" s="29">
        <v>42561</v>
      </c>
    </row>
    <row r="4956" spans="1:1" x14ac:dyDescent="0.25">
      <c r="A4956" s="29">
        <v>42562</v>
      </c>
    </row>
    <row r="4957" spans="1:1" x14ac:dyDescent="0.25">
      <c r="A4957" s="29">
        <v>42563</v>
      </c>
    </row>
    <row r="4958" spans="1:1" x14ac:dyDescent="0.25">
      <c r="A4958" s="29">
        <v>42564</v>
      </c>
    </row>
    <row r="4959" spans="1:1" x14ac:dyDescent="0.25">
      <c r="A4959" s="29">
        <v>42565</v>
      </c>
    </row>
    <row r="4960" spans="1:1" x14ac:dyDescent="0.25">
      <c r="A4960" s="29">
        <v>42566</v>
      </c>
    </row>
    <row r="4961" spans="1:1" x14ac:dyDescent="0.25">
      <c r="A4961" s="29">
        <v>42567</v>
      </c>
    </row>
    <row r="4962" spans="1:1" x14ac:dyDescent="0.25">
      <c r="A4962" s="29">
        <v>42568</v>
      </c>
    </row>
    <row r="4963" spans="1:1" x14ac:dyDescent="0.25">
      <c r="A4963" s="29">
        <v>42569</v>
      </c>
    </row>
    <row r="4964" spans="1:1" x14ac:dyDescent="0.25">
      <c r="A4964" s="29">
        <v>42570</v>
      </c>
    </row>
    <row r="4965" spans="1:1" x14ac:dyDescent="0.25">
      <c r="A4965" s="29">
        <v>42571</v>
      </c>
    </row>
    <row r="4966" spans="1:1" x14ac:dyDescent="0.25">
      <c r="A4966" s="29">
        <v>42572</v>
      </c>
    </row>
    <row r="4967" spans="1:1" x14ac:dyDescent="0.25">
      <c r="A4967" s="29">
        <v>42573</v>
      </c>
    </row>
    <row r="4968" spans="1:1" x14ac:dyDescent="0.25">
      <c r="A4968" s="29">
        <v>42574</v>
      </c>
    </row>
    <row r="4969" spans="1:1" x14ac:dyDescent="0.25">
      <c r="A4969" s="29">
        <v>42575</v>
      </c>
    </row>
    <row r="4970" spans="1:1" x14ac:dyDescent="0.25">
      <c r="A4970" s="29">
        <v>42576</v>
      </c>
    </row>
    <row r="4971" spans="1:1" x14ac:dyDescent="0.25">
      <c r="A4971" s="29">
        <v>42577</v>
      </c>
    </row>
    <row r="4972" spans="1:1" x14ac:dyDescent="0.25">
      <c r="A4972" s="29">
        <v>42578</v>
      </c>
    </row>
    <row r="4973" spans="1:1" x14ac:dyDescent="0.25">
      <c r="A4973" s="29">
        <v>42579</v>
      </c>
    </row>
    <row r="4974" spans="1:1" x14ac:dyDescent="0.25">
      <c r="A4974" s="29">
        <v>42580</v>
      </c>
    </row>
    <row r="4975" spans="1:1" x14ac:dyDescent="0.25">
      <c r="A4975" s="29">
        <v>42581</v>
      </c>
    </row>
    <row r="4976" spans="1:1" x14ac:dyDescent="0.25">
      <c r="A4976" s="29">
        <v>42582</v>
      </c>
    </row>
    <row r="4977" spans="1:1" x14ac:dyDescent="0.25">
      <c r="A4977" s="29">
        <v>42583</v>
      </c>
    </row>
    <row r="4978" spans="1:1" x14ac:dyDescent="0.25">
      <c r="A4978" s="29">
        <v>42584</v>
      </c>
    </row>
    <row r="4979" spans="1:1" x14ac:dyDescent="0.25">
      <c r="A4979" s="29">
        <v>42585</v>
      </c>
    </row>
    <row r="4980" spans="1:1" x14ac:dyDescent="0.25">
      <c r="A4980" s="29">
        <v>42586</v>
      </c>
    </row>
    <row r="4981" spans="1:1" x14ac:dyDescent="0.25">
      <c r="A4981" s="29">
        <v>42587</v>
      </c>
    </row>
    <row r="4982" spans="1:1" x14ac:dyDescent="0.25">
      <c r="A4982" s="29">
        <v>42588</v>
      </c>
    </row>
    <row r="4983" spans="1:1" x14ac:dyDescent="0.25">
      <c r="A4983" s="29">
        <v>42589</v>
      </c>
    </row>
    <row r="4984" spans="1:1" x14ac:dyDescent="0.25">
      <c r="A4984" s="29">
        <v>42590</v>
      </c>
    </row>
    <row r="4985" spans="1:1" x14ac:dyDescent="0.25">
      <c r="A4985" s="29">
        <v>42591</v>
      </c>
    </row>
    <row r="4986" spans="1:1" x14ac:dyDescent="0.25">
      <c r="A4986" s="29">
        <v>42592</v>
      </c>
    </row>
    <row r="4987" spans="1:1" x14ac:dyDescent="0.25">
      <c r="A4987" s="29">
        <v>42593</v>
      </c>
    </row>
    <row r="4988" spans="1:1" x14ac:dyDescent="0.25">
      <c r="A4988" s="29">
        <v>42594</v>
      </c>
    </row>
    <row r="4989" spans="1:1" x14ac:dyDescent="0.25">
      <c r="A4989" s="29">
        <v>42595</v>
      </c>
    </row>
    <row r="4990" spans="1:1" x14ac:dyDescent="0.25">
      <c r="A4990" s="29">
        <v>42596</v>
      </c>
    </row>
    <row r="4991" spans="1:1" x14ac:dyDescent="0.25">
      <c r="A4991" s="29">
        <v>42597</v>
      </c>
    </row>
    <row r="4992" spans="1:1" x14ac:dyDescent="0.25">
      <c r="A4992" s="29">
        <v>42598</v>
      </c>
    </row>
    <row r="4993" spans="1:1" x14ac:dyDescent="0.25">
      <c r="A4993" s="29">
        <v>42599</v>
      </c>
    </row>
    <row r="4994" spans="1:1" x14ac:dyDescent="0.25">
      <c r="A4994" s="29">
        <v>42600</v>
      </c>
    </row>
    <row r="4995" spans="1:1" x14ac:dyDescent="0.25">
      <c r="A4995" s="29">
        <v>42601</v>
      </c>
    </row>
    <row r="4996" spans="1:1" x14ac:dyDescent="0.25">
      <c r="A4996" s="29">
        <v>42602</v>
      </c>
    </row>
    <row r="4997" spans="1:1" x14ac:dyDescent="0.25">
      <c r="A4997" s="29">
        <v>42603</v>
      </c>
    </row>
    <row r="4998" spans="1:1" x14ac:dyDescent="0.25">
      <c r="A4998" s="29">
        <v>42604</v>
      </c>
    </row>
    <row r="4999" spans="1:1" x14ac:dyDescent="0.25">
      <c r="A4999" s="29">
        <v>42605</v>
      </c>
    </row>
    <row r="5000" spans="1:1" x14ac:dyDescent="0.25">
      <c r="A5000" s="29">
        <v>42606</v>
      </c>
    </row>
    <row r="5001" spans="1:1" x14ac:dyDescent="0.25">
      <c r="A5001" s="29">
        <v>42607</v>
      </c>
    </row>
    <row r="5002" spans="1:1" x14ac:dyDescent="0.25">
      <c r="A5002" s="29">
        <v>42608</v>
      </c>
    </row>
    <row r="5003" spans="1:1" x14ac:dyDescent="0.25">
      <c r="A5003" s="29">
        <v>42609</v>
      </c>
    </row>
    <row r="5004" spans="1:1" x14ac:dyDescent="0.25">
      <c r="A5004" s="29">
        <v>42610</v>
      </c>
    </row>
    <row r="5005" spans="1:1" x14ac:dyDescent="0.25">
      <c r="A5005" s="29">
        <v>42611</v>
      </c>
    </row>
    <row r="5006" spans="1:1" x14ac:dyDescent="0.25">
      <c r="A5006" s="29">
        <v>42612</v>
      </c>
    </row>
    <row r="5007" spans="1:1" x14ac:dyDescent="0.25">
      <c r="A5007" s="29">
        <v>42613</v>
      </c>
    </row>
    <row r="5008" spans="1:1" x14ac:dyDescent="0.25">
      <c r="A5008" s="29">
        <v>42614</v>
      </c>
    </row>
    <row r="5009" spans="1:1" x14ac:dyDescent="0.25">
      <c r="A5009" s="29">
        <v>42615</v>
      </c>
    </row>
    <row r="5010" spans="1:1" x14ac:dyDescent="0.25">
      <c r="A5010" s="29">
        <v>42616</v>
      </c>
    </row>
    <row r="5011" spans="1:1" x14ac:dyDescent="0.25">
      <c r="A5011" s="29">
        <v>42617</v>
      </c>
    </row>
    <row r="5012" spans="1:1" x14ac:dyDescent="0.25">
      <c r="A5012" s="29">
        <v>42618</v>
      </c>
    </row>
    <row r="5013" spans="1:1" x14ac:dyDescent="0.25">
      <c r="A5013" s="29">
        <v>42619</v>
      </c>
    </row>
    <row r="5014" spans="1:1" x14ac:dyDescent="0.25">
      <c r="A5014" s="29">
        <v>42620</v>
      </c>
    </row>
    <row r="5015" spans="1:1" x14ac:dyDescent="0.25">
      <c r="A5015" s="29">
        <v>42621</v>
      </c>
    </row>
    <row r="5016" spans="1:1" x14ac:dyDescent="0.25">
      <c r="A5016" s="29">
        <v>42622</v>
      </c>
    </row>
    <row r="5017" spans="1:1" x14ac:dyDescent="0.25">
      <c r="A5017" s="29">
        <v>42623</v>
      </c>
    </row>
    <row r="5018" spans="1:1" x14ac:dyDescent="0.25">
      <c r="A5018" s="29">
        <v>42624</v>
      </c>
    </row>
    <row r="5019" spans="1:1" x14ac:dyDescent="0.25">
      <c r="A5019" s="29">
        <v>42625</v>
      </c>
    </row>
    <row r="5020" spans="1:1" x14ac:dyDescent="0.25">
      <c r="A5020" s="29">
        <v>42626</v>
      </c>
    </row>
    <row r="5021" spans="1:1" x14ac:dyDescent="0.25">
      <c r="A5021" s="29">
        <v>42627</v>
      </c>
    </row>
    <row r="5022" spans="1:1" x14ac:dyDescent="0.25">
      <c r="A5022" s="29">
        <v>42628</v>
      </c>
    </row>
    <row r="5023" spans="1:1" x14ac:dyDescent="0.25">
      <c r="A5023" s="29">
        <v>42629</v>
      </c>
    </row>
    <row r="5024" spans="1:1" x14ac:dyDescent="0.25">
      <c r="A5024" s="29">
        <v>42630</v>
      </c>
    </row>
    <row r="5025" spans="1:1" x14ac:dyDescent="0.25">
      <c r="A5025" s="29">
        <v>42631</v>
      </c>
    </row>
    <row r="5026" spans="1:1" x14ac:dyDescent="0.25">
      <c r="A5026" s="29">
        <v>42632</v>
      </c>
    </row>
    <row r="5027" spans="1:1" x14ac:dyDescent="0.25">
      <c r="A5027" s="29">
        <v>42633</v>
      </c>
    </row>
    <row r="5028" spans="1:1" x14ac:dyDescent="0.25">
      <c r="A5028" s="29">
        <v>42634</v>
      </c>
    </row>
    <row r="5029" spans="1:1" x14ac:dyDescent="0.25">
      <c r="A5029" s="29">
        <v>42635</v>
      </c>
    </row>
    <row r="5030" spans="1:1" x14ac:dyDescent="0.25">
      <c r="A5030" s="29">
        <v>42636</v>
      </c>
    </row>
    <row r="5031" spans="1:1" x14ac:dyDescent="0.25">
      <c r="A5031" s="29">
        <v>42637</v>
      </c>
    </row>
    <row r="5032" spans="1:1" x14ac:dyDescent="0.25">
      <c r="A5032" s="29">
        <v>42638</v>
      </c>
    </row>
    <row r="5033" spans="1:1" x14ac:dyDescent="0.25">
      <c r="A5033" s="29">
        <v>42639</v>
      </c>
    </row>
    <row r="5034" spans="1:1" x14ac:dyDescent="0.25">
      <c r="A5034" s="29">
        <v>42640</v>
      </c>
    </row>
    <row r="5035" spans="1:1" x14ac:dyDescent="0.25">
      <c r="A5035" s="29">
        <v>42641</v>
      </c>
    </row>
    <row r="5036" spans="1:1" x14ac:dyDescent="0.25">
      <c r="A5036" s="29">
        <v>42642</v>
      </c>
    </row>
    <row r="5037" spans="1:1" x14ac:dyDescent="0.25">
      <c r="A5037" s="29">
        <v>42643</v>
      </c>
    </row>
    <row r="5038" spans="1:1" x14ac:dyDescent="0.25">
      <c r="A5038" s="29">
        <v>42644</v>
      </c>
    </row>
    <row r="5039" spans="1:1" x14ac:dyDescent="0.25">
      <c r="A5039" s="29">
        <v>42645</v>
      </c>
    </row>
    <row r="5040" spans="1:1" x14ac:dyDescent="0.25">
      <c r="A5040" s="29">
        <v>42646</v>
      </c>
    </row>
    <row r="5041" spans="1:1" x14ac:dyDescent="0.25">
      <c r="A5041" s="29">
        <v>42647</v>
      </c>
    </row>
    <row r="5042" spans="1:1" x14ac:dyDescent="0.25">
      <c r="A5042" s="29">
        <v>42648</v>
      </c>
    </row>
    <row r="5043" spans="1:1" x14ac:dyDescent="0.25">
      <c r="A5043" s="29">
        <v>42649</v>
      </c>
    </row>
    <row r="5044" spans="1:1" x14ac:dyDescent="0.25">
      <c r="A5044" s="29">
        <v>42650</v>
      </c>
    </row>
    <row r="5045" spans="1:1" x14ac:dyDescent="0.25">
      <c r="A5045" s="29">
        <v>42651</v>
      </c>
    </row>
    <row r="5046" spans="1:1" x14ac:dyDescent="0.25">
      <c r="A5046" s="29">
        <v>42652</v>
      </c>
    </row>
    <row r="5047" spans="1:1" x14ac:dyDescent="0.25">
      <c r="A5047" s="29">
        <v>42653</v>
      </c>
    </row>
    <row r="5048" spans="1:1" x14ac:dyDescent="0.25">
      <c r="A5048" s="29">
        <v>42654</v>
      </c>
    </row>
    <row r="5049" spans="1:1" x14ac:dyDescent="0.25">
      <c r="A5049" s="29">
        <v>42655</v>
      </c>
    </row>
    <row r="5050" spans="1:1" x14ac:dyDescent="0.25">
      <c r="A5050" s="29">
        <v>42656</v>
      </c>
    </row>
    <row r="5051" spans="1:1" x14ac:dyDescent="0.25">
      <c r="A5051" s="29">
        <v>42657</v>
      </c>
    </row>
    <row r="5052" spans="1:1" x14ac:dyDescent="0.25">
      <c r="A5052" s="29">
        <v>42658</v>
      </c>
    </row>
    <row r="5053" spans="1:1" x14ac:dyDescent="0.25">
      <c r="A5053" s="29">
        <v>42659</v>
      </c>
    </row>
    <row r="5054" spans="1:1" x14ac:dyDescent="0.25">
      <c r="A5054" s="29">
        <v>42660</v>
      </c>
    </row>
    <row r="5055" spans="1:1" x14ac:dyDescent="0.25">
      <c r="A5055" s="29">
        <v>42661</v>
      </c>
    </row>
    <row r="5056" spans="1:1" x14ac:dyDescent="0.25">
      <c r="A5056" s="29">
        <v>42662</v>
      </c>
    </row>
    <row r="5057" spans="1:1" x14ac:dyDescent="0.25">
      <c r="A5057" s="29">
        <v>42663</v>
      </c>
    </row>
    <row r="5058" spans="1:1" x14ac:dyDescent="0.25">
      <c r="A5058" s="29">
        <v>42664</v>
      </c>
    </row>
    <row r="5059" spans="1:1" x14ac:dyDescent="0.25">
      <c r="A5059" s="29">
        <v>42665</v>
      </c>
    </row>
    <row r="5060" spans="1:1" x14ac:dyDescent="0.25">
      <c r="A5060" s="29">
        <v>42666</v>
      </c>
    </row>
    <row r="5061" spans="1:1" x14ac:dyDescent="0.25">
      <c r="A5061" s="29">
        <v>42667</v>
      </c>
    </row>
    <row r="5062" spans="1:1" x14ac:dyDescent="0.25">
      <c r="A5062" s="29">
        <v>42668</v>
      </c>
    </row>
    <row r="5063" spans="1:1" x14ac:dyDescent="0.25">
      <c r="A5063" s="29">
        <v>42669</v>
      </c>
    </row>
    <row r="5064" spans="1:1" x14ac:dyDescent="0.25">
      <c r="A5064" s="29">
        <v>42670</v>
      </c>
    </row>
    <row r="5065" spans="1:1" x14ac:dyDescent="0.25">
      <c r="A5065" s="29">
        <v>42671</v>
      </c>
    </row>
    <row r="5066" spans="1:1" x14ac:dyDescent="0.25">
      <c r="A5066" s="29">
        <v>42672</v>
      </c>
    </row>
    <row r="5067" spans="1:1" x14ac:dyDescent="0.25">
      <c r="A5067" s="29">
        <v>42673</v>
      </c>
    </row>
    <row r="5068" spans="1:1" x14ac:dyDescent="0.25">
      <c r="A5068" s="29">
        <v>42674</v>
      </c>
    </row>
    <row r="5069" spans="1:1" x14ac:dyDescent="0.25">
      <c r="A5069" s="29">
        <v>42675</v>
      </c>
    </row>
    <row r="5070" spans="1:1" x14ac:dyDescent="0.25">
      <c r="A5070" s="29">
        <v>42676</v>
      </c>
    </row>
    <row r="5071" spans="1:1" x14ac:dyDescent="0.25">
      <c r="A5071" s="29">
        <v>42677</v>
      </c>
    </row>
    <row r="5072" spans="1:1" x14ac:dyDescent="0.25">
      <c r="A5072" s="29">
        <v>42678</v>
      </c>
    </row>
    <row r="5073" spans="1:1" x14ac:dyDescent="0.25">
      <c r="A5073" s="29">
        <v>42679</v>
      </c>
    </row>
    <row r="5074" spans="1:1" x14ac:dyDescent="0.25">
      <c r="A5074" s="29">
        <v>42680</v>
      </c>
    </row>
    <row r="5075" spans="1:1" x14ac:dyDescent="0.25">
      <c r="A5075" s="29">
        <v>42681</v>
      </c>
    </row>
    <row r="5076" spans="1:1" x14ac:dyDescent="0.25">
      <c r="A5076" s="29">
        <v>42682</v>
      </c>
    </row>
    <row r="5077" spans="1:1" x14ac:dyDescent="0.25">
      <c r="A5077" s="29">
        <v>42683</v>
      </c>
    </row>
    <row r="5078" spans="1:1" x14ac:dyDescent="0.25">
      <c r="A5078" s="29">
        <v>42684</v>
      </c>
    </row>
    <row r="5079" spans="1:1" x14ac:dyDescent="0.25">
      <c r="A5079" s="29">
        <v>42685</v>
      </c>
    </row>
    <row r="5080" spans="1:1" x14ac:dyDescent="0.25">
      <c r="A5080" s="29">
        <v>42686</v>
      </c>
    </row>
    <row r="5081" spans="1:1" x14ac:dyDescent="0.25">
      <c r="A5081" s="29">
        <v>42687</v>
      </c>
    </row>
    <row r="5082" spans="1:1" x14ac:dyDescent="0.25">
      <c r="A5082" s="29">
        <v>42688</v>
      </c>
    </row>
    <row r="5083" spans="1:1" x14ac:dyDescent="0.25">
      <c r="A5083" s="29">
        <v>42689</v>
      </c>
    </row>
    <row r="5084" spans="1:1" x14ac:dyDescent="0.25">
      <c r="A5084" s="29">
        <v>42690</v>
      </c>
    </row>
    <row r="5085" spans="1:1" x14ac:dyDescent="0.25">
      <c r="A5085" s="29">
        <v>42691</v>
      </c>
    </row>
    <row r="5086" spans="1:1" x14ac:dyDescent="0.25">
      <c r="A5086" s="29">
        <v>42692</v>
      </c>
    </row>
    <row r="5087" spans="1:1" x14ac:dyDescent="0.25">
      <c r="A5087" s="29">
        <v>42693</v>
      </c>
    </row>
    <row r="5088" spans="1:1" x14ac:dyDescent="0.25">
      <c r="A5088" s="29">
        <v>42694</v>
      </c>
    </row>
    <row r="5089" spans="1:1" x14ac:dyDescent="0.25">
      <c r="A5089" s="29">
        <v>42695</v>
      </c>
    </row>
    <row r="5090" spans="1:1" x14ac:dyDescent="0.25">
      <c r="A5090" s="29">
        <v>42696</v>
      </c>
    </row>
    <row r="5091" spans="1:1" x14ac:dyDescent="0.25">
      <c r="A5091" s="29">
        <v>42697</v>
      </c>
    </row>
    <row r="5092" spans="1:1" x14ac:dyDescent="0.25">
      <c r="A5092" s="29">
        <v>42698</v>
      </c>
    </row>
    <row r="5093" spans="1:1" x14ac:dyDescent="0.25">
      <c r="A5093" s="29">
        <v>42699</v>
      </c>
    </row>
    <row r="5094" spans="1:1" x14ac:dyDescent="0.25">
      <c r="A5094" s="29">
        <v>42700</v>
      </c>
    </row>
    <row r="5095" spans="1:1" x14ac:dyDescent="0.25">
      <c r="A5095" s="29">
        <v>42701</v>
      </c>
    </row>
    <row r="5096" spans="1:1" x14ac:dyDescent="0.25">
      <c r="A5096" s="29">
        <v>42702</v>
      </c>
    </row>
    <row r="5097" spans="1:1" x14ac:dyDescent="0.25">
      <c r="A5097" s="29">
        <v>42703</v>
      </c>
    </row>
    <row r="5098" spans="1:1" x14ac:dyDescent="0.25">
      <c r="A5098" s="29">
        <v>42704</v>
      </c>
    </row>
    <row r="5099" spans="1:1" x14ac:dyDescent="0.25">
      <c r="A5099" s="29">
        <v>42705</v>
      </c>
    </row>
    <row r="5100" spans="1:1" x14ac:dyDescent="0.25">
      <c r="A5100" s="29">
        <v>42706</v>
      </c>
    </row>
    <row r="5101" spans="1:1" x14ac:dyDescent="0.25">
      <c r="A5101" s="29">
        <v>42707</v>
      </c>
    </row>
    <row r="5102" spans="1:1" x14ac:dyDescent="0.25">
      <c r="A5102" s="29">
        <v>42708</v>
      </c>
    </row>
    <row r="5103" spans="1:1" x14ac:dyDescent="0.25">
      <c r="A5103" s="29">
        <v>42709</v>
      </c>
    </row>
    <row r="5104" spans="1:1" x14ac:dyDescent="0.25">
      <c r="A5104" s="29">
        <v>42710</v>
      </c>
    </row>
    <row r="5105" spans="1:1" x14ac:dyDescent="0.25">
      <c r="A5105" s="29">
        <v>42711</v>
      </c>
    </row>
    <row r="5106" spans="1:1" x14ac:dyDescent="0.25">
      <c r="A5106" s="29">
        <v>42712</v>
      </c>
    </row>
    <row r="5107" spans="1:1" x14ac:dyDescent="0.25">
      <c r="A5107" s="29">
        <v>42713</v>
      </c>
    </row>
    <row r="5108" spans="1:1" x14ac:dyDescent="0.25">
      <c r="A5108" s="29">
        <v>42714</v>
      </c>
    </row>
    <row r="5109" spans="1:1" x14ac:dyDescent="0.25">
      <c r="A5109" s="29">
        <v>42715</v>
      </c>
    </row>
    <row r="5110" spans="1:1" x14ac:dyDescent="0.25">
      <c r="A5110" s="29">
        <v>42716</v>
      </c>
    </row>
    <row r="5111" spans="1:1" x14ac:dyDescent="0.25">
      <c r="A5111" s="29">
        <v>42717</v>
      </c>
    </row>
    <row r="5112" spans="1:1" x14ac:dyDescent="0.25">
      <c r="A5112" s="29">
        <v>42718</v>
      </c>
    </row>
    <row r="5113" spans="1:1" x14ac:dyDescent="0.25">
      <c r="A5113" s="29">
        <v>42719</v>
      </c>
    </row>
    <row r="5114" spans="1:1" x14ac:dyDescent="0.25">
      <c r="A5114" s="29">
        <v>42720</v>
      </c>
    </row>
    <row r="5115" spans="1:1" x14ac:dyDescent="0.25">
      <c r="A5115" s="29">
        <v>42721</v>
      </c>
    </row>
    <row r="5116" spans="1:1" x14ac:dyDescent="0.25">
      <c r="A5116" s="29">
        <v>42722</v>
      </c>
    </row>
    <row r="5117" spans="1:1" x14ac:dyDescent="0.25">
      <c r="A5117" s="29">
        <v>42723</v>
      </c>
    </row>
    <row r="5118" spans="1:1" x14ac:dyDescent="0.25">
      <c r="A5118" s="29">
        <v>42724</v>
      </c>
    </row>
    <row r="5119" spans="1:1" x14ac:dyDescent="0.25">
      <c r="A5119" s="29">
        <v>42725</v>
      </c>
    </row>
    <row r="5120" spans="1:1" x14ac:dyDescent="0.25">
      <c r="A5120" s="29">
        <v>42726</v>
      </c>
    </row>
    <row r="5121" spans="1:1" x14ac:dyDescent="0.25">
      <c r="A5121" s="29">
        <v>42727</v>
      </c>
    </row>
    <row r="5122" spans="1:1" x14ac:dyDescent="0.25">
      <c r="A5122" s="29">
        <v>42728</v>
      </c>
    </row>
    <row r="5123" spans="1:1" x14ac:dyDescent="0.25">
      <c r="A5123" s="29">
        <v>42729</v>
      </c>
    </row>
    <row r="5124" spans="1:1" x14ac:dyDescent="0.25">
      <c r="A5124" s="29">
        <v>42730</v>
      </c>
    </row>
    <row r="5125" spans="1:1" x14ac:dyDescent="0.25">
      <c r="A5125" s="29">
        <v>42731</v>
      </c>
    </row>
    <row r="5126" spans="1:1" x14ac:dyDescent="0.25">
      <c r="A5126" s="29">
        <v>42732</v>
      </c>
    </row>
    <row r="5127" spans="1:1" x14ac:dyDescent="0.25">
      <c r="A5127" s="29">
        <v>42733</v>
      </c>
    </row>
    <row r="5128" spans="1:1" x14ac:dyDescent="0.25">
      <c r="A5128" s="29">
        <v>42734</v>
      </c>
    </row>
    <row r="5129" spans="1:1" x14ac:dyDescent="0.25">
      <c r="A5129" s="29">
        <v>42735</v>
      </c>
    </row>
    <row r="5130" spans="1:1" x14ac:dyDescent="0.25">
      <c r="A5130" s="29">
        <v>42736</v>
      </c>
    </row>
    <row r="5131" spans="1:1" x14ac:dyDescent="0.25">
      <c r="A5131" s="29">
        <v>42737</v>
      </c>
    </row>
    <row r="5132" spans="1:1" x14ac:dyDescent="0.25">
      <c r="A5132" s="29">
        <v>42738</v>
      </c>
    </row>
    <row r="5133" spans="1:1" x14ac:dyDescent="0.25">
      <c r="A5133" s="29">
        <v>42739</v>
      </c>
    </row>
    <row r="5134" spans="1:1" x14ac:dyDescent="0.25">
      <c r="A5134" s="29">
        <v>42740</v>
      </c>
    </row>
    <row r="5135" spans="1:1" x14ac:dyDescent="0.25">
      <c r="A5135" s="29">
        <v>42741</v>
      </c>
    </row>
    <row r="5136" spans="1:1" x14ac:dyDescent="0.25">
      <c r="A5136" s="29">
        <v>42742</v>
      </c>
    </row>
    <row r="5137" spans="1:1" x14ac:dyDescent="0.25">
      <c r="A5137" s="29">
        <v>42743</v>
      </c>
    </row>
    <row r="5138" spans="1:1" x14ac:dyDescent="0.25">
      <c r="A5138" s="29">
        <v>42744</v>
      </c>
    </row>
    <row r="5139" spans="1:1" x14ac:dyDescent="0.25">
      <c r="A5139" s="29">
        <v>42745</v>
      </c>
    </row>
    <row r="5140" spans="1:1" x14ac:dyDescent="0.25">
      <c r="A5140" s="29">
        <v>42746</v>
      </c>
    </row>
    <row r="5141" spans="1:1" x14ac:dyDescent="0.25">
      <c r="A5141" s="29">
        <v>42747</v>
      </c>
    </row>
    <row r="5142" spans="1:1" x14ac:dyDescent="0.25">
      <c r="A5142" s="29">
        <v>42748</v>
      </c>
    </row>
    <row r="5143" spans="1:1" x14ac:dyDescent="0.25">
      <c r="A5143" s="29">
        <v>42749</v>
      </c>
    </row>
    <row r="5144" spans="1:1" x14ac:dyDescent="0.25">
      <c r="A5144" s="29">
        <v>42750</v>
      </c>
    </row>
    <row r="5145" spans="1:1" x14ac:dyDescent="0.25">
      <c r="A5145" s="29">
        <v>42751</v>
      </c>
    </row>
    <row r="5146" spans="1:1" x14ac:dyDescent="0.25">
      <c r="A5146" s="29">
        <v>42752</v>
      </c>
    </row>
    <row r="5147" spans="1:1" x14ac:dyDescent="0.25">
      <c r="A5147" s="29">
        <v>42753</v>
      </c>
    </row>
    <row r="5148" spans="1:1" x14ac:dyDescent="0.25">
      <c r="A5148" s="29">
        <v>42754</v>
      </c>
    </row>
    <row r="5149" spans="1:1" x14ac:dyDescent="0.25">
      <c r="A5149" s="29">
        <v>42755</v>
      </c>
    </row>
    <row r="5150" spans="1:1" x14ac:dyDescent="0.25">
      <c r="A5150" s="29">
        <v>42756</v>
      </c>
    </row>
    <row r="5151" spans="1:1" x14ac:dyDescent="0.25">
      <c r="A5151" s="29">
        <v>42757</v>
      </c>
    </row>
    <row r="5152" spans="1:1" x14ac:dyDescent="0.25">
      <c r="A5152" s="29">
        <v>42758</v>
      </c>
    </row>
    <row r="5153" spans="1:1" x14ac:dyDescent="0.25">
      <c r="A5153" s="29">
        <v>42759</v>
      </c>
    </row>
    <row r="5154" spans="1:1" x14ac:dyDescent="0.25">
      <c r="A5154" s="29">
        <v>42760</v>
      </c>
    </row>
    <row r="5155" spans="1:1" x14ac:dyDescent="0.25">
      <c r="A5155" s="29">
        <v>42761</v>
      </c>
    </row>
    <row r="5156" spans="1:1" x14ac:dyDescent="0.25">
      <c r="A5156" s="29">
        <v>42762</v>
      </c>
    </row>
    <row r="5157" spans="1:1" x14ac:dyDescent="0.25">
      <c r="A5157" s="29">
        <v>42763</v>
      </c>
    </row>
    <row r="5158" spans="1:1" x14ac:dyDescent="0.25">
      <c r="A5158" s="29">
        <v>42764</v>
      </c>
    </row>
    <row r="5159" spans="1:1" x14ac:dyDescent="0.25">
      <c r="A5159" s="29">
        <v>42765</v>
      </c>
    </row>
    <row r="5160" spans="1:1" x14ac:dyDescent="0.25">
      <c r="A5160" s="29">
        <v>42766</v>
      </c>
    </row>
    <row r="5161" spans="1:1" x14ac:dyDescent="0.25">
      <c r="A5161" s="29">
        <v>42767</v>
      </c>
    </row>
    <row r="5162" spans="1:1" x14ac:dyDescent="0.25">
      <c r="A5162" s="29">
        <v>42768</v>
      </c>
    </row>
    <row r="5163" spans="1:1" x14ac:dyDescent="0.25">
      <c r="A5163" s="29">
        <v>42769</v>
      </c>
    </row>
    <row r="5164" spans="1:1" x14ac:dyDescent="0.25">
      <c r="A5164" s="29">
        <v>42770</v>
      </c>
    </row>
    <row r="5165" spans="1:1" x14ac:dyDescent="0.25">
      <c r="A5165" s="29">
        <v>42771</v>
      </c>
    </row>
    <row r="5166" spans="1:1" x14ac:dyDescent="0.25">
      <c r="A5166" s="29">
        <v>42772</v>
      </c>
    </row>
    <row r="5167" spans="1:1" x14ac:dyDescent="0.25">
      <c r="A5167" s="29">
        <v>42773</v>
      </c>
    </row>
    <row r="5168" spans="1:1" x14ac:dyDescent="0.25">
      <c r="A5168" s="29">
        <v>42774</v>
      </c>
    </row>
    <row r="5169" spans="1:1" x14ac:dyDescent="0.25">
      <c r="A5169" s="29">
        <v>42775</v>
      </c>
    </row>
    <row r="5170" spans="1:1" x14ac:dyDescent="0.25">
      <c r="A5170" s="29">
        <v>42776</v>
      </c>
    </row>
    <row r="5171" spans="1:1" x14ac:dyDescent="0.25">
      <c r="A5171" s="29">
        <v>42777</v>
      </c>
    </row>
    <row r="5172" spans="1:1" x14ac:dyDescent="0.25">
      <c r="A5172" s="29">
        <v>42778</v>
      </c>
    </row>
    <row r="5173" spans="1:1" x14ac:dyDescent="0.25">
      <c r="A5173" s="29">
        <v>42779</v>
      </c>
    </row>
    <row r="5174" spans="1:1" x14ac:dyDescent="0.25">
      <c r="A5174" s="29">
        <v>42780</v>
      </c>
    </row>
    <row r="5175" spans="1:1" x14ac:dyDescent="0.25">
      <c r="A5175" s="29">
        <v>42781</v>
      </c>
    </row>
    <row r="5176" spans="1:1" x14ac:dyDescent="0.25">
      <c r="A5176" s="29">
        <v>42782</v>
      </c>
    </row>
    <row r="5177" spans="1:1" x14ac:dyDescent="0.25">
      <c r="A5177" s="29">
        <v>42783</v>
      </c>
    </row>
    <row r="5178" spans="1:1" x14ac:dyDescent="0.25">
      <c r="A5178" s="29">
        <v>42784</v>
      </c>
    </row>
    <row r="5179" spans="1:1" x14ac:dyDescent="0.25">
      <c r="A5179" s="29">
        <v>42785</v>
      </c>
    </row>
    <row r="5180" spans="1:1" x14ac:dyDescent="0.25">
      <c r="A5180" s="29">
        <v>42786</v>
      </c>
    </row>
    <row r="5181" spans="1:1" x14ac:dyDescent="0.25">
      <c r="A5181" s="29">
        <v>42787</v>
      </c>
    </row>
    <row r="5182" spans="1:1" x14ac:dyDescent="0.25">
      <c r="A5182" s="29">
        <v>42788</v>
      </c>
    </row>
    <row r="5183" spans="1:1" x14ac:dyDescent="0.25">
      <c r="A5183" s="29">
        <v>42789</v>
      </c>
    </row>
    <row r="5184" spans="1:1" x14ac:dyDescent="0.25">
      <c r="A5184" s="29">
        <v>42790</v>
      </c>
    </row>
    <row r="5185" spans="1:1" x14ac:dyDescent="0.25">
      <c r="A5185" s="29">
        <v>42791</v>
      </c>
    </row>
    <row r="5186" spans="1:1" x14ac:dyDescent="0.25">
      <c r="A5186" s="29">
        <v>42792</v>
      </c>
    </row>
    <row r="5187" spans="1:1" x14ac:dyDescent="0.25">
      <c r="A5187" s="29">
        <v>42793</v>
      </c>
    </row>
    <row r="5188" spans="1:1" x14ac:dyDescent="0.25">
      <c r="A5188" s="29">
        <v>42794</v>
      </c>
    </row>
    <row r="5189" spans="1:1" x14ac:dyDescent="0.25">
      <c r="A5189" s="29">
        <v>42795</v>
      </c>
    </row>
    <row r="5190" spans="1:1" x14ac:dyDescent="0.25">
      <c r="A5190" s="29">
        <v>42796</v>
      </c>
    </row>
    <row r="5191" spans="1:1" x14ac:dyDescent="0.25">
      <c r="A5191" s="29">
        <v>42797</v>
      </c>
    </row>
    <row r="5192" spans="1:1" x14ac:dyDescent="0.25">
      <c r="A5192" s="29">
        <v>42798</v>
      </c>
    </row>
    <row r="5193" spans="1:1" x14ac:dyDescent="0.25">
      <c r="A5193" s="29">
        <v>42799</v>
      </c>
    </row>
    <row r="5194" spans="1:1" x14ac:dyDescent="0.25">
      <c r="A5194" s="29">
        <v>42800</v>
      </c>
    </row>
    <row r="5195" spans="1:1" x14ac:dyDescent="0.25">
      <c r="A5195" s="29">
        <v>42801</v>
      </c>
    </row>
    <row r="5196" spans="1:1" x14ac:dyDescent="0.25">
      <c r="A5196" s="29">
        <v>42802</v>
      </c>
    </row>
    <row r="5197" spans="1:1" x14ac:dyDescent="0.25">
      <c r="A5197" s="29">
        <v>42803</v>
      </c>
    </row>
    <row r="5198" spans="1:1" x14ac:dyDescent="0.25">
      <c r="A5198" s="29">
        <v>42804</v>
      </c>
    </row>
    <row r="5199" spans="1:1" x14ac:dyDescent="0.25">
      <c r="A5199" s="29">
        <v>42805</v>
      </c>
    </row>
    <row r="5200" spans="1:1" x14ac:dyDescent="0.25">
      <c r="A5200" s="29">
        <v>42806</v>
      </c>
    </row>
    <row r="5201" spans="1:1" x14ac:dyDescent="0.25">
      <c r="A5201" s="29">
        <v>42807</v>
      </c>
    </row>
    <row r="5202" spans="1:1" x14ac:dyDescent="0.25">
      <c r="A5202" s="29">
        <v>42808</v>
      </c>
    </row>
    <row r="5203" spans="1:1" x14ac:dyDescent="0.25">
      <c r="A5203" s="29">
        <v>42809</v>
      </c>
    </row>
    <row r="5204" spans="1:1" x14ac:dyDescent="0.25">
      <c r="A5204" s="29">
        <v>42810</v>
      </c>
    </row>
    <row r="5205" spans="1:1" x14ac:dyDescent="0.25">
      <c r="A5205" s="29">
        <v>42811</v>
      </c>
    </row>
    <row r="5206" spans="1:1" x14ac:dyDescent="0.25">
      <c r="A5206" s="29">
        <v>42812</v>
      </c>
    </row>
    <row r="5207" spans="1:1" x14ac:dyDescent="0.25">
      <c r="A5207" s="29">
        <v>42813</v>
      </c>
    </row>
    <row r="5208" spans="1:1" x14ac:dyDescent="0.25">
      <c r="A5208" s="29">
        <v>42814</v>
      </c>
    </row>
    <row r="5209" spans="1:1" x14ac:dyDescent="0.25">
      <c r="A5209" s="29">
        <v>42815</v>
      </c>
    </row>
    <row r="5210" spans="1:1" x14ac:dyDescent="0.25">
      <c r="A5210" s="29">
        <v>42816</v>
      </c>
    </row>
    <row r="5211" spans="1:1" x14ac:dyDescent="0.25">
      <c r="A5211" s="29">
        <v>42817</v>
      </c>
    </row>
    <row r="5212" spans="1:1" x14ac:dyDescent="0.25">
      <c r="A5212" s="29">
        <v>42818</v>
      </c>
    </row>
    <row r="5213" spans="1:1" x14ac:dyDescent="0.25">
      <c r="A5213" s="29">
        <v>42819</v>
      </c>
    </row>
    <row r="5214" spans="1:1" x14ac:dyDescent="0.25">
      <c r="A5214" s="29">
        <v>42820</v>
      </c>
    </row>
    <row r="5215" spans="1:1" x14ac:dyDescent="0.25">
      <c r="A5215" s="29">
        <v>42821</v>
      </c>
    </row>
    <row r="5216" spans="1:1" x14ac:dyDescent="0.25">
      <c r="A5216" s="29">
        <v>42822</v>
      </c>
    </row>
    <row r="5217" spans="1:1" x14ac:dyDescent="0.25">
      <c r="A5217" s="29">
        <v>42823</v>
      </c>
    </row>
    <row r="5218" spans="1:1" x14ac:dyDescent="0.25">
      <c r="A5218" s="29">
        <v>42824</v>
      </c>
    </row>
    <row r="5219" spans="1:1" x14ac:dyDescent="0.25">
      <c r="A5219" s="29">
        <v>42825</v>
      </c>
    </row>
    <row r="5220" spans="1:1" x14ac:dyDescent="0.25">
      <c r="A5220" s="29">
        <v>42826</v>
      </c>
    </row>
    <row r="5221" spans="1:1" x14ac:dyDescent="0.25">
      <c r="A5221" s="29">
        <v>42827</v>
      </c>
    </row>
    <row r="5222" spans="1:1" x14ac:dyDescent="0.25">
      <c r="A5222" s="29">
        <v>42828</v>
      </c>
    </row>
    <row r="5223" spans="1:1" x14ac:dyDescent="0.25">
      <c r="A5223" s="29">
        <v>42829</v>
      </c>
    </row>
    <row r="5224" spans="1:1" x14ac:dyDescent="0.25">
      <c r="A5224" s="29">
        <v>42830</v>
      </c>
    </row>
    <row r="5225" spans="1:1" x14ac:dyDescent="0.25">
      <c r="A5225" s="29">
        <v>42831</v>
      </c>
    </row>
    <row r="5226" spans="1:1" x14ac:dyDescent="0.25">
      <c r="A5226" s="29">
        <v>42832</v>
      </c>
    </row>
    <row r="5227" spans="1:1" x14ac:dyDescent="0.25">
      <c r="A5227" s="29">
        <v>42833</v>
      </c>
    </row>
    <row r="5228" spans="1:1" x14ac:dyDescent="0.25">
      <c r="A5228" s="29">
        <v>42834</v>
      </c>
    </row>
    <row r="5229" spans="1:1" x14ac:dyDescent="0.25">
      <c r="A5229" s="29">
        <v>42835</v>
      </c>
    </row>
    <row r="5230" spans="1:1" x14ac:dyDescent="0.25">
      <c r="A5230" s="29">
        <v>42836</v>
      </c>
    </row>
    <row r="5231" spans="1:1" x14ac:dyDescent="0.25">
      <c r="A5231" s="29">
        <v>42837</v>
      </c>
    </row>
    <row r="5232" spans="1:1" x14ac:dyDescent="0.25">
      <c r="A5232" s="29">
        <v>42838</v>
      </c>
    </row>
    <row r="5233" spans="1:1" x14ac:dyDescent="0.25">
      <c r="A5233" s="29">
        <v>42839</v>
      </c>
    </row>
    <row r="5234" spans="1:1" x14ac:dyDescent="0.25">
      <c r="A5234" s="29">
        <v>42840</v>
      </c>
    </row>
    <row r="5235" spans="1:1" x14ac:dyDescent="0.25">
      <c r="A5235" s="29">
        <v>42841</v>
      </c>
    </row>
    <row r="5236" spans="1:1" x14ac:dyDescent="0.25">
      <c r="A5236" s="29">
        <v>42842</v>
      </c>
    </row>
    <row r="5237" spans="1:1" x14ac:dyDescent="0.25">
      <c r="A5237" s="29">
        <v>42843</v>
      </c>
    </row>
    <row r="5238" spans="1:1" x14ac:dyDescent="0.25">
      <c r="A5238" s="29">
        <v>42844</v>
      </c>
    </row>
    <row r="5239" spans="1:1" x14ac:dyDescent="0.25">
      <c r="A5239" s="29">
        <v>42845</v>
      </c>
    </row>
    <row r="5240" spans="1:1" x14ac:dyDescent="0.25">
      <c r="A5240" s="29">
        <v>42846</v>
      </c>
    </row>
    <row r="5241" spans="1:1" x14ac:dyDescent="0.25">
      <c r="A5241" s="29">
        <v>42847</v>
      </c>
    </row>
    <row r="5242" spans="1:1" x14ac:dyDescent="0.25">
      <c r="A5242" s="29">
        <v>42848</v>
      </c>
    </row>
    <row r="5243" spans="1:1" x14ac:dyDescent="0.25">
      <c r="A5243" s="29">
        <v>42849</v>
      </c>
    </row>
    <row r="5244" spans="1:1" x14ac:dyDescent="0.25">
      <c r="A5244" s="29">
        <v>42850</v>
      </c>
    </row>
    <row r="5245" spans="1:1" x14ac:dyDescent="0.25">
      <c r="A5245" s="29">
        <v>42851</v>
      </c>
    </row>
    <row r="5246" spans="1:1" x14ac:dyDescent="0.25">
      <c r="A5246" s="29">
        <v>42852</v>
      </c>
    </row>
    <row r="5247" spans="1:1" x14ac:dyDescent="0.25">
      <c r="A5247" s="29">
        <v>42853</v>
      </c>
    </row>
    <row r="5248" spans="1:1" x14ac:dyDescent="0.25">
      <c r="A5248" s="29">
        <v>42854</v>
      </c>
    </row>
    <row r="5249" spans="1:1" x14ac:dyDescent="0.25">
      <c r="A5249" s="29">
        <v>42855</v>
      </c>
    </row>
    <row r="5250" spans="1:1" x14ac:dyDescent="0.25">
      <c r="A5250" s="29">
        <v>42856</v>
      </c>
    </row>
    <row r="5251" spans="1:1" x14ac:dyDescent="0.25">
      <c r="A5251" s="29">
        <v>42857</v>
      </c>
    </row>
    <row r="5252" spans="1:1" x14ac:dyDescent="0.25">
      <c r="A5252" s="29">
        <v>42858</v>
      </c>
    </row>
    <row r="5253" spans="1:1" x14ac:dyDescent="0.25">
      <c r="A5253" s="29">
        <v>42859</v>
      </c>
    </row>
    <row r="5254" spans="1:1" x14ac:dyDescent="0.25">
      <c r="A5254" s="29">
        <v>42860</v>
      </c>
    </row>
    <row r="5255" spans="1:1" x14ac:dyDescent="0.25">
      <c r="A5255" s="29">
        <v>42861</v>
      </c>
    </row>
    <row r="5256" spans="1:1" x14ac:dyDescent="0.25">
      <c r="A5256" s="29">
        <v>42862</v>
      </c>
    </row>
    <row r="5257" spans="1:1" x14ac:dyDescent="0.25">
      <c r="A5257" s="29">
        <v>42863</v>
      </c>
    </row>
    <row r="5258" spans="1:1" x14ac:dyDescent="0.25">
      <c r="A5258" s="29">
        <v>42864</v>
      </c>
    </row>
    <row r="5259" spans="1:1" x14ac:dyDescent="0.25">
      <c r="A5259" s="29">
        <v>42865</v>
      </c>
    </row>
    <row r="5260" spans="1:1" x14ac:dyDescent="0.25">
      <c r="A5260" s="29">
        <v>42866</v>
      </c>
    </row>
    <row r="5261" spans="1:1" x14ac:dyDescent="0.25">
      <c r="A5261" s="29">
        <v>42867</v>
      </c>
    </row>
    <row r="5262" spans="1:1" x14ac:dyDescent="0.25">
      <c r="A5262" s="29">
        <v>42868</v>
      </c>
    </row>
    <row r="5263" spans="1:1" x14ac:dyDescent="0.25">
      <c r="A5263" s="29">
        <v>42869</v>
      </c>
    </row>
    <row r="5264" spans="1:1" x14ac:dyDescent="0.25">
      <c r="A5264" s="29">
        <v>42870</v>
      </c>
    </row>
    <row r="5265" spans="1:1" x14ac:dyDescent="0.25">
      <c r="A5265" s="29">
        <v>42871</v>
      </c>
    </row>
    <row r="5266" spans="1:1" x14ac:dyDescent="0.25">
      <c r="A5266" s="29">
        <v>42872</v>
      </c>
    </row>
    <row r="5267" spans="1:1" x14ac:dyDescent="0.25">
      <c r="A5267" s="29">
        <v>42873</v>
      </c>
    </row>
    <row r="5268" spans="1:1" x14ac:dyDescent="0.25">
      <c r="A5268" s="29">
        <v>42874</v>
      </c>
    </row>
    <row r="5269" spans="1:1" x14ac:dyDescent="0.25">
      <c r="A5269" s="29">
        <v>42875</v>
      </c>
    </row>
    <row r="5270" spans="1:1" x14ac:dyDescent="0.25">
      <c r="A5270" s="29">
        <v>42876</v>
      </c>
    </row>
    <row r="5271" spans="1:1" x14ac:dyDescent="0.25">
      <c r="A5271" s="29">
        <v>42877</v>
      </c>
    </row>
    <row r="5272" spans="1:1" x14ac:dyDescent="0.25">
      <c r="A5272" s="29">
        <v>42878</v>
      </c>
    </row>
    <row r="5273" spans="1:1" x14ac:dyDescent="0.25">
      <c r="A5273" s="29">
        <v>42879</v>
      </c>
    </row>
    <row r="5274" spans="1:1" x14ac:dyDescent="0.25">
      <c r="A5274" s="29">
        <v>42880</v>
      </c>
    </row>
    <row r="5275" spans="1:1" x14ac:dyDescent="0.25">
      <c r="A5275" s="29">
        <v>42881</v>
      </c>
    </row>
    <row r="5276" spans="1:1" x14ac:dyDescent="0.25">
      <c r="A5276" s="29">
        <v>42882</v>
      </c>
    </row>
    <row r="5277" spans="1:1" x14ac:dyDescent="0.25">
      <c r="A5277" s="29">
        <v>42883</v>
      </c>
    </row>
    <row r="5278" spans="1:1" x14ac:dyDescent="0.25">
      <c r="A5278" s="29">
        <v>42884</v>
      </c>
    </row>
    <row r="5279" spans="1:1" x14ac:dyDescent="0.25">
      <c r="A5279" s="29">
        <v>42885</v>
      </c>
    </row>
    <row r="5280" spans="1:1" x14ac:dyDescent="0.25">
      <c r="A5280" s="29">
        <v>42886</v>
      </c>
    </row>
    <row r="5281" spans="1:1" x14ac:dyDescent="0.25">
      <c r="A5281" s="29">
        <v>42887</v>
      </c>
    </row>
    <row r="5282" spans="1:1" x14ac:dyDescent="0.25">
      <c r="A5282" s="29">
        <v>42888</v>
      </c>
    </row>
    <row r="5283" spans="1:1" x14ac:dyDescent="0.25">
      <c r="A5283" s="29">
        <v>42889</v>
      </c>
    </row>
    <row r="5284" spans="1:1" x14ac:dyDescent="0.25">
      <c r="A5284" s="29">
        <v>42890</v>
      </c>
    </row>
    <row r="5285" spans="1:1" x14ac:dyDescent="0.25">
      <c r="A5285" s="29">
        <v>42891</v>
      </c>
    </row>
    <row r="5286" spans="1:1" x14ac:dyDescent="0.25">
      <c r="A5286" s="29">
        <v>42892</v>
      </c>
    </row>
    <row r="5287" spans="1:1" x14ac:dyDescent="0.25">
      <c r="A5287" s="29">
        <v>42893</v>
      </c>
    </row>
    <row r="5288" spans="1:1" x14ac:dyDescent="0.25">
      <c r="A5288" s="29">
        <v>42894</v>
      </c>
    </row>
    <row r="5289" spans="1:1" x14ac:dyDescent="0.25">
      <c r="A5289" s="29">
        <v>42895</v>
      </c>
    </row>
    <row r="5290" spans="1:1" x14ac:dyDescent="0.25">
      <c r="A5290" s="29">
        <v>42896</v>
      </c>
    </row>
    <row r="5291" spans="1:1" x14ac:dyDescent="0.25">
      <c r="A5291" s="29">
        <v>42897</v>
      </c>
    </row>
    <row r="5292" spans="1:1" x14ac:dyDescent="0.25">
      <c r="A5292" s="29">
        <v>42898</v>
      </c>
    </row>
    <row r="5293" spans="1:1" x14ac:dyDescent="0.25">
      <c r="A5293" s="29">
        <v>42899</v>
      </c>
    </row>
    <row r="5294" spans="1:1" x14ac:dyDescent="0.25">
      <c r="A5294" s="29">
        <v>42900</v>
      </c>
    </row>
    <row r="5295" spans="1:1" x14ac:dyDescent="0.25">
      <c r="A5295" s="29">
        <v>42901</v>
      </c>
    </row>
    <row r="5296" spans="1:1" x14ac:dyDescent="0.25">
      <c r="A5296" s="29">
        <v>42902</v>
      </c>
    </row>
    <row r="5297" spans="1:1" x14ac:dyDescent="0.25">
      <c r="A5297" s="29">
        <v>42903</v>
      </c>
    </row>
    <row r="5298" spans="1:1" x14ac:dyDescent="0.25">
      <c r="A5298" s="29">
        <v>42904</v>
      </c>
    </row>
    <row r="5299" spans="1:1" x14ac:dyDescent="0.25">
      <c r="A5299" s="29">
        <v>42905</v>
      </c>
    </row>
    <row r="5300" spans="1:1" x14ac:dyDescent="0.25">
      <c r="A5300" s="29">
        <v>42906</v>
      </c>
    </row>
    <row r="5301" spans="1:1" x14ac:dyDescent="0.25">
      <c r="A5301" s="29">
        <v>42907</v>
      </c>
    </row>
    <row r="5302" spans="1:1" x14ac:dyDescent="0.25">
      <c r="A5302" s="29">
        <v>42908</v>
      </c>
    </row>
    <row r="5303" spans="1:1" x14ac:dyDescent="0.25">
      <c r="A5303" s="29">
        <v>42909</v>
      </c>
    </row>
    <row r="5304" spans="1:1" x14ac:dyDescent="0.25">
      <c r="A5304" s="29">
        <v>42910</v>
      </c>
    </row>
    <row r="5305" spans="1:1" x14ac:dyDescent="0.25">
      <c r="A5305" s="29">
        <v>42911</v>
      </c>
    </row>
    <row r="5306" spans="1:1" x14ac:dyDescent="0.25">
      <c r="A5306" s="29">
        <v>42912</v>
      </c>
    </row>
    <row r="5307" spans="1:1" x14ac:dyDescent="0.25">
      <c r="A5307" s="29">
        <v>42913</v>
      </c>
    </row>
    <row r="5308" spans="1:1" x14ac:dyDescent="0.25">
      <c r="A5308" s="29">
        <v>42914</v>
      </c>
    </row>
    <row r="5309" spans="1:1" x14ac:dyDescent="0.25">
      <c r="A5309" s="29">
        <v>42915</v>
      </c>
    </row>
    <row r="5310" spans="1:1" x14ac:dyDescent="0.25">
      <c r="A5310" s="29">
        <v>42916</v>
      </c>
    </row>
    <row r="5311" spans="1:1" x14ac:dyDescent="0.25">
      <c r="A5311" s="29">
        <v>42917</v>
      </c>
    </row>
    <row r="5312" spans="1:1" x14ac:dyDescent="0.25">
      <c r="A5312" s="29">
        <v>42918</v>
      </c>
    </row>
    <row r="5313" spans="1:1" x14ac:dyDescent="0.25">
      <c r="A5313" s="29">
        <v>42919</v>
      </c>
    </row>
    <row r="5314" spans="1:1" x14ac:dyDescent="0.25">
      <c r="A5314" s="29">
        <v>42920</v>
      </c>
    </row>
    <row r="5315" spans="1:1" x14ac:dyDescent="0.25">
      <c r="A5315" s="29">
        <v>42921</v>
      </c>
    </row>
    <row r="5316" spans="1:1" x14ac:dyDescent="0.25">
      <c r="A5316" s="29">
        <v>42922</v>
      </c>
    </row>
    <row r="5317" spans="1:1" x14ac:dyDescent="0.25">
      <c r="A5317" s="29">
        <v>42923</v>
      </c>
    </row>
    <row r="5318" spans="1:1" x14ac:dyDescent="0.25">
      <c r="A5318" s="29">
        <v>42924</v>
      </c>
    </row>
    <row r="5319" spans="1:1" x14ac:dyDescent="0.25">
      <c r="A5319" s="29">
        <v>42925</v>
      </c>
    </row>
    <row r="5320" spans="1:1" x14ac:dyDescent="0.25">
      <c r="A5320" s="29">
        <v>42926</v>
      </c>
    </row>
    <row r="5321" spans="1:1" x14ac:dyDescent="0.25">
      <c r="A5321" s="29">
        <v>42927</v>
      </c>
    </row>
    <row r="5322" spans="1:1" x14ac:dyDescent="0.25">
      <c r="A5322" s="29">
        <v>42928</v>
      </c>
    </row>
    <row r="5323" spans="1:1" x14ac:dyDescent="0.25">
      <c r="A5323" s="29">
        <v>42929</v>
      </c>
    </row>
    <row r="5324" spans="1:1" x14ac:dyDescent="0.25">
      <c r="A5324" s="29">
        <v>42930</v>
      </c>
    </row>
    <row r="5325" spans="1:1" x14ac:dyDescent="0.25">
      <c r="A5325" s="29">
        <v>42931</v>
      </c>
    </row>
    <row r="5326" spans="1:1" x14ac:dyDescent="0.25">
      <c r="A5326" s="29">
        <v>42932</v>
      </c>
    </row>
    <row r="5327" spans="1:1" x14ac:dyDescent="0.25">
      <c r="A5327" s="29">
        <v>42933</v>
      </c>
    </row>
    <row r="5328" spans="1:1" x14ac:dyDescent="0.25">
      <c r="A5328" s="29">
        <v>42934</v>
      </c>
    </row>
    <row r="5329" spans="1:1" x14ac:dyDescent="0.25">
      <c r="A5329" s="29">
        <v>42935</v>
      </c>
    </row>
    <row r="5330" spans="1:1" x14ac:dyDescent="0.25">
      <c r="A5330" s="29">
        <v>42936</v>
      </c>
    </row>
    <row r="5331" spans="1:1" x14ac:dyDescent="0.25">
      <c r="A5331" s="29">
        <v>42937</v>
      </c>
    </row>
    <row r="5332" spans="1:1" x14ac:dyDescent="0.25">
      <c r="A5332" s="29">
        <v>42938</v>
      </c>
    </row>
    <row r="5333" spans="1:1" x14ac:dyDescent="0.25">
      <c r="A5333" s="29">
        <v>42939</v>
      </c>
    </row>
    <row r="5334" spans="1:1" x14ac:dyDescent="0.25">
      <c r="A5334" s="29">
        <v>42940</v>
      </c>
    </row>
    <row r="5335" spans="1:1" x14ac:dyDescent="0.25">
      <c r="A5335" s="29">
        <v>42941</v>
      </c>
    </row>
    <row r="5336" spans="1:1" x14ac:dyDescent="0.25">
      <c r="A5336" s="29">
        <v>42942</v>
      </c>
    </row>
    <row r="5337" spans="1:1" x14ac:dyDescent="0.25">
      <c r="A5337" s="29">
        <v>42943</v>
      </c>
    </row>
    <row r="5338" spans="1:1" x14ac:dyDescent="0.25">
      <c r="A5338" s="29">
        <v>42944</v>
      </c>
    </row>
    <row r="5339" spans="1:1" x14ac:dyDescent="0.25">
      <c r="A5339" s="29">
        <v>42945</v>
      </c>
    </row>
    <row r="5340" spans="1:1" x14ac:dyDescent="0.25">
      <c r="A5340" s="29">
        <v>42946</v>
      </c>
    </row>
    <row r="5341" spans="1:1" x14ac:dyDescent="0.25">
      <c r="A5341" s="29">
        <v>42947</v>
      </c>
    </row>
    <row r="5342" spans="1:1" x14ac:dyDescent="0.25">
      <c r="A5342" s="29">
        <v>42948</v>
      </c>
    </row>
    <row r="5343" spans="1:1" x14ac:dyDescent="0.25">
      <c r="A5343" s="29">
        <v>42949</v>
      </c>
    </row>
    <row r="5344" spans="1:1" x14ac:dyDescent="0.25">
      <c r="A5344" s="29">
        <v>42950</v>
      </c>
    </row>
    <row r="5345" spans="1:1" x14ac:dyDescent="0.25">
      <c r="A5345" s="29">
        <v>42951</v>
      </c>
    </row>
    <row r="5346" spans="1:1" x14ac:dyDescent="0.25">
      <c r="A5346" s="29">
        <v>42952</v>
      </c>
    </row>
    <row r="5347" spans="1:1" x14ac:dyDescent="0.25">
      <c r="A5347" s="29">
        <v>42953</v>
      </c>
    </row>
    <row r="5348" spans="1:1" x14ac:dyDescent="0.25">
      <c r="A5348" s="29">
        <v>42954</v>
      </c>
    </row>
    <row r="5349" spans="1:1" x14ac:dyDescent="0.25">
      <c r="A5349" s="29">
        <v>42955</v>
      </c>
    </row>
    <row r="5350" spans="1:1" x14ac:dyDescent="0.25">
      <c r="A5350" s="29">
        <v>42956</v>
      </c>
    </row>
    <row r="5351" spans="1:1" x14ac:dyDescent="0.25">
      <c r="A5351" s="29">
        <v>42957</v>
      </c>
    </row>
    <row r="5352" spans="1:1" x14ac:dyDescent="0.25">
      <c r="A5352" s="29">
        <v>42958</v>
      </c>
    </row>
    <row r="5353" spans="1:1" x14ac:dyDescent="0.25">
      <c r="A5353" s="29">
        <v>42959</v>
      </c>
    </row>
    <row r="5354" spans="1:1" x14ac:dyDescent="0.25">
      <c r="A5354" s="29">
        <v>42960</v>
      </c>
    </row>
    <row r="5355" spans="1:1" x14ac:dyDescent="0.25">
      <c r="A5355" s="29">
        <v>42961</v>
      </c>
    </row>
    <row r="5356" spans="1:1" x14ac:dyDescent="0.25">
      <c r="A5356" s="29">
        <v>42962</v>
      </c>
    </row>
    <row r="5357" spans="1:1" x14ac:dyDescent="0.25">
      <c r="A5357" s="29">
        <v>42963</v>
      </c>
    </row>
    <row r="5358" spans="1:1" x14ac:dyDescent="0.25">
      <c r="A5358" s="29">
        <v>42964</v>
      </c>
    </row>
    <row r="5359" spans="1:1" x14ac:dyDescent="0.25">
      <c r="A5359" s="29">
        <v>42965</v>
      </c>
    </row>
    <row r="5360" spans="1:1" x14ac:dyDescent="0.25">
      <c r="A5360" s="29">
        <v>42966</v>
      </c>
    </row>
    <row r="5361" spans="1:1" x14ac:dyDescent="0.25">
      <c r="A5361" s="29">
        <v>42967</v>
      </c>
    </row>
    <row r="5362" spans="1:1" x14ac:dyDescent="0.25">
      <c r="A5362" s="29">
        <v>42968</v>
      </c>
    </row>
    <row r="5363" spans="1:1" x14ac:dyDescent="0.25">
      <c r="A5363" s="29">
        <v>42969</v>
      </c>
    </row>
    <row r="5364" spans="1:1" x14ac:dyDescent="0.25">
      <c r="A5364" s="29">
        <v>42970</v>
      </c>
    </row>
    <row r="5365" spans="1:1" x14ac:dyDescent="0.25">
      <c r="A5365" s="29">
        <v>42971</v>
      </c>
    </row>
    <row r="5366" spans="1:1" x14ac:dyDescent="0.25">
      <c r="A5366" s="29">
        <v>42972</v>
      </c>
    </row>
    <row r="5367" spans="1:1" x14ac:dyDescent="0.25">
      <c r="A5367" s="29">
        <v>42973</v>
      </c>
    </row>
    <row r="5368" spans="1:1" x14ac:dyDescent="0.25">
      <c r="A5368" s="29">
        <v>42974</v>
      </c>
    </row>
    <row r="5369" spans="1:1" x14ac:dyDescent="0.25">
      <c r="A5369" s="29">
        <v>42975</v>
      </c>
    </row>
    <row r="5370" spans="1:1" x14ac:dyDescent="0.25">
      <c r="A5370" s="29">
        <v>42976</v>
      </c>
    </row>
    <row r="5371" spans="1:1" x14ac:dyDescent="0.25">
      <c r="A5371" s="29">
        <v>42977</v>
      </c>
    </row>
    <row r="5372" spans="1:1" x14ac:dyDescent="0.25">
      <c r="A5372" s="29">
        <v>42978</v>
      </c>
    </row>
    <row r="5373" spans="1:1" x14ac:dyDescent="0.25">
      <c r="A5373" s="29">
        <v>42979</v>
      </c>
    </row>
    <row r="5374" spans="1:1" x14ac:dyDescent="0.25">
      <c r="A5374" s="29">
        <v>42980</v>
      </c>
    </row>
    <row r="5375" spans="1:1" x14ac:dyDescent="0.25">
      <c r="A5375" s="29">
        <v>42981</v>
      </c>
    </row>
    <row r="5376" spans="1:1" x14ac:dyDescent="0.25">
      <c r="A5376" s="29">
        <v>42982</v>
      </c>
    </row>
    <row r="5377" spans="1:1" x14ac:dyDescent="0.25">
      <c r="A5377" s="29">
        <v>42983</v>
      </c>
    </row>
    <row r="5378" spans="1:1" x14ac:dyDescent="0.25">
      <c r="A5378" s="29">
        <v>42984</v>
      </c>
    </row>
    <row r="5379" spans="1:1" x14ac:dyDescent="0.25">
      <c r="A5379" s="29">
        <v>42985</v>
      </c>
    </row>
    <row r="5380" spans="1:1" x14ac:dyDescent="0.25">
      <c r="A5380" s="29">
        <v>42986</v>
      </c>
    </row>
    <row r="5381" spans="1:1" x14ac:dyDescent="0.25">
      <c r="A5381" s="29">
        <v>42987</v>
      </c>
    </row>
    <row r="5382" spans="1:1" x14ac:dyDescent="0.25">
      <c r="A5382" s="29">
        <v>42988</v>
      </c>
    </row>
    <row r="5383" spans="1:1" x14ac:dyDescent="0.25">
      <c r="A5383" s="29">
        <v>42989</v>
      </c>
    </row>
    <row r="5384" spans="1:1" x14ac:dyDescent="0.25">
      <c r="A5384" s="29">
        <v>42990</v>
      </c>
    </row>
    <row r="5385" spans="1:1" x14ac:dyDescent="0.25">
      <c r="A5385" s="29">
        <v>42991</v>
      </c>
    </row>
    <row r="5386" spans="1:1" x14ac:dyDescent="0.25">
      <c r="A5386" s="29">
        <v>42992</v>
      </c>
    </row>
    <row r="5387" spans="1:1" x14ac:dyDescent="0.25">
      <c r="A5387" s="29">
        <v>42993</v>
      </c>
    </row>
    <row r="5388" spans="1:1" x14ac:dyDescent="0.25">
      <c r="A5388" s="29">
        <v>42994</v>
      </c>
    </row>
    <row r="5389" spans="1:1" x14ac:dyDescent="0.25">
      <c r="A5389" s="29">
        <v>42995</v>
      </c>
    </row>
    <row r="5390" spans="1:1" x14ac:dyDescent="0.25">
      <c r="A5390" s="29">
        <v>42996</v>
      </c>
    </row>
    <row r="5391" spans="1:1" x14ac:dyDescent="0.25">
      <c r="A5391" s="29">
        <v>42997</v>
      </c>
    </row>
    <row r="5392" spans="1:1" x14ac:dyDescent="0.25">
      <c r="A5392" s="29">
        <v>42998</v>
      </c>
    </row>
    <row r="5393" spans="1:1" x14ac:dyDescent="0.25">
      <c r="A5393" s="29">
        <v>42999</v>
      </c>
    </row>
    <row r="5394" spans="1:1" x14ac:dyDescent="0.25">
      <c r="A5394" s="29">
        <v>43000</v>
      </c>
    </row>
    <row r="5395" spans="1:1" x14ac:dyDescent="0.25">
      <c r="A5395" s="29">
        <v>43001</v>
      </c>
    </row>
    <row r="5396" spans="1:1" x14ac:dyDescent="0.25">
      <c r="A5396" s="29">
        <v>43002</v>
      </c>
    </row>
    <row r="5397" spans="1:1" x14ac:dyDescent="0.25">
      <c r="A5397" s="29">
        <v>43003</v>
      </c>
    </row>
    <row r="5398" spans="1:1" x14ac:dyDescent="0.25">
      <c r="A5398" s="29">
        <v>43004</v>
      </c>
    </row>
    <row r="5399" spans="1:1" x14ac:dyDescent="0.25">
      <c r="A5399" s="29">
        <v>43005</v>
      </c>
    </row>
    <row r="5400" spans="1:1" x14ac:dyDescent="0.25">
      <c r="A5400" s="29">
        <v>43006</v>
      </c>
    </row>
    <row r="5401" spans="1:1" x14ac:dyDescent="0.25">
      <c r="A5401" s="29">
        <v>43007</v>
      </c>
    </row>
    <row r="5402" spans="1:1" x14ac:dyDescent="0.25">
      <c r="A5402" s="29">
        <v>43008</v>
      </c>
    </row>
    <row r="5403" spans="1:1" x14ac:dyDescent="0.25">
      <c r="A5403" s="29">
        <v>43009</v>
      </c>
    </row>
    <row r="5404" spans="1:1" x14ac:dyDescent="0.25">
      <c r="A5404" s="29">
        <v>43010</v>
      </c>
    </row>
    <row r="5405" spans="1:1" x14ac:dyDescent="0.25">
      <c r="A5405" s="29">
        <v>43011</v>
      </c>
    </row>
    <row r="5406" spans="1:1" x14ac:dyDescent="0.25">
      <c r="A5406" s="29">
        <v>43012</v>
      </c>
    </row>
    <row r="5407" spans="1:1" x14ac:dyDescent="0.25">
      <c r="A5407" s="29">
        <v>43013</v>
      </c>
    </row>
    <row r="5408" spans="1:1" x14ac:dyDescent="0.25">
      <c r="A5408" s="29">
        <v>43014</v>
      </c>
    </row>
    <row r="5409" spans="1:1" x14ac:dyDescent="0.25">
      <c r="A5409" s="29">
        <v>43015</v>
      </c>
    </row>
    <row r="5410" spans="1:1" x14ac:dyDescent="0.25">
      <c r="A5410" s="29">
        <v>43016</v>
      </c>
    </row>
    <row r="5411" spans="1:1" x14ac:dyDescent="0.25">
      <c r="A5411" s="29">
        <v>43017</v>
      </c>
    </row>
    <row r="5412" spans="1:1" x14ac:dyDescent="0.25">
      <c r="A5412" s="29">
        <v>43018</v>
      </c>
    </row>
    <row r="5413" spans="1:1" x14ac:dyDescent="0.25">
      <c r="A5413" s="29">
        <v>43019</v>
      </c>
    </row>
    <row r="5414" spans="1:1" x14ac:dyDescent="0.25">
      <c r="A5414" s="29">
        <v>43020</v>
      </c>
    </row>
    <row r="5415" spans="1:1" x14ac:dyDescent="0.25">
      <c r="A5415" s="29">
        <v>43021</v>
      </c>
    </row>
    <row r="5416" spans="1:1" x14ac:dyDescent="0.25">
      <c r="A5416" s="29">
        <v>43022</v>
      </c>
    </row>
    <row r="5417" spans="1:1" x14ac:dyDescent="0.25">
      <c r="A5417" s="29">
        <v>43023</v>
      </c>
    </row>
    <row r="5418" spans="1:1" x14ac:dyDescent="0.25">
      <c r="A5418" s="29">
        <v>43024</v>
      </c>
    </row>
    <row r="5419" spans="1:1" x14ac:dyDescent="0.25">
      <c r="A5419" s="29">
        <v>43025</v>
      </c>
    </row>
    <row r="5420" spans="1:1" x14ac:dyDescent="0.25">
      <c r="A5420" s="29">
        <v>43026</v>
      </c>
    </row>
    <row r="5421" spans="1:1" x14ac:dyDescent="0.25">
      <c r="A5421" s="29">
        <v>43027</v>
      </c>
    </row>
    <row r="5422" spans="1:1" x14ac:dyDescent="0.25">
      <c r="A5422" s="29">
        <v>43028</v>
      </c>
    </row>
    <row r="5423" spans="1:1" x14ac:dyDescent="0.25">
      <c r="A5423" s="29">
        <v>43029</v>
      </c>
    </row>
    <row r="5424" spans="1:1" x14ac:dyDescent="0.25">
      <c r="A5424" s="29">
        <v>43030</v>
      </c>
    </row>
    <row r="5425" spans="1:1" x14ac:dyDescent="0.25">
      <c r="A5425" s="29">
        <v>43031</v>
      </c>
    </row>
    <row r="5426" spans="1:1" x14ac:dyDescent="0.25">
      <c r="A5426" s="29">
        <v>43032</v>
      </c>
    </row>
    <row r="5427" spans="1:1" x14ac:dyDescent="0.25">
      <c r="A5427" s="29">
        <v>43033</v>
      </c>
    </row>
    <row r="5428" spans="1:1" x14ac:dyDescent="0.25">
      <c r="A5428" s="29">
        <v>43034</v>
      </c>
    </row>
    <row r="5429" spans="1:1" x14ac:dyDescent="0.25">
      <c r="A5429" s="29">
        <v>43035</v>
      </c>
    </row>
    <row r="5430" spans="1:1" x14ac:dyDescent="0.25">
      <c r="A5430" s="29">
        <v>43036</v>
      </c>
    </row>
    <row r="5431" spans="1:1" x14ac:dyDescent="0.25">
      <c r="A5431" s="29">
        <v>43037</v>
      </c>
    </row>
    <row r="5432" spans="1:1" x14ac:dyDescent="0.25">
      <c r="A5432" s="29">
        <v>43038</v>
      </c>
    </row>
    <row r="5433" spans="1:1" x14ac:dyDescent="0.25">
      <c r="A5433" s="29">
        <v>43039</v>
      </c>
    </row>
    <row r="5434" spans="1:1" x14ac:dyDescent="0.25">
      <c r="A5434" s="29">
        <v>43040</v>
      </c>
    </row>
    <row r="5435" spans="1:1" x14ac:dyDescent="0.25">
      <c r="A5435" s="29">
        <v>43041</v>
      </c>
    </row>
    <row r="5436" spans="1:1" x14ac:dyDescent="0.25">
      <c r="A5436" s="29">
        <v>43042</v>
      </c>
    </row>
    <row r="5437" spans="1:1" x14ac:dyDescent="0.25">
      <c r="A5437" s="29">
        <v>43043</v>
      </c>
    </row>
    <row r="5438" spans="1:1" x14ac:dyDescent="0.25">
      <c r="A5438" s="29">
        <v>43044</v>
      </c>
    </row>
    <row r="5439" spans="1:1" x14ac:dyDescent="0.25">
      <c r="A5439" s="29">
        <v>43045</v>
      </c>
    </row>
    <row r="5440" spans="1:1" x14ac:dyDescent="0.25">
      <c r="A5440" s="29">
        <v>43046</v>
      </c>
    </row>
    <row r="5441" spans="1:1" x14ac:dyDescent="0.25">
      <c r="A5441" s="29">
        <v>43047</v>
      </c>
    </row>
    <row r="5442" spans="1:1" x14ac:dyDescent="0.25">
      <c r="A5442" s="29">
        <v>43048</v>
      </c>
    </row>
    <row r="5443" spans="1:1" x14ac:dyDescent="0.25">
      <c r="A5443" s="29">
        <v>43049</v>
      </c>
    </row>
    <row r="5444" spans="1:1" x14ac:dyDescent="0.25">
      <c r="A5444" s="29">
        <v>43050</v>
      </c>
    </row>
    <row r="5445" spans="1:1" x14ac:dyDescent="0.25">
      <c r="A5445" s="29">
        <v>43051</v>
      </c>
    </row>
    <row r="5446" spans="1:1" x14ac:dyDescent="0.25">
      <c r="A5446" s="29">
        <v>43052</v>
      </c>
    </row>
    <row r="5447" spans="1:1" x14ac:dyDescent="0.25">
      <c r="A5447" s="29">
        <v>43053</v>
      </c>
    </row>
    <row r="5448" spans="1:1" x14ac:dyDescent="0.25">
      <c r="A5448" s="29">
        <v>43054</v>
      </c>
    </row>
    <row r="5449" spans="1:1" x14ac:dyDescent="0.25">
      <c r="A5449" s="29">
        <v>43055</v>
      </c>
    </row>
    <row r="5450" spans="1:1" x14ac:dyDescent="0.25">
      <c r="A5450" s="29">
        <v>43056</v>
      </c>
    </row>
    <row r="5451" spans="1:1" x14ac:dyDescent="0.25">
      <c r="A5451" s="29">
        <v>43057</v>
      </c>
    </row>
    <row r="5452" spans="1:1" x14ac:dyDescent="0.25">
      <c r="A5452" s="29">
        <v>43058</v>
      </c>
    </row>
    <row r="5453" spans="1:1" x14ac:dyDescent="0.25">
      <c r="A5453" s="29">
        <v>43059</v>
      </c>
    </row>
    <row r="5454" spans="1:1" x14ac:dyDescent="0.25">
      <c r="A5454" s="29">
        <v>43060</v>
      </c>
    </row>
    <row r="5455" spans="1:1" x14ac:dyDescent="0.25">
      <c r="A5455" s="29">
        <v>43061</v>
      </c>
    </row>
    <row r="5456" spans="1:1" x14ac:dyDescent="0.25">
      <c r="A5456" s="29">
        <v>43062</v>
      </c>
    </row>
    <row r="5457" spans="1:1" x14ac:dyDescent="0.25">
      <c r="A5457" s="29">
        <v>43063</v>
      </c>
    </row>
    <row r="5458" spans="1:1" x14ac:dyDescent="0.25">
      <c r="A5458" s="29">
        <v>43064</v>
      </c>
    </row>
    <row r="5459" spans="1:1" x14ac:dyDescent="0.25">
      <c r="A5459" s="29">
        <v>43065</v>
      </c>
    </row>
    <row r="5460" spans="1:1" x14ac:dyDescent="0.25">
      <c r="A5460" s="29">
        <v>43066</v>
      </c>
    </row>
    <row r="5461" spans="1:1" x14ac:dyDescent="0.25">
      <c r="A5461" s="29">
        <v>43067</v>
      </c>
    </row>
    <row r="5462" spans="1:1" x14ac:dyDescent="0.25">
      <c r="A5462" s="29">
        <v>43068</v>
      </c>
    </row>
    <row r="5463" spans="1:1" x14ac:dyDescent="0.25">
      <c r="A5463" s="29">
        <v>43069</v>
      </c>
    </row>
    <row r="5464" spans="1:1" x14ac:dyDescent="0.25">
      <c r="A5464" s="29">
        <v>43070</v>
      </c>
    </row>
    <row r="5465" spans="1:1" x14ac:dyDescent="0.25">
      <c r="A5465" s="29">
        <v>43071</v>
      </c>
    </row>
    <row r="5466" spans="1:1" x14ac:dyDescent="0.25">
      <c r="A5466" s="29">
        <v>43072</v>
      </c>
    </row>
    <row r="5467" spans="1:1" x14ac:dyDescent="0.25">
      <c r="A5467" s="29">
        <v>43073</v>
      </c>
    </row>
    <row r="5468" spans="1:1" x14ac:dyDescent="0.25">
      <c r="A5468" s="29">
        <v>43074</v>
      </c>
    </row>
    <row r="5469" spans="1:1" x14ac:dyDescent="0.25">
      <c r="A5469" s="29">
        <v>43075</v>
      </c>
    </row>
    <row r="5470" spans="1:1" x14ac:dyDescent="0.25">
      <c r="A5470" s="29">
        <v>43076</v>
      </c>
    </row>
    <row r="5471" spans="1:1" x14ac:dyDescent="0.25">
      <c r="A5471" s="29">
        <v>43077</v>
      </c>
    </row>
    <row r="5472" spans="1:1" x14ac:dyDescent="0.25">
      <c r="A5472" s="29">
        <v>43078</v>
      </c>
    </row>
    <row r="5473" spans="1:1" x14ac:dyDescent="0.25">
      <c r="A5473" s="29">
        <v>43079</v>
      </c>
    </row>
    <row r="5474" spans="1:1" x14ac:dyDescent="0.25">
      <c r="A5474" s="29">
        <v>43080</v>
      </c>
    </row>
    <row r="5475" spans="1:1" x14ac:dyDescent="0.25">
      <c r="A5475" s="29">
        <v>43081</v>
      </c>
    </row>
    <row r="5476" spans="1:1" x14ac:dyDescent="0.25">
      <c r="A5476" s="29">
        <v>43082</v>
      </c>
    </row>
    <row r="5477" spans="1:1" x14ac:dyDescent="0.25">
      <c r="A5477" s="29">
        <v>43083</v>
      </c>
    </row>
    <row r="5478" spans="1:1" x14ac:dyDescent="0.25">
      <c r="A5478" s="29">
        <v>43084</v>
      </c>
    </row>
    <row r="5479" spans="1:1" x14ac:dyDescent="0.25">
      <c r="A5479" s="29">
        <v>43085</v>
      </c>
    </row>
    <row r="5480" spans="1:1" x14ac:dyDescent="0.25">
      <c r="A5480" s="29">
        <v>43086</v>
      </c>
    </row>
    <row r="5481" spans="1:1" x14ac:dyDescent="0.25">
      <c r="A5481" s="29">
        <v>43087</v>
      </c>
    </row>
    <row r="5482" spans="1:1" x14ac:dyDescent="0.25">
      <c r="A5482" s="29">
        <v>43088</v>
      </c>
    </row>
    <row r="5483" spans="1:1" x14ac:dyDescent="0.25">
      <c r="A5483" s="29">
        <v>43089</v>
      </c>
    </row>
    <row r="5484" spans="1:1" x14ac:dyDescent="0.25">
      <c r="A5484" s="29">
        <v>43090</v>
      </c>
    </row>
    <row r="5485" spans="1:1" x14ac:dyDescent="0.25">
      <c r="A5485" s="29">
        <v>43091</v>
      </c>
    </row>
    <row r="5486" spans="1:1" x14ac:dyDescent="0.25">
      <c r="A5486" s="29">
        <v>43092</v>
      </c>
    </row>
    <row r="5487" spans="1:1" x14ac:dyDescent="0.25">
      <c r="A5487" s="29">
        <v>43093</v>
      </c>
    </row>
    <row r="5488" spans="1:1" x14ac:dyDescent="0.25">
      <c r="A5488" s="29">
        <v>43094</v>
      </c>
    </row>
    <row r="5489" spans="1:1" x14ac:dyDescent="0.25">
      <c r="A5489" s="29">
        <v>43095</v>
      </c>
    </row>
    <row r="5490" spans="1:1" x14ac:dyDescent="0.25">
      <c r="A5490" s="29">
        <v>43096</v>
      </c>
    </row>
    <row r="5491" spans="1:1" x14ac:dyDescent="0.25">
      <c r="A5491" s="29">
        <v>43097</v>
      </c>
    </row>
    <row r="5492" spans="1:1" x14ac:dyDescent="0.25">
      <c r="A5492" s="29">
        <v>43098</v>
      </c>
    </row>
    <row r="5493" spans="1:1" x14ac:dyDescent="0.25">
      <c r="A5493" s="29">
        <v>43099</v>
      </c>
    </row>
    <row r="5494" spans="1:1" x14ac:dyDescent="0.25">
      <c r="A5494" s="29">
        <v>43100</v>
      </c>
    </row>
    <row r="5495" spans="1:1" x14ac:dyDescent="0.25">
      <c r="A5495" s="29">
        <v>43101</v>
      </c>
    </row>
    <row r="5496" spans="1:1" x14ac:dyDescent="0.25">
      <c r="A5496" s="29">
        <v>43102</v>
      </c>
    </row>
    <row r="5497" spans="1:1" x14ac:dyDescent="0.25">
      <c r="A5497" s="29">
        <v>43103</v>
      </c>
    </row>
    <row r="5498" spans="1:1" x14ac:dyDescent="0.25">
      <c r="A5498" s="29">
        <v>43104</v>
      </c>
    </row>
    <row r="5499" spans="1:1" x14ac:dyDescent="0.25">
      <c r="A5499" s="29">
        <v>43105</v>
      </c>
    </row>
    <row r="5500" spans="1:1" x14ac:dyDescent="0.25">
      <c r="A5500" s="29">
        <v>43106</v>
      </c>
    </row>
    <row r="5501" spans="1:1" x14ac:dyDescent="0.25">
      <c r="A5501" s="29">
        <v>43107</v>
      </c>
    </row>
    <row r="5502" spans="1:1" x14ac:dyDescent="0.25">
      <c r="A5502" s="29">
        <v>43108</v>
      </c>
    </row>
    <row r="5503" spans="1:1" x14ac:dyDescent="0.25">
      <c r="A5503" s="29">
        <v>43109</v>
      </c>
    </row>
    <row r="5504" spans="1:1" x14ac:dyDescent="0.25">
      <c r="A5504" s="29">
        <v>43110</v>
      </c>
    </row>
    <row r="5505" spans="1:1" x14ac:dyDescent="0.25">
      <c r="A5505" s="29">
        <v>43111</v>
      </c>
    </row>
    <row r="5506" spans="1:1" x14ac:dyDescent="0.25">
      <c r="A5506" s="29">
        <v>43112</v>
      </c>
    </row>
    <row r="5507" spans="1:1" x14ac:dyDescent="0.25">
      <c r="A5507" s="29">
        <v>43113</v>
      </c>
    </row>
    <row r="5508" spans="1:1" x14ac:dyDescent="0.25">
      <c r="A5508" s="29">
        <v>43114</v>
      </c>
    </row>
    <row r="5509" spans="1:1" x14ac:dyDescent="0.25">
      <c r="A5509" s="29">
        <v>43115</v>
      </c>
    </row>
    <row r="5510" spans="1:1" x14ac:dyDescent="0.25">
      <c r="A5510" s="29">
        <v>43116</v>
      </c>
    </row>
    <row r="5511" spans="1:1" x14ac:dyDescent="0.25">
      <c r="A5511" s="29">
        <v>43117</v>
      </c>
    </row>
    <row r="5512" spans="1:1" x14ac:dyDescent="0.25">
      <c r="A5512" s="29">
        <v>43118</v>
      </c>
    </row>
    <row r="5513" spans="1:1" x14ac:dyDescent="0.25">
      <c r="A5513" s="29">
        <v>43119</v>
      </c>
    </row>
    <row r="5514" spans="1:1" x14ac:dyDescent="0.25">
      <c r="A5514" s="29">
        <v>43120</v>
      </c>
    </row>
    <row r="5515" spans="1:1" x14ac:dyDescent="0.25">
      <c r="A5515" s="29">
        <v>43121</v>
      </c>
    </row>
    <row r="5516" spans="1:1" x14ac:dyDescent="0.25">
      <c r="A5516" s="29">
        <v>43122</v>
      </c>
    </row>
    <row r="5517" spans="1:1" x14ac:dyDescent="0.25">
      <c r="A5517" s="29">
        <v>43123</v>
      </c>
    </row>
    <row r="5518" spans="1:1" x14ac:dyDescent="0.25">
      <c r="A5518" s="29">
        <v>43124</v>
      </c>
    </row>
    <row r="5519" spans="1:1" x14ac:dyDescent="0.25">
      <c r="A5519" s="29">
        <v>43125</v>
      </c>
    </row>
    <row r="5520" spans="1:1" x14ac:dyDescent="0.25">
      <c r="A5520" s="29">
        <v>43126</v>
      </c>
    </row>
    <row r="5521" spans="1:1" x14ac:dyDescent="0.25">
      <c r="A5521" s="29">
        <v>43127</v>
      </c>
    </row>
    <row r="5522" spans="1:1" x14ac:dyDescent="0.25">
      <c r="A5522" s="29">
        <v>43128</v>
      </c>
    </row>
    <row r="5523" spans="1:1" x14ac:dyDescent="0.25">
      <c r="A5523" s="29">
        <v>43129</v>
      </c>
    </row>
    <row r="5524" spans="1:1" x14ac:dyDescent="0.25">
      <c r="A5524" s="29">
        <v>43130</v>
      </c>
    </row>
    <row r="5525" spans="1:1" x14ac:dyDescent="0.25">
      <c r="A5525" s="29">
        <v>43131</v>
      </c>
    </row>
    <row r="5526" spans="1:1" x14ac:dyDescent="0.25">
      <c r="A5526" s="29">
        <v>43132</v>
      </c>
    </row>
    <row r="5527" spans="1:1" x14ac:dyDescent="0.25">
      <c r="A5527" s="29">
        <v>43133</v>
      </c>
    </row>
    <row r="5528" spans="1:1" x14ac:dyDescent="0.25">
      <c r="A5528" s="29">
        <v>43134</v>
      </c>
    </row>
    <row r="5529" spans="1:1" x14ac:dyDescent="0.25">
      <c r="A5529" s="29">
        <v>43135</v>
      </c>
    </row>
    <row r="5530" spans="1:1" x14ac:dyDescent="0.25">
      <c r="A5530" s="29">
        <v>43136</v>
      </c>
    </row>
    <row r="5531" spans="1:1" x14ac:dyDescent="0.25">
      <c r="A5531" s="29">
        <v>43137</v>
      </c>
    </row>
    <row r="5532" spans="1:1" x14ac:dyDescent="0.25">
      <c r="A5532" s="29">
        <v>43138</v>
      </c>
    </row>
    <row r="5533" spans="1:1" x14ac:dyDescent="0.25">
      <c r="A5533" s="29">
        <v>43139</v>
      </c>
    </row>
    <row r="5534" spans="1:1" x14ac:dyDescent="0.25">
      <c r="A5534" s="29">
        <v>43140</v>
      </c>
    </row>
    <row r="5535" spans="1:1" x14ac:dyDescent="0.25">
      <c r="A5535" s="29">
        <v>43141</v>
      </c>
    </row>
    <row r="5536" spans="1:1" x14ac:dyDescent="0.25">
      <c r="A5536" s="29">
        <v>43142</v>
      </c>
    </row>
    <row r="5537" spans="1:1" x14ac:dyDescent="0.25">
      <c r="A5537" s="29">
        <v>43143</v>
      </c>
    </row>
    <row r="5538" spans="1:1" x14ac:dyDescent="0.25">
      <c r="A5538" s="29">
        <v>43144</v>
      </c>
    </row>
    <row r="5539" spans="1:1" x14ac:dyDescent="0.25">
      <c r="A5539" s="29">
        <v>43145</v>
      </c>
    </row>
    <row r="5540" spans="1:1" x14ac:dyDescent="0.25">
      <c r="A5540" s="29">
        <v>43146</v>
      </c>
    </row>
    <row r="5541" spans="1:1" x14ac:dyDescent="0.25">
      <c r="A5541" s="29">
        <v>43147</v>
      </c>
    </row>
    <row r="5542" spans="1:1" x14ac:dyDescent="0.25">
      <c r="A5542" s="29">
        <v>43148</v>
      </c>
    </row>
    <row r="5543" spans="1:1" x14ac:dyDescent="0.25">
      <c r="A5543" s="29">
        <v>43149</v>
      </c>
    </row>
    <row r="5544" spans="1:1" x14ac:dyDescent="0.25">
      <c r="A5544" s="29">
        <v>43150</v>
      </c>
    </row>
    <row r="5545" spans="1:1" x14ac:dyDescent="0.25">
      <c r="A5545" s="29">
        <v>43151</v>
      </c>
    </row>
    <row r="5546" spans="1:1" x14ac:dyDescent="0.25">
      <c r="A5546" s="29">
        <v>43152</v>
      </c>
    </row>
    <row r="5547" spans="1:1" x14ac:dyDescent="0.25">
      <c r="A5547" s="29">
        <v>43153</v>
      </c>
    </row>
    <row r="5548" spans="1:1" x14ac:dyDescent="0.25">
      <c r="A5548" s="29">
        <v>43154</v>
      </c>
    </row>
    <row r="5549" spans="1:1" x14ac:dyDescent="0.25">
      <c r="A5549" s="29">
        <v>43155</v>
      </c>
    </row>
    <row r="5550" spans="1:1" x14ac:dyDescent="0.25">
      <c r="A5550" s="29">
        <v>43156</v>
      </c>
    </row>
    <row r="5551" spans="1:1" x14ac:dyDescent="0.25">
      <c r="A5551" s="29">
        <v>43157</v>
      </c>
    </row>
    <row r="5552" spans="1:1" x14ac:dyDescent="0.25">
      <c r="A5552" s="29">
        <v>43158</v>
      </c>
    </row>
    <row r="5553" spans="1:1" x14ac:dyDescent="0.25">
      <c r="A5553" s="29">
        <v>43159</v>
      </c>
    </row>
    <row r="5554" spans="1:1" x14ac:dyDescent="0.25">
      <c r="A5554" s="29">
        <v>43160</v>
      </c>
    </row>
    <row r="5555" spans="1:1" x14ac:dyDescent="0.25">
      <c r="A5555" s="29">
        <v>43161</v>
      </c>
    </row>
    <row r="5556" spans="1:1" x14ac:dyDescent="0.25">
      <c r="A5556" s="29">
        <v>43162</v>
      </c>
    </row>
    <row r="5557" spans="1:1" x14ac:dyDescent="0.25">
      <c r="A5557" s="29">
        <v>43163</v>
      </c>
    </row>
    <row r="5558" spans="1:1" x14ac:dyDescent="0.25">
      <c r="A5558" s="29">
        <v>43164</v>
      </c>
    </row>
    <row r="5559" spans="1:1" x14ac:dyDescent="0.25">
      <c r="A5559" s="29">
        <v>43165</v>
      </c>
    </row>
    <row r="5560" spans="1:1" x14ac:dyDescent="0.25">
      <c r="A5560" s="29">
        <v>43166</v>
      </c>
    </row>
    <row r="5561" spans="1:1" x14ac:dyDescent="0.25">
      <c r="A5561" s="29">
        <v>43167</v>
      </c>
    </row>
    <row r="5562" spans="1:1" x14ac:dyDescent="0.25">
      <c r="A5562" s="29">
        <v>43168</v>
      </c>
    </row>
    <row r="5563" spans="1:1" x14ac:dyDescent="0.25">
      <c r="A5563" s="29">
        <v>43169</v>
      </c>
    </row>
    <row r="5564" spans="1:1" x14ac:dyDescent="0.25">
      <c r="A5564" s="29">
        <v>43170</v>
      </c>
    </row>
    <row r="5565" spans="1:1" x14ac:dyDescent="0.25">
      <c r="A5565" s="29">
        <v>43171</v>
      </c>
    </row>
    <row r="5566" spans="1:1" x14ac:dyDescent="0.25">
      <c r="A5566" s="29">
        <v>43172</v>
      </c>
    </row>
    <row r="5567" spans="1:1" x14ac:dyDescent="0.25">
      <c r="A5567" s="29">
        <v>43173</v>
      </c>
    </row>
    <row r="5568" spans="1:1" x14ac:dyDescent="0.25">
      <c r="A5568" s="29">
        <v>43174</v>
      </c>
    </row>
    <row r="5569" spans="1:1" x14ac:dyDescent="0.25">
      <c r="A5569" s="29">
        <v>43175</v>
      </c>
    </row>
    <row r="5570" spans="1:1" x14ac:dyDescent="0.25">
      <c r="A5570" s="29">
        <v>43176</v>
      </c>
    </row>
    <row r="5571" spans="1:1" x14ac:dyDescent="0.25">
      <c r="A5571" s="29">
        <v>43177</v>
      </c>
    </row>
    <row r="5572" spans="1:1" x14ac:dyDescent="0.25">
      <c r="A5572" s="29">
        <v>43178</v>
      </c>
    </row>
    <row r="5573" spans="1:1" x14ac:dyDescent="0.25">
      <c r="A5573" s="29">
        <v>43179</v>
      </c>
    </row>
    <row r="5574" spans="1:1" x14ac:dyDescent="0.25">
      <c r="A5574" s="29">
        <v>43180</v>
      </c>
    </row>
    <row r="5575" spans="1:1" x14ac:dyDescent="0.25">
      <c r="A5575" s="29">
        <v>43181</v>
      </c>
    </row>
    <row r="5576" spans="1:1" x14ac:dyDescent="0.25">
      <c r="A5576" s="29">
        <v>43182</v>
      </c>
    </row>
    <row r="5577" spans="1:1" x14ac:dyDescent="0.25">
      <c r="A5577" s="29">
        <v>43183</v>
      </c>
    </row>
    <row r="5578" spans="1:1" x14ac:dyDescent="0.25">
      <c r="A5578" s="29">
        <v>43184</v>
      </c>
    </row>
    <row r="5579" spans="1:1" x14ac:dyDescent="0.25">
      <c r="A5579" s="29">
        <v>43185</v>
      </c>
    </row>
    <row r="5580" spans="1:1" x14ac:dyDescent="0.25">
      <c r="A5580" s="29">
        <v>43186</v>
      </c>
    </row>
    <row r="5581" spans="1:1" x14ac:dyDescent="0.25">
      <c r="A5581" s="29">
        <v>43187</v>
      </c>
    </row>
    <row r="5582" spans="1:1" x14ac:dyDescent="0.25">
      <c r="A5582" s="29">
        <v>43188</v>
      </c>
    </row>
    <row r="5583" spans="1:1" x14ac:dyDescent="0.25">
      <c r="A5583" s="29">
        <v>43189</v>
      </c>
    </row>
    <row r="5584" spans="1:1" x14ac:dyDescent="0.25">
      <c r="A5584" s="29">
        <v>43190</v>
      </c>
    </row>
    <row r="5585" spans="1:1" x14ac:dyDescent="0.25">
      <c r="A5585" s="29">
        <v>43191</v>
      </c>
    </row>
    <row r="5586" spans="1:1" x14ac:dyDescent="0.25">
      <c r="A5586" s="29">
        <v>43192</v>
      </c>
    </row>
    <row r="5587" spans="1:1" x14ac:dyDescent="0.25">
      <c r="A5587" s="29">
        <v>43193</v>
      </c>
    </row>
    <row r="5588" spans="1:1" x14ac:dyDescent="0.25">
      <c r="A5588" s="29">
        <v>43194</v>
      </c>
    </row>
    <row r="5589" spans="1:1" x14ac:dyDescent="0.25">
      <c r="A5589" s="29">
        <v>43195</v>
      </c>
    </row>
    <row r="5590" spans="1:1" x14ac:dyDescent="0.25">
      <c r="A5590" s="29">
        <v>43196</v>
      </c>
    </row>
    <row r="5591" spans="1:1" x14ac:dyDescent="0.25">
      <c r="A5591" s="29">
        <v>43197</v>
      </c>
    </row>
    <row r="5592" spans="1:1" x14ac:dyDescent="0.25">
      <c r="A5592" s="29">
        <v>43198</v>
      </c>
    </row>
    <row r="5593" spans="1:1" x14ac:dyDescent="0.25">
      <c r="A5593" s="29">
        <v>43199</v>
      </c>
    </row>
    <row r="5594" spans="1:1" x14ac:dyDescent="0.25">
      <c r="A5594" s="29">
        <v>43200</v>
      </c>
    </row>
    <row r="5595" spans="1:1" x14ac:dyDescent="0.25">
      <c r="A5595" s="29">
        <v>43201</v>
      </c>
    </row>
    <row r="5596" spans="1:1" x14ac:dyDescent="0.25">
      <c r="A5596" s="29">
        <v>43202</v>
      </c>
    </row>
    <row r="5597" spans="1:1" x14ac:dyDescent="0.25">
      <c r="A5597" s="29">
        <v>43203</v>
      </c>
    </row>
    <row r="5598" spans="1:1" x14ac:dyDescent="0.25">
      <c r="A5598" s="29">
        <v>43204</v>
      </c>
    </row>
    <row r="5599" spans="1:1" x14ac:dyDescent="0.25">
      <c r="A5599" s="29">
        <v>43205</v>
      </c>
    </row>
    <row r="5600" spans="1:1" x14ac:dyDescent="0.25">
      <c r="A5600" s="29">
        <v>43206</v>
      </c>
    </row>
    <row r="5601" spans="1:1" x14ac:dyDescent="0.25">
      <c r="A5601" s="29">
        <v>43207</v>
      </c>
    </row>
    <row r="5602" spans="1:1" x14ac:dyDescent="0.25">
      <c r="A5602" s="29">
        <v>43208</v>
      </c>
    </row>
    <row r="5603" spans="1:1" x14ac:dyDescent="0.25">
      <c r="A5603" s="29">
        <v>43209</v>
      </c>
    </row>
    <row r="5604" spans="1:1" x14ac:dyDescent="0.25">
      <c r="A5604" s="29">
        <v>43210</v>
      </c>
    </row>
    <row r="5605" spans="1:1" x14ac:dyDescent="0.25">
      <c r="A5605" s="29">
        <v>43211</v>
      </c>
    </row>
    <row r="5606" spans="1:1" x14ac:dyDescent="0.25">
      <c r="A5606" s="29">
        <v>43212</v>
      </c>
    </row>
    <row r="5607" spans="1:1" x14ac:dyDescent="0.25">
      <c r="A5607" s="29">
        <v>43213</v>
      </c>
    </row>
    <row r="5608" spans="1:1" x14ac:dyDescent="0.25">
      <c r="A5608" s="29">
        <v>43214</v>
      </c>
    </row>
    <row r="5609" spans="1:1" x14ac:dyDescent="0.25">
      <c r="A5609" s="29">
        <v>43215</v>
      </c>
    </row>
    <row r="5610" spans="1:1" x14ac:dyDescent="0.25">
      <c r="A5610" s="29">
        <v>43216</v>
      </c>
    </row>
    <row r="5611" spans="1:1" x14ac:dyDescent="0.25">
      <c r="A5611" s="29">
        <v>43217</v>
      </c>
    </row>
    <row r="5612" spans="1:1" x14ac:dyDescent="0.25">
      <c r="A5612" s="29">
        <v>43218</v>
      </c>
    </row>
    <row r="5613" spans="1:1" x14ac:dyDescent="0.25">
      <c r="A5613" s="29">
        <v>43219</v>
      </c>
    </row>
    <row r="5614" spans="1:1" x14ac:dyDescent="0.25">
      <c r="A5614" s="29">
        <v>43220</v>
      </c>
    </row>
    <row r="5615" spans="1:1" x14ac:dyDescent="0.25">
      <c r="A5615" s="29">
        <v>43221</v>
      </c>
    </row>
    <row r="5616" spans="1:1" x14ac:dyDescent="0.25">
      <c r="A5616" s="29">
        <v>43222</v>
      </c>
    </row>
    <row r="5617" spans="1:1" x14ac:dyDescent="0.25">
      <c r="A5617" s="29">
        <v>43223</v>
      </c>
    </row>
    <row r="5618" spans="1:1" x14ac:dyDescent="0.25">
      <c r="A5618" s="29">
        <v>43224</v>
      </c>
    </row>
    <row r="5619" spans="1:1" x14ac:dyDescent="0.25">
      <c r="A5619" s="29">
        <v>43225</v>
      </c>
    </row>
    <row r="5620" spans="1:1" x14ac:dyDescent="0.25">
      <c r="A5620" s="29">
        <v>43226</v>
      </c>
    </row>
    <row r="5621" spans="1:1" x14ac:dyDescent="0.25">
      <c r="A5621" s="29">
        <v>43227</v>
      </c>
    </row>
    <row r="5622" spans="1:1" x14ac:dyDescent="0.25">
      <c r="A5622" s="29">
        <v>43228</v>
      </c>
    </row>
    <row r="5623" spans="1:1" x14ac:dyDescent="0.25">
      <c r="A5623" s="29">
        <v>43229</v>
      </c>
    </row>
    <row r="5624" spans="1:1" x14ac:dyDescent="0.25">
      <c r="A5624" s="29">
        <v>43230</v>
      </c>
    </row>
    <row r="5625" spans="1:1" x14ac:dyDescent="0.25">
      <c r="A5625" s="29">
        <v>43231</v>
      </c>
    </row>
    <row r="5626" spans="1:1" x14ac:dyDescent="0.25">
      <c r="A5626" s="29">
        <v>43232</v>
      </c>
    </row>
    <row r="5627" spans="1:1" x14ac:dyDescent="0.25">
      <c r="A5627" s="29">
        <v>43233</v>
      </c>
    </row>
    <row r="5628" spans="1:1" x14ac:dyDescent="0.25">
      <c r="A5628" s="29">
        <v>43234</v>
      </c>
    </row>
    <row r="5629" spans="1:1" x14ac:dyDescent="0.25">
      <c r="A5629" s="29">
        <v>43235</v>
      </c>
    </row>
    <row r="5630" spans="1:1" x14ac:dyDescent="0.25">
      <c r="A5630" s="29">
        <v>43236</v>
      </c>
    </row>
    <row r="5631" spans="1:1" x14ac:dyDescent="0.25">
      <c r="A5631" s="29">
        <v>43237</v>
      </c>
    </row>
    <row r="5632" spans="1:1" x14ac:dyDescent="0.25">
      <c r="A5632" s="29">
        <v>43238</v>
      </c>
    </row>
    <row r="5633" spans="1:1" x14ac:dyDescent="0.25">
      <c r="A5633" s="29">
        <v>43239</v>
      </c>
    </row>
    <row r="5634" spans="1:1" x14ac:dyDescent="0.25">
      <c r="A5634" s="29">
        <v>43240</v>
      </c>
    </row>
    <row r="5635" spans="1:1" x14ac:dyDescent="0.25">
      <c r="A5635" s="29">
        <v>43241</v>
      </c>
    </row>
    <row r="5636" spans="1:1" x14ac:dyDescent="0.25">
      <c r="A5636" s="29">
        <v>43242</v>
      </c>
    </row>
    <row r="5637" spans="1:1" x14ac:dyDescent="0.25">
      <c r="A5637" s="29">
        <v>43243</v>
      </c>
    </row>
    <row r="5638" spans="1:1" x14ac:dyDescent="0.25">
      <c r="A5638" s="29">
        <v>43244</v>
      </c>
    </row>
    <row r="5639" spans="1:1" x14ac:dyDescent="0.25">
      <c r="A5639" s="29">
        <v>43245</v>
      </c>
    </row>
    <row r="5640" spans="1:1" x14ac:dyDescent="0.25">
      <c r="A5640" s="29">
        <v>43246</v>
      </c>
    </row>
    <row r="5641" spans="1:1" x14ac:dyDescent="0.25">
      <c r="A5641" s="29">
        <v>43247</v>
      </c>
    </row>
    <row r="5642" spans="1:1" x14ac:dyDescent="0.25">
      <c r="A5642" s="29">
        <v>43248</v>
      </c>
    </row>
    <row r="5643" spans="1:1" x14ac:dyDescent="0.25">
      <c r="A5643" s="29">
        <v>43249</v>
      </c>
    </row>
    <row r="5644" spans="1:1" x14ac:dyDescent="0.25">
      <c r="A5644" s="29">
        <v>43250</v>
      </c>
    </row>
    <row r="5645" spans="1:1" x14ac:dyDescent="0.25">
      <c r="A5645" s="29">
        <v>43251</v>
      </c>
    </row>
    <row r="5646" spans="1:1" x14ac:dyDescent="0.25">
      <c r="A5646" s="29">
        <v>43252</v>
      </c>
    </row>
    <row r="5647" spans="1:1" x14ac:dyDescent="0.25">
      <c r="A5647" s="29">
        <v>43253</v>
      </c>
    </row>
    <row r="5648" spans="1:1" x14ac:dyDescent="0.25">
      <c r="A5648" s="29">
        <v>43254</v>
      </c>
    </row>
    <row r="5649" spans="1:1" x14ac:dyDescent="0.25">
      <c r="A5649" s="29">
        <v>43255</v>
      </c>
    </row>
    <row r="5650" spans="1:1" x14ac:dyDescent="0.25">
      <c r="A5650" s="29">
        <v>43256</v>
      </c>
    </row>
    <row r="5651" spans="1:1" x14ac:dyDescent="0.25">
      <c r="A5651" s="29">
        <v>43257</v>
      </c>
    </row>
    <row r="5652" spans="1:1" x14ac:dyDescent="0.25">
      <c r="A5652" s="29">
        <v>43258</v>
      </c>
    </row>
    <row r="5653" spans="1:1" x14ac:dyDescent="0.25">
      <c r="A5653" s="29">
        <v>43259</v>
      </c>
    </row>
    <row r="5654" spans="1:1" x14ac:dyDescent="0.25">
      <c r="A5654" s="29">
        <v>43260</v>
      </c>
    </row>
    <row r="5655" spans="1:1" x14ac:dyDescent="0.25">
      <c r="A5655" s="29">
        <v>43261</v>
      </c>
    </row>
    <row r="5656" spans="1:1" x14ac:dyDescent="0.25">
      <c r="A5656" s="29">
        <v>43262</v>
      </c>
    </row>
    <row r="5657" spans="1:1" x14ac:dyDescent="0.25">
      <c r="A5657" s="29">
        <v>43263</v>
      </c>
    </row>
    <row r="5658" spans="1:1" x14ac:dyDescent="0.25">
      <c r="A5658" s="29">
        <v>43264</v>
      </c>
    </row>
    <row r="5659" spans="1:1" x14ac:dyDescent="0.25">
      <c r="A5659" s="29">
        <v>43265</v>
      </c>
    </row>
    <row r="5660" spans="1:1" x14ac:dyDescent="0.25">
      <c r="A5660" s="29">
        <v>43266</v>
      </c>
    </row>
    <row r="5661" spans="1:1" x14ac:dyDescent="0.25">
      <c r="A5661" s="29">
        <v>43267</v>
      </c>
    </row>
    <row r="5662" spans="1:1" x14ac:dyDescent="0.25">
      <c r="A5662" s="29">
        <v>43268</v>
      </c>
    </row>
    <row r="5663" spans="1:1" x14ac:dyDescent="0.25">
      <c r="A5663" s="29">
        <v>43269</v>
      </c>
    </row>
    <row r="5664" spans="1:1" x14ac:dyDescent="0.25">
      <c r="A5664" s="29">
        <v>43270</v>
      </c>
    </row>
    <row r="5665" spans="1:1" x14ac:dyDescent="0.25">
      <c r="A5665" s="29">
        <v>43271</v>
      </c>
    </row>
    <row r="5666" spans="1:1" x14ac:dyDescent="0.25">
      <c r="A5666" s="29">
        <v>43272</v>
      </c>
    </row>
    <row r="5667" spans="1:1" x14ac:dyDescent="0.25">
      <c r="A5667" s="29">
        <v>43273</v>
      </c>
    </row>
    <row r="5668" spans="1:1" x14ac:dyDescent="0.25">
      <c r="A5668" s="29">
        <v>43274</v>
      </c>
    </row>
    <row r="5669" spans="1:1" x14ac:dyDescent="0.25">
      <c r="A5669" s="29">
        <v>43275</v>
      </c>
    </row>
    <row r="5670" spans="1:1" x14ac:dyDescent="0.25">
      <c r="A5670" s="29">
        <v>43276</v>
      </c>
    </row>
    <row r="5671" spans="1:1" x14ac:dyDescent="0.25">
      <c r="A5671" s="29">
        <v>43277</v>
      </c>
    </row>
    <row r="5672" spans="1:1" x14ac:dyDescent="0.25">
      <c r="A5672" s="29">
        <v>43278</v>
      </c>
    </row>
    <row r="5673" spans="1:1" x14ac:dyDescent="0.25">
      <c r="A5673" s="29">
        <v>43279</v>
      </c>
    </row>
    <row r="5674" spans="1:1" x14ac:dyDescent="0.25">
      <c r="A5674" s="29">
        <v>43280</v>
      </c>
    </row>
    <row r="5675" spans="1:1" x14ac:dyDescent="0.25">
      <c r="A5675" s="29">
        <v>43281</v>
      </c>
    </row>
    <row r="5676" spans="1:1" x14ac:dyDescent="0.25">
      <c r="A5676" s="29">
        <v>43282</v>
      </c>
    </row>
    <row r="5677" spans="1:1" x14ac:dyDescent="0.25">
      <c r="A5677" s="29">
        <v>43283</v>
      </c>
    </row>
    <row r="5678" spans="1:1" x14ac:dyDescent="0.25">
      <c r="A5678" s="29">
        <v>43284</v>
      </c>
    </row>
    <row r="5679" spans="1:1" x14ac:dyDescent="0.25">
      <c r="A5679" s="29">
        <v>43285</v>
      </c>
    </row>
    <row r="5680" spans="1:1" x14ac:dyDescent="0.25">
      <c r="A5680" s="29">
        <v>43286</v>
      </c>
    </row>
    <row r="5681" spans="1:1" x14ac:dyDescent="0.25">
      <c r="A5681" s="29">
        <v>43287</v>
      </c>
    </row>
    <row r="5682" spans="1:1" x14ac:dyDescent="0.25">
      <c r="A5682" s="29">
        <v>43288</v>
      </c>
    </row>
    <row r="5683" spans="1:1" x14ac:dyDescent="0.25">
      <c r="A5683" s="29">
        <v>43289</v>
      </c>
    </row>
    <row r="5684" spans="1:1" x14ac:dyDescent="0.25">
      <c r="A5684" s="29">
        <v>43290</v>
      </c>
    </row>
    <row r="5685" spans="1:1" x14ac:dyDescent="0.25">
      <c r="A5685" s="29">
        <v>43291</v>
      </c>
    </row>
    <row r="5686" spans="1:1" x14ac:dyDescent="0.25">
      <c r="A5686" s="29">
        <v>43292</v>
      </c>
    </row>
    <row r="5687" spans="1:1" x14ac:dyDescent="0.25">
      <c r="A5687" s="29">
        <v>43293</v>
      </c>
    </row>
    <row r="5688" spans="1:1" x14ac:dyDescent="0.25">
      <c r="A5688" s="29">
        <v>43294</v>
      </c>
    </row>
    <row r="5689" spans="1:1" x14ac:dyDescent="0.25">
      <c r="A5689" s="29">
        <v>43295</v>
      </c>
    </row>
    <row r="5690" spans="1:1" x14ac:dyDescent="0.25">
      <c r="A5690" s="29">
        <v>43296</v>
      </c>
    </row>
    <row r="5691" spans="1:1" x14ac:dyDescent="0.25">
      <c r="A5691" s="29">
        <v>43297</v>
      </c>
    </row>
    <row r="5692" spans="1:1" x14ac:dyDescent="0.25">
      <c r="A5692" s="29">
        <v>43298</v>
      </c>
    </row>
    <row r="5693" spans="1:1" x14ac:dyDescent="0.25">
      <c r="A5693" s="29">
        <v>43299</v>
      </c>
    </row>
    <row r="5694" spans="1:1" x14ac:dyDescent="0.25">
      <c r="A5694" s="29">
        <v>43300</v>
      </c>
    </row>
    <row r="5695" spans="1:1" x14ac:dyDescent="0.25">
      <c r="A5695" s="29">
        <v>43301</v>
      </c>
    </row>
    <row r="5696" spans="1:1" x14ac:dyDescent="0.25">
      <c r="A5696" s="29">
        <v>43302</v>
      </c>
    </row>
    <row r="5697" spans="1:1" x14ac:dyDescent="0.25">
      <c r="A5697" s="29">
        <v>43303</v>
      </c>
    </row>
    <row r="5698" spans="1:1" x14ac:dyDescent="0.25">
      <c r="A5698" s="29">
        <v>43304</v>
      </c>
    </row>
    <row r="5699" spans="1:1" x14ac:dyDescent="0.25">
      <c r="A5699" s="29">
        <v>43305</v>
      </c>
    </row>
    <row r="5700" spans="1:1" x14ac:dyDescent="0.25">
      <c r="A5700" s="29">
        <v>43306</v>
      </c>
    </row>
    <row r="5701" spans="1:1" x14ac:dyDescent="0.25">
      <c r="A5701" s="29">
        <v>43307</v>
      </c>
    </row>
    <row r="5702" spans="1:1" x14ac:dyDescent="0.25">
      <c r="A5702" s="29">
        <v>43308</v>
      </c>
    </row>
    <row r="5703" spans="1:1" x14ac:dyDescent="0.25">
      <c r="A5703" s="29">
        <v>43309</v>
      </c>
    </row>
    <row r="5704" spans="1:1" x14ac:dyDescent="0.25">
      <c r="A5704" s="29">
        <v>43310</v>
      </c>
    </row>
    <row r="5705" spans="1:1" x14ac:dyDescent="0.25">
      <c r="A5705" s="29">
        <v>43311</v>
      </c>
    </row>
    <row r="5706" spans="1:1" x14ac:dyDescent="0.25">
      <c r="A5706" s="29">
        <v>43312</v>
      </c>
    </row>
    <row r="5707" spans="1:1" x14ac:dyDescent="0.25">
      <c r="A5707" s="29">
        <v>43313</v>
      </c>
    </row>
    <row r="5708" spans="1:1" x14ac:dyDescent="0.25">
      <c r="A5708" s="29">
        <v>43314</v>
      </c>
    </row>
    <row r="5709" spans="1:1" x14ac:dyDescent="0.25">
      <c r="A5709" s="29">
        <v>43315</v>
      </c>
    </row>
    <row r="5710" spans="1:1" x14ac:dyDescent="0.25">
      <c r="A5710" s="29">
        <v>43316</v>
      </c>
    </row>
    <row r="5711" spans="1:1" x14ac:dyDescent="0.25">
      <c r="A5711" s="29">
        <v>43317</v>
      </c>
    </row>
    <row r="5712" spans="1:1" x14ac:dyDescent="0.25">
      <c r="A5712" s="29">
        <v>43318</v>
      </c>
    </row>
    <row r="5713" spans="1:1" x14ac:dyDescent="0.25">
      <c r="A5713" s="29">
        <v>43319</v>
      </c>
    </row>
    <row r="5714" spans="1:1" x14ac:dyDescent="0.25">
      <c r="A5714" s="29">
        <v>43320</v>
      </c>
    </row>
    <row r="5715" spans="1:1" x14ac:dyDescent="0.25">
      <c r="A5715" s="29">
        <v>43321</v>
      </c>
    </row>
    <row r="5716" spans="1:1" x14ac:dyDescent="0.25">
      <c r="A5716" s="29">
        <v>43322</v>
      </c>
    </row>
    <row r="5717" spans="1:1" x14ac:dyDescent="0.25">
      <c r="A5717" s="29">
        <v>43323</v>
      </c>
    </row>
    <row r="5718" spans="1:1" x14ac:dyDescent="0.25">
      <c r="A5718" s="29">
        <v>43324</v>
      </c>
    </row>
    <row r="5719" spans="1:1" x14ac:dyDescent="0.25">
      <c r="A5719" s="29">
        <v>43325</v>
      </c>
    </row>
    <row r="5720" spans="1:1" x14ac:dyDescent="0.25">
      <c r="A5720" s="29">
        <v>43326</v>
      </c>
    </row>
    <row r="5721" spans="1:1" x14ac:dyDescent="0.25">
      <c r="A5721" s="29">
        <v>43327</v>
      </c>
    </row>
    <row r="5722" spans="1:1" x14ac:dyDescent="0.25">
      <c r="A5722" s="29">
        <v>43328</v>
      </c>
    </row>
    <row r="5723" spans="1:1" x14ac:dyDescent="0.25">
      <c r="A5723" s="29">
        <v>43329</v>
      </c>
    </row>
    <row r="5724" spans="1:1" x14ac:dyDescent="0.25">
      <c r="A5724" s="29">
        <v>43330</v>
      </c>
    </row>
    <row r="5725" spans="1:1" x14ac:dyDescent="0.25">
      <c r="A5725" s="29">
        <v>43331</v>
      </c>
    </row>
    <row r="5726" spans="1:1" x14ac:dyDescent="0.25">
      <c r="A5726" s="29">
        <v>43332</v>
      </c>
    </row>
    <row r="5727" spans="1:1" x14ac:dyDescent="0.25">
      <c r="A5727" s="29">
        <v>43333</v>
      </c>
    </row>
    <row r="5728" spans="1:1" x14ac:dyDescent="0.25">
      <c r="A5728" s="29">
        <v>43334</v>
      </c>
    </row>
    <row r="5729" spans="1:1" x14ac:dyDescent="0.25">
      <c r="A5729" s="29">
        <v>43335</v>
      </c>
    </row>
    <row r="5730" spans="1:1" x14ac:dyDescent="0.25">
      <c r="A5730" s="29">
        <v>43336</v>
      </c>
    </row>
    <row r="5731" spans="1:1" x14ac:dyDescent="0.25">
      <c r="A5731" s="29">
        <v>43337</v>
      </c>
    </row>
    <row r="5732" spans="1:1" x14ac:dyDescent="0.25">
      <c r="A5732" s="29">
        <v>43338</v>
      </c>
    </row>
    <row r="5733" spans="1:1" x14ac:dyDescent="0.25">
      <c r="A5733" s="29">
        <v>43339</v>
      </c>
    </row>
    <row r="5734" spans="1:1" x14ac:dyDescent="0.25">
      <c r="A5734" s="29">
        <v>43340</v>
      </c>
    </row>
    <row r="5735" spans="1:1" x14ac:dyDescent="0.25">
      <c r="A5735" s="29">
        <v>43341</v>
      </c>
    </row>
    <row r="5736" spans="1:1" x14ac:dyDescent="0.25">
      <c r="A5736" s="29">
        <v>43342</v>
      </c>
    </row>
    <row r="5737" spans="1:1" x14ac:dyDescent="0.25">
      <c r="A5737" s="29">
        <v>43343</v>
      </c>
    </row>
    <row r="5738" spans="1:1" x14ac:dyDescent="0.25">
      <c r="A5738" s="29">
        <v>43344</v>
      </c>
    </row>
    <row r="5739" spans="1:1" x14ac:dyDescent="0.25">
      <c r="A5739" s="29">
        <v>43345</v>
      </c>
    </row>
    <row r="5740" spans="1:1" x14ac:dyDescent="0.25">
      <c r="A5740" s="29">
        <v>43346</v>
      </c>
    </row>
    <row r="5741" spans="1:1" x14ac:dyDescent="0.25">
      <c r="A5741" s="29">
        <v>43347</v>
      </c>
    </row>
    <row r="5742" spans="1:1" x14ac:dyDescent="0.25">
      <c r="A5742" s="29">
        <v>43348</v>
      </c>
    </row>
    <row r="5743" spans="1:1" x14ac:dyDescent="0.25">
      <c r="A5743" s="29">
        <v>43349</v>
      </c>
    </row>
    <row r="5744" spans="1:1" x14ac:dyDescent="0.25">
      <c r="A5744" s="29">
        <v>43350</v>
      </c>
    </row>
    <row r="5745" spans="1:1" x14ac:dyDescent="0.25">
      <c r="A5745" s="29">
        <v>43351</v>
      </c>
    </row>
    <row r="5746" spans="1:1" x14ac:dyDescent="0.25">
      <c r="A5746" s="29">
        <v>43352</v>
      </c>
    </row>
    <row r="5747" spans="1:1" x14ac:dyDescent="0.25">
      <c r="A5747" s="29">
        <v>43353</v>
      </c>
    </row>
    <row r="5748" spans="1:1" x14ac:dyDescent="0.25">
      <c r="A5748" s="29">
        <v>43354</v>
      </c>
    </row>
    <row r="5749" spans="1:1" x14ac:dyDescent="0.25">
      <c r="A5749" s="29">
        <v>43355</v>
      </c>
    </row>
    <row r="5750" spans="1:1" x14ac:dyDescent="0.25">
      <c r="A5750" s="29">
        <v>43356</v>
      </c>
    </row>
    <row r="5751" spans="1:1" x14ac:dyDescent="0.25">
      <c r="A5751" s="29">
        <v>43357</v>
      </c>
    </row>
    <row r="5752" spans="1:1" x14ac:dyDescent="0.25">
      <c r="A5752" s="29">
        <v>43358</v>
      </c>
    </row>
    <row r="5753" spans="1:1" x14ac:dyDescent="0.25">
      <c r="A5753" s="29">
        <v>43359</v>
      </c>
    </row>
    <row r="5754" spans="1:1" x14ac:dyDescent="0.25">
      <c r="A5754" s="29">
        <v>43360</v>
      </c>
    </row>
    <row r="5755" spans="1:1" x14ac:dyDescent="0.25">
      <c r="A5755" s="29">
        <v>43361</v>
      </c>
    </row>
    <row r="5756" spans="1:1" x14ac:dyDescent="0.25">
      <c r="A5756" s="29">
        <v>43362</v>
      </c>
    </row>
    <row r="5757" spans="1:1" x14ac:dyDescent="0.25">
      <c r="A5757" s="29">
        <v>43363</v>
      </c>
    </row>
    <row r="5758" spans="1:1" x14ac:dyDescent="0.25">
      <c r="A5758" s="29">
        <v>43364</v>
      </c>
    </row>
    <row r="5759" spans="1:1" x14ac:dyDescent="0.25">
      <c r="A5759" s="29">
        <v>43365</v>
      </c>
    </row>
    <row r="5760" spans="1:1" x14ac:dyDescent="0.25">
      <c r="A5760" s="29">
        <v>43366</v>
      </c>
    </row>
    <row r="5761" spans="1:1" x14ac:dyDescent="0.25">
      <c r="A5761" s="29">
        <v>43367</v>
      </c>
    </row>
    <row r="5762" spans="1:1" x14ac:dyDescent="0.25">
      <c r="A5762" s="29">
        <v>43368</v>
      </c>
    </row>
    <row r="5763" spans="1:1" x14ac:dyDescent="0.25">
      <c r="A5763" s="29">
        <v>43369</v>
      </c>
    </row>
    <row r="5764" spans="1:1" x14ac:dyDescent="0.25">
      <c r="A5764" s="29">
        <v>43370</v>
      </c>
    </row>
    <row r="5765" spans="1:1" x14ac:dyDescent="0.25">
      <c r="A5765" s="29">
        <v>43371</v>
      </c>
    </row>
    <row r="5766" spans="1:1" x14ac:dyDescent="0.25">
      <c r="A5766" s="29">
        <v>43372</v>
      </c>
    </row>
    <row r="5767" spans="1:1" x14ac:dyDescent="0.25">
      <c r="A5767" s="29">
        <v>43373</v>
      </c>
    </row>
    <row r="5768" spans="1:1" x14ac:dyDescent="0.25">
      <c r="A5768" s="29">
        <v>43374</v>
      </c>
    </row>
    <row r="5769" spans="1:1" x14ac:dyDescent="0.25">
      <c r="A5769" s="29">
        <v>43375</v>
      </c>
    </row>
    <row r="5770" spans="1:1" x14ac:dyDescent="0.25">
      <c r="A5770" s="29">
        <v>43376</v>
      </c>
    </row>
    <row r="5771" spans="1:1" x14ac:dyDescent="0.25">
      <c r="A5771" s="29">
        <v>43377</v>
      </c>
    </row>
    <row r="5772" spans="1:1" x14ac:dyDescent="0.25">
      <c r="A5772" s="29">
        <v>43378</v>
      </c>
    </row>
    <row r="5773" spans="1:1" x14ac:dyDescent="0.25">
      <c r="A5773" s="29">
        <v>43379</v>
      </c>
    </row>
    <row r="5774" spans="1:1" x14ac:dyDescent="0.25">
      <c r="A5774" s="29">
        <v>43380</v>
      </c>
    </row>
    <row r="5775" spans="1:1" x14ac:dyDescent="0.25">
      <c r="A5775" s="29">
        <v>43381</v>
      </c>
    </row>
    <row r="5776" spans="1:1" x14ac:dyDescent="0.25">
      <c r="A5776" s="29">
        <v>43382</v>
      </c>
    </row>
    <row r="5777" spans="1:1" x14ac:dyDescent="0.25">
      <c r="A5777" s="29">
        <v>43383</v>
      </c>
    </row>
    <row r="5778" spans="1:1" x14ac:dyDescent="0.25">
      <c r="A5778" s="29">
        <v>43384</v>
      </c>
    </row>
    <row r="5779" spans="1:1" x14ac:dyDescent="0.25">
      <c r="A5779" s="29">
        <v>43385</v>
      </c>
    </row>
    <row r="5780" spans="1:1" x14ac:dyDescent="0.25">
      <c r="A5780" s="29">
        <v>43386</v>
      </c>
    </row>
    <row r="5781" spans="1:1" x14ac:dyDescent="0.25">
      <c r="A5781" s="29">
        <v>43387</v>
      </c>
    </row>
    <row r="5782" spans="1:1" x14ac:dyDescent="0.25">
      <c r="A5782" s="29">
        <v>43388</v>
      </c>
    </row>
    <row r="5783" spans="1:1" x14ac:dyDescent="0.25">
      <c r="A5783" s="29">
        <v>43389</v>
      </c>
    </row>
    <row r="5784" spans="1:1" x14ac:dyDescent="0.25">
      <c r="A5784" s="29">
        <v>43390</v>
      </c>
    </row>
    <row r="5785" spans="1:1" x14ac:dyDescent="0.25">
      <c r="A5785" s="29">
        <v>43391</v>
      </c>
    </row>
    <row r="5786" spans="1:1" x14ac:dyDescent="0.25">
      <c r="A5786" s="29">
        <v>43392</v>
      </c>
    </row>
    <row r="5787" spans="1:1" x14ac:dyDescent="0.25">
      <c r="A5787" s="29">
        <v>43393</v>
      </c>
    </row>
    <row r="5788" spans="1:1" x14ac:dyDescent="0.25">
      <c r="A5788" s="29">
        <v>43394</v>
      </c>
    </row>
    <row r="5789" spans="1:1" x14ac:dyDescent="0.25">
      <c r="A5789" s="29">
        <v>43395</v>
      </c>
    </row>
    <row r="5790" spans="1:1" x14ac:dyDescent="0.25">
      <c r="A5790" s="29">
        <v>43396</v>
      </c>
    </row>
    <row r="5791" spans="1:1" x14ac:dyDescent="0.25">
      <c r="A5791" s="29">
        <v>43397</v>
      </c>
    </row>
    <row r="5792" spans="1:1" x14ac:dyDescent="0.25">
      <c r="A5792" s="29">
        <v>43398</v>
      </c>
    </row>
    <row r="5793" spans="1:1" x14ac:dyDescent="0.25">
      <c r="A5793" s="29">
        <v>43399</v>
      </c>
    </row>
    <row r="5794" spans="1:1" x14ac:dyDescent="0.25">
      <c r="A5794" s="29">
        <v>43400</v>
      </c>
    </row>
    <row r="5795" spans="1:1" x14ac:dyDescent="0.25">
      <c r="A5795" s="29">
        <v>43401</v>
      </c>
    </row>
    <row r="5796" spans="1:1" x14ac:dyDescent="0.25">
      <c r="A5796" s="29">
        <v>43402</v>
      </c>
    </row>
    <row r="5797" spans="1:1" x14ac:dyDescent="0.25">
      <c r="A5797" s="29">
        <v>43403</v>
      </c>
    </row>
    <row r="5798" spans="1:1" x14ac:dyDescent="0.25">
      <c r="A5798" s="29">
        <v>43404</v>
      </c>
    </row>
    <row r="5799" spans="1:1" x14ac:dyDescent="0.25">
      <c r="A5799" s="29">
        <v>43405</v>
      </c>
    </row>
    <row r="5800" spans="1:1" x14ac:dyDescent="0.25">
      <c r="A5800" s="29">
        <v>43406</v>
      </c>
    </row>
    <row r="5801" spans="1:1" x14ac:dyDescent="0.25">
      <c r="A5801" s="29">
        <v>43407</v>
      </c>
    </row>
    <row r="5802" spans="1:1" x14ac:dyDescent="0.25">
      <c r="A5802" s="29">
        <v>43408</v>
      </c>
    </row>
    <row r="5803" spans="1:1" x14ac:dyDescent="0.25">
      <c r="A5803" s="29">
        <v>43409</v>
      </c>
    </row>
    <row r="5804" spans="1:1" x14ac:dyDescent="0.25">
      <c r="A5804" s="29">
        <v>43410</v>
      </c>
    </row>
    <row r="5805" spans="1:1" x14ac:dyDescent="0.25">
      <c r="A5805" s="29">
        <v>43411</v>
      </c>
    </row>
    <row r="5806" spans="1:1" x14ac:dyDescent="0.25">
      <c r="A5806" s="29">
        <v>43412</v>
      </c>
    </row>
    <row r="5807" spans="1:1" x14ac:dyDescent="0.25">
      <c r="A5807" s="29">
        <v>43413</v>
      </c>
    </row>
    <row r="5808" spans="1:1" x14ac:dyDescent="0.25">
      <c r="A5808" s="29">
        <v>43414</v>
      </c>
    </row>
    <row r="5809" spans="1:1" x14ac:dyDescent="0.25">
      <c r="A5809" s="29">
        <v>43415</v>
      </c>
    </row>
    <row r="5810" spans="1:1" x14ac:dyDescent="0.25">
      <c r="A5810" s="29">
        <v>43416</v>
      </c>
    </row>
    <row r="5811" spans="1:1" x14ac:dyDescent="0.25">
      <c r="A5811" s="29">
        <v>43417</v>
      </c>
    </row>
    <row r="5812" spans="1:1" x14ac:dyDescent="0.25">
      <c r="A5812" s="29">
        <v>43418</v>
      </c>
    </row>
    <row r="5813" spans="1:1" x14ac:dyDescent="0.25">
      <c r="A5813" s="29">
        <v>43419</v>
      </c>
    </row>
    <row r="5814" spans="1:1" x14ac:dyDescent="0.25">
      <c r="A5814" s="29">
        <v>43420</v>
      </c>
    </row>
    <row r="5815" spans="1:1" x14ac:dyDescent="0.25">
      <c r="A5815" s="29">
        <v>43421</v>
      </c>
    </row>
    <row r="5816" spans="1:1" x14ac:dyDescent="0.25">
      <c r="A5816" s="29">
        <v>43422</v>
      </c>
    </row>
    <row r="5817" spans="1:1" x14ac:dyDescent="0.25">
      <c r="A5817" s="29">
        <v>43423</v>
      </c>
    </row>
    <row r="5818" spans="1:1" x14ac:dyDescent="0.25">
      <c r="A5818" s="29">
        <v>43424</v>
      </c>
    </row>
    <row r="5819" spans="1:1" x14ac:dyDescent="0.25">
      <c r="A5819" s="29">
        <v>43425</v>
      </c>
    </row>
    <row r="5820" spans="1:1" x14ac:dyDescent="0.25">
      <c r="A5820" s="29">
        <v>43426</v>
      </c>
    </row>
    <row r="5821" spans="1:1" x14ac:dyDescent="0.25">
      <c r="A5821" s="29">
        <v>43427</v>
      </c>
    </row>
    <row r="5822" spans="1:1" x14ac:dyDescent="0.25">
      <c r="A5822" s="29">
        <v>43428</v>
      </c>
    </row>
    <row r="5823" spans="1:1" x14ac:dyDescent="0.25">
      <c r="A5823" s="29">
        <v>43429</v>
      </c>
    </row>
    <row r="5824" spans="1:1" x14ac:dyDescent="0.25">
      <c r="A5824" s="29">
        <v>43430</v>
      </c>
    </row>
    <row r="5825" spans="1:1" x14ac:dyDescent="0.25">
      <c r="A5825" s="29">
        <v>43431</v>
      </c>
    </row>
    <row r="5826" spans="1:1" x14ac:dyDescent="0.25">
      <c r="A5826" s="29">
        <v>43432</v>
      </c>
    </row>
    <row r="5827" spans="1:1" x14ac:dyDescent="0.25">
      <c r="A5827" s="29">
        <v>43433</v>
      </c>
    </row>
    <row r="5828" spans="1:1" x14ac:dyDescent="0.25">
      <c r="A5828" s="29">
        <v>43434</v>
      </c>
    </row>
    <row r="5829" spans="1:1" x14ac:dyDescent="0.25">
      <c r="A5829" s="29">
        <v>43435</v>
      </c>
    </row>
    <row r="5830" spans="1:1" x14ac:dyDescent="0.25">
      <c r="A5830" s="29">
        <v>43436</v>
      </c>
    </row>
    <row r="5831" spans="1:1" x14ac:dyDescent="0.25">
      <c r="A5831" s="29">
        <v>43437</v>
      </c>
    </row>
    <row r="5832" spans="1:1" x14ac:dyDescent="0.25">
      <c r="A5832" s="29">
        <v>43438</v>
      </c>
    </row>
    <row r="5833" spans="1:1" x14ac:dyDescent="0.25">
      <c r="A5833" s="29">
        <v>43439</v>
      </c>
    </row>
    <row r="5834" spans="1:1" x14ac:dyDescent="0.25">
      <c r="A5834" s="29">
        <v>43440</v>
      </c>
    </row>
    <row r="5835" spans="1:1" x14ac:dyDescent="0.25">
      <c r="A5835" s="29">
        <v>43441</v>
      </c>
    </row>
    <row r="5836" spans="1:1" x14ac:dyDescent="0.25">
      <c r="A5836" s="29">
        <v>43442</v>
      </c>
    </row>
    <row r="5837" spans="1:1" x14ac:dyDescent="0.25">
      <c r="A5837" s="29">
        <v>43443</v>
      </c>
    </row>
    <row r="5838" spans="1:1" x14ac:dyDescent="0.25">
      <c r="A5838" s="29">
        <v>43444</v>
      </c>
    </row>
    <row r="5839" spans="1:1" x14ac:dyDescent="0.25">
      <c r="A5839" s="29">
        <v>43445</v>
      </c>
    </row>
    <row r="5840" spans="1:1" x14ac:dyDescent="0.25">
      <c r="A5840" s="29">
        <v>43446</v>
      </c>
    </row>
    <row r="5841" spans="1:1" x14ac:dyDescent="0.25">
      <c r="A5841" s="29">
        <v>43447</v>
      </c>
    </row>
    <row r="5842" spans="1:1" x14ac:dyDescent="0.25">
      <c r="A5842" s="29">
        <v>43448</v>
      </c>
    </row>
    <row r="5843" spans="1:1" x14ac:dyDescent="0.25">
      <c r="A5843" s="29">
        <v>43449</v>
      </c>
    </row>
    <row r="5844" spans="1:1" x14ac:dyDescent="0.25">
      <c r="A5844" s="29">
        <v>43450</v>
      </c>
    </row>
    <row r="5845" spans="1:1" x14ac:dyDescent="0.25">
      <c r="A5845" s="29">
        <v>43451</v>
      </c>
    </row>
    <row r="5846" spans="1:1" x14ac:dyDescent="0.25">
      <c r="A5846" s="29">
        <v>43452</v>
      </c>
    </row>
    <row r="5847" spans="1:1" x14ac:dyDescent="0.25">
      <c r="A5847" s="29">
        <v>43453</v>
      </c>
    </row>
    <row r="5848" spans="1:1" x14ac:dyDescent="0.25">
      <c r="A5848" s="29">
        <v>43454</v>
      </c>
    </row>
    <row r="5849" spans="1:1" x14ac:dyDescent="0.25">
      <c r="A5849" s="29">
        <v>43455</v>
      </c>
    </row>
    <row r="5850" spans="1:1" x14ac:dyDescent="0.25">
      <c r="A5850" s="29">
        <v>43456</v>
      </c>
    </row>
    <row r="5851" spans="1:1" x14ac:dyDescent="0.25">
      <c r="A5851" s="29">
        <v>43457</v>
      </c>
    </row>
    <row r="5852" spans="1:1" x14ac:dyDescent="0.25">
      <c r="A5852" s="29">
        <v>43458</v>
      </c>
    </row>
    <row r="5853" spans="1:1" x14ac:dyDescent="0.25">
      <c r="A5853" s="29">
        <v>43459</v>
      </c>
    </row>
    <row r="5854" spans="1:1" x14ac:dyDescent="0.25">
      <c r="A5854" s="29">
        <v>43460</v>
      </c>
    </row>
    <row r="5855" spans="1:1" x14ac:dyDescent="0.25">
      <c r="A5855" s="29">
        <v>43461</v>
      </c>
    </row>
    <row r="5856" spans="1:1" x14ac:dyDescent="0.25">
      <c r="A5856" s="29">
        <v>43462</v>
      </c>
    </row>
    <row r="5857" spans="1:1" x14ac:dyDescent="0.25">
      <c r="A5857" s="29">
        <v>43463</v>
      </c>
    </row>
    <row r="5858" spans="1:1" x14ac:dyDescent="0.25">
      <c r="A5858" s="29">
        <v>43464</v>
      </c>
    </row>
    <row r="5859" spans="1:1" x14ac:dyDescent="0.25">
      <c r="A5859" s="29">
        <v>43465</v>
      </c>
    </row>
    <row r="5860" spans="1:1" x14ac:dyDescent="0.25">
      <c r="A5860" s="29">
        <v>43466</v>
      </c>
    </row>
    <row r="5861" spans="1:1" x14ac:dyDescent="0.25">
      <c r="A5861" s="29">
        <v>43467</v>
      </c>
    </row>
    <row r="5862" spans="1:1" x14ac:dyDescent="0.25">
      <c r="A5862" s="29">
        <v>43468</v>
      </c>
    </row>
    <row r="5863" spans="1:1" x14ac:dyDescent="0.25">
      <c r="A5863" s="29">
        <v>43469</v>
      </c>
    </row>
    <row r="5864" spans="1:1" x14ac:dyDescent="0.25">
      <c r="A5864" s="29">
        <v>43470</v>
      </c>
    </row>
    <row r="5865" spans="1:1" x14ac:dyDescent="0.25">
      <c r="A5865" s="29">
        <v>43471</v>
      </c>
    </row>
    <row r="5866" spans="1:1" x14ac:dyDescent="0.25">
      <c r="A5866" s="29">
        <v>43472</v>
      </c>
    </row>
    <row r="5867" spans="1:1" x14ac:dyDescent="0.25">
      <c r="A5867" s="29">
        <v>43473</v>
      </c>
    </row>
    <row r="5868" spans="1:1" x14ac:dyDescent="0.25">
      <c r="A5868" s="29">
        <v>43474</v>
      </c>
    </row>
    <row r="5869" spans="1:1" x14ac:dyDescent="0.25">
      <c r="A5869" s="29">
        <v>43475</v>
      </c>
    </row>
    <row r="5870" spans="1:1" x14ac:dyDescent="0.25">
      <c r="A5870" s="29">
        <v>43476</v>
      </c>
    </row>
    <row r="5871" spans="1:1" x14ac:dyDescent="0.25">
      <c r="A5871" s="29">
        <v>43477</v>
      </c>
    </row>
    <row r="5872" spans="1:1" x14ac:dyDescent="0.25">
      <c r="A5872" s="29">
        <v>43478</v>
      </c>
    </row>
    <row r="5873" spans="1:1" x14ac:dyDescent="0.25">
      <c r="A5873" s="29">
        <v>43479</v>
      </c>
    </row>
    <row r="5874" spans="1:1" x14ac:dyDescent="0.25">
      <c r="A5874" s="29">
        <v>43480</v>
      </c>
    </row>
    <row r="5875" spans="1:1" x14ac:dyDescent="0.25">
      <c r="A5875" s="29">
        <v>43481</v>
      </c>
    </row>
    <row r="5876" spans="1:1" x14ac:dyDescent="0.25">
      <c r="A5876" s="29">
        <v>43482</v>
      </c>
    </row>
    <row r="5877" spans="1:1" x14ac:dyDescent="0.25">
      <c r="A5877" s="29">
        <v>43483</v>
      </c>
    </row>
    <row r="5878" spans="1:1" x14ac:dyDescent="0.25">
      <c r="A5878" s="29">
        <v>43484</v>
      </c>
    </row>
    <row r="5879" spans="1:1" x14ac:dyDescent="0.25">
      <c r="A5879" s="29">
        <v>43485</v>
      </c>
    </row>
    <row r="5880" spans="1:1" x14ac:dyDescent="0.25">
      <c r="A5880" s="29">
        <v>43486</v>
      </c>
    </row>
    <row r="5881" spans="1:1" x14ac:dyDescent="0.25">
      <c r="A5881" s="29">
        <v>43487</v>
      </c>
    </row>
    <row r="5882" spans="1:1" x14ac:dyDescent="0.25">
      <c r="A5882" s="29">
        <v>43488</v>
      </c>
    </row>
    <row r="5883" spans="1:1" x14ac:dyDescent="0.25">
      <c r="A5883" s="29">
        <v>43489</v>
      </c>
    </row>
    <row r="5884" spans="1:1" x14ac:dyDescent="0.25">
      <c r="A5884" s="29">
        <v>43490</v>
      </c>
    </row>
    <row r="5885" spans="1:1" x14ac:dyDescent="0.25">
      <c r="A5885" s="29">
        <v>43491</v>
      </c>
    </row>
    <row r="5886" spans="1:1" x14ac:dyDescent="0.25">
      <c r="A5886" s="29">
        <v>43492</v>
      </c>
    </row>
    <row r="5887" spans="1:1" x14ac:dyDescent="0.25">
      <c r="A5887" s="29">
        <v>43493</v>
      </c>
    </row>
    <row r="5888" spans="1:1" x14ac:dyDescent="0.25">
      <c r="A5888" s="29">
        <v>43494</v>
      </c>
    </row>
    <row r="5889" spans="1:1" x14ac:dyDescent="0.25">
      <c r="A5889" s="29">
        <v>43495</v>
      </c>
    </row>
    <row r="5890" spans="1:1" x14ac:dyDescent="0.25">
      <c r="A5890" s="29">
        <v>43496</v>
      </c>
    </row>
    <row r="5891" spans="1:1" x14ac:dyDescent="0.25">
      <c r="A5891" s="29">
        <v>43497</v>
      </c>
    </row>
    <row r="5892" spans="1:1" x14ac:dyDescent="0.25">
      <c r="A5892" s="29">
        <v>43498</v>
      </c>
    </row>
    <row r="5893" spans="1:1" x14ac:dyDescent="0.25">
      <c r="A5893" s="29">
        <v>43499</v>
      </c>
    </row>
    <row r="5894" spans="1:1" x14ac:dyDescent="0.25">
      <c r="A5894" s="29">
        <v>43500</v>
      </c>
    </row>
    <row r="5895" spans="1:1" x14ac:dyDescent="0.25">
      <c r="A5895" s="29">
        <v>43501</v>
      </c>
    </row>
    <row r="5896" spans="1:1" x14ac:dyDescent="0.25">
      <c r="A5896" s="29">
        <v>43502</v>
      </c>
    </row>
    <row r="5897" spans="1:1" x14ac:dyDescent="0.25">
      <c r="A5897" s="29">
        <v>43503</v>
      </c>
    </row>
    <row r="5898" spans="1:1" x14ac:dyDescent="0.25">
      <c r="A5898" s="29">
        <v>43504</v>
      </c>
    </row>
    <row r="5899" spans="1:1" x14ac:dyDescent="0.25">
      <c r="A5899" s="29">
        <v>43505</v>
      </c>
    </row>
    <row r="5900" spans="1:1" x14ac:dyDescent="0.25">
      <c r="A5900" s="29">
        <v>43506</v>
      </c>
    </row>
    <row r="5901" spans="1:1" x14ac:dyDescent="0.25">
      <c r="A5901" s="29">
        <v>43507</v>
      </c>
    </row>
    <row r="5902" spans="1:1" x14ac:dyDescent="0.25">
      <c r="A5902" s="29">
        <v>43508</v>
      </c>
    </row>
    <row r="5903" spans="1:1" x14ac:dyDescent="0.25">
      <c r="A5903" s="29">
        <v>43509</v>
      </c>
    </row>
    <row r="5904" spans="1:1" x14ac:dyDescent="0.25">
      <c r="A5904" s="29">
        <v>43510</v>
      </c>
    </row>
    <row r="5905" spans="1:1" x14ac:dyDescent="0.25">
      <c r="A5905" s="29">
        <v>43511</v>
      </c>
    </row>
    <row r="5906" spans="1:1" x14ac:dyDescent="0.25">
      <c r="A5906" s="29">
        <v>43512</v>
      </c>
    </row>
    <row r="5907" spans="1:1" x14ac:dyDescent="0.25">
      <c r="A5907" s="29">
        <v>43513</v>
      </c>
    </row>
    <row r="5908" spans="1:1" x14ac:dyDescent="0.25">
      <c r="A5908" s="29">
        <v>43514</v>
      </c>
    </row>
    <row r="5909" spans="1:1" x14ac:dyDescent="0.25">
      <c r="A5909" s="29">
        <v>43515</v>
      </c>
    </row>
    <row r="5910" spans="1:1" x14ac:dyDescent="0.25">
      <c r="A5910" s="29">
        <v>43516</v>
      </c>
    </row>
    <row r="5911" spans="1:1" x14ac:dyDescent="0.25">
      <c r="A5911" s="29">
        <v>43517</v>
      </c>
    </row>
    <row r="5912" spans="1:1" x14ac:dyDescent="0.25">
      <c r="A5912" s="29">
        <v>43518</v>
      </c>
    </row>
    <row r="5913" spans="1:1" x14ac:dyDescent="0.25">
      <c r="A5913" s="29">
        <v>43519</v>
      </c>
    </row>
    <row r="5914" spans="1:1" x14ac:dyDescent="0.25">
      <c r="A5914" s="29">
        <v>43520</v>
      </c>
    </row>
    <row r="5915" spans="1:1" x14ac:dyDescent="0.25">
      <c r="A5915" s="29">
        <v>43521</v>
      </c>
    </row>
    <row r="5916" spans="1:1" x14ac:dyDescent="0.25">
      <c r="A5916" s="29">
        <v>43522</v>
      </c>
    </row>
    <row r="5917" spans="1:1" x14ac:dyDescent="0.25">
      <c r="A5917" s="29">
        <v>43523</v>
      </c>
    </row>
    <row r="5918" spans="1:1" x14ac:dyDescent="0.25">
      <c r="A5918" s="29">
        <v>43524</v>
      </c>
    </row>
    <row r="5919" spans="1:1" x14ac:dyDescent="0.25">
      <c r="A5919" s="29">
        <v>43525</v>
      </c>
    </row>
    <row r="5920" spans="1:1" x14ac:dyDescent="0.25">
      <c r="A5920" s="29">
        <v>43526</v>
      </c>
    </row>
    <row r="5921" spans="1:1" x14ac:dyDescent="0.25">
      <c r="A5921" s="29">
        <v>43527</v>
      </c>
    </row>
    <row r="5922" spans="1:1" x14ac:dyDescent="0.25">
      <c r="A5922" s="29">
        <v>43528</v>
      </c>
    </row>
    <row r="5923" spans="1:1" x14ac:dyDescent="0.25">
      <c r="A5923" s="29">
        <v>43529</v>
      </c>
    </row>
    <row r="5924" spans="1:1" x14ac:dyDescent="0.25">
      <c r="A5924" s="29">
        <v>43530</v>
      </c>
    </row>
    <row r="5925" spans="1:1" x14ac:dyDescent="0.25">
      <c r="A5925" s="29">
        <v>43531</v>
      </c>
    </row>
    <row r="5926" spans="1:1" x14ac:dyDescent="0.25">
      <c r="A5926" s="29">
        <v>43532</v>
      </c>
    </row>
    <row r="5927" spans="1:1" x14ac:dyDescent="0.25">
      <c r="A5927" s="29">
        <v>43533</v>
      </c>
    </row>
    <row r="5928" spans="1:1" x14ac:dyDescent="0.25">
      <c r="A5928" s="29">
        <v>43534</v>
      </c>
    </row>
    <row r="5929" spans="1:1" x14ac:dyDescent="0.25">
      <c r="A5929" s="29">
        <v>43535</v>
      </c>
    </row>
    <row r="5930" spans="1:1" x14ac:dyDescent="0.25">
      <c r="A5930" s="29">
        <v>43536</v>
      </c>
    </row>
    <row r="5931" spans="1:1" x14ac:dyDescent="0.25">
      <c r="A5931" s="29">
        <v>43537</v>
      </c>
    </row>
    <row r="5932" spans="1:1" x14ac:dyDescent="0.25">
      <c r="A5932" s="29">
        <v>43538</v>
      </c>
    </row>
    <row r="5933" spans="1:1" x14ac:dyDescent="0.25">
      <c r="A5933" s="29">
        <v>43539</v>
      </c>
    </row>
    <row r="5934" spans="1:1" x14ac:dyDescent="0.25">
      <c r="A5934" s="29">
        <v>43540</v>
      </c>
    </row>
    <row r="5935" spans="1:1" x14ac:dyDescent="0.25">
      <c r="A5935" s="29">
        <v>43541</v>
      </c>
    </row>
    <row r="5936" spans="1:1" x14ac:dyDescent="0.25">
      <c r="A5936" s="29">
        <v>43542</v>
      </c>
    </row>
    <row r="5937" spans="1:1" x14ac:dyDescent="0.25">
      <c r="A5937" s="29">
        <v>43543</v>
      </c>
    </row>
    <row r="5938" spans="1:1" x14ac:dyDescent="0.25">
      <c r="A5938" s="29">
        <v>43544</v>
      </c>
    </row>
    <row r="5939" spans="1:1" x14ac:dyDescent="0.25">
      <c r="A5939" s="29">
        <v>43545</v>
      </c>
    </row>
    <row r="5940" spans="1:1" x14ac:dyDescent="0.25">
      <c r="A5940" s="29">
        <v>43546</v>
      </c>
    </row>
    <row r="5941" spans="1:1" x14ac:dyDescent="0.25">
      <c r="A5941" s="29">
        <v>43547</v>
      </c>
    </row>
    <row r="5942" spans="1:1" x14ac:dyDescent="0.25">
      <c r="A5942" s="29">
        <v>43548</v>
      </c>
    </row>
    <row r="5943" spans="1:1" x14ac:dyDescent="0.25">
      <c r="A5943" s="29">
        <v>43549</v>
      </c>
    </row>
    <row r="5944" spans="1:1" x14ac:dyDescent="0.25">
      <c r="A5944" s="29">
        <v>43550</v>
      </c>
    </row>
    <row r="5945" spans="1:1" x14ac:dyDescent="0.25">
      <c r="A5945" s="29">
        <v>43551</v>
      </c>
    </row>
    <row r="5946" spans="1:1" x14ac:dyDescent="0.25">
      <c r="A5946" s="29">
        <v>43552</v>
      </c>
    </row>
    <row r="5947" spans="1:1" x14ac:dyDescent="0.25">
      <c r="A5947" s="29">
        <v>43553</v>
      </c>
    </row>
    <row r="5948" spans="1:1" x14ac:dyDescent="0.25">
      <c r="A5948" s="29">
        <v>43554</v>
      </c>
    </row>
    <row r="5949" spans="1:1" x14ac:dyDescent="0.25">
      <c r="A5949" s="29">
        <v>43555</v>
      </c>
    </row>
    <row r="5950" spans="1:1" x14ac:dyDescent="0.25">
      <c r="A5950" s="29">
        <v>43556</v>
      </c>
    </row>
    <row r="5951" spans="1:1" x14ac:dyDescent="0.25">
      <c r="A5951" s="29">
        <v>43557</v>
      </c>
    </row>
    <row r="5952" spans="1:1" x14ac:dyDescent="0.25">
      <c r="A5952" s="29">
        <v>43558</v>
      </c>
    </row>
    <row r="5953" spans="1:1" x14ac:dyDescent="0.25">
      <c r="A5953" s="29">
        <v>43559</v>
      </c>
    </row>
    <row r="5954" spans="1:1" x14ac:dyDescent="0.25">
      <c r="A5954" s="29">
        <v>43560</v>
      </c>
    </row>
    <row r="5955" spans="1:1" x14ac:dyDescent="0.25">
      <c r="A5955" s="29">
        <v>43561</v>
      </c>
    </row>
    <row r="5956" spans="1:1" x14ac:dyDescent="0.25">
      <c r="A5956" s="29">
        <v>43562</v>
      </c>
    </row>
    <row r="5957" spans="1:1" x14ac:dyDescent="0.25">
      <c r="A5957" s="29">
        <v>43563</v>
      </c>
    </row>
    <row r="5958" spans="1:1" x14ac:dyDescent="0.25">
      <c r="A5958" s="29">
        <v>43564</v>
      </c>
    </row>
    <row r="5959" spans="1:1" x14ac:dyDescent="0.25">
      <c r="A5959" s="29">
        <v>43565</v>
      </c>
    </row>
    <row r="5960" spans="1:1" x14ac:dyDescent="0.25">
      <c r="A5960" s="29">
        <v>43566</v>
      </c>
    </row>
    <row r="5961" spans="1:1" x14ac:dyDescent="0.25">
      <c r="A5961" s="29">
        <v>43567</v>
      </c>
    </row>
    <row r="5962" spans="1:1" x14ac:dyDescent="0.25">
      <c r="A5962" s="29">
        <v>43568</v>
      </c>
    </row>
    <row r="5963" spans="1:1" x14ac:dyDescent="0.25">
      <c r="A5963" s="29">
        <v>43569</v>
      </c>
    </row>
    <row r="5964" spans="1:1" x14ac:dyDescent="0.25">
      <c r="A5964" s="29">
        <v>43570</v>
      </c>
    </row>
    <row r="5965" spans="1:1" x14ac:dyDescent="0.25">
      <c r="A5965" s="29">
        <v>43571</v>
      </c>
    </row>
    <row r="5966" spans="1:1" x14ac:dyDescent="0.25">
      <c r="A5966" s="29">
        <v>43572</v>
      </c>
    </row>
    <row r="5967" spans="1:1" x14ac:dyDescent="0.25">
      <c r="A5967" s="29">
        <v>43573</v>
      </c>
    </row>
    <row r="5968" spans="1:1" x14ac:dyDescent="0.25">
      <c r="A5968" s="29">
        <v>43574</v>
      </c>
    </row>
    <row r="5969" spans="1:1" x14ac:dyDescent="0.25">
      <c r="A5969" s="29">
        <v>43575</v>
      </c>
    </row>
    <row r="5970" spans="1:1" x14ac:dyDescent="0.25">
      <c r="A5970" s="29">
        <v>43576</v>
      </c>
    </row>
    <row r="5971" spans="1:1" x14ac:dyDescent="0.25">
      <c r="A5971" s="29">
        <v>43577</v>
      </c>
    </row>
    <row r="5972" spans="1:1" x14ac:dyDescent="0.25">
      <c r="A5972" s="29">
        <v>43578</v>
      </c>
    </row>
    <row r="5973" spans="1:1" x14ac:dyDescent="0.25">
      <c r="A5973" s="29">
        <v>43579</v>
      </c>
    </row>
    <row r="5974" spans="1:1" x14ac:dyDescent="0.25">
      <c r="A5974" s="29">
        <v>43580</v>
      </c>
    </row>
    <row r="5975" spans="1:1" x14ac:dyDescent="0.25">
      <c r="A5975" s="29">
        <v>43581</v>
      </c>
    </row>
    <row r="5976" spans="1:1" x14ac:dyDescent="0.25">
      <c r="A5976" s="29">
        <v>43582</v>
      </c>
    </row>
    <row r="5977" spans="1:1" x14ac:dyDescent="0.25">
      <c r="A5977" s="29">
        <v>43583</v>
      </c>
    </row>
    <row r="5978" spans="1:1" x14ac:dyDescent="0.25">
      <c r="A5978" s="29">
        <v>43584</v>
      </c>
    </row>
    <row r="5979" spans="1:1" x14ac:dyDescent="0.25">
      <c r="A5979" s="29">
        <v>43585</v>
      </c>
    </row>
    <row r="5980" spans="1:1" x14ac:dyDescent="0.25">
      <c r="A5980" s="29">
        <v>43586</v>
      </c>
    </row>
    <row r="5981" spans="1:1" x14ac:dyDescent="0.25">
      <c r="A5981" s="29">
        <v>43587</v>
      </c>
    </row>
    <row r="5982" spans="1:1" x14ac:dyDescent="0.25">
      <c r="A5982" s="29">
        <v>43588</v>
      </c>
    </row>
    <row r="5983" spans="1:1" x14ac:dyDescent="0.25">
      <c r="A5983" s="29">
        <v>43589</v>
      </c>
    </row>
    <row r="5984" spans="1:1" x14ac:dyDescent="0.25">
      <c r="A5984" s="29">
        <v>43590</v>
      </c>
    </row>
    <row r="5985" spans="1:1" x14ac:dyDescent="0.25">
      <c r="A5985" s="29">
        <v>43591</v>
      </c>
    </row>
    <row r="5986" spans="1:1" x14ac:dyDescent="0.25">
      <c r="A5986" s="29">
        <v>43592</v>
      </c>
    </row>
    <row r="5987" spans="1:1" x14ac:dyDescent="0.25">
      <c r="A5987" s="29">
        <v>43593</v>
      </c>
    </row>
    <row r="5988" spans="1:1" x14ac:dyDescent="0.25">
      <c r="A5988" s="29">
        <v>43594</v>
      </c>
    </row>
    <row r="5989" spans="1:1" x14ac:dyDescent="0.25">
      <c r="A5989" s="29">
        <v>43595</v>
      </c>
    </row>
    <row r="5990" spans="1:1" x14ac:dyDescent="0.25">
      <c r="A5990" s="29">
        <v>43596</v>
      </c>
    </row>
    <row r="5991" spans="1:1" x14ac:dyDescent="0.25">
      <c r="A5991" s="29">
        <v>43597</v>
      </c>
    </row>
    <row r="5992" spans="1:1" x14ac:dyDescent="0.25">
      <c r="A5992" s="29">
        <v>43598</v>
      </c>
    </row>
    <row r="5993" spans="1:1" x14ac:dyDescent="0.25">
      <c r="A5993" s="29">
        <v>43599</v>
      </c>
    </row>
    <row r="5994" spans="1:1" x14ac:dyDescent="0.25">
      <c r="A5994" s="29">
        <v>43600</v>
      </c>
    </row>
    <row r="5995" spans="1:1" x14ac:dyDescent="0.25">
      <c r="A5995" s="29">
        <v>43601</v>
      </c>
    </row>
    <row r="5996" spans="1:1" x14ac:dyDescent="0.25">
      <c r="A5996" s="29">
        <v>43602</v>
      </c>
    </row>
    <row r="5997" spans="1:1" x14ac:dyDescent="0.25">
      <c r="A5997" s="29">
        <v>43603</v>
      </c>
    </row>
    <row r="5998" spans="1:1" x14ac:dyDescent="0.25">
      <c r="A5998" s="29">
        <v>43604</v>
      </c>
    </row>
    <row r="5999" spans="1:1" x14ac:dyDescent="0.25">
      <c r="A5999" s="29">
        <v>43605</v>
      </c>
    </row>
    <row r="6000" spans="1:1" x14ac:dyDescent="0.25">
      <c r="A6000" s="29">
        <v>43606</v>
      </c>
    </row>
    <row r="6001" spans="1:1" x14ac:dyDescent="0.25">
      <c r="A6001" s="29">
        <v>43607</v>
      </c>
    </row>
    <row r="6002" spans="1:1" x14ac:dyDescent="0.25">
      <c r="A6002" s="29">
        <v>43608</v>
      </c>
    </row>
    <row r="6003" spans="1:1" x14ac:dyDescent="0.25">
      <c r="A6003" s="29">
        <v>43609</v>
      </c>
    </row>
    <row r="6004" spans="1:1" x14ac:dyDescent="0.25">
      <c r="A6004" s="29">
        <v>43610</v>
      </c>
    </row>
    <row r="6005" spans="1:1" x14ac:dyDescent="0.25">
      <c r="A6005" s="29">
        <v>43611</v>
      </c>
    </row>
    <row r="6006" spans="1:1" x14ac:dyDescent="0.25">
      <c r="A6006" s="29">
        <v>43612</v>
      </c>
    </row>
    <row r="6007" spans="1:1" x14ac:dyDescent="0.25">
      <c r="A6007" s="29">
        <v>43613</v>
      </c>
    </row>
    <row r="6008" spans="1:1" x14ac:dyDescent="0.25">
      <c r="A6008" s="29">
        <v>43614</v>
      </c>
    </row>
    <row r="6009" spans="1:1" x14ac:dyDescent="0.25">
      <c r="A6009" s="29">
        <v>43615</v>
      </c>
    </row>
    <row r="6010" spans="1:1" x14ac:dyDescent="0.25">
      <c r="A6010" s="29">
        <v>43616</v>
      </c>
    </row>
    <row r="6011" spans="1:1" x14ac:dyDescent="0.25">
      <c r="A6011" s="29">
        <v>43617</v>
      </c>
    </row>
    <row r="6012" spans="1:1" x14ac:dyDescent="0.25">
      <c r="A6012" s="29">
        <v>43618</v>
      </c>
    </row>
    <row r="6013" spans="1:1" x14ac:dyDescent="0.25">
      <c r="A6013" s="29">
        <v>43619</v>
      </c>
    </row>
    <row r="6014" spans="1:1" x14ac:dyDescent="0.25">
      <c r="A6014" s="29">
        <v>43620</v>
      </c>
    </row>
    <row r="6015" spans="1:1" x14ac:dyDescent="0.25">
      <c r="A6015" s="29">
        <v>43621</v>
      </c>
    </row>
    <row r="6016" spans="1:1" x14ac:dyDescent="0.25">
      <c r="A6016" s="29">
        <v>43622</v>
      </c>
    </row>
    <row r="6017" spans="1:1" x14ac:dyDescent="0.25">
      <c r="A6017" s="29">
        <v>43623</v>
      </c>
    </row>
    <row r="6018" spans="1:1" x14ac:dyDescent="0.25">
      <c r="A6018" s="29">
        <v>43624</v>
      </c>
    </row>
    <row r="6019" spans="1:1" x14ac:dyDescent="0.25">
      <c r="A6019" s="29">
        <v>43625</v>
      </c>
    </row>
    <row r="6020" spans="1:1" x14ac:dyDescent="0.25">
      <c r="A6020" s="29">
        <v>43626</v>
      </c>
    </row>
    <row r="6021" spans="1:1" x14ac:dyDescent="0.25">
      <c r="A6021" s="29">
        <v>43627</v>
      </c>
    </row>
    <row r="6022" spans="1:1" x14ac:dyDescent="0.25">
      <c r="A6022" s="29">
        <v>43628</v>
      </c>
    </row>
    <row r="6023" spans="1:1" x14ac:dyDescent="0.25">
      <c r="A6023" s="29">
        <v>43629</v>
      </c>
    </row>
    <row r="6024" spans="1:1" x14ac:dyDescent="0.25">
      <c r="A6024" s="29">
        <v>43630</v>
      </c>
    </row>
    <row r="6025" spans="1:1" x14ac:dyDescent="0.25">
      <c r="A6025" s="29">
        <v>43631</v>
      </c>
    </row>
    <row r="6026" spans="1:1" x14ac:dyDescent="0.25">
      <c r="A6026" s="29">
        <v>43632</v>
      </c>
    </row>
    <row r="6027" spans="1:1" x14ac:dyDescent="0.25">
      <c r="A6027" s="29">
        <v>43633</v>
      </c>
    </row>
    <row r="6028" spans="1:1" x14ac:dyDescent="0.25">
      <c r="A6028" s="29">
        <v>43634</v>
      </c>
    </row>
    <row r="6029" spans="1:1" x14ac:dyDescent="0.25">
      <c r="A6029" s="29">
        <v>43635</v>
      </c>
    </row>
    <row r="6030" spans="1:1" x14ac:dyDescent="0.25">
      <c r="A6030" s="29">
        <v>43636</v>
      </c>
    </row>
    <row r="6031" spans="1:1" x14ac:dyDescent="0.25">
      <c r="A6031" s="29">
        <v>43637</v>
      </c>
    </row>
    <row r="6032" spans="1:1" x14ac:dyDescent="0.25">
      <c r="A6032" s="29">
        <v>43638</v>
      </c>
    </row>
    <row r="6033" spans="1:1" x14ac:dyDescent="0.25">
      <c r="A6033" s="29">
        <v>43639</v>
      </c>
    </row>
    <row r="6034" spans="1:1" x14ac:dyDescent="0.25">
      <c r="A6034" s="29">
        <v>43640</v>
      </c>
    </row>
    <row r="6035" spans="1:1" x14ac:dyDescent="0.25">
      <c r="A6035" s="29">
        <v>43641</v>
      </c>
    </row>
    <row r="6036" spans="1:1" x14ac:dyDescent="0.25">
      <c r="A6036" s="29">
        <v>43642</v>
      </c>
    </row>
    <row r="6037" spans="1:1" x14ac:dyDescent="0.25">
      <c r="A6037" s="29">
        <v>43643</v>
      </c>
    </row>
    <row r="6038" spans="1:1" x14ac:dyDescent="0.25">
      <c r="A6038" s="29">
        <v>43644</v>
      </c>
    </row>
    <row r="6039" spans="1:1" x14ac:dyDescent="0.25">
      <c r="A6039" s="29">
        <v>43645</v>
      </c>
    </row>
    <row r="6040" spans="1:1" x14ac:dyDescent="0.25">
      <c r="A6040" s="29">
        <v>43646</v>
      </c>
    </row>
    <row r="6041" spans="1:1" x14ac:dyDescent="0.25">
      <c r="A6041" s="29">
        <v>43647</v>
      </c>
    </row>
    <row r="6042" spans="1:1" x14ac:dyDescent="0.25">
      <c r="A6042" s="29">
        <v>43648</v>
      </c>
    </row>
    <row r="6043" spans="1:1" x14ac:dyDescent="0.25">
      <c r="A6043" s="29">
        <v>43649</v>
      </c>
    </row>
    <row r="6044" spans="1:1" x14ac:dyDescent="0.25">
      <c r="A6044" s="29">
        <v>43650</v>
      </c>
    </row>
    <row r="6045" spans="1:1" x14ac:dyDescent="0.25">
      <c r="A6045" s="29">
        <v>43651</v>
      </c>
    </row>
    <row r="6046" spans="1:1" x14ac:dyDescent="0.25">
      <c r="A6046" s="29">
        <v>43652</v>
      </c>
    </row>
    <row r="6047" spans="1:1" x14ac:dyDescent="0.25">
      <c r="A6047" s="29">
        <v>43653</v>
      </c>
    </row>
    <row r="6048" spans="1:1" x14ac:dyDescent="0.25">
      <c r="A6048" s="29">
        <v>43654</v>
      </c>
    </row>
    <row r="6049" spans="1:1" x14ac:dyDescent="0.25">
      <c r="A6049" s="29">
        <v>43655</v>
      </c>
    </row>
    <row r="6050" spans="1:1" x14ac:dyDescent="0.25">
      <c r="A6050" s="29">
        <v>43656</v>
      </c>
    </row>
    <row r="6051" spans="1:1" x14ac:dyDescent="0.25">
      <c r="A6051" s="29">
        <v>43657</v>
      </c>
    </row>
    <row r="6052" spans="1:1" x14ac:dyDescent="0.25">
      <c r="A6052" s="29">
        <v>43658</v>
      </c>
    </row>
    <row r="6053" spans="1:1" x14ac:dyDescent="0.25">
      <c r="A6053" s="29">
        <v>43659</v>
      </c>
    </row>
    <row r="6054" spans="1:1" x14ac:dyDescent="0.25">
      <c r="A6054" s="29">
        <v>43660</v>
      </c>
    </row>
    <row r="6055" spans="1:1" x14ac:dyDescent="0.25">
      <c r="A6055" s="29">
        <v>43661</v>
      </c>
    </row>
    <row r="6056" spans="1:1" x14ac:dyDescent="0.25">
      <c r="A6056" s="29">
        <v>43662</v>
      </c>
    </row>
    <row r="6057" spans="1:1" x14ac:dyDescent="0.25">
      <c r="A6057" s="29">
        <v>43663</v>
      </c>
    </row>
    <row r="6058" spans="1:1" x14ac:dyDescent="0.25">
      <c r="A6058" s="29">
        <v>43664</v>
      </c>
    </row>
    <row r="6059" spans="1:1" x14ac:dyDescent="0.25">
      <c r="A6059" s="29">
        <v>43665</v>
      </c>
    </row>
    <row r="6060" spans="1:1" x14ac:dyDescent="0.25">
      <c r="A6060" s="29">
        <v>43666</v>
      </c>
    </row>
    <row r="6061" spans="1:1" x14ac:dyDescent="0.25">
      <c r="A6061" s="29">
        <v>43667</v>
      </c>
    </row>
    <row r="6062" spans="1:1" x14ac:dyDescent="0.25">
      <c r="A6062" s="29">
        <v>43668</v>
      </c>
    </row>
    <row r="6063" spans="1:1" x14ac:dyDescent="0.25">
      <c r="A6063" s="29">
        <v>43669</v>
      </c>
    </row>
    <row r="6064" spans="1:1" x14ac:dyDescent="0.25">
      <c r="A6064" s="29">
        <v>43670</v>
      </c>
    </row>
    <row r="6065" spans="1:1" x14ac:dyDescent="0.25">
      <c r="A6065" s="29">
        <v>43671</v>
      </c>
    </row>
    <row r="6066" spans="1:1" x14ac:dyDescent="0.25">
      <c r="A6066" s="29">
        <v>43672</v>
      </c>
    </row>
    <row r="6067" spans="1:1" x14ac:dyDescent="0.25">
      <c r="A6067" s="29">
        <v>43673</v>
      </c>
    </row>
    <row r="6068" spans="1:1" x14ac:dyDescent="0.25">
      <c r="A6068" s="29">
        <v>43674</v>
      </c>
    </row>
    <row r="6069" spans="1:1" x14ac:dyDescent="0.25">
      <c r="A6069" s="29">
        <v>43675</v>
      </c>
    </row>
    <row r="6070" spans="1:1" x14ac:dyDescent="0.25">
      <c r="A6070" s="29">
        <v>43676</v>
      </c>
    </row>
    <row r="6071" spans="1:1" x14ac:dyDescent="0.25">
      <c r="A6071" s="29">
        <v>43677</v>
      </c>
    </row>
    <row r="6072" spans="1:1" x14ac:dyDescent="0.25">
      <c r="A6072" s="29">
        <v>43678</v>
      </c>
    </row>
    <row r="6073" spans="1:1" x14ac:dyDescent="0.25">
      <c r="A6073" s="29">
        <v>43679</v>
      </c>
    </row>
    <row r="6074" spans="1:1" x14ac:dyDescent="0.25">
      <c r="A6074" s="29">
        <v>43680</v>
      </c>
    </row>
    <row r="6075" spans="1:1" x14ac:dyDescent="0.25">
      <c r="A6075" s="29">
        <v>43681</v>
      </c>
    </row>
    <row r="6076" spans="1:1" x14ac:dyDescent="0.25">
      <c r="A6076" s="29">
        <v>43682</v>
      </c>
    </row>
    <row r="6077" spans="1:1" x14ac:dyDescent="0.25">
      <c r="A6077" s="29">
        <v>43683</v>
      </c>
    </row>
    <row r="6078" spans="1:1" x14ac:dyDescent="0.25">
      <c r="A6078" s="29">
        <v>43684</v>
      </c>
    </row>
    <row r="6079" spans="1:1" x14ac:dyDescent="0.25">
      <c r="A6079" s="29">
        <v>43685</v>
      </c>
    </row>
    <row r="6080" spans="1:1" x14ac:dyDescent="0.25">
      <c r="A6080" s="29">
        <v>43686</v>
      </c>
    </row>
    <row r="6081" spans="1:1" x14ac:dyDescent="0.25">
      <c r="A6081" s="29">
        <v>43687</v>
      </c>
    </row>
    <row r="6082" spans="1:1" x14ac:dyDescent="0.25">
      <c r="A6082" s="29">
        <v>43688</v>
      </c>
    </row>
    <row r="6083" spans="1:1" x14ac:dyDescent="0.25">
      <c r="A6083" s="29">
        <v>43689</v>
      </c>
    </row>
    <row r="6084" spans="1:1" x14ac:dyDescent="0.25">
      <c r="A6084" s="29">
        <v>43690</v>
      </c>
    </row>
    <row r="6085" spans="1:1" x14ac:dyDescent="0.25">
      <c r="A6085" s="29">
        <v>43691</v>
      </c>
    </row>
    <row r="6086" spans="1:1" x14ac:dyDescent="0.25">
      <c r="A6086" s="29">
        <v>43692</v>
      </c>
    </row>
    <row r="6087" spans="1:1" x14ac:dyDescent="0.25">
      <c r="A6087" s="29">
        <v>43693</v>
      </c>
    </row>
    <row r="6088" spans="1:1" x14ac:dyDescent="0.25">
      <c r="A6088" s="29">
        <v>43694</v>
      </c>
    </row>
    <row r="6089" spans="1:1" x14ac:dyDescent="0.25">
      <c r="A6089" s="29">
        <v>43695</v>
      </c>
    </row>
    <row r="6090" spans="1:1" x14ac:dyDescent="0.25">
      <c r="A6090" s="29">
        <v>43696</v>
      </c>
    </row>
    <row r="6091" spans="1:1" x14ac:dyDescent="0.25">
      <c r="A6091" s="29">
        <v>43697</v>
      </c>
    </row>
    <row r="6092" spans="1:1" x14ac:dyDescent="0.25">
      <c r="A6092" s="29">
        <v>43698</v>
      </c>
    </row>
    <row r="6093" spans="1:1" x14ac:dyDescent="0.25">
      <c r="A6093" s="29">
        <v>43699</v>
      </c>
    </row>
    <row r="6094" spans="1:1" x14ac:dyDescent="0.25">
      <c r="A6094" s="29">
        <v>43700</v>
      </c>
    </row>
    <row r="6095" spans="1:1" x14ac:dyDescent="0.25">
      <c r="A6095" s="29">
        <v>43701</v>
      </c>
    </row>
    <row r="6096" spans="1:1" x14ac:dyDescent="0.25">
      <c r="A6096" s="29">
        <v>43702</v>
      </c>
    </row>
    <row r="6097" spans="1:1" x14ac:dyDescent="0.25">
      <c r="A6097" s="29">
        <v>43703</v>
      </c>
    </row>
    <row r="6098" spans="1:1" x14ac:dyDescent="0.25">
      <c r="A6098" s="29">
        <v>43704</v>
      </c>
    </row>
    <row r="6099" spans="1:1" x14ac:dyDescent="0.25">
      <c r="A6099" s="29">
        <v>43705</v>
      </c>
    </row>
    <row r="6100" spans="1:1" x14ac:dyDescent="0.25">
      <c r="A6100" s="29">
        <v>43706</v>
      </c>
    </row>
    <row r="6101" spans="1:1" x14ac:dyDescent="0.25">
      <c r="A6101" s="29">
        <v>43707</v>
      </c>
    </row>
    <row r="6102" spans="1:1" x14ac:dyDescent="0.25">
      <c r="A6102" s="29">
        <v>43708</v>
      </c>
    </row>
    <row r="6103" spans="1:1" x14ac:dyDescent="0.25">
      <c r="A6103" s="29">
        <v>43709</v>
      </c>
    </row>
    <row r="6104" spans="1:1" x14ac:dyDescent="0.25">
      <c r="A6104" s="29">
        <v>43710</v>
      </c>
    </row>
    <row r="6105" spans="1:1" x14ac:dyDescent="0.25">
      <c r="A6105" s="29">
        <v>43711</v>
      </c>
    </row>
    <row r="6106" spans="1:1" x14ac:dyDescent="0.25">
      <c r="A6106" s="29">
        <v>43712</v>
      </c>
    </row>
    <row r="6107" spans="1:1" x14ac:dyDescent="0.25">
      <c r="A6107" s="29">
        <v>43713</v>
      </c>
    </row>
    <row r="6108" spans="1:1" x14ac:dyDescent="0.25">
      <c r="A6108" s="29">
        <v>43714</v>
      </c>
    </row>
    <row r="6109" spans="1:1" x14ac:dyDescent="0.25">
      <c r="A6109" s="29">
        <v>43715</v>
      </c>
    </row>
    <row r="6110" spans="1:1" x14ac:dyDescent="0.25">
      <c r="A6110" s="29">
        <v>43716</v>
      </c>
    </row>
    <row r="6111" spans="1:1" x14ac:dyDescent="0.25">
      <c r="A6111" s="29">
        <v>43717</v>
      </c>
    </row>
    <row r="6112" spans="1:1" x14ac:dyDescent="0.25">
      <c r="A6112" s="29">
        <v>43718</v>
      </c>
    </row>
    <row r="6113" spans="1:1" x14ac:dyDescent="0.25">
      <c r="A6113" s="29">
        <v>43719</v>
      </c>
    </row>
    <row r="6114" spans="1:1" x14ac:dyDescent="0.25">
      <c r="A6114" s="29">
        <v>43720</v>
      </c>
    </row>
    <row r="6115" spans="1:1" x14ac:dyDescent="0.25">
      <c r="A6115" s="29">
        <v>43721</v>
      </c>
    </row>
    <row r="6116" spans="1:1" x14ac:dyDescent="0.25">
      <c r="A6116" s="29">
        <v>43722</v>
      </c>
    </row>
    <row r="6117" spans="1:1" x14ac:dyDescent="0.25">
      <c r="A6117" s="29">
        <v>43723</v>
      </c>
    </row>
    <row r="6118" spans="1:1" x14ac:dyDescent="0.25">
      <c r="A6118" s="29">
        <v>43724</v>
      </c>
    </row>
    <row r="6119" spans="1:1" x14ac:dyDescent="0.25">
      <c r="A6119" s="29">
        <v>43725</v>
      </c>
    </row>
    <row r="6120" spans="1:1" x14ac:dyDescent="0.25">
      <c r="A6120" s="29">
        <v>43726</v>
      </c>
    </row>
    <row r="6121" spans="1:1" x14ac:dyDescent="0.25">
      <c r="A6121" s="29">
        <v>43727</v>
      </c>
    </row>
    <row r="6122" spans="1:1" x14ac:dyDescent="0.25">
      <c r="A6122" s="29">
        <v>43728</v>
      </c>
    </row>
    <row r="6123" spans="1:1" x14ac:dyDescent="0.25">
      <c r="A6123" s="29">
        <v>43729</v>
      </c>
    </row>
    <row r="6124" spans="1:1" x14ac:dyDescent="0.25">
      <c r="A6124" s="29">
        <v>43730</v>
      </c>
    </row>
    <row r="6125" spans="1:1" x14ac:dyDescent="0.25">
      <c r="A6125" s="29">
        <v>43731</v>
      </c>
    </row>
    <row r="6126" spans="1:1" x14ac:dyDescent="0.25">
      <c r="A6126" s="29">
        <v>43732</v>
      </c>
    </row>
    <row r="6127" spans="1:1" x14ac:dyDescent="0.25">
      <c r="A6127" s="29">
        <v>43733</v>
      </c>
    </row>
    <row r="6128" spans="1:1" x14ac:dyDescent="0.25">
      <c r="A6128" s="29">
        <v>43734</v>
      </c>
    </row>
    <row r="6129" spans="1:1" x14ac:dyDescent="0.25">
      <c r="A6129" s="29">
        <v>43735</v>
      </c>
    </row>
    <row r="6130" spans="1:1" x14ac:dyDescent="0.25">
      <c r="A6130" s="29">
        <v>43736</v>
      </c>
    </row>
    <row r="6131" spans="1:1" x14ac:dyDescent="0.25">
      <c r="A6131" s="29">
        <v>43737</v>
      </c>
    </row>
    <row r="6132" spans="1:1" x14ac:dyDescent="0.25">
      <c r="A6132" s="29">
        <v>43738</v>
      </c>
    </row>
    <row r="6133" spans="1:1" x14ac:dyDescent="0.25">
      <c r="A6133" s="29">
        <v>43739</v>
      </c>
    </row>
    <row r="6134" spans="1:1" x14ac:dyDescent="0.25">
      <c r="A6134" s="29">
        <v>43740</v>
      </c>
    </row>
    <row r="6135" spans="1:1" x14ac:dyDescent="0.25">
      <c r="A6135" s="29">
        <v>43741</v>
      </c>
    </row>
    <row r="6136" spans="1:1" x14ac:dyDescent="0.25">
      <c r="A6136" s="29">
        <v>43742</v>
      </c>
    </row>
    <row r="6137" spans="1:1" x14ac:dyDescent="0.25">
      <c r="A6137" s="29">
        <v>43743</v>
      </c>
    </row>
    <row r="6138" spans="1:1" x14ac:dyDescent="0.25">
      <c r="A6138" s="29">
        <v>43744</v>
      </c>
    </row>
    <row r="6139" spans="1:1" x14ac:dyDescent="0.25">
      <c r="A6139" s="29">
        <v>43745</v>
      </c>
    </row>
    <row r="6140" spans="1:1" x14ac:dyDescent="0.25">
      <c r="A6140" s="29">
        <v>43746</v>
      </c>
    </row>
    <row r="6141" spans="1:1" x14ac:dyDescent="0.25">
      <c r="A6141" s="29">
        <v>43747</v>
      </c>
    </row>
    <row r="6142" spans="1:1" x14ac:dyDescent="0.25">
      <c r="A6142" s="29">
        <v>43748</v>
      </c>
    </row>
    <row r="6143" spans="1:1" x14ac:dyDescent="0.25">
      <c r="A6143" s="29">
        <v>43749</v>
      </c>
    </row>
    <row r="6144" spans="1:1" x14ac:dyDescent="0.25">
      <c r="A6144" s="29">
        <v>43750</v>
      </c>
    </row>
    <row r="6145" spans="1:1" x14ac:dyDescent="0.25">
      <c r="A6145" s="29">
        <v>43751</v>
      </c>
    </row>
    <row r="6146" spans="1:1" x14ac:dyDescent="0.25">
      <c r="A6146" s="29">
        <v>43752</v>
      </c>
    </row>
    <row r="6147" spans="1:1" x14ac:dyDescent="0.25">
      <c r="A6147" s="29">
        <v>43753</v>
      </c>
    </row>
    <row r="6148" spans="1:1" x14ac:dyDescent="0.25">
      <c r="A6148" s="29">
        <v>43754</v>
      </c>
    </row>
    <row r="6149" spans="1:1" x14ac:dyDescent="0.25">
      <c r="A6149" s="29">
        <v>43755</v>
      </c>
    </row>
    <row r="6150" spans="1:1" x14ac:dyDescent="0.25">
      <c r="A6150" s="29">
        <v>43756</v>
      </c>
    </row>
    <row r="6151" spans="1:1" x14ac:dyDescent="0.25">
      <c r="A6151" s="29">
        <v>43757</v>
      </c>
    </row>
    <row r="6152" spans="1:1" x14ac:dyDescent="0.25">
      <c r="A6152" s="29">
        <v>43758</v>
      </c>
    </row>
    <row r="6153" spans="1:1" x14ac:dyDescent="0.25">
      <c r="A6153" s="29">
        <v>43759</v>
      </c>
    </row>
    <row r="6154" spans="1:1" x14ac:dyDescent="0.25">
      <c r="A6154" s="29">
        <v>43760</v>
      </c>
    </row>
    <row r="6155" spans="1:1" x14ac:dyDescent="0.25">
      <c r="A6155" s="29">
        <v>43761</v>
      </c>
    </row>
    <row r="6156" spans="1:1" x14ac:dyDescent="0.25">
      <c r="A6156" s="29">
        <v>43762</v>
      </c>
    </row>
    <row r="6157" spans="1:1" x14ac:dyDescent="0.25">
      <c r="A6157" s="29">
        <v>43763</v>
      </c>
    </row>
    <row r="6158" spans="1:1" x14ac:dyDescent="0.25">
      <c r="A6158" s="29">
        <v>43764</v>
      </c>
    </row>
    <row r="6159" spans="1:1" x14ac:dyDescent="0.25">
      <c r="A6159" s="29">
        <v>43765</v>
      </c>
    </row>
    <row r="6160" spans="1:1" x14ac:dyDescent="0.25">
      <c r="A6160" s="29">
        <v>43766</v>
      </c>
    </row>
    <row r="6161" spans="1:1" x14ac:dyDescent="0.25">
      <c r="A6161" s="29">
        <v>43767</v>
      </c>
    </row>
    <row r="6162" spans="1:1" x14ac:dyDescent="0.25">
      <c r="A6162" s="29">
        <v>43768</v>
      </c>
    </row>
    <row r="6163" spans="1:1" x14ac:dyDescent="0.25">
      <c r="A6163" s="29">
        <v>43769</v>
      </c>
    </row>
    <row r="6164" spans="1:1" x14ac:dyDescent="0.25">
      <c r="A6164" s="29">
        <v>43770</v>
      </c>
    </row>
    <row r="6165" spans="1:1" x14ac:dyDescent="0.25">
      <c r="A6165" s="29">
        <v>43771</v>
      </c>
    </row>
    <row r="6166" spans="1:1" x14ac:dyDescent="0.25">
      <c r="A6166" s="29">
        <v>43772</v>
      </c>
    </row>
    <row r="6167" spans="1:1" x14ac:dyDescent="0.25">
      <c r="A6167" s="29">
        <v>43773</v>
      </c>
    </row>
    <row r="6168" spans="1:1" x14ac:dyDescent="0.25">
      <c r="A6168" s="29">
        <v>43774</v>
      </c>
    </row>
    <row r="6169" spans="1:1" x14ac:dyDescent="0.25">
      <c r="A6169" s="29">
        <v>43775</v>
      </c>
    </row>
    <row r="6170" spans="1:1" x14ac:dyDescent="0.25">
      <c r="A6170" s="29">
        <v>43776</v>
      </c>
    </row>
    <row r="6171" spans="1:1" x14ac:dyDescent="0.25">
      <c r="A6171" s="29">
        <v>43777</v>
      </c>
    </row>
    <row r="6172" spans="1:1" x14ac:dyDescent="0.25">
      <c r="A6172" s="29">
        <v>43778</v>
      </c>
    </row>
    <row r="6173" spans="1:1" x14ac:dyDescent="0.25">
      <c r="A6173" s="29">
        <v>43779</v>
      </c>
    </row>
    <row r="6174" spans="1:1" x14ac:dyDescent="0.25">
      <c r="A6174" s="29">
        <v>43780</v>
      </c>
    </row>
    <row r="6175" spans="1:1" x14ac:dyDescent="0.25">
      <c r="A6175" s="29">
        <v>43781</v>
      </c>
    </row>
    <row r="6176" spans="1:1" x14ac:dyDescent="0.25">
      <c r="A6176" s="29">
        <v>43782</v>
      </c>
    </row>
    <row r="6177" spans="1:1" x14ac:dyDescent="0.25">
      <c r="A6177" s="29">
        <v>43783</v>
      </c>
    </row>
    <row r="6178" spans="1:1" x14ac:dyDescent="0.25">
      <c r="A6178" s="29">
        <v>43784</v>
      </c>
    </row>
    <row r="6179" spans="1:1" x14ac:dyDescent="0.25">
      <c r="A6179" s="29">
        <v>43785</v>
      </c>
    </row>
    <row r="6180" spans="1:1" x14ac:dyDescent="0.25">
      <c r="A6180" s="29">
        <v>43786</v>
      </c>
    </row>
    <row r="6181" spans="1:1" x14ac:dyDescent="0.25">
      <c r="A6181" s="29">
        <v>43787</v>
      </c>
    </row>
    <row r="6182" spans="1:1" x14ac:dyDescent="0.25">
      <c r="A6182" s="29">
        <v>43788</v>
      </c>
    </row>
    <row r="6183" spans="1:1" x14ac:dyDescent="0.25">
      <c r="A6183" s="29">
        <v>43789</v>
      </c>
    </row>
    <row r="6184" spans="1:1" x14ac:dyDescent="0.25">
      <c r="A6184" s="29">
        <v>43790</v>
      </c>
    </row>
    <row r="6185" spans="1:1" x14ac:dyDescent="0.25">
      <c r="A6185" s="29">
        <v>43791</v>
      </c>
    </row>
    <row r="6186" spans="1:1" x14ac:dyDescent="0.25">
      <c r="A6186" s="29">
        <v>43792</v>
      </c>
    </row>
    <row r="6187" spans="1:1" x14ac:dyDescent="0.25">
      <c r="A6187" s="29">
        <v>43793</v>
      </c>
    </row>
    <row r="6188" spans="1:1" x14ac:dyDescent="0.25">
      <c r="A6188" s="29">
        <v>43794</v>
      </c>
    </row>
    <row r="6189" spans="1:1" x14ac:dyDescent="0.25">
      <c r="A6189" s="29">
        <v>43795</v>
      </c>
    </row>
    <row r="6190" spans="1:1" x14ac:dyDescent="0.25">
      <c r="A6190" s="29">
        <v>43796</v>
      </c>
    </row>
    <row r="6191" spans="1:1" x14ac:dyDescent="0.25">
      <c r="A6191" s="29">
        <v>43797</v>
      </c>
    </row>
    <row r="6192" spans="1:1" x14ac:dyDescent="0.25">
      <c r="A6192" s="29">
        <v>43798</v>
      </c>
    </row>
    <row r="6193" spans="1:1" x14ac:dyDescent="0.25">
      <c r="A6193" s="29">
        <v>43799</v>
      </c>
    </row>
    <row r="6194" spans="1:1" x14ac:dyDescent="0.25">
      <c r="A6194" s="29">
        <v>43800</v>
      </c>
    </row>
    <row r="6195" spans="1:1" x14ac:dyDescent="0.25">
      <c r="A6195" s="29">
        <v>43801</v>
      </c>
    </row>
    <row r="6196" spans="1:1" x14ac:dyDescent="0.25">
      <c r="A6196" s="29">
        <v>43802</v>
      </c>
    </row>
    <row r="6197" spans="1:1" x14ac:dyDescent="0.25">
      <c r="A6197" s="29">
        <v>43803</v>
      </c>
    </row>
    <row r="6198" spans="1:1" x14ac:dyDescent="0.25">
      <c r="A6198" s="29">
        <v>43804</v>
      </c>
    </row>
    <row r="6199" spans="1:1" x14ac:dyDescent="0.25">
      <c r="A6199" s="29">
        <v>43805</v>
      </c>
    </row>
    <row r="6200" spans="1:1" x14ac:dyDescent="0.25">
      <c r="A6200" s="29">
        <v>43806</v>
      </c>
    </row>
    <row r="6201" spans="1:1" x14ac:dyDescent="0.25">
      <c r="A6201" s="29">
        <v>43807</v>
      </c>
    </row>
    <row r="6202" spans="1:1" x14ac:dyDescent="0.25">
      <c r="A6202" s="29">
        <v>43808</v>
      </c>
    </row>
    <row r="6203" spans="1:1" x14ac:dyDescent="0.25">
      <c r="A6203" s="29">
        <v>43809</v>
      </c>
    </row>
    <row r="6204" spans="1:1" x14ac:dyDescent="0.25">
      <c r="A6204" s="29">
        <v>43810</v>
      </c>
    </row>
    <row r="6205" spans="1:1" x14ac:dyDescent="0.25">
      <c r="A6205" s="29">
        <v>43811</v>
      </c>
    </row>
    <row r="6206" spans="1:1" x14ac:dyDescent="0.25">
      <c r="A6206" s="29">
        <v>43812</v>
      </c>
    </row>
    <row r="6207" spans="1:1" x14ac:dyDescent="0.25">
      <c r="A6207" s="29">
        <v>43813</v>
      </c>
    </row>
    <row r="6208" spans="1:1" x14ac:dyDescent="0.25">
      <c r="A6208" s="29">
        <v>43814</v>
      </c>
    </row>
    <row r="6209" spans="1:1" x14ac:dyDescent="0.25">
      <c r="A6209" s="29">
        <v>43815</v>
      </c>
    </row>
    <row r="6210" spans="1:1" x14ac:dyDescent="0.25">
      <c r="A6210" s="29">
        <v>43816</v>
      </c>
    </row>
    <row r="6211" spans="1:1" x14ac:dyDescent="0.25">
      <c r="A6211" s="29">
        <v>43817</v>
      </c>
    </row>
    <row r="6212" spans="1:1" x14ac:dyDescent="0.25">
      <c r="A6212" s="29">
        <v>43818</v>
      </c>
    </row>
    <row r="6213" spans="1:1" x14ac:dyDescent="0.25">
      <c r="A6213" s="29">
        <v>43819</v>
      </c>
    </row>
    <row r="6214" spans="1:1" x14ac:dyDescent="0.25">
      <c r="A6214" s="29">
        <v>43820</v>
      </c>
    </row>
    <row r="6215" spans="1:1" x14ac:dyDescent="0.25">
      <c r="A6215" s="29">
        <v>43821</v>
      </c>
    </row>
    <row r="6216" spans="1:1" x14ac:dyDescent="0.25">
      <c r="A6216" s="29">
        <v>43822</v>
      </c>
    </row>
    <row r="6217" spans="1:1" x14ac:dyDescent="0.25">
      <c r="A6217" s="29">
        <v>43823</v>
      </c>
    </row>
    <row r="6218" spans="1:1" x14ac:dyDescent="0.25">
      <c r="A6218" s="29">
        <v>43824</v>
      </c>
    </row>
    <row r="6219" spans="1:1" x14ac:dyDescent="0.25">
      <c r="A6219" s="29">
        <v>43825</v>
      </c>
    </row>
    <row r="6220" spans="1:1" x14ac:dyDescent="0.25">
      <c r="A6220" s="29">
        <v>43826</v>
      </c>
    </row>
    <row r="6221" spans="1:1" x14ac:dyDescent="0.25">
      <c r="A6221" s="29">
        <v>43827</v>
      </c>
    </row>
    <row r="6222" spans="1:1" x14ac:dyDescent="0.25">
      <c r="A6222" s="29">
        <v>43828</v>
      </c>
    </row>
    <row r="6223" spans="1:1" x14ac:dyDescent="0.25">
      <c r="A6223" s="29">
        <v>43829</v>
      </c>
    </row>
    <row r="6224" spans="1:1" x14ac:dyDescent="0.25">
      <c r="A6224" s="29">
        <v>43830</v>
      </c>
    </row>
  </sheetData>
  <conditionalFormatting sqref="B16:G3989">
    <cfRule type="expression" dxfId="2" priority="2">
      <formula>B16=""</formula>
    </cfRule>
  </conditionalFormatting>
  <conditionalFormatting sqref="B9:G9 B11:C11 F11:G11">
    <cfRule type="expression" dxfId="1" priority="1">
      <formula>B9=0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lection">
    <tabColor rgb="FFFFC000"/>
  </sheetPr>
  <dimension ref="A1:P6236"/>
  <sheetViews>
    <sheetView showGridLines="0" tabSelected="1" workbookViewId="0">
      <selection activeCell="C7" sqref="C7"/>
    </sheetView>
  </sheetViews>
  <sheetFormatPr defaultRowHeight="15" outlineLevelCol="1" x14ac:dyDescent="0.25"/>
  <cols>
    <col min="1" max="1" width="4.7109375" customWidth="1"/>
    <col min="2" max="2" width="20.5703125" bestFit="1" customWidth="1"/>
    <col min="3" max="3" width="28.7109375" customWidth="1"/>
    <col min="6" max="6" width="10.7109375" customWidth="1"/>
    <col min="7" max="7" width="15.42578125" customWidth="1"/>
    <col min="8" max="8" width="12.7109375" hidden="1" customWidth="1" outlineLevel="1"/>
    <col min="9" max="9" width="10.28515625" hidden="1" customWidth="1" outlineLevel="1"/>
    <col min="10" max="10" width="16" customWidth="1" collapsed="1"/>
    <col min="14" max="15" width="9.140625" hidden="1" customWidth="1" outlineLevel="1"/>
    <col min="16" max="16" width="9.140625" collapsed="1"/>
  </cols>
  <sheetData>
    <row r="1" spans="1:15" ht="21" x14ac:dyDescent="0.35">
      <c r="A1" s="9" t="s">
        <v>34</v>
      </c>
      <c r="B1" s="5"/>
      <c r="C1" s="5"/>
      <c r="D1" s="5"/>
      <c r="E1" s="5"/>
      <c r="F1" s="5"/>
      <c r="G1" s="5"/>
    </row>
    <row r="2" spans="1:15" ht="27" customHeight="1" x14ac:dyDescent="0.25">
      <c r="A2" s="3"/>
    </row>
    <row r="3" spans="1:15" ht="15.75" x14ac:dyDescent="0.25">
      <c r="A3" s="27" t="s">
        <v>33</v>
      </c>
      <c r="B3" s="18"/>
      <c r="C3" s="18"/>
      <c r="D3" s="18"/>
      <c r="E3" s="18"/>
    </row>
    <row r="4" spans="1:15" x14ac:dyDescent="0.25">
      <c r="A4" s="3"/>
    </row>
    <row r="5" spans="1:15" x14ac:dyDescent="0.25">
      <c r="A5" s="3"/>
    </row>
    <row r="6" spans="1:15" ht="15.75" thickBot="1" x14ac:dyDescent="0.3">
      <c r="A6" s="3"/>
      <c r="G6" s="7" t="s">
        <v>35</v>
      </c>
    </row>
    <row r="7" spans="1:15" ht="16.5" thickBot="1" x14ac:dyDescent="0.3">
      <c r="A7" s="3"/>
      <c r="B7" s="26" t="s">
        <v>10</v>
      </c>
      <c r="C7" s="149" t="s">
        <v>18</v>
      </c>
      <c r="G7" s="33" t="s">
        <v>28</v>
      </c>
      <c r="H7" s="34" t="s">
        <v>9</v>
      </c>
      <c r="I7" s="34" t="s">
        <v>13</v>
      </c>
      <c r="J7" s="35" t="s">
        <v>29</v>
      </c>
      <c r="K7" s="82" t="str">
        <f>D27</f>
        <v>HDD65</v>
      </c>
      <c r="L7" s="83" t="str">
        <f>E27</f>
        <v>CDD65</v>
      </c>
    </row>
    <row r="8" spans="1:15" x14ac:dyDescent="0.25">
      <c r="A8" s="3"/>
      <c r="G8" s="12">
        <v>37622</v>
      </c>
      <c r="H8" s="13">
        <f>MATCH(G8,Data!$A:$A)</f>
        <v>16</v>
      </c>
      <c r="I8" s="13">
        <f ca="1">COUNTA(OFFSET(Data!$A$1,$H8-1,$O$11-1,H9-H8,1))</f>
        <v>365</v>
      </c>
      <c r="J8" s="79">
        <f t="shared" ref="J8:J19" ca="1" si="0">I8/(H9-H8)</f>
        <v>1</v>
      </c>
      <c r="K8" s="84">
        <f t="shared" ref="K8:K21" ca="1" si="1">SUMIFS(D$27:D$6236,$B$27:$B$6236,"&gt;="&amp;$G8,$B$27:$B$6236,"&lt;"&amp;$G9)</f>
        <v>5148.099999999994</v>
      </c>
      <c r="L8" s="85">
        <f t="shared" ref="L8:L21" ca="1" si="2">SUMIFS(E$27:E$6236,$B$27:$B$6236,"&gt;="&amp;$G8,$B$27:$B$6236,"&lt;"&amp;$G9)</f>
        <v>1076.6000000000001</v>
      </c>
    </row>
    <row r="9" spans="1:15" ht="15.75" thickBot="1" x14ac:dyDescent="0.3">
      <c r="A9" s="3"/>
      <c r="G9" s="14">
        <v>37987</v>
      </c>
      <c r="H9" s="15">
        <f t="shared" ref="H9:H20" si="3">H8+G9-G8</f>
        <v>381</v>
      </c>
      <c r="I9" s="15">
        <f ca="1">COUNTA(OFFSET(Data!$A$1,$H9-1,$O$11-1,H10-H9,1))</f>
        <v>366</v>
      </c>
      <c r="J9" s="80">
        <f t="shared" ca="1" si="0"/>
        <v>1</v>
      </c>
      <c r="K9" s="86">
        <f t="shared" ca="1" si="1"/>
        <v>4826.8000000000011</v>
      </c>
      <c r="L9" s="87">
        <f t="shared" ca="1" si="2"/>
        <v>1080.8999999999999</v>
      </c>
    </row>
    <row r="10" spans="1:15" ht="15.75" thickBot="1" x14ac:dyDescent="0.3">
      <c r="A10" s="3"/>
      <c r="B10" s="20"/>
      <c r="C10" s="10" t="s">
        <v>16</v>
      </c>
      <c r="D10" s="11" t="s">
        <v>27</v>
      </c>
      <c r="G10" s="16">
        <v>38353</v>
      </c>
      <c r="H10" s="17">
        <f t="shared" si="3"/>
        <v>747</v>
      </c>
      <c r="I10" s="17">
        <f ca="1">COUNTA(OFFSET(Data!$A$1,$H10-1,$O$11-1,H11-H10,1))</f>
        <v>365</v>
      </c>
      <c r="J10" s="81">
        <f t="shared" ca="1" si="0"/>
        <v>1</v>
      </c>
      <c r="K10" s="88">
        <f t="shared" ca="1" si="1"/>
        <v>4812.7</v>
      </c>
      <c r="L10" s="89">
        <f t="shared" ca="1" si="2"/>
        <v>1475.3000000000002</v>
      </c>
      <c r="N10" s="7" t="s">
        <v>10</v>
      </c>
    </row>
    <row r="11" spans="1:15" ht="15.75" thickTop="1" x14ac:dyDescent="0.25">
      <c r="A11" s="3"/>
      <c r="B11" s="21" t="s">
        <v>8</v>
      </c>
      <c r="C11" s="13">
        <f>IF($C$7="","",INDEX(Data!$4:$12,6,MATCH($C$7,Data!$4:$4,0)))</f>
        <v>0</v>
      </c>
      <c r="D11" s="22">
        <f>IF($C$7="","",INDEX(Data!$4:$12,7,MATCH($C$7,Data!$4:$4,0)))</f>
        <v>0</v>
      </c>
      <c r="G11" s="14">
        <v>38718</v>
      </c>
      <c r="H11" s="15">
        <f t="shared" si="3"/>
        <v>1112</v>
      </c>
      <c r="I11" s="15">
        <f ca="1">COUNTA(OFFSET(Data!$A$1,$H11-1,$O$11-1,H12-H11,1))</f>
        <v>365</v>
      </c>
      <c r="J11" s="80">
        <f t="shared" ca="1" si="0"/>
        <v>1</v>
      </c>
      <c r="K11" s="86">
        <f t="shared" ca="1" si="1"/>
        <v>3805.2</v>
      </c>
      <c r="L11" s="87">
        <f t="shared" ca="1" si="2"/>
        <v>1320.6999999999994</v>
      </c>
      <c r="N11" t="s">
        <v>14</v>
      </c>
      <c r="O11">
        <f>MATCH($C$7,Data!$4:$4,0)</f>
        <v>3</v>
      </c>
    </row>
    <row r="12" spans="1:15" ht="15.75" thickBot="1" x14ac:dyDescent="0.3">
      <c r="A12" s="3"/>
      <c r="B12" s="23" t="s">
        <v>26</v>
      </c>
      <c r="C12" s="24">
        <f>IF($C$7="","",INDEX(Data!$4:$12,8,MATCH($C$7,Data!$4:$4,0)))</f>
        <v>0</v>
      </c>
      <c r="D12" s="25">
        <f>IF($C$7="","",INDEX(Data!$4:$12,9,MATCH($C$7,Data!$4:$4,0)))</f>
        <v>0</v>
      </c>
      <c r="G12" s="16">
        <v>39083</v>
      </c>
      <c r="H12" s="17">
        <f t="shared" si="3"/>
        <v>1477</v>
      </c>
      <c r="I12" s="17">
        <f ca="1">COUNTA(OFFSET(Data!$A$1,$H12-1,$O$11-1,H13-H12,1))</f>
        <v>365</v>
      </c>
      <c r="J12" s="81">
        <f t="shared" ca="1" si="0"/>
        <v>1</v>
      </c>
      <c r="K12" s="88">
        <f t="shared" ca="1" si="1"/>
        <v>4500.3000000000011</v>
      </c>
      <c r="L12" s="89">
        <f t="shared" ca="1" si="2"/>
        <v>1473.8000000000004</v>
      </c>
    </row>
    <row r="13" spans="1:15" x14ac:dyDescent="0.25">
      <c r="A13" s="3"/>
      <c r="G13" s="14">
        <v>39448</v>
      </c>
      <c r="H13" s="15">
        <f t="shared" si="3"/>
        <v>1842</v>
      </c>
      <c r="I13" s="15">
        <f ca="1">COUNTA(OFFSET(Data!$A$1,$H13-1,$O$11-1,H14-H13,1))</f>
        <v>366</v>
      </c>
      <c r="J13" s="80">
        <f t="shared" ca="1" si="0"/>
        <v>1</v>
      </c>
      <c r="K13" s="86">
        <f t="shared" ca="1" si="1"/>
        <v>4528.2000000000007</v>
      </c>
      <c r="L13" s="87">
        <f t="shared" ca="1" si="2"/>
        <v>1260.9999999999995</v>
      </c>
    </row>
    <row r="14" spans="1:15" x14ac:dyDescent="0.25">
      <c r="A14" s="3"/>
      <c r="B14" s="19"/>
      <c r="G14" s="16">
        <v>39814</v>
      </c>
      <c r="H14" s="17">
        <f t="shared" si="3"/>
        <v>2208</v>
      </c>
      <c r="I14" s="17">
        <f ca="1">COUNTA(OFFSET(Data!$A$1,$H14-1,$O$11-1,H15-H14,1))</f>
        <v>365</v>
      </c>
      <c r="J14" s="81">
        <f t="shared" ca="1" si="0"/>
        <v>1</v>
      </c>
      <c r="K14" s="88">
        <f t="shared" ca="1" si="1"/>
        <v>4765.5</v>
      </c>
      <c r="L14" s="89">
        <f t="shared" ca="1" si="2"/>
        <v>930.09999999999991</v>
      </c>
    </row>
    <row r="15" spans="1:15" x14ac:dyDescent="0.25">
      <c r="A15" s="3"/>
      <c r="G15" s="14">
        <v>40179</v>
      </c>
      <c r="H15" s="15">
        <f t="shared" si="3"/>
        <v>2573</v>
      </c>
      <c r="I15" s="15">
        <f ca="1">COUNTA(OFFSET(Data!$A$1,$H15-1,$O$11-1,H16-H15,1))</f>
        <v>365</v>
      </c>
      <c r="J15" s="80">
        <f t="shared" ca="1" si="0"/>
        <v>1</v>
      </c>
      <c r="K15" s="86">
        <f t="shared" ca="1" si="1"/>
        <v>4347.4000000000005</v>
      </c>
      <c r="L15" s="87">
        <f t="shared" ca="1" si="2"/>
        <v>1625.8999999999996</v>
      </c>
    </row>
    <row r="16" spans="1:15" x14ac:dyDescent="0.25">
      <c r="A16" s="3"/>
      <c r="G16" s="16">
        <v>40544</v>
      </c>
      <c r="H16" s="17">
        <f t="shared" si="3"/>
        <v>2938</v>
      </c>
      <c r="I16" s="17">
        <f ca="1">COUNTA(OFFSET(Data!$A$1,$H16-1,$O$11-1,H17-H16,1))</f>
        <v>365</v>
      </c>
      <c r="J16" s="81">
        <f t="shared" ca="1" si="0"/>
        <v>1</v>
      </c>
      <c r="K16" s="88">
        <f t="shared" ca="1" si="1"/>
        <v>4422.7999999999975</v>
      </c>
      <c r="L16" s="89">
        <f t="shared" ca="1" si="2"/>
        <v>1271.6000000000001</v>
      </c>
    </row>
    <row r="17" spans="1:12" x14ac:dyDescent="0.25">
      <c r="A17" s="3"/>
      <c r="G17" s="14">
        <v>40909</v>
      </c>
      <c r="H17" s="15">
        <f t="shared" si="3"/>
        <v>3303</v>
      </c>
      <c r="I17" s="15">
        <f ca="1">COUNTA(OFFSET(Data!$A$1,$H17-1,$O$11-1,H18-H17,1))</f>
        <v>366</v>
      </c>
      <c r="J17" s="80">
        <f t="shared" ca="1" si="0"/>
        <v>1</v>
      </c>
      <c r="K17" s="86">
        <f t="shared" ca="1" si="1"/>
        <v>3915.1999999999975</v>
      </c>
      <c r="L17" s="87">
        <f t="shared" ca="1" si="2"/>
        <v>1391.2000000000003</v>
      </c>
    </row>
    <row r="18" spans="1:12" x14ac:dyDescent="0.25">
      <c r="A18" s="3"/>
      <c r="G18" s="16">
        <v>41275</v>
      </c>
      <c r="H18" s="17">
        <f t="shared" si="3"/>
        <v>3669</v>
      </c>
      <c r="I18" s="17">
        <f ca="1">COUNTA(OFFSET(Data!$A$1,$H18-1,$O$11-1,H19-H18,1))</f>
        <v>365</v>
      </c>
      <c r="J18" s="81">
        <f t="shared" ca="1" si="0"/>
        <v>1</v>
      </c>
      <c r="K18" s="88">
        <f t="shared" ca="1" si="1"/>
        <v>4709.9999999999982</v>
      </c>
      <c r="L18" s="89">
        <f t="shared" ca="1" si="2"/>
        <v>1286.9999999999998</v>
      </c>
    </row>
    <row r="19" spans="1:12" x14ac:dyDescent="0.25">
      <c r="A19" s="3"/>
      <c r="B19" s="28"/>
      <c r="G19" s="14">
        <v>41640</v>
      </c>
      <c r="H19" s="15">
        <f t="shared" si="3"/>
        <v>4034</v>
      </c>
      <c r="I19" s="15">
        <f ca="1">COUNTA(OFFSET(Data!$A$1,$H19-1,$O$11-1,H20-H19,1))</f>
        <v>365</v>
      </c>
      <c r="J19" s="80">
        <f t="shared" ca="1" si="0"/>
        <v>1</v>
      </c>
      <c r="K19" s="86">
        <f t="shared" ca="1" si="1"/>
        <v>5032.4000000000024</v>
      </c>
      <c r="L19" s="87">
        <f t="shared" ca="1" si="2"/>
        <v>1082.1000000000004</v>
      </c>
    </row>
    <row r="20" spans="1:12" x14ac:dyDescent="0.25">
      <c r="A20" s="3"/>
      <c r="G20" s="16">
        <v>42005</v>
      </c>
      <c r="H20" s="17">
        <f t="shared" si="3"/>
        <v>4399</v>
      </c>
      <c r="I20" s="17">
        <f ca="1">COUNTA(OFFSET(Data!$A$1,$H20-1,$O$11-1,H21-H20,1))</f>
        <v>365</v>
      </c>
      <c r="J20" s="81">
        <f t="shared" ref="J20" ca="1" si="4">I20/(H21-H20)</f>
        <v>1</v>
      </c>
      <c r="K20" s="88">
        <f t="shared" ca="1" si="1"/>
        <v>4585.4000000000005</v>
      </c>
      <c r="L20" s="89">
        <f t="shared" ca="1" si="2"/>
        <v>1428.7999999999997</v>
      </c>
    </row>
    <row r="21" spans="1:12" x14ac:dyDescent="0.25">
      <c r="A21" s="3"/>
      <c r="B21" s="1"/>
      <c r="G21" s="14">
        <v>42370</v>
      </c>
      <c r="H21" s="15">
        <f>H20+G21-G20</f>
        <v>4764</v>
      </c>
      <c r="I21" s="15">
        <f ca="1">COUNTA(OFFSET(Data!$A$1,$H21-1,$O$11-1,H22-H21,1))</f>
        <v>146</v>
      </c>
      <c r="J21" s="80">
        <f t="shared" ref="J21" ca="1" si="5">I21/(H22-H21)</f>
        <v>0.39890710382513661</v>
      </c>
      <c r="K21" s="86">
        <f t="shared" ca="1" si="1"/>
        <v>2746.6999999999985</v>
      </c>
      <c r="L21" s="87">
        <f t="shared" ca="1" si="2"/>
        <v>15.700000000000003</v>
      </c>
    </row>
    <row r="22" spans="1:12" ht="15.75" x14ac:dyDescent="0.25">
      <c r="A22" s="27" t="s">
        <v>30</v>
      </c>
      <c r="B22" s="18"/>
      <c r="C22" s="18"/>
      <c r="D22" s="18"/>
      <c r="E22" s="18"/>
      <c r="G22" s="16">
        <v>42736</v>
      </c>
      <c r="H22" s="17">
        <f>H21+G22-G21</f>
        <v>5130</v>
      </c>
      <c r="I22" s="17"/>
      <c r="J22" s="81"/>
      <c r="K22" s="88"/>
      <c r="L22" s="89"/>
    </row>
    <row r="24" spans="1:12" x14ac:dyDescent="0.25">
      <c r="A24" t="s">
        <v>31</v>
      </c>
    </row>
    <row r="25" spans="1:12" x14ac:dyDescent="0.25">
      <c r="E25" s="63"/>
    </row>
    <row r="26" spans="1:12" x14ac:dyDescent="0.25">
      <c r="A26" s="3"/>
      <c r="C26" s="151" t="s">
        <v>91</v>
      </c>
      <c r="D26" s="152">
        <f>IF(Regression!D4="",1000000,Regression!D4)</f>
        <v>65</v>
      </c>
      <c r="E26" s="153">
        <f>IF(Regression!D5="",1000000,Regression!D5)</f>
        <v>65</v>
      </c>
    </row>
    <row r="27" spans="1:12" x14ac:dyDescent="0.25">
      <c r="A27" s="3"/>
      <c r="B27" s="1" t="s">
        <v>15</v>
      </c>
      <c r="C27" s="1" t="s">
        <v>32</v>
      </c>
      <c r="D27" s="1" t="str">
        <f>"HDD"&amp;TEXT(D26,"0")</f>
        <v>HDD65</v>
      </c>
      <c r="E27" s="1" t="str">
        <f>"CDD"&amp;TEXT(E26,"0")</f>
        <v>CDD65</v>
      </c>
    </row>
    <row r="28" spans="1:12" x14ac:dyDescent="0.25">
      <c r="A28" s="3"/>
      <c r="B28" s="8">
        <v>37622</v>
      </c>
      <c r="C28" s="6">
        <f ca="1">IF(OR($C$7="",$B28&gt;NOW()),"",IF(INDEX(Data!$A:$G,MATCH($B28,Data!$A:$A,0),MATCH($C$7,Data!$4:$4,0))="","",INDEX(Data!$A:$G,MATCH($B28,Data!$A:$A,0),MATCH($C$7,Data!$4:$4,0))))</f>
        <v>44.9</v>
      </c>
      <c r="D28" s="1">
        <f ca="1">IF($C28="","",IF($C28&gt;$D$26,0,$D$26-$C28))</f>
        <v>20.100000000000001</v>
      </c>
      <c r="E28" s="1">
        <f ca="1">IF($C28="","",IF($C28&lt;$E$26,0,$C28-$E$26))</f>
        <v>0</v>
      </c>
    </row>
    <row r="29" spans="1:12" x14ac:dyDescent="0.25">
      <c r="A29" s="3"/>
      <c r="B29" s="8">
        <v>37623</v>
      </c>
      <c r="C29" s="6">
        <f ca="1">IF(OR($C$7="",$B29&gt;NOW()),"",IF(INDEX(Data!$A:$G,MATCH($B29,Data!$A:$A,0),MATCH($C$7,Data!$4:$4,0))="","",INDEX(Data!$A:$G,MATCH($B29,Data!$A:$A,0),MATCH($C$7,Data!$4:$4,0))))</f>
        <v>34.799999999999997</v>
      </c>
      <c r="D29" s="148">
        <f t="shared" ref="D29:D92" ca="1" si="6">IF($C29="","",IF($C29&gt;$D$26,0,$D$26-$C29))</f>
        <v>30.200000000000003</v>
      </c>
      <c r="E29" s="148">
        <f t="shared" ref="E29:E92" ca="1" si="7">IF($C29="","",IF($C29&lt;$E$26,0,$C29-$E$26))</f>
        <v>0</v>
      </c>
    </row>
    <row r="30" spans="1:12" x14ac:dyDescent="0.25">
      <c r="A30" s="3"/>
      <c r="B30" s="8">
        <v>37624</v>
      </c>
      <c r="C30" s="6">
        <f ca="1">IF(OR($C$7="",$B30&gt;NOW()),"",IF(INDEX(Data!$A:$G,MATCH($B30,Data!$A:$A,0),MATCH($C$7,Data!$4:$4,0))="","",INDEX(Data!$A:$G,MATCH($B30,Data!$A:$A,0),MATCH($C$7,Data!$4:$4,0))))</f>
        <v>32</v>
      </c>
      <c r="D30" s="148">
        <f t="shared" ca="1" si="6"/>
        <v>33</v>
      </c>
      <c r="E30" s="148">
        <f t="shared" ca="1" si="7"/>
        <v>0</v>
      </c>
    </row>
    <row r="31" spans="1:12" x14ac:dyDescent="0.25">
      <c r="A31" s="3"/>
      <c r="B31" s="8">
        <v>37625</v>
      </c>
      <c r="C31" s="6">
        <f ca="1">IF(OR($C$7="",$B31&gt;NOW()),"",IF(INDEX(Data!$A:$G,MATCH($B31,Data!$A:$A,0),MATCH($C$7,Data!$4:$4,0))="","",INDEX(Data!$A:$G,MATCH($B31,Data!$A:$A,0),MATCH($C$7,Data!$4:$4,0))))</f>
        <v>33.700000000000003</v>
      </c>
      <c r="D31" s="148">
        <f t="shared" ca="1" si="6"/>
        <v>31.299999999999997</v>
      </c>
      <c r="E31" s="148">
        <f t="shared" ca="1" si="7"/>
        <v>0</v>
      </c>
    </row>
    <row r="32" spans="1:12" x14ac:dyDescent="0.25">
      <c r="A32" s="3"/>
      <c r="B32" s="8">
        <v>37626</v>
      </c>
      <c r="C32" s="6">
        <f ca="1">IF(OR($C$7="",$B32&gt;NOW()),"",IF(INDEX(Data!$A:$G,MATCH($B32,Data!$A:$A,0),MATCH($C$7,Data!$4:$4,0))="","",INDEX(Data!$A:$G,MATCH($B32,Data!$A:$A,0),MATCH($C$7,Data!$4:$4,0))))</f>
        <v>34.4</v>
      </c>
      <c r="D32" s="148">
        <f t="shared" ca="1" si="6"/>
        <v>30.6</v>
      </c>
      <c r="E32" s="148">
        <f t="shared" ca="1" si="7"/>
        <v>0</v>
      </c>
    </row>
    <row r="33" spans="1:5" x14ac:dyDescent="0.25">
      <c r="A33" s="3"/>
      <c r="B33" s="8">
        <v>37627</v>
      </c>
      <c r="C33" s="6">
        <f ca="1">IF(OR($C$7="",$B33&gt;NOW()),"",IF(INDEX(Data!$A:$G,MATCH($B33,Data!$A:$A,0),MATCH($C$7,Data!$4:$4,0))="","",INDEX(Data!$A:$G,MATCH($B33,Data!$A:$A,0),MATCH($C$7,Data!$4:$4,0))))</f>
        <v>33.299999999999997</v>
      </c>
      <c r="D33" s="148">
        <f t="shared" ca="1" si="6"/>
        <v>31.700000000000003</v>
      </c>
      <c r="E33" s="148">
        <f t="shared" ca="1" si="7"/>
        <v>0</v>
      </c>
    </row>
    <row r="34" spans="1:5" x14ac:dyDescent="0.25">
      <c r="A34" s="3"/>
      <c r="B34" s="8">
        <v>37628</v>
      </c>
      <c r="C34" s="6">
        <f ca="1">IF(OR($C$7="",$B34&gt;NOW()),"",IF(INDEX(Data!$A:$G,MATCH($B34,Data!$A:$A,0),MATCH($C$7,Data!$4:$4,0))="","",INDEX(Data!$A:$G,MATCH($B34,Data!$A:$A,0),MATCH($C$7,Data!$4:$4,0))))</f>
        <v>29.2</v>
      </c>
      <c r="D34" s="148">
        <f t="shared" ca="1" si="6"/>
        <v>35.799999999999997</v>
      </c>
      <c r="E34" s="148">
        <f t="shared" ca="1" si="7"/>
        <v>0</v>
      </c>
    </row>
    <row r="35" spans="1:5" x14ac:dyDescent="0.25">
      <c r="A35" s="3"/>
      <c r="B35" s="8">
        <v>37629</v>
      </c>
      <c r="C35" s="6">
        <f ca="1">IF(OR($C$7="",$B35&gt;NOW()),"",IF(INDEX(Data!$A:$G,MATCH($B35,Data!$A:$A,0),MATCH($C$7,Data!$4:$4,0))="","",INDEX(Data!$A:$G,MATCH($B35,Data!$A:$A,0),MATCH($C$7,Data!$4:$4,0))))</f>
        <v>33.799999999999997</v>
      </c>
      <c r="D35" s="148">
        <f t="shared" ca="1" si="6"/>
        <v>31.200000000000003</v>
      </c>
      <c r="E35" s="148">
        <f t="shared" ca="1" si="7"/>
        <v>0</v>
      </c>
    </row>
    <row r="36" spans="1:5" x14ac:dyDescent="0.25">
      <c r="A36" s="3"/>
      <c r="B36" s="8">
        <v>37630</v>
      </c>
      <c r="C36" s="6">
        <f ca="1">IF(OR($C$7="",$B36&gt;NOW()),"",IF(INDEX(Data!$A:$G,MATCH($B36,Data!$A:$A,0),MATCH($C$7,Data!$4:$4,0))="","",INDEX(Data!$A:$G,MATCH($B36,Data!$A:$A,0),MATCH($C$7,Data!$4:$4,0))))</f>
        <v>45</v>
      </c>
      <c r="D36" s="148">
        <f t="shared" ca="1" si="6"/>
        <v>20</v>
      </c>
      <c r="E36" s="148">
        <f t="shared" ca="1" si="7"/>
        <v>0</v>
      </c>
    </row>
    <row r="37" spans="1:5" x14ac:dyDescent="0.25">
      <c r="A37" s="3"/>
      <c r="B37" s="8">
        <v>37631</v>
      </c>
      <c r="C37" s="6">
        <f ca="1">IF(OR($C$7="",$B37&gt;NOW()),"",IF(INDEX(Data!$A:$G,MATCH($B37,Data!$A:$A,0),MATCH($C$7,Data!$4:$4,0))="","",INDEX(Data!$A:$G,MATCH($B37,Data!$A:$A,0),MATCH($C$7,Data!$4:$4,0))))</f>
        <v>42.3</v>
      </c>
      <c r="D37" s="148">
        <f t="shared" ca="1" si="6"/>
        <v>22.700000000000003</v>
      </c>
      <c r="E37" s="148">
        <f t="shared" ca="1" si="7"/>
        <v>0</v>
      </c>
    </row>
    <row r="38" spans="1:5" x14ac:dyDescent="0.25">
      <c r="A38" s="3"/>
      <c r="B38" s="8">
        <v>37632</v>
      </c>
      <c r="C38" s="6">
        <f ca="1">IF(OR($C$7="",$B38&gt;NOW()),"",IF(INDEX(Data!$A:$G,MATCH($B38,Data!$A:$A,0),MATCH($C$7,Data!$4:$4,0))="","",INDEX(Data!$A:$G,MATCH($B38,Data!$A:$A,0),MATCH($C$7,Data!$4:$4,0))))</f>
        <v>30</v>
      </c>
      <c r="D38" s="148">
        <f t="shared" ca="1" si="6"/>
        <v>35</v>
      </c>
      <c r="E38" s="148">
        <f t="shared" ca="1" si="7"/>
        <v>0</v>
      </c>
    </row>
    <row r="39" spans="1:5" x14ac:dyDescent="0.25">
      <c r="A39" s="3"/>
      <c r="B39" s="8">
        <v>37633</v>
      </c>
      <c r="C39" s="6">
        <f ca="1">IF(OR($C$7="",$B39&gt;NOW()),"",IF(INDEX(Data!$A:$G,MATCH($B39,Data!$A:$A,0),MATCH($C$7,Data!$4:$4,0))="","",INDEX(Data!$A:$G,MATCH($B39,Data!$A:$A,0),MATCH($C$7,Data!$4:$4,0))))</f>
        <v>28.6</v>
      </c>
      <c r="D39" s="148">
        <f t="shared" ca="1" si="6"/>
        <v>36.4</v>
      </c>
      <c r="E39" s="148">
        <f t="shared" ca="1" si="7"/>
        <v>0</v>
      </c>
    </row>
    <row r="40" spans="1:5" x14ac:dyDescent="0.25">
      <c r="A40" s="3"/>
      <c r="B40" s="8">
        <v>37634</v>
      </c>
      <c r="C40" s="6">
        <f ca="1">IF(OR($C$7="",$B40&gt;NOW()),"",IF(INDEX(Data!$A:$G,MATCH($B40,Data!$A:$A,0),MATCH($C$7,Data!$4:$4,0))="","",INDEX(Data!$A:$G,MATCH($B40,Data!$A:$A,0),MATCH($C$7,Data!$4:$4,0))))</f>
        <v>31.6</v>
      </c>
      <c r="D40" s="148">
        <f t="shared" ca="1" si="6"/>
        <v>33.4</v>
      </c>
      <c r="E40" s="148">
        <f t="shared" ca="1" si="7"/>
        <v>0</v>
      </c>
    </row>
    <row r="41" spans="1:5" x14ac:dyDescent="0.25">
      <c r="A41" s="3"/>
      <c r="B41" s="8">
        <v>37635</v>
      </c>
      <c r="C41" s="6">
        <f ca="1">IF(OR($C$7="",$B41&gt;NOW()),"",IF(INDEX(Data!$A:$G,MATCH($B41,Data!$A:$A,0),MATCH($C$7,Data!$4:$4,0))="","",INDEX(Data!$A:$G,MATCH($B41,Data!$A:$A,0),MATCH($C$7,Data!$4:$4,0))))</f>
        <v>26.2</v>
      </c>
      <c r="D41" s="148">
        <f t="shared" ca="1" si="6"/>
        <v>38.799999999999997</v>
      </c>
      <c r="E41" s="148">
        <f t="shared" ca="1" si="7"/>
        <v>0</v>
      </c>
    </row>
    <row r="42" spans="1:5" x14ac:dyDescent="0.25">
      <c r="A42" s="3"/>
      <c r="B42" s="8">
        <v>37636</v>
      </c>
      <c r="C42" s="6">
        <f ca="1">IF(OR($C$7="",$B42&gt;NOW()),"",IF(INDEX(Data!$A:$G,MATCH($B42,Data!$A:$A,0),MATCH($C$7,Data!$4:$4,0))="","",INDEX(Data!$A:$G,MATCH($B42,Data!$A:$A,0),MATCH($C$7,Data!$4:$4,0))))</f>
        <v>26</v>
      </c>
      <c r="D42" s="148">
        <f t="shared" ca="1" si="6"/>
        <v>39</v>
      </c>
      <c r="E42" s="148">
        <f t="shared" ca="1" si="7"/>
        <v>0</v>
      </c>
    </row>
    <row r="43" spans="1:5" x14ac:dyDescent="0.25">
      <c r="A43" s="3"/>
      <c r="B43" s="8">
        <v>37637</v>
      </c>
      <c r="C43" s="6">
        <f ca="1">IF(OR($C$7="",$B43&gt;NOW()),"",IF(INDEX(Data!$A:$G,MATCH($B43,Data!$A:$A,0),MATCH($C$7,Data!$4:$4,0))="","",INDEX(Data!$A:$G,MATCH($B43,Data!$A:$A,0),MATCH($C$7,Data!$4:$4,0))))</f>
        <v>24.4</v>
      </c>
      <c r="D43" s="148">
        <f t="shared" ca="1" si="6"/>
        <v>40.6</v>
      </c>
      <c r="E43" s="148">
        <f t="shared" ca="1" si="7"/>
        <v>0</v>
      </c>
    </row>
    <row r="44" spans="1:5" x14ac:dyDescent="0.25">
      <c r="A44" s="3"/>
      <c r="B44" s="8">
        <v>37638</v>
      </c>
      <c r="C44" s="6">
        <f ca="1">IF(OR($C$7="",$B44&gt;NOW()),"",IF(INDEX(Data!$A:$G,MATCH($B44,Data!$A:$A,0),MATCH($C$7,Data!$4:$4,0))="","",INDEX(Data!$A:$G,MATCH($B44,Data!$A:$A,0),MATCH($C$7,Data!$4:$4,0))))</f>
        <v>26</v>
      </c>
      <c r="D44" s="148">
        <f t="shared" ca="1" si="6"/>
        <v>39</v>
      </c>
      <c r="E44" s="148">
        <f t="shared" ca="1" si="7"/>
        <v>0</v>
      </c>
    </row>
    <row r="45" spans="1:5" x14ac:dyDescent="0.25">
      <c r="A45" s="3"/>
      <c r="B45" s="8">
        <v>37639</v>
      </c>
      <c r="C45" s="6">
        <f ca="1">IF(OR($C$7="",$B45&gt;NOW()),"",IF(INDEX(Data!$A:$G,MATCH($B45,Data!$A:$A,0),MATCH($C$7,Data!$4:$4,0))="","",INDEX(Data!$A:$G,MATCH($B45,Data!$A:$A,0),MATCH($C$7,Data!$4:$4,0))))</f>
        <v>14.4</v>
      </c>
      <c r="D45" s="148">
        <f t="shared" ca="1" si="6"/>
        <v>50.6</v>
      </c>
      <c r="E45" s="148">
        <f t="shared" ca="1" si="7"/>
        <v>0</v>
      </c>
    </row>
    <row r="46" spans="1:5" x14ac:dyDescent="0.25">
      <c r="A46" s="3"/>
      <c r="B46" s="8">
        <v>37640</v>
      </c>
      <c r="C46" s="6">
        <f ca="1">IF(OR($C$7="",$B46&gt;NOW()),"",IF(INDEX(Data!$A:$G,MATCH($B46,Data!$A:$A,0),MATCH($C$7,Data!$4:$4,0))="","",INDEX(Data!$A:$G,MATCH($B46,Data!$A:$A,0),MATCH($C$7,Data!$4:$4,0))))</f>
        <v>21.7</v>
      </c>
      <c r="D46" s="148">
        <f t="shared" ca="1" si="6"/>
        <v>43.3</v>
      </c>
      <c r="E46" s="148">
        <f t="shared" ca="1" si="7"/>
        <v>0</v>
      </c>
    </row>
    <row r="47" spans="1:5" x14ac:dyDescent="0.25">
      <c r="A47" s="3"/>
      <c r="B47" s="8">
        <v>37641</v>
      </c>
      <c r="C47" s="6">
        <f ca="1">IF(OR($C$7="",$B47&gt;NOW()),"",IF(INDEX(Data!$A:$G,MATCH($B47,Data!$A:$A,0),MATCH($C$7,Data!$4:$4,0))="","",INDEX(Data!$A:$G,MATCH($B47,Data!$A:$A,0),MATCH($C$7,Data!$4:$4,0))))</f>
        <v>27.9</v>
      </c>
      <c r="D47" s="148">
        <f t="shared" ca="1" si="6"/>
        <v>37.1</v>
      </c>
      <c r="E47" s="148">
        <f t="shared" ca="1" si="7"/>
        <v>0</v>
      </c>
    </row>
    <row r="48" spans="1:5" x14ac:dyDescent="0.25">
      <c r="A48" s="3"/>
      <c r="B48" s="8">
        <v>37642</v>
      </c>
      <c r="C48" s="6">
        <f ca="1">IF(OR($C$7="",$B48&gt;NOW()),"",IF(INDEX(Data!$A:$G,MATCH($B48,Data!$A:$A,0),MATCH($C$7,Data!$4:$4,0))="","",INDEX(Data!$A:$G,MATCH($B48,Data!$A:$A,0),MATCH($C$7,Data!$4:$4,0))))</f>
        <v>21.3</v>
      </c>
      <c r="D48" s="148">
        <f t="shared" ca="1" si="6"/>
        <v>43.7</v>
      </c>
      <c r="E48" s="148">
        <f t="shared" ca="1" si="7"/>
        <v>0</v>
      </c>
    </row>
    <row r="49" spans="1:5" x14ac:dyDescent="0.25">
      <c r="A49" s="3"/>
      <c r="B49" s="8">
        <v>37643</v>
      </c>
      <c r="C49" s="6">
        <f ca="1">IF(OR($C$7="",$B49&gt;NOW()),"",IF(INDEX(Data!$A:$G,MATCH($B49,Data!$A:$A,0),MATCH($C$7,Data!$4:$4,0))="","",INDEX(Data!$A:$G,MATCH($B49,Data!$A:$A,0),MATCH($C$7,Data!$4:$4,0))))</f>
        <v>18.3</v>
      </c>
      <c r="D49" s="148">
        <f t="shared" ca="1" si="6"/>
        <v>46.7</v>
      </c>
      <c r="E49" s="148">
        <f t="shared" ca="1" si="7"/>
        <v>0</v>
      </c>
    </row>
    <row r="50" spans="1:5" x14ac:dyDescent="0.25">
      <c r="A50" s="3"/>
      <c r="B50" s="8">
        <v>37644</v>
      </c>
      <c r="C50" s="6">
        <f ca="1">IF(OR($C$7="",$B50&gt;NOW()),"",IF(INDEX(Data!$A:$G,MATCH($B50,Data!$A:$A,0),MATCH($C$7,Data!$4:$4,0))="","",INDEX(Data!$A:$G,MATCH($B50,Data!$A:$A,0),MATCH($C$7,Data!$4:$4,0))))</f>
        <v>14.4</v>
      </c>
      <c r="D50" s="148">
        <f t="shared" ca="1" si="6"/>
        <v>50.6</v>
      </c>
      <c r="E50" s="148">
        <f t="shared" ca="1" si="7"/>
        <v>0</v>
      </c>
    </row>
    <row r="51" spans="1:5" x14ac:dyDescent="0.25">
      <c r="A51" s="3"/>
      <c r="B51" s="8">
        <v>37645</v>
      </c>
      <c r="C51" s="6">
        <f ca="1">IF(OR($C$7="",$B51&gt;NOW()),"",IF(INDEX(Data!$A:$G,MATCH($B51,Data!$A:$A,0),MATCH($C$7,Data!$4:$4,0))="","",INDEX(Data!$A:$G,MATCH($B51,Data!$A:$A,0),MATCH($C$7,Data!$4:$4,0))))</f>
        <v>16</v>
      </c>
      <c r="D51" s="148">
        <f t="shared" ca="1" si="6"/>
        <v>49</v>
      </c>
      <c r="E51" s="148">
        <f t="shared" ca="1" si="7"/>
        <v>0</v>
      </c>
    </row>
    <row r="52" spans="1:5" x14ac:dyDescent="0.25">
      <c r="A52" s="3"/>
      <c r="B52" s="8">
        <v>37646</v>
      </c>
      <c r="C52" s="6">
        <f ca="1">IF(OR($C$7="",$B52&gt;NOW()),"",IF(INDEX(Data!$A:$G,MATCH($B52,Data!$A:$A,0),MATCH($C$7,Data!$4:$4,0))="","",INDEX(Data!$A:$G,MATCH($B52,Data!$A:$A,0),MATCH($C$7,Data!$4:$4,0))))</f>
        <v>24.3</v>
      </c>
      <c r="D52" s="148">
        <f t="shared" ca="1" si="6"/>
        <v>40.700000000000003</v>
      </c>
      <c r="E52" s="148">
        <f t="shared" ca="1" si="7"/>
        <v>0</v>
      </c>
    </row>
    <row r="53" spans="1:5" x14ac:dyDescent="0.25">
      <c r="A53" s="3"/>
      <c r="B53" s="8">
        <v>37647</v>
      </c>
      <c r="C53" s="6">
        <f ca="1">IF(OR($C$7="",$B53&gt;NOW()),"",IF(INDEX(Data!$A:$G,MATCH($B53,Data!$A:$A,0),MATCH($C$7,Data!$4:$4,0))="","",INDEX(Data!$A:$G,MATCH($B53,Data!$A:$A,0),MATCH($C$7,Data!$4:$4,0))))</f>
        <v>30.1</v>
      </c>
      <c r="D53" s="148">
        <f t="shared" ca="1" si="6"/>
        <v>34.9</v>
      </c>
      <c r="E53" s="148">
        <f t="shared" ca="1" si="7"/>
        <v>0</v>
      </c>
    </row>
    <row r="54" spans="1:5" x14ac:dyDescent="0.25">
      <c r="A54" s="3"/>
      <c r="B54" s="8">
        <v>37648</v>
      </c>
      <c r="C54" s="6">
        <f ca="1">IF(OR($C$7="",$B54&gt;NOW()),"",IF(INDEX(Data!$A:$G,MATCH($B54,Data!$A:$A,0),MATCH($C$7,Data!$4:$4,0))="","",INDEX(Data!$A:$G,MATCH($B54,Data!$A:$A,0),MATCH($C$7,Data!$4:$4,0))))</f>
        <v>20.9</v>
      </c>
      <c r="D54" s="148">
        <f t="shared" ca="1" si="6"/>
        <v>44.1</v>
      </c>
      <c r="E54" s="148">
        <f t="shared" ca="1" si="7"/>
        <v>0</v>
      </c>
    </row>
    <row r="55" spans="1:5" x14ac:dyDescent="0.25">
      <c r="A55" s="3"/>
      <c r="B55" s="8">
        <v>37649</v>
      </c>
      <c r="C55" s="6">
        <f ca="1">IF(OR($C$7="",$B55&gt;NOW()),"",IF(INDEX(Data!$A:$G,MATCH($B55,Data!$A:$A,0),MATCH($C$7,Data!$4:$4,0))="","",INDEX(Data!$A:$G,MATCH($B55,Data!$A:$A,0),MATCH($C$7,Data!$4:$4,0))))</f>
        <v>14.3</v>
      </c>
      <c r="D55" s="148">
        <f t="shared" ca="1" si="6"/>
        <v>50.7</v>
      </c>
      <c r="E55" s="148">
        <f t="shared" ca="1" si="7"/>
        <v>0</v>
      </c>
    </row>
    <row r="56" spans="1:5" x14ac:dyDescent="0.25">
      <c r="A56" s="3"/>
      <c r="B56" s="8">
        <v>37650</v>
      </c>
      <c r="C56" s="6">
        <f ca="1">IF(OR($C$7="",$B56&gt;NOW()),"",IF(INDEX(Data!$A:$G,MATCH($B56,Data!$A:$A,0),MATCH($C$7,Data!$4:$4,0))="","",INDEX(Data!$A:$G,MATCH($B56,Data!$A:$A,0),MATCH($C$7,Data!$4:$4,0))))</f>
        <v>27.5</v>
      </c>
      <c r="D56" s="148">
        <f t="shared" ca="1" si="6"/>
        <v>37.5</v>
      </c>
      <c r="E56" s="148">
        <f t="shared" ca="1" si="7"/>
        <v>0</v>
      </c>
    </row>
    <row r="57" spans="1:5" x14ac:dyDescent="0.25">
      <c r="A57" s="3"/>
      <c r="B57" s="8">
        <v>37651</v>
      </c>
      <c r="C57" s="6">
        <f ca="1">IF(OR($C$7="",$B57&gt;NOW()),"",IF(INDEX(Data!$A:$G,MATCH($B57,Data!$A:$A,0),MATCH($C$7,Data!$4:$4,0))="","",INDEX(Data!$A:$G,MATCH($B57,Data!$A:$A,0),MATCH($C$7,Data!$4:$4,0))))</f>
        <v>28.9</v>
      </c>
      <c r="D57" s="148">
        <f t="shared" ca="1" si="6"/>
        <v>36.1</v>
      </c>
      <c r="E57" s="148">
        <f t="shared" ca="1" si="7"/>
        <v>0</v>
      </c>
    </row>
    <row r="58" spans="1:5" x14ac:dyDescent="0.25">
      <c r="A58" s="3"/>
      <c r="B58" s="8">
        <v>37652</v>
      </c>
      <c r="C58" s="6">
        <f ca="1">IF(OR($C$7="",$B58&gt;NOW()),"",IF(INDEX(Data!$A:$G,MATCH($B58,Data!$A:$A,0),MATCH($C$7,Data!$4:$4,0))="","",INDEX(Data!$A:$G,MATCH($B58,Data!$A:$A,0),MATCH($C$7,Data!$4:$4,0))))</f>
        <v>32.5</v>
      </c>
      <c r="D58" s="148">
        <f t="shared" ca="1" si="6"/>
        <v>32.5</v>
      </c>
      <c r="E58" s="148">
        <f t="shared" ca="1" si="7"/>
        <v>0</v>
      </c>
    </row>
    <row r="59" spans="1:5" x14ac:dyDescent="0.25">
      <c r="A59" s="3"/>
      <c r="B59" s="8">
        <v>37653</v>
      </c>
      <c r="C59" s="6">
        <f ca="1">IF(OR($C$7="",$B59&gt;NOW()),"",IF(INDEX(Data!$A:$G,MATCH($B59,Data!$A:$A,0),MATCH($C$7,Data!$4:$4,0))="","",INDEX(Data!$A:$G,MATCH($B59,Data!$A:$A,0),MATCH($C$7,Data!$4:$4,0))))</f>
        <v>34.200000000000003</v>
      </c>
      <c r="D59" s="148">
        <f t="shared" ca="1" si="6"/>
        <v>30.799999999999997</v>
      </c>
      <c r="E59" s="148">
        <f t="shared" ca="1" si="7"/>
        <v>0</v>
      </c>
    </row>
    <row r="60" spans="1:5" x14ac:dyDescent="0.25">
      <c r="A60" s="3"/>
      <c r="B60" s="8">
        <v>37654</v>
      </c>
      <c r="C60" s="6">
        <f ca="1">IF(OR($C$7="",$B60&gt;NOW()),"",IF(INDEX(Data!$A:$G,MATCH($B60,Data!$A:$A,0),MATCH($C$7,Data!$4:$4,0))="","",INDEX(Data!$A:$G,MATCH($B60,Data!$A:$A,0),MATCH($C$7,Data!$4:$4,0))))</f>
        <v>39</v>
      </c>
      <c r="D60" s="148">
        <f t="shared" ca="1" si="6"/>
        <v>26</v>
      </c>
      <c r="E60" s="148">
        <f t="shared" ca="1" si="7"/>
        <v>0</v>
      </c>
    </row>
    <row r="61" spans="1:5" x14ac:dyDescent="0.25">
      <c r="A61" s="3"/>
      <c r="B61" s="8">
        <v>37655</v>
      </c>
      <c r="C61" s="6">
        <f ca="1">IF(OR($C$7="",$B61&gt;NOW()),"",IF(INDEX(Data!$A:$G,MATCH($B61,Data!$A:$A,0),MATCH($C$7,Data!$4:$4,0))="","",INDEX(Data!$A:$G,MATCH($B61,Data!$A:$A,0),MATCH($C$7,Data!$4:$4,0))))</f>
        <v>40.4</v>
      </c>
      <c r="D61" s="148">
        <f t="shared" ca="1" si="6"/>
        <v>24.6</v>
      </c>
      <c r="E61" s="148">
        <f t="shared" ca="1" si="7"/>
        <v>0</v>
      </c>
    </row>
    <row r="62" spans="1:5" x14ac:dyDescent="0.25">
      <c r="A62" s="3"/>
      <c r="B62" s="8">
        <v>37656</v>
      </c>
      <c r="C62" s="6">
        <f ca="1">IF(OR($C$7="",$B62&gt;NOW()),"",IF(INDEX(Data!$A:$G,MATCH($B62,Data!$A:$A,0),MATCH($C$7,Data!$4:$4,0))="","",INDEX(Data!$A:$G,MATCH($B62,Data!$A:$A,0),MATCH($C$7,Data!$4:$4,0))))</f>
        <v>41.6</v>
      </c>
      <c r="D62" s="148">
        <f t="shared" ca="1" si="6"/>
        <v>23.4</v>
      </c>
      <c r="E62" s="148">
        <f t="shared" ca="1" si="7"/>
        <v>0</v>
      </c>
    </row>
    <row r="63" spans="1:5" x14ac:dyDescent="0.25">
      <c r="A63" s="3"/>
      <c r="B63" s="8">
        <v>37657</v>
      </c>
      <c r="C63" s="6">
        <f ca="1">IF(OR($C$7="",$B63&gt;NOW()),"",IF(INDEX(Data!$A:$G,MATCH($B63,Data!$A:$A,0),MATCH($C$7,Data!$4:$4,0))="","",INDEX(Data!$A:$G,MATCH($B63,Data!$A:$A,0),MATCH($C$7,Data!$4:$4,0))))</f>
        <v>34.6</v>
      </c>
      <c r="D63" s="148">
        <f t="shared" ca="1" si="6"/>
        <v>30.4</v>
      </c>
      <c r="E63" s="148">
        <f t="shared" ca="1" si="7"/>
        <v>0</v>
      </c>
    </row>
    <row r="64" spans="1:5" x14ac:dyDescent="0.25">
      <c r="A64" s="3"/>
      <c r="B64" s="8">
        <v>37658</v>
      </c>
      <c r="C64" s="6">
        <f ca="1">IF(OR($C$7="",$B64&gt;NOW()),"",IF(INDEX(Data!$A:$G,MATCH($B64,Data!$A:$A,0),MATCH($C$7,Data!$4:$4,0))="","",INDEX(Data!$A:$G,MATCH($B64,Data!$A:$A,0),MATCH($C$7,Data!$4:$4,0))))</f>
        <v>26.6</v>
      </c>
      <c r="D64" s="148">
        <f t="shared" ca="1" si="6"/>
        <v>38.4</v>
      </c>
      <c r="E64" s="148">
        <f t="shared" ca="1" si="7"/>
        <v>0</v>
      </c>
    </row>
    <row r="65" spans="1:5" x14ac:dyDescent="0.25">
      <c r="A65" s="3"/>
      <c r="B65" s="8">
        <v>37659</v>
      </c>
      <c r="C65" s="6">
        <f ca="1">IF(OR($C$7="",$B65&gt;NOW()),"",IF(INDEX(Data!$A:$G,MATCH($B65,Data!$A:$A,0),MATCH($C$7,Data!$4:$4,0))="","",INDEX(Data!$A:$G,MATCH($B65,Data!$A:$A,0),MATCH($C$7,Data!$4:$4,0))))</f>
        <v>29.5</v>
      </c>
      <c r="D65" s="148">
        <f t="shared" ca="1" si="6"/>
        <v>35.5</v>
      </c>
      <c r="E65" s="148">
        <f t="shared" ca="1" si="7"/>
        <v>0</v>
      </c>
    </row>
    <row r="66" spans="1:5" x14ac:dyDescent="0.25">
      <c r="A66" s="3"/>
      <c r="B66" s="8">
        <v>37660</v>
      </c>
      <c r="C66" s="6">
        <f ca="1">IF(OR($C$7="",$B66&gt;NOW()),"",IF(INDEX(Data!$A:$G,MATCH($B66,Data!$A:$A,0),MATCH($C$7,Data!$4:$4,0))="","",INDEX(Data!$A:$G,MATCH($B66,Data!$A:$A,0),MATCH($C$7,Data!$4:$4,0))))</f>
        <v>25.6</v>
      </c>
      <c r="D66" s="148">
        <f t="shared" ca="1" si="6"/>
        <v>39.4</v>
      </c>
      <c r="E66" s="148">
        <f t="shared" ca="1" si="7"/>
        <v>0</v>
      </c>
    </row>
    <row r="67" spans="1:5" x14ac:dyDescent="0.25">
      <c r="A67" s="3"/>
      <c r="B67" s="8">
        <v>37661</v>
      </c>
      <c r="C67" s="6">
        <f ca="1">IF(OR($C$7="",$B67&gt;NOW()),"",IF(INDEX(Data!$A:$G,MATCH($B67,Data!$A:$A,0),MATCH($C$7,Data!$4:$4,0))="","",INDEX(Data!$A:$G,MATCH($B67,Data!$A:$A,0),MATCH($C$7,Data!$4:$4,0))))</f>
        <v>28.7</v>
      </c>
      <c r="D67" s="148">
        <f t="shared" ca="1" si="6"/>
        <v>36.299999999999997</v>
      </c>
      <c r="E67" s="148">
        <f t="shared" ca="1" si="7"/>
        <v>0</v>
      </c>
    </row>
    <row r="68" spans="1:5" x14ac:dyDescent="0.25">
      <c r="A68" s="3"/>
      <c r="B68" s="8">
        <v>37662</v>
      </c>
      <c r="C68" s="6">
        <f ca="1">IF(OR($C$7="",$B68&gt;NOW()),"",IF(INDEX(Data!$A:$G,MATCH($B68,Data!$A:$A,0),MATCH($C$7,Data!$4:$4,0))="","",INDEX(Data!$A:$G,MATCH($B68,Data!$A:$A,0),MATCH($C$7,Data!$4:$4,0))))</f>
        <v>33.9</v>
      </c>
      <c r="D68" s="148">
        <f t="shared" ca="1" si="6"/>
        <v>31.1</v>
      </c>
      <c r="E68" s="148">
        <f t="shared" ca="1" si="7"/>
        <v>0</v>
      </c>
    </row>
    <row r="69" spans="1:5" x14ac:dyDescent="0.25">
      <c r="A69" s="3"/>
      <c r="B69" s="8">
        <v>37663</v>
      </c>
      <c r="C69" s="6">
        <f ca="1">IF(OR($C$7="",$B69&gt;NOW()),"",IF(INDEX(Data!$A:$G,MATCH($B69,Data!$A:$A,0),MATCH($C$7,Data!$4:$4,0))="","",INDEX(Data!$A:$G,MATCH($B69,Data!$A:$A,0),MATCH($C$7,Data!$4:$4,0))))</f>
        <v>25.6</v>
      </c>
      <c r="D69" s="148">
        <f t="shared" ca="1" si="6"/>
        <v>39.4</v>
      </c>
      <c r="E69" s="148">
        <f t="shared" ca="1" si="7"/>
        <v>0</v>
      </c>
    </row>
    <row r="70" spans="1:5" x14ac:dyDescent="0.25">
      <c r="A70" s="3"/>
      <c r="B70" s="8">
        <v>37664</v>
      </c>
      <c r="C70" s="6">
        <f ca="1">IF(OR($C$7="",$B70&gt;NOW()),"",IF(INDEX(Data!$A:$G,MATCH($B70,Data!$A:$A,0),MATCH($C$7,Data!$4:$4,0))="","",INDEX(Data!$A:$G,MATCH($B70,Data!$A:$A,0),MATCH($C$7,Data!$4:$4,0))))</f>
        <v>28.3</v>
      </c>
      <c r="D70" s="148">
        <f t="shared" ca="1" si="6"/>
        <v>36.700000000000003</v>
      </c>
      <c r="E70" s="148">
        <f t="shared" ca="1" si="7"/>
        <v>0</v>
      </c>
    </row>
    <row r="71" spans="1:5" x14ac:dyDescent="0.25">
      <c r="A71" s="3"/>
      <c r="B71" s="8">
        <v>37665</v>
      </c>
      <c r="C71" s="6">
        <f ca="1">IF(OR($C$7="",$B71&gt;NOW()),"",IF(INDEX(Data!$A:$G,MATCH($B71,Data!$A:$A,0),MATCH($C$7,Data!$4:$4,0))="","",INDEX(Data!$A:$G,MATCH($B71,Data!$A:$A,0),MATCH($C$7,Data!$4:$4,0))))</f>
        <v>22.1</v>
      </c>
      <c r="D71" s="148">
        <f t="shared" ca="1" si="6"/>
        <v>42.9</v>
      </c>
      <c r="E71" s="148">
        <f t="shared" ca="1" si="7"/>
        <v>0</v>
      </c>
    </row>
    <row r="72" spans="1:5" x14ac:dyDescent="0.25">
      <c r="A72" s="3"/>
      <c r="B72" s="8">
        <v>37666</v>
      </c>
      <c r="C72" s="6">
        <f ca="1">IF(OR($C$7="",$B72&gt;NOW()),"",IF(INDEX(Data!$A:$G,MATCH($B72,Data!$A:$A,0),MATCH($C$7,Data!$4:$4,0))="","",INDEX(Data!$A:$G,MATCH($B72,Data!$A:$A,0),MATCH($C$7,Data!$4:$4,0))))</f>
        <v>21.7</v>
      </c>
      <c r="D72" s="148">
        <f t="shared" ca="1" si="6"/>
        <v>43.3</v>
      </c>
      <c r="E72" s="148">
        <f t="shared" ca="1" si="7"/>
        <v>0</v>
      </c>
    </row>
    <row r="73" spans="1:5" x14ac:dyDescent="0.25">
      <c r="A73" s="3"/>
      <c r="B73" s="8">
        <v>37667</v>
      </c>
      <c r="C73" s="6">
        <f ca="1">IF(OR($C$7="",$B73&gt;NOW()),"",IF(INDEX(Data!$A:$G,MATCH($B73,Data!$A:$A,0),MATCH($C$7,Data!$4:$4,0))="","",INDEX(Data!$A:$G,MATCH($B73,Data!$A:$A,0),MATCH($C$7,Data!$4:$4,0))))</f>
        <v>25.2</v>
      </c>
      <c r="D73" s="148">
        <f t="shared" ca="1" si="6"/>
        <v>39.799999999999997</v>
      </c>
      <c r="E73" s="148">
        <f t="shared" ca="1" si="7"/>
        <v>0</v>
      </c>
    </row>
    <row r="74" spans="1:5" x14ac:dyDescent="0.25">
      <c r="A74" s="3"/>
      <c r="B74" s="8">
        <v>37668</v>
      </c>
      <c r="C74" s="6">
        <f ca="1">IF(OR($C$7="",$B74&gt;NOW()),"",IF(INDEX(Data!$A:$G,MATCH($B74,Data!$A:$A,0),MATCH($C$7,Data!$4:$4,0))="","",INDEX(Data!$A:$G,MATCH($B74,Data!$A:$A,0),MATCH($C$7,Data!$4:$4,0))))</f>
        <v>13.1</v>
      </c>
      <c r="D74" s="148">
        <f t="shared" ca="1" si="6"/>
        <v>51.9</v>
      </c>
      <c r="E74" s="148">
        <f t="shared" ca="1" si="7"/>
        <v>0</v>
      </c>
    </row>
    <row r="75" spans="1:5" x14ac:dyDescent="0.25">
      <c r="A75" s="3"/>
      <c r="B75" s="8">
        <v>37669</v>
      </c>
      <c r="C75" s="6">
        <f ca="1">IF(OR($C$7="",$B75&gt;NOW()),"",IF(INDEX(Data!$A:$G,MATCH($B75,Data!$A:$A,0),MATCH($C$7,Data!$4:$4,0))="","",INDEX(Data!$A:$G,MATCH($B75,Data!$A:$A,0),MATCH($C$7,Data!$4:$4,0))))</f>
        <v>20.2</v>
      </c>
      <c r="D75" s="148">
        <f t="shared" ca="1" si="6"/>
        <v>44.8</v>
      </c>
      <c r="E75" s="148">
        <f t="shared" ca="1" si="7"/>
        <v>0</v>
      </c>
    </row>
    <row r="76" spans="1:5" x14ac:dyDescent="0.25">
      <c r="A76" s="3"/>
      <c r="B76" s="8">
        <v>37670</v>
      </c>
      <c r="C76" s="6">
        <f ca="1">IF(OR($C$7="",$B76&gt;NOW()),"",IF(INDEX(Data!$A:$G,MATCH($B76,Data!$A:$A,0),MATCH($C$7,Data!$4:$4,0))="","",INDEX(Data!$A:$G,MATCH($B76,Data!$A:$A,0),MATCH($C$7,Data!$4:$4,0))))</f>
        <v>27.1</v>
      </c>
      <c r="D76" s="148">
        <f t="shared" ca="1" si="6"/>
        <v>37.9</v>
      </c>
      <c r="E76" s="148">
        <f t="shared" ca="1" si="7"/>
        <v>0</v>
      </c>
    </row>
    <row r="77" spans="1:5" x14ac:dyDescent="0.25">
      <c r="A77" s="3"/>
      <c r="B77" s="8">
        <v>37671</v>
      </c>
      <c r="C77" s="6">
        <f ca="1">IF(OR($C$7="",$B77&gt;NOW()),"",IF(INDEX(Data!$A:$G,MATCH($B77,Data!$A:$A,0),MATCH($C$7,Data!$4:$4,0))="","",INDEX(Data!$A:$G,MATCH($B77,Data!$A:$A,0),MATCH($C$7,Data!$4:$4,0))))</f>
        <v>33.1</v>
      </c>
      <c r="D77" s="148">
        <f t="shared" ca="1" si="6"/>
        <v>31.9</v>
      </c>
      <c r="E77" s="148">
        <f t="shared" ca="1" si="7"/>
        <v>0</v>
      </c>
    </row>
    <row r="78" spans="1:5" x14ac:dyDescent="0.25">
      <c r="A78" s="3"/>
      <c r="B78" s="8">
        <v>37672</v>
      </c>
      <c r="C78" s="6">
        <f ca="1">IF(OR($C$7="",$B78&gt;NOW()),"",IF(INDEX(Data!$A:$G,MATCH($B78,Data!$A:$A,0),MATCH($C$7,Data!$4:$4,0))="","",INDEX(Data!$A:$G,MATCH($B78,Data!$A:$A,0),MATCH($C$7,Data!$4:$4,0))))</f>
        <v>40.299999999999997</v>
      </c>
      <c r="D78" s="148">
        <f t="shared" ca="1" si="6"/>
        <v>24.700000000000003</v>
      </c>
      <c r="E78" s="148">
        <f t="shared" ca="1" si="7"/>
        <v>0</v>
      </c>
    </row>
    <row r="79" spans="1:5" x14ac:dyDescent="0.25">
      <c r="A79" s="3"/>
      <c r="B79" s="8">
        <v>37673</v>
      </c>
      <c r="C79" s="6">
        <f ca="1">IF(OR($C$7="",$B79&gt;NOW()),"",IF(INDEX(Data!$A:$G,MATCH($B79,Data!$A:$A,0),MATCH($C$7,Data!$4:$4,0))="","",INDEX(Data!$A:$G,MATCH($B79,Data!$A:$A,0),MATCH($C$7,Data!$4:$4,0))))</f>
        <v>40.200000000000003</v>
      </c>
      <c r="D79" s="148">
        <f t="shared" ca="1" si="6"/>
        <v>24.799999999999997</v>
      </c>
      <c r="E79" s="148">
        <f t="shared" ca="1" si="7"/>
        <v>0</v>
      </c>
    </row>
    <row r="80" spans="1:5" x14ac:dyDescent="0.25">
      <c r="A80" s="3"/>
      <c r="B80" s="8">
        <v>37674</v>
      </c>
      <c r="C80" s="6">
        <f ca="1">IF(OR($C$7="",$B80&gt;NOW()),"",IF(INDEX(Data!$A:$G,MATCH($B80,Data!$A:$A,0),MATCH($C$7,Data!$4:$4,0))="","",INDEX(Data!$A:$G,MATCH($B80,Data!$A:$A,0),MATCH($C$7,Data!$4:$4,0))))</f>
        <v>36.799999999999997</v>
      </c>
      <c r="D80" s="148">
        <f t="shared" ca="1" si="6"/>
        <v>28.200000000000003</v>
      </c>
      <c r="E80" s="148">
        <f t="shared" ca="1" si="7"/>
        <v>0</v>
      </c>
    </row>
    <row r="81" spans="1:5" x14ac:dyDescent="0.25">
      <c r="A81" s="3"/>
      <c r="B81" s="8">
        <v>37675</v>
      </c>
      <c r="C81" s="6">
        <f ca="1">IF(OR($C$7="",$B81&gt;NOW()),"",IF(INDEX(Data!$A:$G,MATCH($B81,Data!$A:$A,0),MATCH($C$7,Data!$4:$4,0))="","",INDEX(Data!$A:$G,MATCH($B81,Data!$A:$A,0),MATCH($C$7,Data!$4:$4,0))))</f>
        <v>36.700000000000003</v>
      </c>
      <c r="D81" s="148">
        <f t="shared" ca="1" si="6"/>
        <v>28.299999999999997</v>
      </c>
      <c r="E81" s="148">
        <f t="shared" ca="1" si="7"/>
        <v>0</v>
      </c>
    </row>
    <row r="82" spans="1:5" x14ac:dyDescent="0.25">
      <c r="A82" s="3"/>
      <c r="B82" s="8">
        <v>37676</v>
      </c>
      <c r="C82" s="6">
        <f ca="1">IF(OR($C$7="",$B82&gt;NOW()),"",IF(INDEX(Data!$A:$G,MATCH($B82,Data!$A:$A,0),MATCH($C$7,Data!$4:$4,0))="","",INDEX(Data!$A:$G,MATCH($B82,Data!$A:$A,0),MATCH($C$7,Data!$4:$4,0))))</f>
        <v>30</v>
      </c>
      <c r="D82" s="148">
        <f t="shared" ca="1" si="6"/>
        <v>35</v>
      </c>
      <c r="E82" s="148">
        <f t="shared" ca="1" si="7"/>
        <v>0</v>
      </c>
    </row>
    <row r="83" spans="1:5" x14ac:dyDescent="0.25">
      <c r="A83" s="3"/>
      <c r="B83" s="8">
        <v>37677</v>
      </c>
      <c r="C83" s="6">
        <f ca="1">IF(OR($C$7="",$B83&gt;NOW()),"",IF(INDEX(Data!$A:$G,MATCH($B83,Data!$A:$A,0),MATCH($C$7,Data!$4:$4,0))="","",INDEX(Data!$A:$G,MATCH($B83,Data!$A:$A,0),MATCH($C$7,Data!$4:$4,0))))</f>
        <v>30.9</v>
      </c>
      <c r="D83" s="148">
        <f t="shared" ca="1" si="6"/>
        <v>34.1</v>
      </c>
      <c r="E83" s="148">
        <f t="shared" ca="1" si="7"/>
        <v>0</v>
      </c>
    </row>
    <row r="84" spans="1:5" x14ac:dyDescent="0.25">
      <c r="A84" s="3"/>
      <c r="B84" s="8">
        <v>37678</v>
      </c>
      <c r="C84" s="6">
        <f ca="1">IF(OR($C$7="",$B84&gt;NOW()),"",IF(INDEX(Data!$A:$G,MATCH($B84,Data!$A:$A,0),MATCH($C$7,Data!$4:$4,0))="","",INDEX(Data!$A:$G,MATCH($B84,Data!$A:$A,0),MATCH($C$7,Data!$4:$4,0))))</f>
        <v>19.600000000000001</v>
      </c>
      <c r="D84" s="148">
        <f t="shared" ca="1" si="6"/>
        <v>45.4</v>
      </c>
      <c r="E84" s="148">
        <f t="shared" ca="1" si="7"/>
        <v>0</v>
      </c>
    </row>
    <row r="85" spans="1:5" x14ac:dyDescent="0.25">
      <c r="A85" s="3"/>
      <c r="B85" s="8">
        <v>37679</v>
      </c>
      <c r="C85" s="6">
        <f ca="1">IF(OR($C$7="",$B85&gt;NOW()),"",IF(INDEX(Data!$A:$G,MATCH($B85,Data!$A:$A,0),MATCH($C$7,Data!$4:$4,0))="","",INDEX(Data!$A:$G,MATCH($B85,Data!$A:$A,0),MATCH($C$7,Data!$4:$4,0))))</f>
        <v>24</v>
      </c>
      <c r="D85" s="148">
        <f t="shared" ca="1" si="6"/>
        <v>41</v>
      </c>
      <c r="E85" s="148">
        <f t="shared" ca="1" si="7"/>
        <v>0</v>
      </c>
    </row>
    <row r="86" spans="1:5" x14ac:dyDescent="0.25">
      <c r="A86" s="3"/>
      <c r="B86" s="8">
        <v>37680</v>
      </c>
      <c r="C86" s="6">
        <f ca="1">IF(OR($C$7="",$B86&gt;NOW()),"",IF(INDEX(Data!$A:$G,MATCH($B86,Data!$A:$A,0),MATCH($C$7,Data!$4:$4,0))="","",INDEX(Data!$A:$G,MATCH($B86,Data!$A:$A,0),MATCH($C$7,Data!$4:$4,0))))</f>
        <v>31.1</v>
      </c>
      <c r="D86" s="148">
        <f t="shared" ca="1" si="6"/>
        <v>33.9</v>
      </c>
      <c r="E86" s="148">
        <f t="shared" ca="1" si="7"/>
        <v>0</v>
      </c>
    </row>
    <row r="87" spans="1:5" x14ac:dyDescent="0.25">
      <c r="A87" s="3"/>
      <c r="B87" s="8">
        <v>37681</v>
      </c>
      <c r="C87" s="6">
        <f ca="1">IF(OR($C$7="",$B87&gt;NOW()),"",IF(INDEX(Data!$A:$G,MATCH($B87,Data!$A:$A,0),MATCH($C$7,Data!$4:$4,0))="","",INDEX(Data!$A:$G,MATCH($B87,Data!$A:$A,0),MATCH($C$7,Data!$4:$4,0))))</f>
        <v>34.6</v>
      </c>
      <c r="D87" s="148">
        <f t="shared" ca="1" si="6"/>
        <v>30.4</v>
      </c>
      <c r="E87" s="148">
        <f t="shared" ca="1" si="7"/>
        <v>0</v>
      </c>
    </row>
    <row r="88" spans="1:5" x14ac:dyDescent="0.25">
      <c r="A88" s="3"/>
      <c r="B88" s="8">
        <v>37682</v>
      </c>
      <c r="C88" s="6">
        <f ca="1">IF(OR($C$7="",$B88&gt;NOW()),"",IF(INDEX(Data!$A:$G,MATCH($B88,Data!$A:$A,0),MATCH($C$7,Data!$4:$4,0))="","",INDEX(Data!$A:$G,MATCH($B88,Data!$A:$A,0),MATCH($C$7,Data!$4:$4,0))))</f>
        <v>36.799999999999997</v>
      </c>
      <c r="D88" s="148">
        <f t="shared" ca="1" si="6"/>
        <v>28.200000000000003</v>
      </c>
      <c r="E88" s="148">
        <f t="shared" ca="1" si="7"/>
        <v>0</v>
      </c>
    </row>
    <row r="89" spans="1:5" x14ac:dyDescent="0.25">
      <c r="A89" s="3"/>
      <c r="B89" s="8">
        <v>37683</v>
      </c>
      <c r="C89" s="6">
        <f ca="1">IF(OR($C$7="",$B89&gt;NOW()),"",IF(INDEX(Data!$A:$G,MATCH($B89,Data!$A:$A,0),MATCH($C$7,Data!$4:$4,0))="","",INDEX(Data!$A:$G,MATCH($B89,Data!$A:$A,0),MATCH($C$7,Data!$4:$4,0))))</f>
        <v>26.3</v>
      </c>
      <c r="D89" s="148">
        <f t="shared" ca="1" si="6"/>
        <v>38.700000000000003</v>
      </c>
      <c r="E89" s="148">
        <f t="shared" ca="1" si="7"/>
        <v>0</v>
      </c>
    </row>
    <row r="90" spans="1:5" x14ac:dyDescent="0.25">
      <c r="A90" s="3"/>
      <c r="B90" s="8">
        <v>37684</v>
      </c>
      <c r="C90" s="6">
        <f ca="1">IF(OR($C$7="",$B90&gt;NOW()),"",IF(INDEX(Data!$A:$G,MATCH($B90,Data!$A:$A,0),MATCH($C$7,Data!$4:$4,0))="","",INDEX(Data!$A:$G,MATCH($B90,Data!$A:$A,0),MATCH($C$7,Data!$4:$4,0))))</f>
        <v>24.8</v>
      </c>
      <c r="D90" s="148">
        <f t="shared" ca="1" si="6"/>
        <v>40.200000000000003</v>
      </c>
      <c r="E90" s="148">
        <f t="shared" ca="1" si="7"/>
        <v>0</v>
      </c>
    </row>
    <row r="91" spans="1:5" x14ac:dyDescent="0.25">
      <c r="A91" s="3"/>
      <c r="B91" s="8">
        <v>37685</v>
      </c>
      <c r="C91" s="6">
        <f ca="1">IF(OR($C$7="",$B91&gt;NOW()),"",IF(INDEX(Data!$A:$G,MATCH($B91,Data!$A:$A,0),MATCH($C$7,Data!$4:$4,0))="","",INDEX(Data!$A:$G,MATCH($B91,Data!$A:$A,0),MATCH($C$7,Data!$4:$4,0))))</f>
        <v>39.5</v>
      </c>
      <c r="D91" s="148">
        <f t="shared" ca="1" si="6"/>
        <v>25.5</v>
      </c>
      <c r="E91" s="148">
        <f t="shared" ca="1" si="7"/>
        <v>0</v>
      </c>
    </row>
    <row r="92" spans="1:5" x14ac:dyDescent="0.25">
      <c r="A92" s="3"/>
      <c r="B92" s="8">
        <v>37686</v>
      </c>
      <c r="C92" s="6">
        <f ca="1">IF(OR($C$7="",$B92&gt;NOW()),"",IF(INDEX(Data!$A:$G,MATCH($B92,Data!$A:$A,0),MATCH($C$7,Data!$4:$4,0))="","",INDEX(Data!$A:$G,MATCH($B92,Data!$A:$A,0),MATCH($C$7,Data!$4:$4,0))))</f>
        <v>35.700000000000003</v>
      </c>
      <c r="D92" s="148">
        <f t="shared" ca="1" si="6"/>
        <v>29.299999999999997</v>
      </c>
      <c r="E92" s="148">
        <f t="shared" ca="1" si="7"/>
        <v>0</v>
      </c>
    </row>
    <row r="93" spans="1:5" x14ac:dyDescent="0.25">
      <c r="A93" s="3"/>
      <c r="B93" s="8">
        <v>37687</v>
      </c>
      <c r="C93" s="6">
        <f ca="1">IF(OR($C$7="",$B93&gt;NOW()),"",IF(INDEX(Data!$A:$G,MATCH($B93,Data!$A:$A,0),MATCH($C$7,Data!$4:$4,0))="","",INDEX(Data!$A:$G,MATCH($B93,Data!$A:$A,0),MATCH($C$7,Data!$4:$4,0))))</f>
        <v>22.7</v>
      </c>
      <c r="D93" s="148">
        <f t="shared" ref="D93:D156" ca="1" si="8">IF($C93="","",IF($C93&gt;$D$26,0,$D$26-$C93))</f>
        <v>42.3</v>
      </c>
      <c r="E93" s="148">
        <f t="shared" ref="E93:E156" ca="1" si="9">IF($C93="","",IF($C93&lt;$E$26,0,$C93-$E$26))</f>
        <v>0</v>
      </c>
    </row>
    <row r="94" spans="1:5" x14ac:dyDescent="0.25">
      <c r="A94" s="3"/>
      <c r="B94" s="8">
        <v>37688</v>
      </c>
      <c r="C94" s="6">
        <f ca="1">IF(OR($C$7="",$B94&gt;NOW()),"",IF(INDEX(Data!$A:$G,MATCH($B94,Data!$A:$A,0),MATCH($C$7,Data!$4:$4,0))="","",INDEX(Data!$A:$G,MATCH($B94,Data!$A:$A,0),MATCH($C$7,Data!$4:$4,0))))</f>
        <v>35.799999999999997</v>
      </c>
      <c r="D94" s="148">
        <f t="shared" ca="1" si="8"/>
        <v>29.200000000000003</v>
      </c>
      <c r="E94" s="148">
        <f t="shared" ca="1" si="9"/>
        <v>0</v>
      </c>
    </row>
    <row r="95" spans="1:5" x14ac:dyDescent="0.25">
      <c r="A95" s="3"/>
      <c r="B95" s="8">
        <v>37689</v>
      </c>
      <c r="C95" s="6">
        <f ca="1">IF(OR($C$7="",$B95&gt;NOW()),"",IF(INDEX(Data!$A:$G,MATCH($B95,Data!$A:$A,0),MATCH($C$7,Data!$4:$4,0))="","",INDEX(Data!$A:$G,MATCH($B95,Data!$A:$A,0),MATCH($C$7,Data!$4:$4,0))))</f>
        <v>41.8</v>
      </c>
      <c r="D95" s="148">
        <f t="shared" ca="1" si="8"/>
        <v>23.200000000000003</v>
      </c>
      <c r="E95" s="148">
        <f t="shared" ca="1" si="9"/>
        <v>0</v>
      </c>
    </row>
    <row r="96" spans="1:5" x14ac:dyDescent="0.25">
      <c r="A96" s="3"/>
      <c r="B96" s="8">
        <v>37690</v>
      </c>
      <c r="C96" s="6">
        <f ca="1">IF(OR($C$7="",$B96&gt;NOW()),"",IF(INDEX(Data!$A:$G,MATCH($B96,Data!$A:$A,0),MATCH($C$7,Data!$4:$4,0))="","",INDEX(Data!$A:$G,MATCH($B96,Data!$A:$A,0),MATCH($C$7,Data!$4:$4,0))))</f>
        <v>25.1</v>
      </c>
      <c r="D96" s="148">
        <f t="shared" ca="1" si="8"/>
        <v>39.9</v>
      </c>
      <c r="E96" s="148">
        <f t="shared" ca="1" si="9"/>
        <v>0</v>
      </c>
    </row>
    <row r="97" spans="1:5" x14ac:dyDescent="0.25">
      <c r="A97" s="3"/>
      <c r="B97" s="8">
        <v>37691</v>
      </c>
      <c r="C97" s="6">
        <f ca="1">IF(OR($C$7="",$B97&gt;NOW()),"",IF(INDEX(Data!$A:$G,MATCH($B97,Data!$A:$A,0),MATCH($C$7,Data!$4:$4,0))="","",INDEX(Data!$A:$G,MATCH($B97,Data!$A:$A,0),MATCH($C$7,Data!$4:$4,0))))</f>
        <v>29.3</v>
      </c>
      <c r="D97" s="148">
        <f t="shared" ca="1" si="8"/>
        <v>35.700000000000003</v>
      </c>
      <c r="E97" s="148">
        <f t="shared" ca="1" si="9"/>
        <v>0</v>
      </c>
    </row>
    <row r="98" spans="1:5" x14ac:dyDescent="0.25">
      <c r="A98" s="3"/>
      <c r="B98" s="8">
        <v>37692</v>
      </c>
      <c r="C98" s="6">
        <f ca="1">IF(OR($C$7="",$B98&gt;NOW()),"",IF(INDEX(Data!$A:$G,MATCH($B98,Data!$A:$A,0),MATCH($C$7,Data!$4:$4,0))="","",INDEX(Data!$A:$G,MATCH($B98,Data!$A:$A,0),MATCH($C$7,Data!$4:$4,0))))</f>
        <v>39.4</v>
      </c>
      <c r="D98" s="148">
        <f t="shared" ca="1" si="8"/>
        <v>25.6</v>
      </c>
      <c r="E98" s="148">
        <f t="shared" ca="1" si="9"/>
        <v>0</v>
      </c>
    </row>
    <row r="99" spans="1:5" x14ac:dyDescent="0.25">
      <c r="A99" s="3"/>
      <c r="B99" s="8">
        <v>37693</v>
      </c>
      <c r="C99" s="6">
        <f ca="1">IF(OR($C$7="",$B99&gt;NOW()),"",IF(INDEX(Data!$A:$G,MATCH($B99,Data!$A:$A,0),MATCH($C$7,Data!$4:$4,0))="","",INDEX(Data!$A:$G,MATCH($B99,Data!$A:$A,0),MATCH($C$7,Data!$4:$4,0))))</f>
        <v>42.9</v>
      </c>
      <c r="D99" s="148">
        <f t="shared" ca="1" si="8"/>
        <v>22.1</v>
      </c>
      <c r="E99" s="148">
        <f t="shared" ca="1" si="9"/>
        <v>0</v>
      </c>
    </row>
    <row r="100" spans="1:5" x14ac:dyDescent="0.25">
      <c r="A100" s="3"/>
      <c r="B100" s="8">
        <v>37694</v>
      </c>
      <c r="C100" s="6">
        <f ca="1">IF(OR($C$7="",$B100&gt;NOW()),"",IF(INDEX(Data!$A:$G,MATCH($B100,Data!$A:$A,0),MATCH($C$7,Data!$4:$4,0))="","",INDEX(Data!$A:$G,MATCH($B100,Data!$A:$A,0),MATCH($C$7,Data!$4:$4,0))))</f>
        <v>29.5</v>
      </c>
      <c r="D100" s="148">
        <f t="shared" ca="1" si="8"/>
        <v>35.5</v>
      </c>
      <c r="E100" s="148">
        <f t="shared" ca="1" si="9"/>
        <v>0</v>
      </c>
    </row>
    <row r="101" spans="1:5" x14ac:dyDescent="0.25">
      <c r="A101" s="3"/>
      <c r="B101" s="8">
        <v>37695</v>
      </c>
      <c r="C101" s="6">
        <f ca="1">IF(OR($C$7="",$B101&gt;NOW()),"",IF(INDEX(Data!$A:$G,MATCH($B101,Data!$A:$A,0),MATCH($C$7,Data!$4:$4,0))="","",INDEX(Data!$A:$G,MATCH($B101,Data!$A:$A,0),MATCH($C$7,Data!$4:$4,0))))</f>
        <v>37.9</v>
      </c>
      <c r="D101" s="148">
        <f t="shared" ca="1" si="8"/>
        <v>27.1</v>
      </c>
      <c r="E101" s="148">
        <f t="shared" ca="1" si="9"/>
        <v>0</v>
      </c>
    </row>
    <row r="102" spans="1:5" x14ac:dyDescent="0.25">
      <c r="A102" s="3"/>
      <c r="B102" s="8">
        <v>37696</v>
      </c>
      <c r="C102" s="6">
        <f ca="1">IF(OR($C$7="",$B102&gt;NOW()),"",IF(INDEX(Data!$A:$G,MATCH($B102,Data!$A:$A,0),MATCH($C$7,Data!$4:$4,0))="","",INDEX(Data!$A:$G,MATCH($B102,Data!$A:$A,0),MATCH($C$7,Data!$4:$4,0))))</f>
        <v>49.9</v>
      </c>
      <c r="D102" s="148">
        <f t="shared" ca="1" si="8"/>
        <v>15.100000000000001</v>
      </c>
      <c r="E102" s="148">
        <f t="shared" ca="1" si="9"/>
        <v>0</v>
      </c>
    </row>
    <row r="103" spans="1:5" x14ac:dyDescent="0.25">
      <c r="A103" s="3"/>
      <c r="B103" s="8">
        <v>37697</v>
      </c>
      <c r="C103" s="6">
        <f ca="1">IF(OR($C$7="",$B103&gt;NOW()),"",IF(INDEX(Data!$A:$G,MATCH($B103,Data!$A:$A,0),MATCH($C$7,Data!$4:$4,0))="","",INDEX(Data!$A:$G,MATCH($B103,Data!$A:$A,0),MATCH($C$7,Data!$4:$4,0))))</f>
        <v>54.5</v>
      </c>
      <c r="D103" s="148">
        <f t="shared" ca="1" si="8"/>
        <v>10.5</v>
      </c>
      <c r="E103" s="148">
        <f t="shared" ca="1" si="9"/>
        <v>0</v>
      </c>
    </row>
    <row r="104" spans="1:5" x14ac:dyDescent="0.25">
      <c r="A104" s="3"/>
      <c r="B104" s="8">
        <v>37698</v>
      </c>
      <c r="C104" s="6">
        <f ca="1">IF(OR($C$7="",$B104&gt;NOW()),"",IF(INDEX(Data!$A:$G,MATCH($B104,Data!$A:$A,0),MATCH($C$7,Data!$4:$4,0))="","",INDEX(Data!$A:$G,MATCH($B104,Data!$A:$A,0),MATCH($C$7,Data!$4:$4,0))))</f>
        <v>56.3</v>
      </c>
      <c r="D104" s="148">
        <f t="shared" ca="1" si="8"/>
        <v>8.7000000000000028</v>
      </c>
      <c r="E104" s="148">
        <f t="shared" ca="1" si="9"/>
        <v>0</v>
      </c>
    </row>
    <row r="105" spans="1:5" x14ac:dyDescent="0.25">
      <c r="A105" s="3"/>
      <c r="B105" s="8">
        <v>37699</v>
      </c>
      <c r="C105" s="6">
        <f ca="1">IF(OR($C$7="",$B105&gt;NOW()),"",IF(INDEX(Data!$A:$G,MATCH($B105,Data!$A:$A,0),MATCH($C$7,Data!$4:$4,0))="","",INDEX(Data!$A:$G,MATCH($B105,Data!$A:$A,0),MATCH($C$7,Data!$4:$4,0))))</f>
        <v>40.4</v>
      </c>
      <c r="D105" s="148">
        <f t="shared" ca="1" si="8"/>
        <v>24.6</v>
      </c>
      <c r="E105" s="148">
        <f t="shared" ca="1" si="9"/>
        <v>0</v>
      </c>
    </row>
    <row r="106" spans="1:5" x14ac:dyDescent="0.25">
      <c r="A106" s="3"/>
      <c r="B106" s="8">
        <v>37700</v>
      </c>
      <c r="C106" s="6">
        <f ca="1">IF(OR($C$7="",$B106&gt;NOW()),"",IF(INDEX(Data!$A:$G,MATCH($B106,Data!$A:$A,0),MATCH($C$7,Data!$4:$4,0))="","",INDEX(Data!$A:$G,MATCH($B106,Data!$A:$A,0),MATCH($C$7,Data!$4:$4,0))))</f>
        <v>36.4</v>
      </c>
      <c r="D106" s="148">
        <f t="shared" ca="1" si="8"/>
        <v>28.6</v>
      </c>
      <c r="E106" s="148">
        <f t="shared" ca="1" si="9"/>
        <v>0</v>
      </c>
    </row>
    <row r="107" spans="1:5" x14ac:dyDescent="0.25">
      <c r="A107" s="3"/>
      <c r="B107" s="8">
        <v>37701</v>
      </c>
      <c r="C107" s="6">
        <f ca="1">IF(OR($C$7="",$B107&gt;NOW()),"",IF(INDEX(Data!$A:$G,MATCH($B107,Data!$A:$A,0),MATCH($C$7,Data!$4:$4,0))="","",INDEX(Data!$A:$G,MATCH($B107,Data!$A:$A,0),MATCH($C$7,Data!$4:$4,0))))</f>
        <v>53.4</v>
      </c>
      <c r="D107" s="148">
        <f t="shared" ca="1" si="8"/>
        <v>11.600000000000001</v>
      </c>
      <c r="E107" s="148">
        <f t="shared" ca="1" si="9"/>
        <v>0</v>
      </c>
    </row>
    <row r="108" spans="1:5" x14ac:dyDescent="0.25">
      <c r="A108" s="3"/>
      <c r="B108" s="8">
        <v>37702</v>
      </c>
      <c r="C108" s="6">
        <f ca="1">IF(OR($C$7="",$B108&gt;NOW()),"",IF(INDEX(Data!$A:$G,MATCH($B108,Data!$A:$A,0),MATCH($C$7,Data!$4:$4,0))="","",INDEX(Data!$A:$G,MATCH($B108,Data!$A:$A,0),MATCH($C$7,Data!$4:$4,0))))</f>
        <v>57.3</v>
      </c>
      <c r="D108" s="148">
        <f t="shared" ca="1" si="8"/>
        <v>7.7000000000000028</v>
      </c>
      <c r="E108" s="148">
        <f t="shared" ca="1" si="9"/>
        <v>0</v>
      </c>
    </row>
    <row r="109" spans="1:5" x14ac:dyDescent="0.25">
      <c r="A109" s="3"/>
      <c r="B109" s="8">
        <v>37703</v>
      </c>
      <c r="C109" s="6">
        <f ca="1">IF(OR($C$7="",$B109&gt;NOW()),"",IF(INDEX(Data!$A:$G,MATCH($B109,Data!$A:$A,0),MATCH($C$7,Data!$4:$4,0))="","",INDEX(Data!$A:$G,MATCH($B109,Data!$A:$A,0),MATCH($C$7,Data!$4:$4,0))))</f>
        <v>51.8</v>
      </c>
      <c r="D109" s="148">
        <f t="shared" ca="1" si="8"/>
        <v>13.200000000000003</v>
      </c>
      <c r="E109" s="148">
        <f t="shared" ca="1" si="9"/>
        <v>0</v>
      </c>
    </row>
    <row r="110" spans="1:5" x14ac:dyDescent="0.25">
      <c r="A110" s="3"/>
      <c r="B110" s="8">
        <v>37704</v>
      </c>
      <c r="C110" s="6">
        <f ca="1">IF(OR($C$7="",$B110&gt;NOW()),"",IF(INDEX(Data!$A:$G,MATCH($B110,Data!$A:$A,0),MATCH($C$7,Data!$4:$4,0))="","",INDEX(Data!$A:$G,MATCH($B110,Data!$A:$A,0),MATCH($C$7,Data!$4:$4,0))))</f>
        <v>48.2</v>
      </c>
      <c r="D110" s="148">
        <f t="shared" ca="1" si="8"/>
        <v>16.799999999999997</v>
      </c>
      <c r="E110" s="148">
        <f t="shared" ca="1" si="9"/>
        <v>0</v>
      </c>
    </row>
    <row r="111" spans="1:5" x14ac:dyDescent="0.25">
      <c r="A111" s="3"/>
      <c r="B111" s="8">
        <v>37705</v>
      </c>
      <c r="C111" s="6">
        <f ca="1">IF(OR($C$7="",$B111&gt;NOW()),"",IF(INDEX(Data!$A:$G,MATCH($B111,Data!$A:$A,0),MATCH($C$7,Data!$4:$4,0))="","",INDEX(Data!$A:$G,MATCH($B111,Data!$A:$A,0),MATCH($C$7,Data!$4:$4,0))))</f>
        <v>48</v>
      </c>
      <c r="D111" s="148">
        <f t="shared" ca="1" si="8"/>
        <v>17</v>
      </c>
      <c r="E111" s="148">
        <f t="shared" ca="1" si="9"/>
        <v>0</v>
      </c>
    </row>
    <row r="112" spans="1:5" x14ac:dyDescent="0.25">
      <c r="A112" s="3"/>
      <c r="B112" s="8">
        <v>37706</v>
      </c>
      <c r="C112" s="6">
        <f ca="1">IF(OR($C$7="",$B112&gt;NOW()),"",IF(INDEX(Data!$A:$G,MATCH($B112,Data!$A:$A,0),MATCH($C$7,Data!$4:$4,0))="","",INDEX(Data!$A:$G,MATCH($B112,Data!$A:$A,0),MATCH($C$7,Data!$4:$4,0))))</f>
        <v>52.2</v>
      </c>
      <c r="D112" s="148">
        <f t="shared" ca="1" si="8"/>
        <v>12.799999999999997</v>
      </c>
      <c r="E112" s="148">
        <f t="shared" ca="1" si="9"/>
        <v>0</v>
      </c>
    </row>
    <row r="113" spans="1:5" x14ac:dyDescent="0.25">
      <c r="A113" s="3"/>
      <c r="B113" s="8">
        <v>37707</v>
      </c>
      <c r="C113" s="6">
        <f ca="1">IF(OR($C$7="",$B113&gt;NOW()),"",IF(INDEX(Data!$A:$G,MATCH($B113,Data!$A:$A,0),MATCH($C$7,Data!$4:$4,0))="","",INDEX(Data!$A:$G,MATCH($B113,Data!$A:$A,0),MATCH($C$7,Data!$4:$4,0))))</f>
        <v>49.8</v>
      </c>
      <c r="D113" s="148">
        <f t="shared" ca="1" si="8"/>
        <v>15.200000000000003</v>
      </c>
      <c r="E113" s="148">
        <f t="shared" ca="1" si="9"/>
        <v>0</v>
      </c>
    </row>
    <row r="114" spans="1:5" x14ac:dyDescent="0.25">
      <c r="A114" s="3"/>
      <c r="B114" s="8">
        <v>37708</v>
      </c>
      <c r="C114" s="6">
        <f ca="1">IF(OR($C$7="",$B114&gt;NOW()),"",IF(INDEX(Data!$A:$G,MATCH($B114,Data!$A:$A,0),MATCH($C$7,Data!$4:$4,0))="","",INDEX(Data!$A:$G,MATCH($B114,Data!$A:$A,0),MATCH($C$7,Data!$4:$4,0))))</f>
        <v>51.3</v>
      </c>
      <c r="D114" s="148">
        <f t="shared" ca="1" si="8"/>
        <v>13.700000000000003</v>
      </c>
      <c r="E114" s="148">
        <f t="shared" ca="1" si="9"/>
        <v>0</v>
      </c>
    </row>
    <row r="115" spans="1:5" x14ac:dyDescent="0.25">
      <c r="A115" s="3"/>
      <c r="B115" s="8">
        <v>37709</v>
      </c>
      <c r="C115" s="6">
        <f ca="1">IF(OR($C$7="",$B115&gt;NOW()),"",IF(INDEX(Data!$A:$G,MATCH($B115,Data!$A:$A,0),MATCH($C$7,Data!$4:$4,0))="","",INDEX(Data!$A:$G,MATCH($B115,Data!$A:$A,0),MATCH($C$7,Data!$4:$4,0))))</f>
        <v>55.9</v>
      </c>
      <c r="D115" s="148">
        <f t="shared" ca="1" si="8"/>
        <v>9.1000000000000014</v>
      </c>
      <c r="E115" s="148">
        <f t="shared" ca="1" si="9"/>
        <v>0</v>
      </c>
    </row>
    <row r="116" spans="1:5" x14ac:dyDescent="0.25">
      <c r="A116" s="3"/>
      <c r="B116" s="8">
        <v>37710</v>
      </c>
      <c r="C116" s="6">
        <f ca="1">IF(OR($C$7="",$B116&gt;NOW()),"",IF(INDEX(Data!$A:$G,MATCH($B116,Data!$A:$A,0),MATCH($C$7,Data!$4:$4,0))="","",INDEX(Data!$A:$G,MATCH($B116,Data!$A:$A,0),MATCH($C$7,Data!$4:$4,0))))</f>
        <v>46.6</v>
      </c>
      <c r="D116" s="148">
        <f t="shared" ca="1" si="8"/>
        <v>18.399999999999999</v>
      </c>
      <c r="E116" s="148">
        <f t="shared" ca="1" si="9"/>
        <v>0</v>
      </c>
    </row>
    <row r="117" spans="1:5" x14ac:dyDescent="0.25">
      <c r="A117" s="3"/>
      <c r="B117" s="8">
        <v>37711</v>
      </c>
      <c r="C117" s="6">
        <f ca="1">IF(OR($C$7="",$B117&gt;NOW()),"",IF(INDEX(Data!$A:$G,MATCH($B117,Data!$A:$A,0),MATCH($C$7,Data!$4:$4,0))="","",INDEX(Data!$A:$G,MATCH($B117,Data!$A:$A,0),MATCH($C$7,Data!$4:$4,0))))</f>
        <v>36.5</v>
      </c>
      <c r="D117" s="148">
        <f t="shared" ca="1" si="8"/>
        <v>28.5</v>
      </c>
      <c r="E117" s="148">
        <f t="shared" ca="1" si="9"/>
        <v>0</v>
      </c>
    </row>
    <row r="118" spans="1:5" x14ac:dyDescent="0.25">
      <c r="A118" s="3"/>
      <c r="B118" s="8">
        <v>37712</v>
      </c>
      <c r="C118" s="6">
        <f ca="1">IF(OR($C$7="",$B118&gt;NOW()),"",IF(INDEX(Data!$A:$G,MATCH($B118,Data!$A:$A,0),MATCH($C$7,Data!$4:$4,0))="","",INDEX(Data!$A:$G,MATCH($B118,Data!$A:$A,0),MATCH($C$7,Data!$4:$4,0))))</f>
        <v>36.299999999999997</v>
      </c>
      <c r="D118" s="148">
        <f t="shared" ca="1" si="8"/>
        <v>28.700000000000003</v>
      </c>
      <c r="E118" s="148">
        <f t="shared" ca="1" si="9"/>
        <v>0</v>
      </c>
    </row>
    <row r="119" spans="1:5" x14ac:dyDescent="0.25">
      <c r="A119" s="3"/>
      <c r="B119" s="8">
        <v>37713</v>
      </c>
      <c r="C119" s="6">
        <f ca="1">IF(OR($C$7="",$B119&gt;NOW()),"",IF(INDEX(Data!$A:$G,MATCH($B119,Data!$A:$A,0),MATCH($C$7,Data!$4:$4,0))="","",INDEX(Data!$A:$G,MATCH($B119,Data!$A:$A,0),MATCH($C$7,Data!$4:$4,0))))</f>
        <v>42.8</v>
      </c>
      <c r="D119" s="148">
        <f t="shared" ca="1" si="8"/>
        <v>22.200000000000003</v>
      </c>
      <c r="E119" s="148">
        <f t="shared" ca="1" si="9"/>
        <v>0</v>
      </c>
    </row>
    <row r="120" spans="1:5" x14ac:dyDescent="0.25">
      <c r="A120" s="3"/>
      <c r="B120" s="8">
        <v>37714</v>
      </c>
      <c r="C120" s="6">
        <f ca="1">IF(OR($C$7="",$B120&gt;NOW()),"",IF(INDEX(Data!$A:$G,MATCH($B120,Data!$A:$A,0),MATCH($C$7,Data!$4:$4,0))="","",INDEX(Data!$A:$G,MATCH($B120,Data!$A:$A,0),MATCH($C$7,Data!$4:$4,0))))</f>
        <v>44.5</v>
      </c>
      <c r="D120" s="148">
        <f t="shared" ca="1" si="8"/>
        <v>20.5</v>
      </c>
      <c r="E120" s="148">
        <f t="shared" ca="1" si="9"/>
        <v>0</v>
      </c>
    </row>
    <row r="121" spans="1:5" x14ac:dyDescent="0.25">
      <c r="A121" s="3"/>
      <c r="B121" s="8">
        <v>37715</v>
      </c>
      <c r="C121" s="6">
        <f ca="1">IF(OR($C$7="",$B121&gt;NOW()),"",IF(INDEX(Data!$A:$G,MATCH($B121,Data!$A:$A,0),MATCH($C$7,Data!$4:$4,0))="","",INDEX(Data!$A:$G,MATCH($B121,Data!$A:$A,0),MATCH($C$7,Data!$4:$4,0))))</f>
        <v>41.4</v>
      </c>
      <c r="D121" s="148">
        <f t="shared" ca="1" si="8"/>
        <v>23.6</v>
      </c>
      <c r="E121" s="148">
        <f t="shared" ca="1" si="9"/>
        <v>0</v>
      </c>
    </row>
    <row r="122" spans="1:5" x14ac:dyDescent="0.25">
      <c r="A122" s="3"/>
      <c r="B122" s="8">
        <v>37716</v>
      </c>
      <c r="C122" s="6">
        <f ca="1">IF(OR($C$7="",$B122&gt;NOW()),"",IF(INDEX(Data!$A:$G,MATCH($B122,Data!$A:$A,0),MATCH($C$7,Data!$4:$4,0))="","",INDEX(Data!$A:$G,MATCH($B122,Data!$A:$A,0),MATCH($C$7,Data!$4:$4,0))))</f>
        <v>36.299999999999997</v>
      </c>
      <c r="D122" s="148">
        <f t="shared" ca="1" si="8"/>
        <v>28.700000000000003</v>
      </c>
      <c r="E122" s="148">
        <f t="shared" ca="1" si="9"/>
        <v>0</v>
      </c>
    </row>
    <row r="123" spans="1:5" x14ac:dyDescent="0.25">
      <c r="A123" s="3"/>
      <c r="B123" s="8">
        <v>37717</v>
      </c>
      <c r="C123" s="6">
        <f ca="1">IF(OR($C$7="",$B123&gt;NOW()),"",IF(INDEX(Data!$A:$G,MATCH($B123,Data!$A:$A,0),MATCH($C$7,Data!$4:$4,0))="","",INDEX(Data!$A:$G,MATCH($B123,Data!$A:$A,0),MATCH($C$7,Data!$4:$4,0))))</f>
        <v>39.700000000000003</v>
      </c>
      <c r="D123" s="148">
        <f t="shared" ca="1" si="8"/>
        <v>25.299999999999997</v>
      </c>
      <c r="E123" s="148">
        <f t="shared" ca="1" si="9"/>
        <v>0</v>
      </c>
    </row>
    <row r="124" spans="1:5" x14ac:dyDescent="0.25">
      <c r="A124" s="3"/>
      <c r="B124" s="8">
        <v>37718</v>
      </c>
      <c r="C124" s="6">
        <f ca="1">IF(OR($C$7="",$B124&gt;NOW()),"",IF(INDEX(Data!$A:$G,MATCH($B124,Data!$A:$A,0),MATCH($C$7,Data!$4:$4,0))="","",INDEX(Data!$A:$G,MATCH($B124,Data!$A:$A,0),MATCH($C$7,Data!$4:$4,0))))</f>
        <v>35.4</v>
      </c>
      <c r="D124" s="148">
        <f t="shared" ca="1" si="8"/>
        <v>29.6</v>
      </c>
      <c r="E124" s="148">
        <f t="shared" ca="1" si="9"/>
        <v>0</v>
      </c>
    </row>
    <row r="125" spans="1:5" x14ac:dyDescent="0.25">
      <c r="A125" s="3"/>
      <c r="B125" s="8">
        <v>37719</v>
      </c>
      <c r="C125" s="6">
        <f ca="1">IF(OR($C$7="",$B125&gt;NOW()),"",IF(INDEX(Data!$A:$G,MATCH($B125,Data!$A:$A,0),MATCH($C$7,Data!$4:$4,0))="","",INDEX(Data!$A:$G,MATCH($B125,Data!$A:$A,0),MATCH($C$7,Data!$4:$4,0))))</f>
        <v>33.9</v>
      </c>
      <c r="D125" s="148">
        <f t="shared" ca="1" si="8"/>
        <v>31.1</v>
      </c>
      <c r="E125" s="148">
        <f t="shared" ca="1" si="9"/>
        <v>0</v>
      </c>
    </row>
    <row r="126" spans="1:5" x14ac:dyDescent="0.25">
      <c r="A126" s="3"/>
      <c r="B126" s="8">
        <v>37720</v>
      </c>
      <c r="C126" s="6">
        <f ca="1">IF(OR($C$7="",$B126&gt;NOW()),"",IF(INDEX(Data!$A:$G,MATCH($B126,Data!$A:$A,0),MATCH($C$7,Data!$4:$4,0))="","",INDEX(Data!$A:$G,MATCH($B126,Data!$A:$A,0),MATCH($C$7,Data!$4:$4,0))))</f>
        <v>37</v>
      </c>
      <c r="D126" s="148">
        <f t="shared" ca="1" si="8"/>
        <v>28</v>
      </c>
      <c r="E126" s="148">
        <f t="shared" ca="1" si="9"/>
        <v>0</v>
      </c>
    </row>
    <row r="127" spans="1:5" x14ac:dyDescent="0.25">
      <c r="A127" s="3"/>
      <c r="B127" s="8">
        <v>37721</v>
      </c>
      <c r="C127" s="6">
        <f ca="1">IF(OR($C$7="",$B127&gt;NOW()),"",IF(INDEX(Data!$A:$G,MATCH($B127,Data!$A:$A,0),MATCH($C$7,Data!$4:$4,0))="","",INDEX(Data!$A:$G,MATCH($B127,Data!$A:$A,0),MATCH($C$7,Data!$4:$4,0))))</f>
        <v>41.7</v>
      </c>
      <c r="D127" s="148">
        <f t="shared" ca="1" si="8"/>
        <v>23.299999999999997</v>
      </c>
      <c r="E127" s="148">
        <f t="shared" ca="1" si="9"/>
        <v>0</v>
      </c>
    </row>
    <row r="128" spans="1:5" x14ac:dyDescent="0.25">
      <c r="A128" s="3"/>
      <c r="B128" s="8">
        <v>37722</v>
      </c>
      <c r="C128" s="6">
        <f ca="1">IF(OR($C$7="",$B128&gt;NOW()),"",IF(INDEX(Data!$A:$G,MATCH($B128,Data!$A:$A,0),MATCH($C$7,Data!$4:$4,0))="","",INDEX(Data!$A:$G,MATCH($B128,Data!$A:$A,0),MATCH($C$7,Data!$4:$4,0))))</f>
        <v>41.6</v>
      </c>
      <c r="D128" s="148">
        <f t="shared" ca="1" si="8"/>
        <v>23.4</v>
      </c>
      <c r="E128" s="148">
        <f t="shared" ca="1" si="9"/>
        <v>0</v>
      </c>
    </row>
    <row r="129" spans="1:5" x14ac:dyDescent="0.25">
      <c r="A129" s="3"/>
      <c r="B129" s="8">
        <v>37723</v>
      </c>
      <c r="C129" s="6">
        <f ca="1">IF(OR($C$7="",$B129&gt;NOW()),"",IF(INDEX(Data!$A:$G,MATCH($B129,Data!$A:$A,0),MATCH($C$7,Data!$4:$4,0))="","",INDEX(Data!$A:$G,MATCH($B129,Data!$A:$A,0),MATCH($C$7,Data!$4:$4,0))))</f>
        <v>50.5</v>
      </c>
      <c r="D129" s="148">
        <f t="shared" ca="1" si="8"/>
        <v>14.5</v>
      </c>
      <c r="E129" s="148">
        <f t="shared" ca="1" si="9"/>
        <v>0</v>
      </c>
    </row>
    <row r="130" spans="1:5" x14ac:dyDescent="0.25">
      <c r="A130" s="3"/>
      <c r="B130" s="8">
        <v>37724</v>
      </c>
      <c r="C130" s="6">
        <f ca="1">IF(OR($C$7="",$B130&gt;NOW()),"",IF(INDEX(Data!$A:$G,MATCH($B130,Data!$A:$A,0),MATCH($C$7,Data!$4:$4,0))="","",INDEX(Data!$A:$G,MATCH($B130,Data!$A:$A,0),MATCH($C$7,Data!$4:$4,0))))</f>
        <v>53.5</v>
      </c>
      <c r="D130" s="148">
        <f t="shared" ca="1" si="8"/>
        <v>11.5</v>
      </c>
      <c r="E130" s="148">
        <f t="shared" ca="1" si="9"/>
        <v>0</v>
      </c>
    </row>
    <row r="131" spans="1:5" x14ac:dyDescent="0.25">
      <c r="A131" s="3"/>
      <c r="B131" s="8">
        <v>37725</v>
      </c>
      <c r="C131" s="6">
        <f ca="1">IF(OR($C$7="",$B131&gt;NOW()),"",IF(INDEX(Data!$A:$G,MATCH($B131,Data!$A:$A,0),MATCH($C$7,Data!$4:$4,0))="","",INDEX(Data!$A:$G,MATCH($B131,Data!$A:$A,0),MATCH($C$7,Data!$4:$4,0))))</f>
        <v>50.3</v>
      </c>
      <c r="D131" s="148">
        <f t="shared" ca="1" si="8"/>
        <v>14.700000000000003</v>
      </c>
      <c r="E131" s="148">
        <f t="shared" ca="1" si="9"/>
        <v>0</v>
      </c>
    </row>
    <row r="132" spans="1:5" x14ac:dyDescent="0.25">
      <c r="A132" s="3"/>
      <c r="B132" s="8">
        <v>37726</v>
      </c>
      <c r="C132" s="6">
        <f ca="1">IF(OR($C$7="",$B132&gt;NOW()),"",IF(INDEX(Data!$A:$G,MATCH($B132,Data!$A:$A,0),MATCH($C$7,Data!$4:$4,0))="","",INDEX(Data!$A:$G,MATCH($B132,Data!$A:$A,0),MATCH($C$7,Data!$4:$4,0))))</f>
        <v>60.3</v>
      </c>
      <c r="D132" s="148">
        <f t="shared" ca="1" si="8"/>
        <v>4.7000000000000028</v>
      </c>
      <c r="E132" s="148">
        <f t="shared" ca="1" si="9"/>
        <v>0</v>
      </c>
    </row>
    <row r="133" spans="1:5" x14ac:dyDescent="0.25">
      <c r="A133" s="3"/>
      <c r="B133" s="8">
        <v>37727</v>
      </c>
      <c r="C133" s="6">
        <f ca="1">IF(OR($C$7="",$B133&gt;NOW()),"",IF(INDEX(Data!$A:$G,MATCH($B133,Data!$A:$A,0),MATCH($C$7,Data!$4:$4,0))="","",INDEX(Data!$A:$G,MATCH($B133,Data!$A:$A,0),MATCH($C$7,Data!$4:$4,0))))</f>
        <v>73.099999999999994</v>
      </c>
      <c r="D133" s="148">
        <f t="shared" ca="1" si="8"/>
        <v>0</v>
      </c>
      <c r="E133" s="148">
        <f t="shared" ca="1" si="9"/>
        <v>8.0999999999999943</v>
      </c>
    </row>
    <row r="134" spans="1:5" x14ac:dyDescent="0.25">
      <c r="A134" s="3"/>
      <c r="B134" s="8">
        <v>37728</v>
      </c>
      <c r="C134" s="6">
        <f ca="1">IF(OR($C$7="",$B134&gt;NOW()),"",IF(INDEX(Data!$A:$G,MATCH($B134,Data!$A:$A,0),MATCH($C$7,Data!$4:$4,0))="","",INDEX(Data!$A:$G,MATCH($B134,Data!$A:$A,0),MATCH($C$7,Data!$4:$4,0))))</f>
        <v>46.7</v>
      </c>
      <c r="D134" s="148">
        <f t="shared" ca="1" si="8"/>
        <v>18.299999999999997</v>
      </c>
      <c r="E134" s="148">
        <f t="shared" ca="1" si="9"/>
        <v>0</v>
      </c>
    </row>
    <row r="135" spans="1:5" x14ac:dyDescent="0.25">
      <c r="A135" s="3"/>
      <c r="B135" s="8">
        <v>37729</v>
      </c>
      <c r="C135" s="6">
        <f ca="1">IF(OR($C$7="",$B135&gt;NOW()),"",IF(INDEX(Data!$A:$G,MATCH($B135,Data!$A:$A,0),MATCH($C$7,Data!$4:$4,0))="","",INDEX(Data!$A:$G,MATCH($B135,Data!$A:$A,0),MATCH($C$7,Data!$4:$4,0))))</f>
        <v>39.200000000000003</v>
      </c>
      <c r="D135" s="148">
        <f t="shared" ca="1" si="8"/>
        <v>25.799999999999997</v>
      </c>
      <c r="E135" s="148">
        <f t="shared" ca="1" si="9"/>
        <v>0</v>
      </c>
    </row>
    <row r="136" spans="1:5" x14ac:dyDescent="0.25">
      <c r="A136" s="3"/>
      <c r="B136" s="8">
        <v>37730</v>
      </c>
      <c r="C136" s="6">
        <f ca="1">IF(OR($C$7="",$B136&gt;NOW()),"",IF(INDEX(Data!$A:$G,MATCH($B136,Data!$A:$A,0),MATCH($C$7,Data!$4:$4,0))="","",INDEX(Data!$A:$G,MATCH($B136,Data!$A:$A,0),MATCH($C$7,Data!$4:$4,0))))</f>
        <v>47.3</v>
      </c>
      <c r="D136" s="148">
        <f t="shared" ca="1" si="8"/>
        <v>17.700000000000003</v>
      </c>
      <c r="E136" s="148">
        <f t="shared" ca="1" si="9"/>
        <v>0</v>
      </c>
    </row>
    <row r="137" spans="1:5" x14ac:dyDescent="0.25">
      <c r="A137" s="3"/>
      <c r="B137" s="8">
        <v>37731</v>
      </c>
      <c r="C137" s="6">
        <f ca="1">IF(OR($C$7="",$B137&gt;NOW()),"",IF(INDEX(Data!$A:$G,MATCH($B137,Data!$A:$A,0),MATCH($C$7,Data!$4:$4,0))="","",INDEX(Data!$A:$G,MATCH($B137,Data!$A:$A,0),MATCH($C$7,Data!$4:$4,0))))</f>
        <v>51.3</v>
      </c>
      <c r="D137" s="148">
        <f t="shared" ca="1" si="8"/>
        <v>13.700000000000003</v>
      </c>
      <c r="E137" s="148">
        <f t="shared" ca="1" si="9"/>
        <v>0</v>
      </c>
    </row>
    <row r="138" spans="1:5" x14ac:dyDescent="0.25">
      <c r="A138" s="3"/>
      <c r="B138" s="8">
        <v>37732</v>
      </c>
      <c r="C138" s="6">
        <f ca="1">IF(OR($C$7="",$B138&gt;NOW()),"",IF(INDEX(Data!$A:$G,MATCH($B138,Data!$A:$A,0),MATCH($C$7,Data!$4:$4,0))="","",INDEX(Data!$A:$G,MATCH($B138,Data!$A:$A,0),MATCH($C$7,Data!$4:$4,0))))</f>
        <v>51.7</v>
      </c>
      <c r="D138" s="148">
        <f t="shared" ca="1" si="8"/>
        <v>13.299999999999997</v>
      </c>
      <c r="E138" s="148">
        <f t="shared" ca="1" si="9"/>
        <v>0</v>
      </c>
    </row>
    <row r="139" spans="1:5" x14ac:dyDescent="0.25">
      <c r="A139" s="3"/>
      <c r="B139" s="8">
        <v>37733</v>
      </c>
      <c r="C139" s="6">
        <f ca="1">IF(OR($C$7="",$B139&gt;NOW()),"",IF(INDEX(Data!$A:$G,MATCH($B139,Data!$A:$A,0),MATCH($C$7,Data!$4:$4,0))="","",INDEX(Data!$A:$G,MATCH($B139,Data!$A:$A,0),MATCH($C$7,Data!$4:$4,0))))</f>
        <v>48.3</v>
      </c>
      <c r="D139" s="148">
        <f t="shared" ca="1" si="8"/>
        <v>16.700000000000003</v>
      </c>
      <c r="E139" s="148">
        <f t="shared" ca="1" si="9"/>
        <v>0</v>
      </c>
    </row>
    <row r="140" spans="1:5" x14ac:dyDescent="0.25">
      <c r="A140" s="3"/>
      <c r="B140" s="8">
        <v>37734</v>
      </c>
      <c r="C140" s="6">
        <f ca="1">IF(OR($C$7="",$B140&gt;NOW()),"",IF(INDEX(Data!$A:$G,MATCH($B140,Data!$A:$A,0),MATCH($C$7,Data!$4:$4,0))="","",INDEX(Data!$A:$G,MATCH($B140,Data!$A:$A,0),MATCH($C$7,Data!$4:$4,0))))</f>
        <v>48.1</v>
      </c>
      <c r="D140" s="148">
        <f t="shared" ca="1" si="8"/>
        <v>16.899999999999999</v>
      </c>
      <c r="E140" s="148">
        <f t="shared" ca="1" si="9"/>
        <v>0</v>
      </c>
    </row>
    <row r="141" spans="1:5" x14ac:dyDescent="0.25">
      <c r="A141" s="3"/>
      <c r="B141" s="8">
        <v>37735</v>
      </c>
      <c r="C141" s="6">
        <f ca="1">IF(OR($C$7="",$B141&gt;NOW()),"",IF(INDEX(Data!$A:$G,MATCH($B141,Data!$A:$A,0),MATCH($C$7,Data!$4:$4,0))="","",INDEX(Data!$A:$G,MATCH($B141,Data!$A:$A,0),MATCH($C$7,Data!$4:$4,0))))</f>
        <v>46.7</v>
      </c>
      <c r="D141" s="148">
        <f t="shared" ca="1" si="8"/>
        <v>18.299999999999997</v>
      </c>
      <c r="E141" s="148">
        <f t="shared" ca="1" si="9"/>
        <v>0</v>
      </c>
    </row>
    <row r="142" spans="1:5" x14ac:dyDescent="0.25">
      <c r="A142" s="3"/>
      <c r="B142" s="8">
        <v>37736</v>
      </c>
      <c r="C142" s="6">
        <f ca="1">IF(OR($C$7="",$B142&gt;NOW()),"",IF(INDEX(Data!$A:$G,MATCH($B142,Data!$A:$A,0),MATCH($C$7,Data!$4:$4,0))="","",INDEX(Data!$A:$G,MATCH($B142,Data!$A:$A,0),MATCH($C$7,Data!$4:$4,0))))</f>
        <v>55.5</v>
      </c>
      <c r="D142" s="148">
        <f t="shared" ca="1" si="8"/>
        <v>9.5</v>
      </c>
      <c r="E142" s="148">
        <f t="shared" ca="1" si="9"/>
        <v>0</v>
      </c>
    </row>
    <row r="143" spans="1:5" x14ac:dyDescent="0.25">
      <c r="A143" s="3"/>
      <c r="B143" s="8">
        <v>37737</v>
      </c>
      <c r="C143" s="6">
        <f ca="1">IF(OR($C$7="",$B143&gt;NOW()),"",IF(INDEX(Data!$A:$G,MATCH($B143,Data!$A:$A,0),MATCH($C$7,Data!$4:$4,0))="","",INDEX(Data!$A:$G,MATCH($B143,Data!$A:$A,0),MATCH($C$7,Data!$4:$4,0))))</f>
        <v>51.5</v>
      </c>
      <c r="D143" s="148">
        <f t="shared" ca="1" si="8"/>
        <v>13.5</v>
      </c>
      <c r="E143" s="148">
        <f t="shared" ca="1" si="9"/>
        <v>0</v>
      </c>
    </row>
    <row r="144" spans="1:5" x14ac:dyDescent="0.25">
      <c r="A144" s="3"/>
      <c r="B144" s="8">
        <v>37738</v>
      </c>
      <c r="C144" s="6">
        <f ca="1">IF(OR($C$7="",$B144&gt;NOW()),"",IF(INDEX(Data!$A:$G,MATCH($B144,Data!$A:$A,0),MATCH($C$7,Data!$4:$4,0))="","",INDEX(Data!$A:$G,MATCH($B144,Data!$A:$A,0),MATCH($C$7,Data!$4:$4,0))))</f>
        <v>58.2</v>
      </c>
      <c r="D144" s="148">
        <f t="shared" ca="1" si="8"/>
        <v>6.7999999999999972</v>
      </c>
      <c r="E144" s="148">
        <f t="shared" ca="1" si="9"/>
        <v>0</v>
      </c>
    </row>
    <row r="145" spans="1:5" x14ac:dyDescent="0.25">
      <c r="A145" s="3"/>
      <c r="B145" s="8">
        <v>37739</v>
      </c>
      <c r="C145" s="6">
        <f ca="1">IF(OR($C$7="",$B145&gt;NOW()),"",IF(INDEX(Data!$A:$G,MATCH($B145,Data!$A:$A,0),MATCH($C$7,Data!$4:$4,0))="","",INDEX(Data!$A:$G,MATCH($B145,Data!$A:$A,0),MATCH($C$7,Data!$4:$4,0))))</f>
        <v>64.3</v>
      </c>
      <c r="D145" s="148">
        <f t="shared" ca="1" si="8"/>
        <v>0.70000000000000284</v>
      </c>
      <c r="E145" s="148">
        <f t="shared" ca="1" si="9"/>
        <v>0</v>
      </c>
    </row>
    <row r="146" spans="1:5" x14ac:dyDescent="0.25">
      <c r="A146" s="3"/>
      <c r="B146" s="8">
        <v>37740</v>
      </c>
      <c r="C146" s="6">
        <f ca="1">IF(OR($C$7="",$B146&gt;NOW()),"",IF(INDEX(Data!$A:$G,MATCH($B146,Data!$A:$A,0),MATCH($C$7,Data!$4:$4,0))="","",INDEX(Data!$A:$G,MATCH($B146,Data!$A:$A,0),MATCH($C$7,Data!$4:$4,0))))</f>
        <v>67.3</v>
      </c>
      <c r="D146" s="148">
        <f t="shared" ca="1" si="8"/>
        <v>0</v>
      </c>
      <c r="E146" s="148">
        <f t="shared" ca="1" si="9"/>
        <v>2.2999999999999972</v>
      </c>
    </row>
    <row r="147" spans="1:5" x14ac:dyDescent="0.25">
      <c r="A147" s="3"/>
      <c r="B147" s="8">
        <v>37741</v>
      </c>
      <c r="C147" s="6">
        <f ca="1">IF(OR($C$7="",$B147&gt;NOW()),"",IF(INDEX(Data!$A:$G,MATCH($B147,Data!$A:$A,0),MATCH($C$7,Data!$4:$4,0))="","",INDEX(Data!$A:$G,MATCH($B147,Data!$A:$A,0),MATCH($C$7,Data!$4:$4,0))))</f>
        <v>60.7</v>
      </c>
      <c r="D147" s="148">
        <f t="shared" ca="1" si="8"/>
        <v>4.2999999999999972</v>
      </c>
      <c r="E147" s="148">
        <f t="shared" ca="1" si="9"/>
        <v>0</v>
      </c>
    </row>
    <row r="148" spans="1:5" x14ac:dyDescent="0.25">
      <c r="A148" s="3"/>
      <c r="B148" s="8">
        <v>37742</v>
      </c>
      <c r="C148" s="6">
        <f ca="1">IF(OR($C$7="",$B148&gt;NOW()),"",IF(INDEX(Data!$A:$G,MATCH($B148,Data!$A:$A,0),MATCH($C$7,Data!$4:$4,0))="","",INDEX(Data!$A:$G,MATCH($B148,Data!$A:$A,0),MATCH($C$7,Data!$4:$4,0))))</f>
        <v>57.3</v>
      </c>
      <c r="D148" s="148">
        <f t="shared" ca="1" si="8"/>
        <v>7.7000000000000028</v>
      </c>
      <c r="E148" s="148">
        <f t="shared" ca="1" si="9"/>
        <v>0</v>
      </c>
    </row>
    <row r="149" spans="1:5" x14ac:dyDescent="0.25">
      <c r="A149" s="3"/>
      <c r="B149" s="8">
        <v>37743</v>
      </c>
      <c r="C149" s="6">
        <f ca="1">IF(OR($C$7="",$B149&gt;NOW()),"",IF(INDEX(Data!$A:$G,MATCH($B149,Data!$A:$A,0),MATCH($C$7,Data!$4:$4,0))="","",INDEX(Data!$A:$G,MATCH($B149,Data!$A:$A,0),MATCH($C$7,Data!$4:$4,0))))</f>
        <v>65.2</v>
      </c>
      <c r="D149" s="148">
        <f t="shared" ca="1" si="8"/>
        <v>0</v>
      </c>
      <c r="E149" s="148">
        <f t="shared" ca="1" si="9"/>
        <v>0.20000000000000284</v>
      </c>
    </row>
    <row r="150" spans="1:5" x14ac:dyDescent="0.25">
      <c r="A150" s="3"/>
      <c r="B150" s="8">
        <v>37744</v>
      </c>
      <c r="C150" s="6">
        <f ca="1">IF(OR($C$7="",$B150&gt;NOW()),"",IF(INDEX(Data!$A:$G,MATCH($B150,Data!$A:$A,0),MATCH($C$7,Data!$4:$4,0))="","",INDEX(Data!$A:$G,MATCH($B150,Data!$A:$A,0),MATCH($C$7,Data!$4:$4,0))))</f>
        <v>55.5</v>
      </c>
      <c r="D150" s="148">
        <f t="shared" ca="1" si="8"/>
        <v>9.5</v>
      </c>
      <c r="E150" s="148">
        <f t="shared" ca="1" si="9"/>
        <v>0</v>
      </c>
    </row>
    <row r="151" spans="1:5" x14ac:dyDescent="0.25">
      <c r="A151" s="3"/>
      <c r="B151" s="8">
        <v>37745</v>
      </c>
      <c r="C151" s="6">
        <f ca="1">IF(OR($C$7="",$B151&gt;NOW()),"",IF(INDEX(Data!$A:$G,MATCH($B151,Data!$A:$A,0),MATCH($C$7,Data!$4:$4,0))="","",INDEX(Data!$A:$G,MATCH($B151,Data!$A:$A,0),MATCH($C$7,Data!$4:$4,0))))</f>
        <v>53.7</v>
      </c>
      <c r="D151" s="148">
        <f t="shared" ca="1" si="8"/>
        <v>11.299999999999997</v>
      </c>
      <c r="E151" s="148">
        <f t="shared" ca="1" si="9"/>
        <v>0</v>
      </c>
    </row>
    <row r="152" spans="1:5" x14ac:dyDescent="0.25">
      <c r="A152" s="3"/>
      <c r="B152" s="8">
        <v>37746</v>
      </c>
      <c r="C152" s="6">
        <f ca="1">IF(OR($C$7="",$B152&gt;NOW()),"",IF(INDEX(Data!$A:$G,MATCH($B152,Data!$A:$A,0),MATCH($C$7,Data!$4:$4,0))="","",INDEX(Data!$A:$G,MATCH($B152,Data!$A:$A,0),MATCH($C$7,Data!$4:$4,0))))</f>
        <v>54.5</v>
      </c>
      <c r="D152" s="148">
        <f t="shared" ca="1" si="8"/>
        <v>10.5</v>
      </c>
      <c r="E152" s="148">
        <f t="shared" ca="1" si="9"/>
        <v>0</v>
      </c>
    </row>
    <row r="153" spans="1:5" x14ac:dyDescent="0.25">
      <c r="B153" s="8">
        <v>37747</v>
      </c>
      <c r="C153" s="6">
        <f ca="1">IF(OR($C$7="",$B153&gt;NOW()),"",IF(INDEX(Data!$A:$G,MATCH($B153,Data!$A:$A,0),MATCH($C$7,Data!$4:$4,0))="","",INDEX(Data!$A:$G,MATCH($B153,Data!$A:$A,0),MATCH($C$7,Data!$4:$4,0))))</f>
        <v>49.5</v>
      </c>
      <c r="D153" s="148">
        <f t="shared" ca="1" si="8"/>
        <v>15.5</v>
      </c>
      <c r="E153" s="148">
        <f t="shared" ca="1" si="9"/>
        <v>0</v>
      </c>
    </row>
    <row r="154" spans="1:5" x14ac:dyDescent="0.25">
      <c r="B154" s="8">
        <v>37748</v>
      </c>
      <c r="C154" s="6">
        <f ca="1">IF(OR($C$7="",$B154&gt;NOW()),"",IF(INDEX(Data!$A:$G,MATCH($B154,Data!$A:$A,0),MATCH($C$7,Data!$4:$4,0))="","",INDEX(Data!$A:$G,MATCH($B154,Data!$A:$A,0),MATCH($C$7,Data!$4:$4,0))))</f>
        <v>62.5</v>
      </c>
      <c r="D154" s="148">
        <f t="shared" ca="1" si="8"/>
        <v>2.5</v>
      </c>
      <c r="E154" s="148">
        <f t="shared" ca="1" si="9"/>
        <v>0</v>
      </c>
    </row>
    <row r="155" spans="1:5" x14ac:dyDescent="0.25">
      <c r="B155" s="8">
        <v>37749</v>
      </c>
      <c r="C155" s="6">
        <f ca="1">IF(OR($C$7="",$B155&gt;NOW()),"",IF(INDEX(Data!$A:$G,MATCH($B155,Data!$A:$A,0),MATCH($C$7,Data!$4:$4,0))="","",INDEX(Data!$A:$G,MATCH($B155,Data!$A:$A,0),MATCH($C$7,Data!$4:$4,0))))</f>
        <v>58.1</v>
      </c>
      <c r="D155" s="148">
        <f t="shared" ca="1" si="8"/>
        <v>6.8999999999999986</v>
      </c>
      <c r="E155" s="148">
        <f t="shared" ca="1" si="9"/>
        <v>0</v>
      </c>
    </row>
    <row r="156" spans="1:5" x14ac:dyDescent="0.25">
      <c r="B156" s="8">
        <v>37750</v>
      </c>
      <c r="C156" s="6">
        <f ca="1">IF(OR($C$7="",$B156&gt;NOW()),"",IF(INDEX(Data!$A:$G,MATCH($B156,Data!$A:$A,0),MATCH($C$7,Data!$4:$4,0))="","",INDEX(Data!$A:$G,MATCH($B156,Data!$A:$A,0),MATCH($C$7,Data!$4:$4,0))))</f>
        <v>57.6</v>
      </c>
      <c r="D156" s="148">
        <f t="shared" ca="1" si="8"/>
        <v>7.3999999999999986</v>
      </c>
      <c r="E156" s="148">
        <f t="shared" ca="1" si="9"/>
        <v>0</v>
      </c>
    </row>
    <row r="157" spans="1:5" x14ac:dyDescent="0.25">
      <c r="B157" s="8">
        <v>37751</v>
      </c>
      <c r="C157" s="6">
        <f ca="1">IF(OR($C$7="",$B157&gt;NOW()),"",IF(INDEX(Data!$A:$G,MATCH($B157,Data!$A:$A,0),MATCH($C$7,Data!$4:$4,0))="","",INDEX(Data!$A:$G,MATCH($B157,Data!$A:$A,0),MATCH($C$7,Data!$4:$4,0))))</f>
        <v>58.3</v>
      </c>
      <c r="D157" s="148">
        <f t="shared" ref="D157:D220" ca="1" si="10">IF($C157="","",IF($C157&gt;$D$26,0,$D$26-$C157))</f>
        <v>6.7000000000000028</v>
      </c>
      <c r="E157" s="148">
        <f t="shared" ref="E157:E220" ca="1" si="11">IF($C157="","",IF($C157&lt;$E$26,0,$C157-$E$26))</f>
        <v>0</v>
      </c>
    </row>
    <row r="158" spans="1:5" x14ac:dyDescent="0.25">
      <c r="B158" s="8">
        <v>37752</v>
      </c>
      <c r="C158" s="6">
        <f ca="1">IF(OR($C$7="",$B158&gt;NOW()),"",IF(INDEX(Data!$A:$G,MATCH($B158,Data!$A:$A,0),MATCH($C$7,Data!$4:$4,0))="","",INDEX(Data!$A:$G,MATCH($B158,Data!$A:$A,0),MATCH($C$7,Data!$4:$4,0))))</f>
        <v>58.4</v>
      </c>
      <c r="D158" s="148">
        <f t="shared" ca="1" si="10"/>
        <v>6.6000000000000014</v>
      </c>
      <c r="E158" s="148">
        <f t="shared" ca="1" si="11"/>
        <v>0</v>
      </c>
    </row>
    <row r="159" spans="1:5" x14ac:dyDescent="0.25">
      <c r="B159" s="8">
        <v>37753</v>
      </c>
      <c r="C159" s="6">
        <f ca="1">IF(OR($C$7="",$B159&gt;NOW()),"",IF(INDEX(Data!$A:$G,MATCH($B159,Data!$A:$A,0),MATCH($C$7,Data!$4:$4,0))="","",INDEX(Data!$A:$G,MATCH($B159,Data!$A:$A,0),MATCH($C$7,Data!$4:$4,0))))</f>
        <v>57.5</v>
      </c>
      <c r="D159" s="148">
        <f t="shared" ca="1" si="10"/>
        <v>7.5</v>
      </c>
      <c r="E159" s="148">
        <f t="shared" ca="1" si="11"/>
        <v>0</v>
      </c>
    </row>
    <row r="160" spans="1:5" x14ac:dyDescent="0.25">
      <c r="B160" s="8">
        <v>37754</v>
      </c>
      <c r="C160" s="6">
        <f ca="1">IF(OR($C$7="",$B160&gt;NOW()),"",IF(INDEX(Data!$A:$G,MATCH($B160,Data!$A:$A,0),MATCH($C$7,Data!$4:$4,0))="","",INDEX(Data!$A:$G,MATCH($B160,Data!$A:$A,0),MATCH($C$7,Data!$4:$4,0))))</f>
        <v>56.7</v>
      </c>
      <c r="D160" s="148">
        <f t="shared" ca="1" si="10"/>
        <v>8.2999999999999972</v>
      </c>
      <c r="E160" s="148">
        <f t="shared" ca="1" si="11"/>
        <v>0</v>
      </c>
    </row>
    <row r="161" spans="2:5" x14ac:dyDescent="0.25">
      <c r="B161" s="8">
        <v>37755</v>
      </c>
      <c r="C161" s="6">
        <f ca="1">IF(OR($C$7="",$B161&gt;NOW()),"",IF(INDEX(Data!$A:$G,MATCH($B161,Data!$A:$A,0),MATCH($C$7,Data!$4:$4,0))="","",INDEX(Data!$A:$G,MATCH($B161,Data!$A:$A,0),MATCH($C$7,Data!$4:$4,0))))</f>
        <v>57.3</v>
      </c>
      <c r="D161" s="148">
        <f t="shared" ca="1" si="10"/>
        <v>7.7000000000000028</v>
      </c>
      <c r="E161" s="148">
        <f t="shared" ca="1" si="11"/>
        <v>0</v>
      </c>
    </row>
    <row r="162" spans="2:5" x14ac:dyDescent="0.25">
      <c r="B162" s="8">
        <v>37756</v>
      </c>
      <c r="C162" s="6">
        <f ca="1">IF(OR($C$7="",$B162&gt;NOW()),"",IF(INDEX(Data!$A:$G,MATCH($B162,Data!$A:$A,0),MATCH($C$7,Data!$4:$4,0))="","",INDEX(Data!$A:$G,MATCH($B162,Data!$A:$A,0),MATCH($C$7,Data!$4:$4,0))))</f>
        <v>59</v>
      </c>
      <c r="D162" s="148">
        <f t="shared" ca="1" si="10"/>
        <v>6</v>
      </c>
      <c r="E162" s="148">
        <f t="shared" ca="1" si="11"/>
        <v>0</v>
      </c>
    </row>
    <row r="163" spans="2:5" x14ac:dyDescent="0.25">
      <c r="B163" s="8">
        <v>37757</v>
      </c>
      <c r="C163" s="6">
        <f ca="1">IF(OR($C$7="",$B163&gt;NOW()),"",IF(INDEX(Data!$A:$G,MATCH($B163,Data!$A:$A,0),MATCH($C$7,Data!$4:$4,0))="","",INDEX(Data!$A:$G,MATCH($B163,Data!$A:$A,0),MATCH($C$7,Data!$4:$4,0))))</f>
        <v>55.4</v>
      </c>
      <c r="D163" s="148">
        <f t="shared" ca="1" si="10"/>
        <v>9.6000000000000014</v>
      </c>
      <c r="E163" s="148">
        <f t="shared" ca="1" si="11"/>
        <v>0</v>
      </c>
    </row>
    <row r="164" spans="2:5" x14ac:dyDescent="0.25">
      <c r="B164" s="8">
        <v>37758</v>
      </c>
      <c r="C164" s="6">
        <f ca="1">IF(OR($C$7="",$B164&gt;NOW()),"",IF(INDEX(Data!$A:$G,MATCH($B164,Data!$A:$A,0),MATCH($C$7,Data!$4:$4,0))="","",INDEX(Data!$A:$G,MATCH($B164,Data!$A:$A,0),MATCH($C$7,Data!$4:$4,0))))</f>
        <v>51.3</v>
      </c>
      <c r="D164" s="148">
        <f t="shared" ca="1" si="10"/>
        <v>13.700000000000003</v>
      </c>
      <c r="E164" s="148">
        <f t="shared" ca="1" si="11"/>
        <v>0</v>
      </c>
    </row>
    <row r="165" spans="2:5" x14ac:dyDescent="0.25">
      <c r="B165" s="8">
        <v>37759</v>
      </c>
      <c r="C165" s="6">
        <f ca="1">IF(OR($C$7="",$B165&gt;NOW()),"",IF(INDEX(Data!$A:$G,MATCH($B165,Data!$A:$A,0),MATCH($C$7,Data!$4:$4,0))="","",INDEX(Data!$A:$G,MATCH($B165,Data!$A:$A,0),MATCH($C$7,Data!$4:$4,0))))</f>
        <v>53.8</v>
      </c>
      <c r="D165" s="148">
        <f t="shared" ca="1" si="10"/>
        <v>11.200000000000003</v>
      </c>
      <c r="E165" s="148">
        <f t="shared" ca="1" si="11"/>
        <v>0</v>
      </c>
    </row>
    <row r="166" spans="2:5" x14ac:dyDescent="0.25">
      <c r="B166" s="8">
        <v>37760</v>
      </c>
      <c r="C166" s="6">
        <f ca="1">IF(OR($C$7="",$B166&gt;NOW()),"",IF(INDEX(Data!$A:$G,MATCH($B166,Data!$A:$A,0),MATCH($C$7,Data!$4:$4,0))="","",INDEX(Data!$A:$G,MATCH($B166,Data!$A:$A,0),MATCH($C$7,Data!$4:$4,0))))</f>
        <v>60.5</v>
      </c>
      <c r="D166" s="148">
        <f t="shared" ca="1" si="10"/>
        <v>4.5</v>
      </c>
      <c r="E166" s="148">
        <f t="shared" ca="1" si="11"/>
        <v>0</v>
      </c>
    </row>
    <row r="167" spans="2:5" x14ac:dyDescent="0.25">
      <c r="B167" s="8">
        <v>37761</v>
      </c>
      <c r="C167" s="6">
        <f ca="1">IF(OR($C$7="",$B167&gt;NOW()),"",IF(INDEX(Data!$A:$G,MATCH($B167,Data!$A:$A,0),MATCH($C$7,Data!$4:$4,0))="","",INDEX(Data!$A:$G,MATCH($B167,Data!$A:$A,0),MATCH($C$7,Data!$4:$4,0))))</f>
        <v>66.7</v>
      </c>
      <c r="D167" s="148">
        <f t="shared" ca="1" si="10"/>
        <v>0</v>
      </c>
      <c r="E167" s="148">
        <f t="shared" ca="1" si="11"/>
        <v>1.7000000000000028</v>
      </c>
    </row>
    <row r="168" spans="2:5" x14ac:dyDescent="0.25">
      <c r="B168" s="8">
        <v>37762</v>
      </c>
      <c r="C168" s="6">
        <f ca="1">IF(OR($C$7="",$B168&gt;NOW()),"",IF(INDEX(Data!$A:$G,MATCH($B168,Data!$A:$A,0),MATCH($C$7,Data!$4:$4,0))="","",INDEX(Data!$A:$G,MATCH($B168,Data!$A:$A,0),MATCH($C$7,Data!$4:$4,0))))</f>
        <v>60.9</v>
      </c>
      <c r="D168" s="148">
        <f t="shared" ca="1" si="10"/>
        <v>4.1000000000000014</v>
      </c>
      <c r="E168" s="148">
        <f t="shared" ca="1" si="11"/>
        <v>0</v>
      </c>
    </row>
    <row r="169" spans="2:5" x14ac:dyDescent="0.25">
      <c r="B169" s="8">
        <v>37763</v>
      </c>
      <c r="C169" s="6">
        <f ca="1">IF(OR($C$7="",$B169&gt;NOW()),"",IF(INDEX(Data!$A:$G,MATCH($B169,Data!$A:$A,0),MATCH($C$7,Data!$4:$4,0))="","",INDEX(Data!$A:$G,MATCH($B169,Data!$A:$A,0),MATCH($C$7,Data!$4:$4,0))))</f>
        <v>55.1</v>
      </c>
      <c r="D169" s="148">
        <f t="shared" ca="1" si="10"/>
        <v>9.8999999999999986</v>
      </c>
      <c r="E169" s="148">
        <f t="shared" ca="1" si="11"/>
        <v>0</v>
      </c>
    </row>
    <row r="170" spans="2:5" x14ac:dyDescent="0.25">
      <c r="B170" s="8">
        <v>37764</v>
      </c>
      <c r="C170" s="6">
        <f ca="1">IF(OR($C$7="",$B170&gt;NOW()),"",IF(INDEX(Data!$A:$G,MATCH($B170,Data!$A:$A,0),MATCH($C$7,Data!$4:$4,0))="","",INDEX(Data!$A:$G,MATCH($B170,Data!$A:$A,0),MATCH($C$7,Data!$4:$4,0))))</f>
        <v>52.6</v>
      </c>
      <c r="D170" s="148">
        <f t="shared" ca="1" si="10"/>
        <v>12.399999999999999</v>
      </c>
      <c r="E170" s="148">
        <f t="shared" ca="1" si="11"/>
        <v>0</v>
      </c>
    </row>
    <row r="171" spans="2:5" x14ac:dyDescent="0.25">
      <c r="B171" s="8">
        <v>37765</v>
      </c>
      <c r="C171" s="6">
        <f ca="1">IF(OR($C$7="",$B171&gt;NOW()),"",IF(INDEX(Data!$A:$G,MATCH($B171,Data!$A:$A,0),MATCH($C$7,Data!$4:$4,0))="","",INDEX(Data!$A:$G,MATCH($B171,Data!$A:$A,0),MATCH($C$7,Data!$4:$4,0))))</f>
        <v>53.5</v>
      </c>
      <c r="D171" s="148">
        <f t="shared" ca="1" si="10"/>
        <v>11.5</v>
      </c>
      <c r="E171" s="148">
        <f t="shared" ca="1" si="11"/>
        <v>0</v>
      </c>
    </row>
    <row r="172" spans="2:5" x14ac:dyDescent="0.25">
      <c r="B172" s="8">
        <v>37766</v>
      </c>
      <c r="C172" s="6">
        <f ca="1">IF(OR($C$7="",$B172&gt;NOW()),"",IF(INDEX(Data!$A:$G,MATCH($B172,Data!$A:$A,0),MATCH($C$7,Data!$4:$4,0))="","",INDEX(Data!$A:$G,MATCH($B172,Data!$A:$A,0),MATCH($C$7,Data!$4:$4,0))))</f>
        <v>56.5</v>
      </c>
      <c r="D172" s="148">
        <f t="shared" ca="1" si="10"/>
        <v>8.5</v>
      </c>
      <c r="E172" s="148">
        <f t="shared" ca="1" si="11"/>
        <v>0</v>
      </c>
    </row>
    <row r="173" spans="2:5" x14ac:dyDescent="0.25">
      <c r="B173" s="8">
        <v>37767</v>
      </c>
      <c r="C173" s="6">
        <f ca="1">IF(OR($C$7="",$B173&gt;NOW()),"",IF(INDEX(Data!$A:$G,MATCH($B173,Data!$A:$A,0),MATCH($C$7,Data!$4:$4,0))="","",INDEX(Data!$A:$G,MATCH($B173,Data!$A:$A,0),MATCH($C$7,Data!$4:$4,0))))</f>
        <v>53.5</v>
      </c>
      <c r="D173" s="148">
        <f t="shared" ca="1" si="10"/>
        <v>11.5</v>
      </c>
      <c r="E173" s="148">
        <f t="shared" ca="1" si="11"/>
        <v>0</v>
      </c>
    </row>
    <row r="174" spans="2:5" x14ac:dyDescent="0.25">
      <c r="B174" s="8">
        <v>37768</v>
      </c>
      <c r="C174" s="6">
        <f ca="1">IF(OR($C$7="",$B174&gt;NOW()),"",IF(INDEX(Data!$A:$G,MATCH($B174,Data!$A:$A,0),MATCH($C$7,Data!$4:$4,0))="","",INDEX(Data!$A:$G,MATCH($B174,Data!$A:$A,0),MATCH($C$7,Data!$4:$4,0))))</f>
        <v>57.6</v>
      </c>
      <c r="D174" s="148">
        <f t="shared" ca="1" si="10"/>
        <v>7.3999999999999986</v>
      </c>
      <c r="E174" s="148">
        <f t="shared" ca="1" si="11"/>
        <v>0</v>
      </c>
    </row>
    <row r="175" spans="2:5" x14ac:dyDescent="0.25">
      <c r="B175" s="8">
        <v>37769</v>
      </c>
      <c r="C175" s="6">
        <f ca="1">IF(OR($C$7="",$B175&gt;NOW()),"",IF(INDEX(Data!$A:$G,MATCH($B175,Data!$A:$A,0),MATCH($C$7,Data!$4:$4,0))="","",INDEX(Data!$A:$G,MATCH($B175,Data!$A:$A,0),MATCH($C$7,Data!$4:$4,0))))</f>
        <v>59.2</v>
      </c>
      <c r="D175" s="148">
        <f t="shared" ca="1" si="10"/>
        <v>5.7999999999999972</v>
      </c>
      <c r="E175" s="148">
        <f t="shared" ca="1" si="11"/>
        <v>0</v>
      </c>
    </row>
    <row r="176" spans="2:5" x14ac:dyDescent="0.25">
      <c r="B176" s="8">
        <v>37770</v>
      </c>
      <c r="C176" s="6">
        <f ca="1">IF(OR($C$7="",$B176&gt;NOW()),"",IF(INDEX(Data!$A:$G,MATCH($B176,Data!$A:$A,0),MATCH($C$7,Data!$4:$4,0))="","",INDEX(Data!$A:$G,MATCH($B176,Data!$A:$A,0),MATCH($C$7,Data!$4:$4,0))))</f>
        <v>64.599999999999994</v>
      </c>
      <c r="D176" s="148">
        <f t="shared" ca="1" si="10"/>
        <v>0.40000000000000568</v>
      </c>
      <c r="E176" s="148">
        <f t="shared" ca="1" si="11"/>
        <v>0</v>
      </c>
    </row>
    <row r="177" spans="2:5" x14ac:dyDescent="0.25">
      <c r="B177" s="8">
        <v>37771</v>
      </c>
      <c r="C177" s="6">
        <f ca="1">IF(OR($C$7="",$B177&gt;NOW()),"",IF(INDEX(Data!$A:$G,MATCH($B177,Data!$A:$A,0),MATCH($C$7,Data!$4:$4,0))="","",INDEX(Data!$A:$G,MATCH($B177,Data!$A:$A,0),MATCH($C$7,Data!$4:$4,0))))</f>
        <v>68.5</v>
      </c>
      <c r="D177" s="148">
        <f t="shared" ca="1" si="10"/>
        <v>0</v>
      </c>
      <c r="E177" s="148">
        <f t="shared" ca="1" si="11"/>
        <v>3.5</v>
      </c>
    </row>
    <row r="178" spans="2:5" x14ac:dyDescent="0.25">
      <c r="B178" s="8">
        <v>37772</v>
      </c>
      <c r="C178" s="6">
        <f ca="1">IF(OR($C$7="",$B178&gt;NOW()),"",IF(INDEX(Data!$A:$G,MATCH($B178,Data!$A:$A,0),MATCH($C$7,Data!$4:$4,0))="","",INDEX(Data!$A:$G,MATCH($B178,Data!$A:$A,0),MATCH($C$7,Data!$4:$4,0))))</f>
        <v>63.7</v>
      </c>
      <c r="D178" s="148">
        <f t="shared" ca="1" si="10"/>
        <v>1.2999999999999972</v>
      </c>
      <c r="E178" s="148">
        <f t="shared" ca="1" si="11"/>
        <v>0</v>
      </c>
    </row>
    <row r="179" spans="2:5" x14ac:dyDescent="0.25">
      <c r="B179" s="8">
        <v>37773</v>
      </c>
      <c r="C179" s="6">
        <f ca="1">IF(OR($C$7="",$B179&gt;NOW()),"",IF(INDEX(Data!$A:$G,MATCH($B179,Data!$A:$A,0),MATCH($C$7,Data!$4:$4,0))="","",INDEX(Data!$A:$G,MATCH($B179,Data!$A:$A,0),MATCH($C$7,Data!$4:$4,0))))</f>
        <v>60.7</v>
      </c>
      <c r="D179" s="148">
        <f t="shared" ca="1" si="10"/>
        <v>4.2999999999999972</v>
      </c>
      <c r="E179" s="148">
        <f t="shared" ca="1" si="11"/>
        <v>0</v>
      </c>
    </row>
    <row r="180" spans="2:5" x14ac:dyDescent="0.25">
      <c r="B180" s="8">
        <v>37774</v>
      </c>
      <c r="C180" s="6">
        <f ca="1">IF(OR($C$7="",$B180&gt;NOW()),"",IF(INDEX(Data!$A:$G,MATCH($B180,Data!$A:$A,0),MATCH($C$7,Data!$4:$4,0))="","",INDEX(Data!$A:$G,MATCH($B180,Data!$A:$A,0),MATCH($C$7,Data!$4:$4,0))))</f>
        <v>60.3</v>
      </c>
      <c r="D180" s="148">
        <f t="shared" ca="1" si="10"/>
        <v>4.7000000000000028</v>
      </c>
      <c r="E180" s="148">
        <f t="shared" ca="1" si="11"/>
        <v>0</v>
      </c>
    </row>
    <row r="181" spans="2:5" x14ac:dyDescent="0.25">
      <c r="B181" s="8">
        <v>37775</v>
      </c>
      <c r="C181" s="6">
        <f ca="1">IF(OR($C$7="",$B181&gt;NOW()),"",IF(INDEX(Data!$A:$G,MATCH($B181,Data!$A:$A,0),MATCH($C$7,Data!$4:$4,0))="","",INDEX(Data!$A:$G,MATCH($B181,Data!$A:$A,0),MATCH($C$7,Data!$4:$4,0))))</f>
        <v>65.099999999999994</v>
      </c>
      <c r="D181" s="148">
        <f t="shared" ca="1" si="10"/>
        <v>0</v>
      </c>
      <c r="E181" s="148">
        <f t="shared" ca="1" si="11"/>
        <v>9.9999999999994316E-2</v>
      </c>
    </row>
    <row r="182" spans="2:5" x14ac:dyDescent="0.25">
      <c r="B182" s="8">
        <v>37776</v>
      </c>
      <c r="C182" s="6">
        <f ca="1">IF(OR($C$7="",$B182&gt;NOW()),"",IF(INDEX(Data!$A:$G,MATCH($B182,Data!$A:$A,0),MATCH($C$7,Data!$4:$4,0))="","",INDEX(Data!$A:$G,MATCH($B182,Data!$A:$A,0),MATCH($C$7,Data!$4:$4,0))))</f>
        <v>55.3</v>
      </c>
      <c r="D182" s="148">
        <f t="shared" ca="1" si="10"/>
        <v>9.7000000000000028</v>
      </c>
      <c r="E182" s="148">
        <f t="shared" ca="1" si="11"/>
        <v>0</v>
      </c>
    </row>
    <row r="183" spans="2:5" x14ac:dyDescent="0.25">
      <c r="B183" s="8">
        <v>37777</v>
      </c>
      <c r="C183" s="6">
        <f ca="1">IF(OR($C$7="",$B183&gt;NOW()),"",IF(INDEX(Data!$A:$G,MATCH($B183,Data!$A:$A,0),MATCH($C$7,Data!$4:$4,0))="","",INDEX(Data!$A:$G,MATCH($B183,Data!$A:$A,0),MATCH($C$7,Data!$4:$4,0))))</f>
        <v>61.1</v>
      </c>
      <c r="D183" s="148">
        <f t="shared" ca="1" si="10"/>
        <v>3.8999999999999986</v>
      </c>
      <c r="E183" s="148">
        <f t="shared" ca="1" si="11"/>
        <v>0</v>
      </c>
    </row>
    <row r="184" spans="2:5" x14ac:dyDescent="0.25">
      <c r="B184" s="8">
        <v>37778</v>
      </c>
      <c r="C184" s="6">
        <f ca="1">IF(OR($C$7="",$B184&gt;NOW()),"",IF(INDEX(Data!$A:$G,MATCH($B184,Data!$A:$A,0),MATCH($C$7,Data!$4:$4,0))="","",INDEX(Data!$A:$G,MATCH($B184,Data!$A:$A,0),MATCH($C$7,Data!$4:$4,0))))</f>
        <v>66.7</v>
      </c>
      <c r="D184" s="148">
        <f t="shared" ca="1" si="10"/>
        <v>0</v>
      </c>
      <c r="E184" s="148">
        <f t="shared" ca="1" si="11"/>
        <v>1.7000000000000028</v>
      </c>
    </row>
    <row r="185" spans="2:5" x14ac:dyDescent="0.25">
      <c r="B185" s="8">
        <v>37779</v>
      </c>
      <c r="C185" s="6">
        <f ca="1">IF(OR($C$7="",$B185&gt;NOW()),"",IF(INDEX(Data!$A:$G,MATCH($B185,Data!$A:$A,0),MATCH($C$7,Data!$4:$4,0))="","",INDEX(Data!$A:$G,MATCH($B185,Data!$A:$A,0),MATCH($C$7,Data!$4:$4,0))))</f>
        <v>64.099999999999994</v>
      </c>
      <c r="D185" s="148">
        <f t="shared" ca="1" si="10"/>
        <v>0.90000000000000568</v>
      </c>
      <c r="E185" s="148">
        <f t="shared" ca="1" si="11"/>
        <v>0</v>
      </c>
    </row>
    <row r="186" spans="2:5" x14ac:dyDescent="0.25">
      <c r="B186" s="8">
        <v>37780</v>
      </c>
      <c r="C186" s="6">
        <f ca="1">IF(OR($C$7="",$B186&gt;NOW()),"",IF(INDEX(Data!$A:$G,MATCH($B186,Data!$A:$A,0),MATCH($C$7,Data!$4:$4,0))="","",INDEX(Data!$A:$G,MATCH($B186,Data!$A:$A,0),MATCH($C$7,Data!$4:$4,0))))</f>
        <v>62.2</v>
      </c>
      <c r="D186" s="148">
        <f t="shared" ca="1" si="10"/>
        <v>2.7999999999999972</v>
      </c>
      <c r="E186" s="148">
        <f t="shared" ca="1" si="11"/>
        <v>0</v>
      </c>
    </row>
    <row r="187" spans="2:5" x14ac:dyDescent="0.25">
      <c r="B187" s="8">
        <v>37781</v>
      </c>
      <c r="C187" s="6">
        <f ca="1">IF(OR($C$7="",$B187&gt;NOW()),"",IF(INDEX(Data!$A:$G,MATCH($B187,Data!$A:$A,0),MATCH($C$7,Data!$4:$4,0))="","",INDEX(Data!$A:$G,MATCH($B187,Data!$A:$A,0),MATCH($C$7,Data!$4:$4,0))))</f>
        <v>63.4</v>
      </c>
      <c r="D187" s="148">
        <f t="shared" ca="1" si="10"/>
        <v>1.6000000000000014</v>
      </c>
      <c r="E187" s="148">
        <f t="shared" ca="1" si="11"/>
        <v>0</v>
      </c>
    </row>
    <row r="188" spans="2:5" x14ac:dyDescent="0.25">
      <c r="B188" s="8">
        <v>37782</v>
      </c>
      <c r="C188" s="6">
        <f ca="1">IF(OR($C$7="",$B188&gt;NOW()),"",IF(INDEX(Data!$A:$G,MATCH($B188,Data!$A:$A,0),MATCH($C$7,Data!$4:$4,0))="","",INDEX(Data!$A:$G,MATCH($B188,Data!$A:$A,0),MATCH($C$7,Data!$4:$4,0))))</f>
        <v>71.099999999999994</v>
      </c>
      <c r="D188" s="148">
        <f t="shared" ca="1" si="10"/>
        <v>0</v>
      </c>
      <c r="E188" s="148">
        <f t="shared" ca="1" si="11"/>
        <v>6.0999999999999943</v>
      </c>
    </row>
    <row r="189" spans="2:5" x14ac:dyDescent="0.25">
      <c r="B189" s="8">
        <v>37783</v>
      </c>
      <c r="C189" s="6">
        <f ca="1">IF(OR($C$7="",$B189&gt;NOW()),"",IF(INDEX(Data!$A:$G,MATCH($B189,Data!$A:$A,0),MATCH($C$7,Data!$4:$4,0))="","",INDEX(Data!$A:$G,MATCH($B189,Data!$A:$A,0),MATCH($C$7,Data!$4:$4,0))))</f>
        <v>70.5</v>
      </c>
      <c r="D189" s="148">
        <f t="shared" ca="1" si="10"/>
        <v>0</v>
      </c>
      <c r="E189" s="148">
        <f t="shared" ca="1" si="11"/>
        <v>5.5</v>
      </c>
    </row>
    <row r="190" spans="2:5" x14ac:dyDescent="0.25">
      <c r="B190" s="8">
        <v>37784</v>
      </c>
      <c r="C190" s="6">
        <f ca="1">IF(OR($C$7="",$B190&gt;NOW()),"",IF(INDEX(Data!$A:$G,MATCH($B190,Data!$A:$A,0),MATCH($C$7,Data!$4:$4,0))="","",INDEX(Data!$A:$G,MATCH($B190,Data!$A:$A,0),MATCH($C$7,Data!$4:$4,0))))</f>
        <v>73.5</v>
      </c>
      <c r="D190" s="148">
        <f t="shared" ca="1" si="10"/>
        <v>0</v>
      </c>
      <c r="E190" s="148">
        <f t="shared" ca="1" si="11"/>
        <v>8.5</v>
      </c>
    </row>
    <row r="191" spans="2:5" x14ac:dyDescent="0.25">
      <c r="B191" s="8">
        <v>37785</v>
      </c>
      <c r="C191" s="6">
        <f ca="1">IF(OR($C$7="",$B191&gt;NOW()),"",IF(INDEX(Data!$A:$G,MATCH($B191,Data!$A:$A,0),MATCH($C$7,Data!$4:$4,0))="","",INDEX(Data!$A:$G,MATCH($B191,Data!$A:$A,0),MATCH($C$7,Data!$4:$4,0))))</f>
        <v>63.8</v>
      </c>
      <c r="D191" s="148">
        <f t="shared" ca="1" si="10"/>
        <v>1.2000000000000028</v>
      </c>
      <c r="E191" s="148">
        <f t="shared" ca="1" si="11"/>
        <v>0</v>
      </c>
    </row>
    <row r="192" spans="2:5" x14ac:dyDescent="0.25">
      <c r="B192" s="8">
        <v>37786</v>
      </c>
      <c r="C192" s="6">
        <f ca="1">IF(OR($C$7="",$B192&gt;NOW()),"",IF(INDEX(Data!$A:$G,MATCH($B192,Data!$A:$A,0),MATCH($C$7,Data!$4:$4,0))="","",INDEX(Data!$A:$G,MATCH($B192,Data!$A:$A,0),MATCH($C$7,Data!$4:$4,0))))</f>
        <v>65.8</v>
      </c>
      <c r="D192" s="148">
        <f t="shared" ca="1" si="10"/>
        <v>0</v>
      </c>
      <c r="E192" s="148">
        <f t="shared" ca="1" si="11"/>
        <v>0.79999999999999716</v>
      </c>
    </row>
    <row r="193" spans="2:5" x14ac:dyDescent="0.25">
      <c r="B193" s="8">
        <v>37787</v>
      </c>
      <c r="C193" s="6">
        <f ca="1">IF(OR($C$7="",$B193&gt;NOW()),"",IF(INDEX(Data!$A:$G,MATCH($B193,Data!$A:$A,0),MATCH($C$7,Data!$4:$4,0))="","",INDEX(Data!$A:$G,MATCH($B193,Data!$A:$A,0),MATCH($C$7,Data!$4:$4,0))))</f>
        <v>72.5</v>
      </c>
      <c r="D193" s="148">
        <f t="shared" ca="1" si="10"/>
        <v>0</v>
      </c>
      <c r="E193" s="148">
        <f t="shared" ca="1" si="11"/>
        <v>7.5</v>
      </c>
    </row>
    <row r="194" spans="2:5" x14ac:dyDescent="0.25">
      <c r="B194" s="8">
        <v>37788</v>
      </c>
      <c r="C194" s="6">
        <f ca="1">IF(OR($C$7="",$B194&gt;NOW()),"",IF(INDEX(Data!$A:$G,MATCH($B194,Data!$A:$A,0),MATCH($C$7,Data!$4:$4,0))="","",INDEX(Data!$A:$G,MATCH($B194,Data!$A:$A,0),MATCH($C$7,Data!$4:$4,0))))</f>
        <v>66.2</v>
      </c>
      <c r="D194" s="148">
        <f t="shared" ca="1" si="10"/>
        <v>0</v>
      </c>
      <c r="E194" s="148">
        <f t="shared" ca="1" si="11"/>
        <v>1.2000000000000028</v>
      </c>
    </row>
    <row r="195" spans="2:5" x14ac:dyDescent="0.25">
      <c r="B195" s="8">
        <v>37789</v>
      </c>
      <c r="C195" s="6">
        <f ca="1">IF(OR($C$7="",$B195&gt;NOW()),"",IF(INDEX(Data!$A:$G,MATCH($B195,Data!$A:$A,0),MATCH($C$7,Data!$4:$4,0))="","",INDEX(Data!$A:$G,MATCH($B195,Data!$A:$A,0),MATCH($C$7,Data!$4:$4,0))))</f>
        <v>59.2</v>
      </c>
      <c r="D195" s="148">
        <f t="shared" ca="1" si="10"/>
        <v>5.7999999999999972</v>
      </c>
      <c r="E195" s="148">
        <f t="shared" ca="1" si="11"/>
        <v>0</v>
      </c>
    </row>
    <row r="196" spans="2:5" x14ac:dyDescent="0.25">
      <c r="B196" s="8">
        <v>37790</v>
      </c>
      <c r="C196" s="6">
        <f ca="1">IF(OR($C$7="",$B196&gt;NOW()),"",IF(INDEX(Data!$A:$G,MATCH($B196,Data!$A:$A,0),MATCH($C$7,Data!$4:$4,0))="","",INDEX(Data!$A:$G,MATCH($B196,Data!$A:$A,0),MATCH($C$7,Data!$4:$4,0))))</f>
        <v>61.8</v>
      </c>
      <c r="D196" s="148">
        <f t="shared" ca="1" si="10"/>
        <v>3.2000000000000028</v>
      </c>
      <c r="E196" s="148">
        <f t="shared" ca="1" si="11"/>
        <v>0</v>
      </c>
    </row>
    <row r="197" spans="2:5" x14ac:dyDescent="0.25">
      <c r="B197" s="8">
        <v>37791</v>
      </c>
      <c r="C197" s="6">
        <f ca="1">IF(OR($C$7="",$B197&gt;NOW()),"",IF(INDEX(Data!$A:$G,MATCH($B197,Data!$A:$A,0),MATCH($C$7,Data!$4:$4,0))="","",INDEX(Data!$A:$G,MATCH($B197,Data!$A:$A,0),MATCH($C$7,Data!$4:$4,0))))</f>
        <v>67.3</v>
      </c>
      <c r="D197" s="148">
        <f t="shared" ca="1" si="10"/>
        <v>0</v>
      </c>
      <c r="E197" s="148">
        <f t="shared" ca="1" si="11"/>
        <v>2.2999999999999972</v>
      </c>
    </row>
    <row r="198" spans="2:5" x14ac:dyDescent="0.25">
      <c r="B198" s="8">
        <v>37792</v>
      </c>
      <c r="C198" s="6">
        <f ca="1">IF(OR($C$7="",$B198&gt;NOW()),"",IF(INDEX(Data!$A:$G,MATCH($B198,Data!$A:$A,0),MATCH($C$7,Data!$4:$4,0))="","",INDEX(Data!$A:$G,MATCH($B198,Data!$A:$A,0),MATCH($C$7,Data!$4:$4,0))))</f>
        <v>66.8</v>
      </c>
      <c r="D198" s="148">
        <f t="shared" ca="1" si="10"/>
        <v>0</v>
      </c>
      <c r="E198" s="148">
        <f t="shared" ca="1" si="11"/>
        <v>1.7999999999999972</v>
      </c>
    </row>
    <row r="199" spans="2:5" x14ac:dyDescent="0.25">
      <c r="B199" s="8">
        <v>37793</v>
      </c>
      <c r="C199" s="6">
        <f ca="1">IF(OR($C$7="",$B199&gt;NOW()),"",IF(INDEX(Data!$A:$G,MATCH($B199,Data!$A:$A,0),MATCH($C$7,Data!$4:$4,0))="","",INDEX(Data!$A:$G,MATCH($B199,Data!$A:$A,0),MATCH($C$7,Data!$4:$4,0))))</f>
        <v>62.5</v>
      </c>
      <c r="D199" s="148">
        <f t="shared" ca="1" si="10"/>
        <v>2.5</v>
      </c>
      <c r="E199" s="148">
        <f t="shared" ca="1" si="11"/>
        <v>0</v>
      </c>
    </row>
    <row r="200" spans="2:5" x14ac:dyDescent="0.25">
      <c r="B200" s="8">
        <v>37794</v>
      </c>
      <c r="C200" s="6">
        <f ca="1">IF(OR($C$7="",$B200&gt;NOW()),"",IF(INDEX(Data!$A:$G,MATCH($B200,Data!$A:$A,0),MATCH($C$7,Data!$4:$4,0))="","",INDEX(Data!$A:$G,MATCH($B200,Data!$A:$A,0),MATCH($C$7,Data!$4:$4,0))))</f>
        <v>61.9</v>
      </c>
      <c r="D200" s="148">
        <f t="shared" ca="1" si="10"/>
        <v>3.1000000000000014</v>
      </c>
      <c r="E200" s="148">
        <f t="shared" ca="1" si="11"/>
        <v>0</v>
      </c>
    </row>
    <row r="201" spans="2:5" x14ac:dyDescent="0.25">
      <c r="B201" s="8">
        <v>37795</v>
      </c>
      <c r="C201" s="6">
        <f ca="1">IF(OR($C$7="",$B201&gt;NOW()),"",IF(INDEX(Data!$A:$G,MATCH($B201,Data!$A:$A,0),MATCH($C$7,Data!$4:$4,0))="","",INDEX(Data!$A:$G,MATCH($B201,Data!$A:$A,0),MATCH($C$7,Data!$4:$4,0))))</f>
        <v>70.3</v>
      </c>
      <c r="D201" s="148">
        <f t="shared" ca="1" si="10"/>
        <v>0</v>
      </c>
      <c r="E201" s="148">
        <f t="shared" ca="1" si="11"/>
        <v>5.2999999999999972</v>
      </c>
    </row>
    <row r="202" spans="2:5" x14ac:dyDescent="0.25">
      <c r="B202" s="8">
        <v>37796</v>
      </c>
      <c r="C202" s="6">
        <f ca="1">IF(OR($C$7="",$B202&gt;NOW()),"",IF(INDEX(Data!$A:$G,MATCH($B202,Data!$A:$A,0),MATCH($C$7,Data!$4:$4,0))="","",INDEX(Data!$A:$G,MATCH($B202,Data!$A:$A,0),MATCH($C$7,Data!$4:$4,0))))</f>
        <v>78.3</v>
      </c>
      <c r="D202" s="148">
        <f t="shared" ca="1" si="10"/>
        <v>0</v>
      </c>
      <c r="E202" s="148">
        <f t="shared" ca="1" si="11"/>
        <v>13.299999999999997</v>
      </c>
    </row>
    <row r="203" spans="2:5" x14ac:dyDescent="0.25">
      <c r="B203" s="8">
        <v>37797</v>
      </c>
      <c r="C203" s="6">
        <f ca="1">IF(OR($C$7="",$B203&gt;NOW()),"",IF(INDEX(Data!$A:$G,MATCH($B203,Data!$A:$A,0),MATCH($C$7,Data!$4:$4,0))="","",INDEX(Data!$A:$G,MATCH($B203,Data!$A:$A,0),MATCH($C$7,Data!$4:$4,0))))</f>
        <v>82.5</v>
      </c>
      <c r="D203" s="148">
        <f t="shared" ca="1" si="10"/>
        <v>0</v>
      </c>
      <c r="E203" s="148">
        <f t="shared" ca="1" si="11"/>
        <v>17.5</v>
      </c>
    </row>
    <row r="204" spans="2:5" x14ac:dyDescent="0.25">
      <c r="B204" s="8">
        <v>37798</v>
      </c>
      <c r="C204" s="6">
        <f ca="1">IF(OR($C$7="",$B204&gt;NOW()),"",IF(INDEX(Data!$A:$G,MATCH($B204,Data!$A:$A,0),MATCH($C$7,Data!$4:$4,0))="","",INDEX(Data!$A:$G,MATCH($B204,Data!$A:$A,0),MATCH($C$7,Data!$4:$4,0))))</f>
        <v>85.4</v>
      </c>
      <c r="D204" s="148">
        <f t="shared" ca="1" si="10"/>
        <v>0</v>
      </c>
      <c r="E204" s="148">
        <f t="shared" ca="1" si="11"/>
        <v>20.400000000000006</v>
      </c>
    </row>
    <row r="205" spans="2:5" x14ac:dyDescent="0.25">
      <c r="B205" s="8">
        <v>37799</v>
      </c>
      <c r="C205" s="6">
        <f ca="1">IF(OR($C$7="",$B205&gt;NOW()),"",IF(INDEX(Data!$A:$G,MATCH($B205,Data!$A:$A,0),MATCH($C$7,Data!$4:$4,0))="","",INDEX(Data!$A:$G,MATCH($B205,Data!$A:$A,0),MATCH($C$7,Data!$4:$4,0))))</f>
        <v>87</v>
      </c>
      <c r="D205" s="148">
        <f t="shared" ca="1" si="10"/>
        <v>0</v>
      </c>
      <c r="E205" s="148">
        <f t="shared" ca="1" si="11"/>
        <v>22</v>
      </c>
    </row>
    <row r="206" spans="2:5" x14ac:dyDescent="0.25">
      <c r="B206" s="8">
        <v>37800</v>
      </c>
      <c r="C206" s="6">
        <f ca="1">IF(OR($C$7="",$B206&gt;NOW()),"",IF(INDEX(Data!$A:$G,MATCH($B206,Data!$A:$A,0),MATCH($C$7,Data!$4:$4,0))="","",INDEX(Data!$A:$G,MATCH($B206,Data!$A:$A,0),MATCH($C$7,Data!$4:$4,0))))</f>
        <v>76.099999999999994</v>
      </c>
      <c r="D206" s="148">
        <f t="shared" ca="1" si="10"/>
        <v>0</v>
      </c>
      <c r="E206" s="148">
        <f t="shared" ca="1" si="11"/>
        <v>11.099999999999994</v>
      </c>
    </row>
    <row r="207" spans="2:5" x14ac:dyDescent="0.25">
      <c r="B207" s="8">
        <v>37801</v>
      </c>
      <c r="C207" s="6">
        <f ca="1">IF(OR($C$7="",$B207&gt;NOW()),"",IF(INDEX(Data!$A:$G,MATCH($B207,Data!$A:$A,0),MATCH($C$7,Data!$4:$4,0))="","",INDEX(Data!$A:$G,MATCH($B207,Data!$A:$A,0),MATCH($C$7,Data!$4:$4,0))))</f>
        <v>75.900000000000006</v>
      </c>
      <c r="D207" s="148">
        <f t="shared" ca="1" si="10"/>
        <v>0</v>
      </c>
      <c r="E207" s="148">
        <f t="shared" ca="1" si="11"/>
        <v>10.900000000000006</v>
      </c>
    </row>
    <row r="208" spans="2:5" x14ac:dyDescent="0.25">
      <c r="B208" s="8">
        <v>37802</v>
      </c>
      <c r="C208" s="6">
        <f ca="1">IF(OR($C$7="",$B208&gt;NOW()),"",IF(INDEX(Data!$A:$G,MATCH($B208,Data!$A:$A,0),MATCH($C$7,Data!$4:$4,0))="","",INDEX(Data!$A:$G,MATCH($B208,Data!$A:$A,0),MATCH($C$7,Data!$4:$4,0))))</f>
        <v>79.400000000000006</v>
      </c>
      <c r="D208" s="148">
        <f t="shared" ca="1" si="10"/>
        <v>0</v>
      </c>
      <c r="E208" s="148">
        <f t="shared" ca="1" si="11"/>
        <v>14.400000000000006</v>
      </c>
    </row>
    <row r="209" spans="2:5" x14ac:dyDescent="0.25">
      <c r="B209" s="8">
        <v>37803</v>
      </c>
      <c r="C209" s="6">
        <f ca="1">IF(OR($C$7="",$B209&gt;NOW()),"",IF(INDEX(Data!$A:$G,MATCH($B209,Data!$A:$A,0),MATCH($C$7,Data!$4:$4,0))="","",INDEX(Data!$A:$G,MATCH($B209,Data!$A:$A,0),MATCH($C$7,Data!$4:$4,0))))</f>
        <v>76</v>
      </c>
      <c r="D209" s="148">
        <f t="shared" ca="1" si="10"/>
        <v>0</v>
      </c>
      <c r="E209" s="148">
        <f t="shared" ca="1" si="11"/>
        <v>11</v>
      </c>
    </row>
    <row r="210" spans="2:5" x14ac:dyDescent="0.25">
      <c r="B210" s="8">
        <v>37804</v>
      </c>
      <c r="C210" s="6">
        <f ca="1">IF(OR($C$7="",$B210&gt;NOW()),"",IF(INDEX(Data!$A:$G,MATCH($B210,Data!$A:$A,0),MATCH($C$7,Data!$4:$4,0))="","",INDEX(Data!$A:$G,MATCH($B210,Data!$A:$A,0),MATCH($C$7,Data!$4:$4,0))))</f>
        <v>78.3</v>
      </c>
      <c r="D210" s="148">
        <f t="shared" ca="1" si="10"/>
        <v>0</v>
      </c>
      <c r="E210" s="148">
        <f t="shared" ca="1" si="11"/>
        <v>13.299999999999997</v>
      </c>
    </row>
    <row r="211" spans="2:5" x14ac:dyDescent="0.25">
      <c r="B211" s="8">
        <v>37805</v>
      </c>
      <c r="C211" s="6">
        <f ca="1">IF(OR($C$7="",$B211&gt;NOW()),"",IF(INDEX(Data!$A:$G,MATCH($B211,Data!$A:$A,0),MATCH($C$7,Data!$4:$4,0))="","",INDEX(Data!$A:$G,MATCH($B211,Data!$A:$A,0),MATCH($C$7,Data!$4:$4,0))))</f>
        <v>72.2</v>
      </c>
      <c r="D211" s="148">
        <f t="shared" ca="1" si="10"/>
        <v>0</v>
      </c>
      <c r="E211" s="148">
        <f t="shared" ca="1" si="11"/>
        <v>7.2000000000000028</v>
      </c>
    </row>
    <row r="212" spans="2:5" x14ac:dyDescent="0.25">
      <c r="B212" s="8">
        <v>37806</v>
      </c>
      <c r="C212" s="6">
        <f ca="1">IF(OR($C$7="",$B212&gt;NOW()),"",IF(INDEX(Data!$A:$G,MATCH($B212,Data!$A:$A,0),MATCH($C$7,Data!$4:$4,0))="","",INDEX(Data!$A:$G,MATCH($B212,Data!$A:$A,0),MATCH($C$7,Data!$4:$4,0))))</f>
        <v>76.2</v>
      </c>
      <c r="D212" s="148">
        <f t="shared" ca="1" si="10"/>
        <v>0</v>
      </c>
      <c r="E212" s="148">
        <f t="shared" ca="1" si="11"/>
        <v>11.200000000000003</v>
      </c>
    </row>
    <row r="213" spans="2:5" x14ac:dyDescent="0.25">
      <c r="B213" s="8">
        <v>37807</v>
      </c>
      <c r="C213" s="6">
        <f ca="1">IF(OR($C$7="",$B213&gt;NOW()),"",IF(INDEX(Data!$A:$G,MATCH($B213,Data!$A:$A,0),MATCH($C$7,Data!$4:$4,0))="","",INDEX(Data!$A:$G,MATCH($B213,Data!$A:$A,0),MATCH($C$7,Data!$4:$4,0))))</f>
        <v>86.6</v>
      </c>
      <c r="D213" s="148">
        <f t="shared" ca="1" si="10"/>
        <v>0</v>
      </c>
      <c r="E213" s="148">
        <f t="shared" ca="1" si="11"/>
        <v>21.599999999999994</v>
      </c>
    </row>
    <row r="214" spans="2:5" x14ac:dyDescent="0.25">
      <c r="B214" s="8">
        <v>37808</v>
      </c>
      <c r="C214" s="6">
        <f ca="1">IF(OR($C$7="",$B214&gt;NOW()),"",IF(INDEX(Data!$A:$G,MATCH($B214,Data!$A:$A,0),MATCH($C$7,Data!$4:$4,0))="","",INDEX(Data!$A:$G,MATCH($B214,Data!$A:$A,0),MATCH($C$7,Data!$4:$4,0))))</f>
        <v>85</v>
      </c>
      <c r="D214" s="148">
        <f t="shared" ca="1" si="10"/>
        <v>0</v>
      </c>
      <c r="E214" s="148">
        <f t="shared" ca="1" si="11"/>
        <v>20</v>
      </c>
    </row>
    <row r="215" spans="2:5" x14ac:dyDescent="0.25">
      <c r="B215" s="8">
        <v>37809</v>
      </c>
      <c r="C215" s="6">
        <f ca="1">IF(OR($C$7="",$B215&gt;NOW()),"",IF(INDEX(Data!$A:$G,MATCH($B215,Data!$A:$A,0),MATCH($C$7,Data!$4:$4,0))="","",INDEX(Data!$A:$G,MATCH($B215,Data!$A:$A,0),MATCH($C$7,Data!$4:$4,0))))</f>
        <v>81.3</v>
      </c>
      <c r="D215" s="148">
        <f t="shared" ca="1" si="10"/>
        <v>0</v>
      </c>
      <c r="E215" s="148">
        <f t="shared" ca="1" si="11"/>
        <v>16.299999999999997</v>
      </c>
    </row>
    <row r="216" spans="2:5" x14ac:dyDescent="0.25">
      <c r="B216" s="8">
        <v>37810</v>
      </c>
      <c r="C216" s="6">
        <f ca="1">IF(OR($C$7="",$B216&gt;NOW()),"",IF(INDEX(Data!$A:$G,MATCH($B216,Data!$A:$A,0),MATCH($C$7,Data!$4:$4,0))="","",INDEX(Data!$A:$G,MATCH($B216,Data!$A:$A,0),MATCH($C$7,Data!$4:$4,0))))</f>
        <v>82.4</v>
      </c>
      <c r="D216" s="148">
        <f t="shared" ca="1" si="10"/>
        <v>0</v>
      </c>
      <c r="E216" s="148">
        <f t="shared" ca="1" si="11"/>
        <v>17.400000000000006</v>
      </c>
    </row>
    <row r="217" spans="2:5" x14ac:dyDescent="0.25">
      <c r="B217" s="8">
        <v>37811</v>
      </c>
      <c r="C217" s="6">
        <f ca="1">IF(OR($C$7="",$B217&gt;NOW()),"",IF(INDEX(Data!$A:$G,MATCH($B217,Data!$A:$A,0),MATCH($C$7,Data!$4:$4,0))="","",INDEX(Data!$A:$G,MATCH($B217,Data!$A:$A,0),MATCH($C$7,Data!$4:$4,0))))</f>
        <v>79.7</v>
      </c>
      <c r="D217" s="148">
        <f t="shared" ca="1" si="10"/>
        <v>0</v>
      </c>
      <c r="E217" s="148">
        <f t="shared" ca="1" si="11"/>
        <v>14.700000000000003</v>
      </c>
    </row>
    <row r="218" spans="2:5" x14ac:dyDescent="0.25">
      <c r="B218" s="8">
        <v>37812</v>
      </c>
      <c r="C218" s="6">
        <f ca="1">IF(OR($C$7="",$B218&gt;NOW()),"",IF(INDEX(Data!$A:$G,MATCH($B218,Data!$A:$A,0),MATCH($C$7,Data!$4:$4,0))="","",INDEX(Data!$A:$G,MATCH($B218,Data!$A:$A,0),MATCH($C$7,Data!$4:$4,0))))</f>
        <v>67.2</v>
      </c>
      <c r="D218" s="148">
        <f t="shared" ca="1" si="10"/>
        <v>0</v>
      </c>
      <c r="E218" s="148">
        <f t="shared" ca="1" si="11"/>
        <v>2.2000000000000028</v>
      </c>
    </row>
    <row r="219" spans="2:5" x14ac:dyDescent="0.25">
      <c r="B219" s="8">
        <v>37813</v>
      </c>
      <c r="C219" s="6">
        <f ca="1">IF(OR($C$7="",$B219&gt;NOW()),"",IF(INDEX(Data!$A:$G,MATCH($B219,Data!$A:$A,0),MATCH($C$7,Data!$4:$4,0))="","",INDEX(Data!$A:$G,MATCH($B219,Data!$A:$A,0),MATCH($C$7,Data!$4:$4,0))))</f>
        <v>70.2</v>
      </c>
      <c r="D219" s="148">
        <f t="shared" ca="1" si="10"/>
        <v>0</v>
      </c>
      <c r="E219" s="148">
        <f t="shared" ca="1" si="11"/>
        <v>5.2000000000000028</v>
      </c>
    </row>
    <row r="220" spans="2:5" x14ac:dyDescent="0.25">
      <c r="B220" s="8">
        <v>37814</v>
      </c>
      <c r="C220" s="6">
        <f ca="1">IF(OR($C$7="",$B220&gt;NOW()),"",IF(INDEX(Data!$A:$G,MATCH($B220,Data!$A:$A,0),MATCH($C$7,Data!$4:$4,0))="","",INDEX(Data!$A:$G,MATCH($B220,Data!$A:$A,0),MATCH($C$7,Data!$4:$4,0))))</f>
        <v>79.3</v>
      </c>
      <c r="D220" s="148">
        <f t="shared" ca="1" si="10"/>
        <v>0</v>
      </c>
      <c r="E220" s="148">
        <f t="shared" ca="1" si="11"/>
        <v>14.299999999999997</v>
      </c>
    </row>
    <row r="221" spans="2:5" x14ac:dyDescent="0.25">
      <c r="B221" s="8">
        <v>37815</v>
      </c>
      <c r="C221" s="6">
        <f ca="1">IF(OR($C$7="",$B221&gt;NOW()),"",IF(INDEX(Data!$A:$G,MATCH($B221,Data!$A:$A,0),MATCH($C$7,Data!$4:$4,0))="","",INDEX(Data!$A:$G,MATCH($B221,Data!$A:$A,0),MATCH($C$7,Data!$4:$4,0))))</f>
        <v>76.8</v>
      </c>
      <c r="D221" s="148">
        <f t="shared" ref="D221:D284" ca="1" si="12">IF($C221="","",IF($C221&gt;$D$26,0,$D$26-$C221))</f>
        <v>0</v>
      </c>
      <c r="E221" s="148">
        <f t="shared" ref="E221:E284" ca="1" si="13">IF($C221="","",IF($C221&lt;$E$26,0,$C221-$E$26))</f>
        <v>11.799999999999997</v>
      </c>
    </row>
    <row r="222" spans="2:5" x14ac:dyDescent="0.25">
      <c r="B222" s="8">
        <v>37816</v>
      </c>
      <c r="C222" s="6">
        <f ca="1">IF(OR($C$7="",$B222&gt;NOW()),"",IF(INDEX(Data!$A:$G,MATCH($B222,Data!$A:$A,0),MATCH($C$7,Data!$4:$4,0))="","",INDEX(Data!$A:$G,MATCH($B222,Data!$A:$A,0),MATCH($C$7,Data!$4:$4,0))))</f>
        <v>73.7</v>
      </c>
      <c r="D222" s="148">
        <f t="shared" ca="1" si="12"/>
        <v>0</v>
      </c>
      <c r="E222" s="148">
        <f t="shared" ca="1" si="13"/>
        <v>8.7000000000000028</v>
      </c>
    </row>
    <row r="223" spans="2:5" x14ac:dyDescent="0.25">
      <c r="B223" s="8">
        <v>37817</v>
      </c>
      <c r="C223" s="6">
        <f ca="1">IF(OR($C$7="",$B223&gt;NOW()),"",IF(INDEX(Data!$A:$G,MATCH($B223,Data!$A:$A,0),MATCH($C$7,Data!$4:$4,0))="","",INDEX(Data!$A:$G,MATCH($B223,Data!$A:$A,0),MATCH($C$7,Data!$4:$4,0))))</f>
        <v>73.599999999999994</v>
      </c>
      <c r="D223" s="148">
        <f t="shared" ca="1" si="12"/>
        <v>0</v>
      </c>
      <c r="E223" s="148">
        <f t="shared" ca="1" si="13"/>
        <v>8.5999999999999943</v>
      </c>
    </row>
    <row r="224" spans="2:5" x14ac:dyDescent="0.25">
      <c r="B224" s="8">
        <v>37818</v>
      </c>
      <c r="C224" s="6">
        <f ca="1">IF(OR($C$7="",$B224&gt;NOW()),"",IF(INDEX(Data!$A:$G,MATCH($B224,Data!$A:$A,0),MATCH($C$7,Data!$4:$4,0))="","",INDEX(Data!$A:$G,MATCH($B224,Data!$A:$A,0),MATCH($C$7,Data!$4:$4,0))))</f>
        <v>76.400000000000006</v>
      </c>
      <c r="D224" s="148">
        <f t="shared" ca="1" si="12"/>
        <v>0</v>
      </c>
      <c r="E224" s="148">
        <f t="shared" ca="1" si="13"/>
        <v>11.400000000000006</v>
      </c>
    </row>
    <row r="225" spans="2:5" x14ac:dyDescent="0.25">
      <c r="B225" s="8">
        <v>37819</v>
      </c>
      <c r="C225" s="6">
        <f ca="1">IF(OR($C$7="",$B225&gt;NOW()),"",IF(INDEX(Data!$A:$G,MATCH($B225,Data!$A:$A,0),MATCH($C$7,Data!$4:$4,0))="","",INDEX(Data!$A:$G,MATCH($B225,Data!$A:$A,0),MATCH($C$7,Data!$4:$4,0))))</f>
        <v>77.3</v>
      </c>
      <c r="D225" s="148">
        <f t="shared" ca="1" si="12"/>
        <v>0</v>
      </c>
      <c r="E225" s="148">
        <f t="shared" ca="1" si="13"/>
        <v>12.299999999999997</v>
      </c>
    </row>
    <row r="226" spans="2:5" x14ac:dyDescent="0.25">
      <c r="B226" s="8">
        <v>37820</v>
      </c>
      <c r="C226" s="6">
        <f ca="1">IF(OR($C$7="",$B226&gt;NOW()),"",IF(INDEX(Data!$A:$G,MATCH($B226,Data!$A:$A,0),MATCH($C$7,Data!$4:$4,0))="","",INDEX(Data!$A:$G,MATCH($B226,Data!$A:$A,0),MATCH($C$7,Data!$4:$4,0))))</f>
        <v>79</v>
      </c>
      <c r="D226" s="148">
        <f t="shared" ca="1" si="12"/>
        <v>0</v>
      </c>
      <c r="E226" s="148">
        <f t="shared" ca="1" si="13"/>
        <v>14</v>
      </c>
    </row>
    <row r="227" spans="2:5" x14ac:dyDescent="0.25">
      <c r="B227" s="8">
        <v>37821</v>
      </c>
      <c r="C227" s="6">
        <f ca="1">IF(OR($C$7="",$B227&gt;NOW()),"",IF(INDEX(Data!$A:$G,MATCH($B227,Data!$A:$A,0),MATCH($C$7,Data!$4:$4,0))="","",INDEX(Data!$A:$G,MATCH($B227,Data!$A:$A,0),MATCH($C$7,Data!$4:$4,0))))</f>
        <v>74.400000000000006</v>
      </c>
      <c r="D227" s="148">
        <f t="shared" ca="1" si="12"/>
        <v>0</v>
      </c>
      <c r="E227" s="148">
        <f t="shared" ca="1" si="13"/>
        <v>9.4000000000000057</v>
      </c>
    </row>
    <row r="228" spans="2:5" x14ac:dyDescent="0.25">
      <c r="B228" s="8">
        <v>37822</v>
      </c>
      <c r="C228" s="6">
        <f ca="1">IF(OR($C$7="",$B228&gt;NOW()),"",IF(INDEX(Data!$A:$G,MATCH($B228,Data!$A:$A,0),MATCH($C$7,Data!$4:$4,0))="","",INDEX(Data!$A:$G,MATCH($B228,Data!$A:$A,0),MATCH($C$7,Data!$4:$4,0))))</f>
        <v>76.8</v>
      </c>
      <c r="D228" s="148">
        <f t="shared" ca="1" si="12"/>
        <v>0</v>
      </c>
      <c r="E228" s="148">
        <f t="shared" ca="1" si="13"/>
        <v>11.799999999999997</v>
      </c>
    </row>
    <row r="229" spans="2:5" x14ac:dyDescent="0.25">
      <c r="B229" s="8">
        <v>37823</v>
      </c>
      <c r="C229" s="6">
        <f ca="1">IF(OR($C$7="",$B229&gt;NOW()),"",IF(INDEX(Data!$A:$G,MATCH($B229,Data!$A:$A,0),MATCH($C$7,Data!$4:$4,0))="","",INDEX(Data!$A:$G,MATCH($B229,Data!$A:$A,0),MATCH($C$7,Data!$4:$4,0))))</f>
        <v>76.8</v>
      </c>
      <c r="D229" s="148">
        <f t="shared" ca="1" si="12"/>
        <v>0</v>
      </c>
      <c r="E229" s="148">
        <f t="shared" ca="1" si="13"/>
        <v>11.799999999999997</v>
      </c>
    </row>
    <row r="230" spans="2:5" x14ac:dyDescent="0.25">
      <c r="B230" s="8">
        <v>37824</v>
      </c>
      <c r="C230" s="6">
        <f ca="1">IF(OR($C$7="",$B230&gt;NOW()),"",IF(INDEX(Data!$A:$G,MATCH($B230,Data!$A:$A,0),MATCH($C$7,Data!$4:$4,0))="","",INDEX(Data!$A:$G,MATCH($B230,Data!$A:$A,0),MATCH($C$7,Data!$4:$4,0))))</f>
        <v>75.3</v>
      </c>
      <c r="D230" s="148">
        <f t="shared" ca="1" si="12"/>
        <v>0</v>
      </c>
      <c r="E230" s="148">
        <f t="shared" ca="1" si="13"/>
        <v>10.299999999999997</v>
      </c>
    </row>
    <row r="231" spans="2:5" x14ac:dyDescent="0.25">
      <c r="B231" s="8">
        <v>37825</v>
      </c>
      <c r="C231" s="6">
        <f ca="1">IF(OR($C$7="",$B231&gt;NOW()),"",IF(INDEX(Data!$A:$G,MATCH($B231,Data!$A:$A,0),MATCH($C$7,Data!$4:$4,0))="","",INDEX(Data!$A:$G,MATCH($B231,Data!$A:$A,0),MATCH($C$7,Data!$4:$4,0))))</f>
        <v>75</v>
      </c>
      <c r="D231" s="148">
        <f t="shared" ca="1" si="12"/>
        <v>0</v>
      </c>
      <c r="E231" s="148">
        <f t="shared" ca="1" si="13"/>
        <v>10</v>
      </c>
    </row>
    <row r="232" spans="2:5" x14ac:dyDescent="0.25">
      <c r="B232" s="8">
        <v>37826</v>
      </c>
      <c r="C232" s="6">
        <f ca="1">IF(OR($C$7="",$B232&gt;NOW()),"",IF(INDEX(Data!$A:$G,MATCH($B232,Data!$A:$A,0),MATCH($C$7,Data!$4:$4,0))="","",INDEX(Data!$A:$G,MATCH($B232,Data!$A:$A,0),MATCH($C$7,Data!$4:$4,0))))</f>
        <v>76.5</v>
      </c>
      <c r="D232" s="148">
        <f t="shared" ca="1" si="12"/>
        <v>0</v>
      </c>
      <c r="E232" s="148">
        <f t="shared" ca="1" si="13"/>
        <v>11.5</v>
      </c>
    </row>
    <row r="233" spans="2:5" x14ac:dyDescent="0.25">
      <c r="B233" s="8">
        <v>37827</v>
      </c>
      <c r="C233" s="6">
        <f ca="1">IF(OR($C$7="",$B233&gt;NOW()),"",IF(INDEX(Data!$A:$G,MATCH($B233,Data!$A:$A,0),MATCH($C$7,Data!$4:$4,0))="","",INDEX(Data!$A:$G,MATCH($B233,Data!$A:$A,0),MATCH($C$7,Data!$4:$4,0))))</f>
        <v>78.5</v>
      </c>
      <c r="D233" s="148">
        <f t="shared" ca="1" si="12"/>
        <v>0</v>
      </c>
      <c r="E233" s="148">
        <f t="shared" ca="1" si="13"/>
        <v>13.5</v>
      </c>
    </row>
    <row r="234" spans="2:5" x14ac:dyDescent="0.25">
      <c r="B234" s="8">
        <v>37828</v>
      </c>
      <c r="C234" s="6">
        <f ca="1">IF(OR($C$7="",$B234&gt;NOW()),"",IF(INDEX(Data!$A:$G,MATCH($B234,Data!$A:$A,0),MATCH($C$7,Data!$4:$4,0))="","",INDEX(Data!$A:$G,MATCH($B234,Data!$A:$A,0),MATCH($C$7,Data!$4:$4,0))))</f>
        <v>81.599999999999994</v>
      </c>
      <c r="D234" s="148">
        <f t="shared" ca="1" si="12"/>
        <v>0</v>
      </c>
      <c r="E234" s="148">
        <f t="shared" ca="1" si="13"/>
        <v>16.599999999999994</v>
      </c>
    </row>
    <row r="235" spans="2:5" x14ac:dyDescent="0.25">
      <c r="B235" s="8">
        <v>37829</v>
      </c>
      <c r="C235" s="6">
        <f ca="1">IF(OR($C$7="",$B235&gt;NOW()),"",IF(INDEX(Data!$A:$G,MATCH($B235,Data!$A:$A,0),MATCH($C$7,Data!$4:$4,0))="","",INDEX(Data!$A:$G,MATCH($B235,Data!$A:$A,0),MATCH($C$7,Data!$4:$4,0))))</f>
        <v>83.8</v>
      </c>
      <c r="D235" s="148">
        <f t="shared" ca="1" si="12"/>
        <v>0</v>
      </c>
      <c r="E235" s="148">
        <f t="shared" ca="1" si="13"/>
        <v>18.799999999999997</v>
      </c>
    </row>
    <row r="236" spans="2:5" x14ac:dyDescent="0.25">
      <c r="B236" s="8">
        <v>37830</v>
      </c>
      <c r="C236" s="6">
        <f ca="1">IF(OR($C$7="",$B236&gt;NOW()),"",IF(INDEX(Data!$A:$G,MATCH($B236,Data!$A:$A,0),MATCH($C$7,Data!$4:$4,0))="","",INDEX(Data!$A:$G,MATCH($B236,Data!$A:$A,0),MATCH($C$7,Data!$4:$4,0))))</f>
        <v>80.099999999999994</v>
      </c>
      <c r="D236" s="148">
        <f t="shared" ca="1" si="12"/>
        <v>0</v>
      </c>
      <c r="E236" s="148">
        <f t="shared" ca="1" si="13"/>
        <v>15.099999999999994</v>
      </c>
    </row>
    <row r="237" spans="2:5" x14ac:dyDescent="0.25">
      <c r="B237" s="8">
        <v>37831</v>
      </c>
      <c r="C237" s="6">
        <f ca="1">IF(OR($C$7="",$B237&gt;NOW()),"",IF(INDEX(Data!$A:$G,MATCH($B237,Data!$A:$A,0),MATCH($C$7,Data!$4:$4,0))="","",INDEX(Data!$A:$G,MATCH($B237,Data!$A:$A,0),MATCH($C$7,Data!$4:$4,0))))</f>
        <v>73.900000000000006</v>
      </c>
      <c r="D237" s="148">
        <f t="shared" ca="1" si="12"/>
        <v>0</v>
      </c>
      <c r="E237" s="148">
        <f t="shared" ca="1" si="13"/>
        <v>8.9000000000000057</v>
      </c>
    </row>
    <row r="238" spans="2:5" x14ac:dyDescent="0.25">
      <c r="B238" s="8">
        <v>37832</v>
      </c>
      <c r="C238" s="6">
        <f ca="1">IF(OR($C$7="",$B238&gt;NOW()),"",IF(INDEX(Data!$A:$G,MATCH($B238,Data!$A:$A,0),MATCH($C$7,Data!$4:$4,0))="","",INDEX(Data!$A:$G,MATCH($B238,Data!$A:$A,0),MATCH($C$7,Data!$4:$4,0))))</f>
        <v>74</v>
      </c>
      <c r="D238" s="148">
        <f t="shared" ca="1" si="12"/>
        <v>0</v>
      </c>
      <c r="E238" s="148">
        <f t="shared" ca="1" si="13"/>
        <v>9</v>
      </c>
    </row>
    <row r="239" spans="2:5" x14ac:dyDescent="0.25">
      <c r="B239" s="8">
        <v>37833</v>
      </c>
      <c r="C239" s="6">
        <f ca="1">IF(OR($C$7="",$B239&gt;NOW()),"",IF(INDEX(Data!$A:$G,MATCH($B239,Data!$A:$A,0),MATCH($C$7,Data!$4:$4,0))="","",INDEX(Data!$A:$G,MATCH($B239,Data!$A:$A,0),MATCH($C$7,Data!$4:$4,0))))</f>
        <v>70.8</v>
      </c>
      <c r="D239" s="148">
        <f t="shared" ca="1" si="12"/>
        <v>0</v>
      </c>
      <c r="E239" s="148">
        <f t="shared" ca="1" si="13"/>
        <v>5.7999999999999972</v>
      </c>
    </row>
    <row r="240" spans="2:5" x14ac:dyDescent="0.25">
      <c r="B240" s="8">
        <v>37834</v>
      </c>
      <c r="C240" s="6">
        <f ca="1">IF(OR($C$7="",$B240&gt;NOW()),"",IF(INDEX(Data!$A:$G,MATCH($B240,Data!$A:$A,0),MATCH($C$7,Data!$4:$4,0))="","",INDEX(Data!$A:$G,MATCH($B240,Data!$A:$A,0),MATCH($C$7,Data!$4:$4,0))))</f>
        <v>72.2</v>
      </c>
      <c r="D240" s="148">
        <f t="shared" ca="1" si="12"/>
        <v>0</v>
      </c>
      <c r="E240" s="148">
        <f t="shared" ca="1" si="13"/>
        <v>7.2000000000000028</v>
      </c>
    </row>
    <row r="241" spans="2:5" x14ac:dyDescent="0.25">
      <c r="B241" s="8">
        <v>37835</v>
      </c>
      <c r="C241" s="6">
        <f ca="1">IF(OR($C$7="",$B241&gt;NOW()),"",IF(INDEX(Data!$A:$G,MATCH($B241,Data!$A:$A,0),MATCH($C$7,Data!$4:$4,0))="","",INDEX(Data!$A:$G,MATCH($B241,Data!$A:$A,0),MATCH($C$7,Data!$4:$4,0))))</f>
        <v>77.400000000000006</v>
      </c>
      <c r="D241" s="148">
        <f t="shared" ca="1" si="12"/>
        <v>0</v>
      </c>
      <c r="E241" s="148">
        <f t="shared" ca="1" si="13"/>
        <v>12.400000000000006</v>
      </c>
    </row>
    <row r="242" spans="2:5" x14ac:dyDescent="0.25">
      <c r="B242" s="8">
        <v>37836</v>
      </c>
      <c r="C242" s="6">
        <f ca="1">IF(OR($C$7="",$B242&gt;NOW()),"",IF(INDEX(Data!$A:$G,MATCH($B242,Data!$A:$A,0),MATCH($C$7,Data!$4:$4,0))="","",INDEX(Data!$A:$G,MATCH($B242,Data!$A:$A,0),MATCH($C$7,Data!$4:$4,0))))</f>
        <v>78.7</v>
      </c>
      <c r="D242" s="148">
        <f t="shared" ca="1" si="12"/>
        <v>0</v>
      </c>
      <c r="E242" s="148">
        <f t="shared" ca="1" si="13"/>
        <v>13.700000000000003</v>
      </c>
    </row>
    <row r="243" spans="2:5" x14ac:dyDescent="0.25">
      <c r="B243" s="8">
        <v>37837</v>
      </c>
      <c r="C243" s="6">
        <f ca="1">IF(OR($C$7="",$B243&gt;NOW()),"",IF(INDEX(Data!$A:$G,MATCH($B243,Data!$A:$A,0),MATCH($C$7,Data!$4:$4,0))="","",INDEX(Data!$A:$G,MATCH($B243,Data!$A:$A,0),MATCH($C$7,Data!$4:$4,0))))</f>
        <v>77</v>
      </c>
      <c r="D243" s="148">
        <f t="shared" ca="1" si="12"/>
        <v>0</v>
      </c>
      <c r="E243" s="148">
        <f t="shared" ca="1" si="13"/>
        <v>12</v>
      </c>
    </row>
    <row r="244" spans="2:5" x14ac:dyDescent="0.25">
      <c r="B244" s="8">
        <v>37838</v>
      </c>
      <c r="C244" s="6">
        <f ca="1">IF(OR($C$7="",$B244&gt;NOW()),"",IF(INDEX(Data!$A:$G,MATCH($B244,Data!$A:$A,0),MATCH($C$7,Data!$4:$4,0))="","",INDEX(Data!$A:$G,MATCH($B244,Data!$A:$A,0),MATCH($C$7,Data!$4:$4,0))))</f>
        <v>75.900000000000006</v>
      </c>
      <c r="D244" s="148">
        <f t="shared" ca="1" si="12"/>
        <v>0</v>
      </c>
      <c r="E244" s="148">
        <f t="shared" ca="1" si="13"/>
        <v>10.900000000000006</v>
      </c>
    </row>
    <row r="245" spans="2:5" x14ac:dyDescent="0.25">
      <c r="B245" s="8">
        <v>37839</v>
      </c>
      <c r="C245" s="6">
        <f ca="1">IF(OR($C$7="",$B245&gt;NOW()),"",IF(INDEX(Data!$A:$G,MATCH($B245,Data!$A:$A,0),MATCH($C$7,Data!$4:$4,0))="","",INDEX(Data!$A:$G,MATCH($B245,Data!$A:$A,0),MATCH($C$7,Data!$4:$4,0))))</f>
        <v>75.599999999999994</v>
      </c>
      <c r="D245" s="148">
        <f t="shared" ca="1" si="12"/>
        <v>0</v>
      </c>
      <c r="E245" s="148">
        <f t="shared" ca="1" si="13"/>
        <v>10.599999999999994</v>
      </c>
    </row>
    <row r="246" spans="2:5" x14ac:dyDescent="0.25">
      <c r="B246" s="8">
        <v>37840</v>
      </c>
      <c r="C246" s="6">
        <f ca="1">IF(OR($C$7="",$B246&gt;NOW()),"",IF(INDEX(Data!$A:$G,MATCH($B246,Data!$A:$A,0),MATCH($C$7,Data!$4:$4,0))="","",INDEX(Data!$A:$G,MATCH($B246,Data!$A:$A,0),MATCH($C$7,Data!$4:$4,0))))</f>
        <v>75</v>
      </c>
      <c r="D246" s="148">
        <f t="shared" ca="1" si="12"/>
        <v>0</v>
      </c>
      <c r="E246" s="148">
        <f t="shared" ca="1" si="13"/>
        <v>10</v>
      </c>
    </row>
    <row r="247" spans="2:5" x14ac:dyDescent="0.25">
      <c r="B247" s="8">
        <v>37841</v>
      </c>
      <c r="C247" s="6">
        <f ca="1">IF(OR($C$7="",$B247&gt;NOW()),"",IF(INDEX(Data!$A:$G,MATCH($B247,Data!$A:$A,0),MATCH($C$7,Data!$4:$4,0))="","",INDEX(Data!$A:$G,MATCH($B247,Data!$A:$A,0),MATCH($C$7,Data!$4:$4,0))))</f>
        <v>74</v>
      </c>
      <c r="D247" s="148">
        <f t="shared" ca="1" si="12"/>
        <v>0</v>
      </c>
      <c r="E247" s="148">
        <f t="shared" ca="1" si="13"/>
        <v>9</v>
      </c>
    </row>
    <row r="248" spans="2:5" x14ac:dyDescent="0.25">
      <c r="B248" s="8">
        <v>37842</v>
      </c>
      <c r="C248" s="6">
        <f ca="1">IF(OR($C$7="",$B248&gt;NOW()),"",IF(INDEX(Data!$A:$G,MATCH($B248,Data!$A:$A,0),MATCH($C$7,Data!$4:$4,0))="","",INDEX(Data!$A:$G,MATCH($B248,Data!$A:$A,0),MATCH($C$7,Data!$4:$4,0))))</f>
        <v>76.900000000000006</v>
      </c>
      <c r="D248" s="148">
        <f t="shared" ca="1" si="12"/>
        <v>0</v>
      </c>
      <c r="E248" s="148">
        <f t="shared" ca="1" si="13"/>
        <v>11.900000000000006</v>
      </c>
    </row>
    <row r="249" spans="2:5" x14ac:dyDescent="0.25">
      <c r="B249" s="8">
        <v>37843</v>
      </c>
      <c r="C249" s="6">
        <f ca="1">IF(OR($C$7="",$B249&gt;NOW()),"",IF(INDEX(Data!$A:$G,MATCH($B249,Data!$A:$A,0),MATCH($C$7,Data!$4:$4,0))="","",INDEX(Data!$A:$G,MATCH($B249,Data!$A:$A,0),MATCH($C$7,Data!$4:$4,0))))</f>
        <v>76.5</v>
      </c>
      <c r="D249" s="148">
        <f t="shared" ca="1" si="12"/>
        <v>0</v>
      </c>
      <c r="E249" s="148">
        <f t="shared" ca="1" si="13"/>
        <v>11.5</v>
      </c>
    </row>
    <row r="250" spans="2:5" x14ac:dyDescent="0.25">
      <c r="B250" s="8">
        <v>37844</v>
      </c>
      <c r="C250" s="6">
        <f ca="1">IF(OR($C$7="",$B250&gt;NOW()),"",IF(INDEX(Data!$A:$G,MATCH($B250,Data!$A:$A,0),MATCH($C$7,Data!$4:$4,0))="","",INDEX(Data!$A:$G,MATCH($B250,Data!$A:$A,0),MATCH($C$7,Data!$4:$4,0))))</f>
        <v>77.3</v>
      </c>
      <c r="D250" s="148">
        <f t="shared" ca="1" si="12"/>
        <v>0</v>
      </c>
      <c r="E250" s="148">
        <f t="shared" ca="1" si="13"/>
        <v>12.299999999999997</v>
      </c>
    </row>
    <row r="251" spans="2:5" x14ac:dyDescent="0.25">
      <c r="B251" s="8">
        <v>37845</v>
      </c>
      <c r="C251" s="6">
        <f ca="1">IF(OR($C$7="",$B251&gt;NOW()),"",IF(INDEX(Data!$A:$G,MATCH($B251,Data!$A:$A,0),MATCH($C$7,Data!$4:$4,0))="","",INDEX(Data!$A:$G,MATCH($B251,Data!$A:$A,0),MATCH($C$7,Data!$4:$4,0))))</f>
        <v>77.599999999999994</v>
      </c>
      <c r="D251" s="148">
        <f t="shared" ca="1" si="12"/>
        <v>0</v>
      </c>
      <c r="E251" s="148">
        <f t="shared" ca="1" si="13"/>
        <v>12.599999999999994</v>
      </c>
    </row>
    <row r="252" spans="2:5" x14ac:dyDescent="0.25">
      <c r="B252" s="8">
        <v>37846</v>
      </c>
      <c r="C252" s="6">
        <f ca="1">IF(OR($C$7="",$B252&gt;NOW()),"",IF(INDEX(Data!$A:$G,MATCH($B252,Data!$A:$A,0),MATCH($C$7,Data!$4:$4,0))="","",INDEX(Data!$A:$G,MATCH($B252,Data!$A:$A,0),MATCH($C$7,Data!$4:$4,0))))</f>
        <v>79.8</v>
      </c>
      <c r="D252" s="148">
        <f t="shared" ca="1" si="12"/>
        <v>0</v>
      </c>
      <c r="E252" s="148">
        <f t="shared" ca="1" si="13"/>
        <v>14.799999999999997</v>
      </c>
    </row>
    <row r="253" spans="2:5" x14ac:dyDescent="0.25">
      <c r="B253" s="8">
        <v>37847</v>
      </c>
      <c r="C253" s="6">
        <f ca="1">IF(OR($C$7="",$B253&gt;NOW()),"",IF(INDEX(Data!$A:$G,MATCH($B253,Data!$A:$A,0),MATCH($C$7,Data!$4:$4,0))="","",INDEX(Data!$A:$G,MATCH($B253,Data!$A:$A,0),MATCH($C$7,Data!$4:$4,0))))</f>
        <v>83.6</v>
      </c>
      <c r="D253" s="148">
        <f t="shared" ca="1" si="12"/>
        <v>0</v>
      </c>
      <c r="E253" s="148">
        <f t="shared" ca="1" si="13"/>
        <v>18.599999999999994</v>
      </c>
    </row>
    <row r="254" spans="2:5" x14ac:dyDescent="0.25">
      <c r="B254" s="8">
        <v>37848</v>
      </c>
      <c r="C254" s="6">
        <f ca="1">IF(OR($C$7="",$B254&gt;NOW()),"",IF(INDEX(Data!$A:$G,MATCH($B254,Data!$A:$A,0),MATCH($C$7,Data!$4:$4,0))="","",INDEX(Data!$A:$G,MATCH($B254,Data!$A:$A,0),MATCH($C$7,Data!$4:$4,0))))</f>
        <v>81.900000000000006</v>
      </c>
      <c r="D254" s="148">
        <f t="shared" ca="1" si="12"/>
        <v>0</v>
      </c>
      <c r="E254" s="148">
        <f t="shared" ca="1" si="13"/>
        <v>16.900000000000006</v>
      </c>
    </row>
    <row r="255" spans="2:5" x14ac:dyDescent="0.25">
      <c r="B255" s="8">
        <v>37849</v>
      </c>
      <c r="C255" s="6">
        <f ca="1">IF(OR($C$7="",$B255&gt;NOW()),"",IF(INDEX(Data!$A:$G,MATCH($B255,Data!$A:$A,0),MATCH($C$7,Data!$4:$4,0))="","",INDEX(Data!$A:$G,MATCH($B255,Data!$A:$A,0),MATCH($C$7,Data!$4:$4,0))))</f>
        <v>83.5</v>
      </c>
      <c r="D255" s="148">
        <f t="shared" ca="1" si="12"/>
        <v>0</v>
      </c>
      <c r="E255" s="148">
        <f t="shared" ca="1" si="13"/>
        <v>18.5</v>
      </c>
    </row>
    <row r="256" spans="2:5" x14ac:dyDescent="0.25">
      <c r="B256" s="8">
        <v>37850</v>
      </c>
      <c r="C256" s="6">
        <f ca="1">IF(OR($C$7="",$B256&gt;NOW()),"",IF(INDEX(Data!$A:$G,MATCH($B256,Data!$A:$A,0),MATCH($C$7,Data!$4:$4,0))="","",INDEX(Data!$A:$G,MATCH($B256,Data!$A:$A,0),MATCH($C$7,Data!$4:$4,0))))</f>
        <v>76.3</v>
      </c>
      <c r="D256" s="148">
        <f t="shared" ca="1" si="12"/>
        <v>0</v>
      </c>
      <c r="E256" s="148">
        <f t="shared" ca="1" si="13"/>
        <v>11.299999999999997</v>
      </c>
    </row>
    <row r="257" spans="2:5" x14ac:dyDescent="0.25">
      <c r="B257" s="8">
        <v>37851</v>
      </c>
      <c r="C257" s="6">
        <f ca="1">IF(OR($C$7="",$B257&gt;NOW()),"",IF(INDEX(Data!$A:$G,MATCH($B257,Data!$A:$A,0),MATCH($C$7,Data!$4:$4,0))="","",INDEX(Data!$A:$G,MATCH($B257,Data!$A:$A,0),MATCH($C$7,Data!$4:$4,0))))</f>
        <v>71.7</v>
      </c>
      <c r="D257" s="148">
        <f t="shared" ca="1" si="12"/>
        <v>0</v>
      </c>
      <c r="E257" s="148">
        <f t="shared" ca="1" si="13"/>
        <v>6.7000000000000028</v>
      </c>
    </row>
    <row r="258" spans="2:5" x14ac:dyDescent="0.25">
      <c r="B258" s="8">
        <v>37852</v>
      </c>
      <c r="C258" s="6">
        <f ca="1">IF(OR($C$7="",$B258&gt;NOW()),"",IF(INDEX(Data!$A:$G,MATCH($B258,Data!$A:$A,0),MATCH($C$7,Data!$4:$4,0))="","",INDEX(Data!$A:$G,MATCH($B258,Data!$A:$A,0),MATCH($C$7,Data!$4:$4,0))))</f>
        <v>76.400000000000006</v>
      </c>
      <c r="D258" s="148">
        <f t="shared" ca="1" si="12"/>
        <v>0</v>
      </c>
      <c r="E258" s="148">
        <f t="shared" ca="1" si="13"/>
        <v>11.400000000000006</v>
      </c>
    </row>
    <row r="259" spans="2:5" x14ac:dyDescent="0.25">
      <c r="B259" s="8">
        <v>37853</v>
      </c>
      <c r="C259" s="6">
        <f ca="1">IF(OR($C$7="",$B259&gt;NOW()),"",IF(INDEX(Data!$A:$G,MATCH($B259,Data!$A:$A,0),MATCH($C$7,Data!$4:$4,0))="","",INDEX(Data!$A:$G,MATCH($B259,Data!$A:$A,0),MATCH($C$7,Data!$4:$4,0))))</f>
        <v>80</v>
      </c>
      <c r="D259" s="148">
        <f t="shared" ca="1" si="12"/>
        <v>0</v>
      </c>
      <c r="E259" s="148">
        <f t="shared" ca="1" si="13"/>
        <v>15</v>
      </c>
    </row>
    <row r="260" spans="2:5" x14ac:dyDescent="0.25">
      <c r="B260" s="8">
        <v>37854</v>
      </c>
      <c r="C260" s="6">
        <f ca="1">IF(OR($C$7="",$B260&gt;NOW()),"",IF(INDEX(Data!$A:$G,MATCH($B260,Data!$A:$A,0),MATCH($C$7,Data!$4:$4,0))="","",INDEX(Data!$A:$G,MATCH($B260,Data!$A:$A,0),MATCH($C$7,Data!$4:$4,0))))</f>
        <v>83.2</v>
      </c>
      <c r="D260" s="148">
        <f t="shared" ca="1" si="12"/>
        <v>0</v>
      </c>
      <c r="E260" s="148">
        <f t="shared" ca="1" si="13"/>
        <v>18.200000000000003</v>
      </c>
    </row>
    <row r="261" spans="2:5" x14ac:dyDescent="0.25">
      <c r="B261" s="8">
        <v>37855</v>
      </c>
      <c r="C261" s="6">
        <f ca="1">IF(OR($C$7="",$B261&gt;NOW()),"",IF(INDEX(Data!$A:$G,MATCH($B261,Data!$A:$A,0),MATCH($C$7,Data!$4:$4,0))="","",INDEX(Data!$A:$G,MATCH($B261,Data!$A:$A,0),MATCH($C$7,Data!$4:$4,0))))</f>
        <v>84.7</v>
      </c>
      <c r="D261" s="148">
        <f t="shared" ca="1" si="12"/>
        <v>0</v>
      </c>
      <c r="E261" s="148">
        <f t="shared" ca="1" si="13"/>
        <v>19.700000000000003</v>
      </c>
    </row>
    <row r="262" spans="2:5" x14ac:dyDescent="0.25">
      <c r="B262" s="8">
        <v>37856</v>
      </c>
      <c r="C262" s="6">
        <f ca="1">IF(OR($C$7="",$B262&gt;NOW()),"",IF(INDEX(Data!$A:$G,MATCH($B262,Data!$A:$A,0),MATCH($C$7,Data!$4:$4,0))="","",INDEX(Data!$A:$G,MATCH($B262,Data!$A:$A,0),MATCH($C$7,Data!$4:$4,0))))</f>
        <v>79.3</v>
      </c>
      <c r="D262" s="148">
        <f t="shared" ca="1" si="12"/>
        <v>0</v>
      </c>
      <c r="E262" s="148">
        <f t="shared" ca="1" si="13"/>
        <v>14.299999999999997</v>
      </c>
    </row>
    <row r="263" spans="2:5" x14ac:dyDescent="0.25">
      <c r="B263" s="8">
        <v>37857</v>
      </c>
      <c r="C263" s="6">
        <f ca="1">IF(OR($C$7="",$B263&gt;NOW()),"",IF(INDEX(Data!$A:$G,MATCH($B263,Data!$A:$A,0),MATCH($C$7,Data!$4:$4,0))="","",INDEX(Data!$A:$G,MATCH($B263,Data!$A:$A,0),MATCH($C$7,Data!$4:$4,0))))</f>
        <v>72.099999999999994</v>
      </c>
      <c r="D263" s="148">
        <f t="shared" ca="1" si="12"/>
        <v>0</v>
      </c>
      <c r="E263" s="148">
        <f t="shared" ca="1" si="13"/>
        <v>7.0999999999999943</v>
      </c>
    </row>
    <row r="264" spans="2:5" x14ac:dyDescent="0.25">
      <c r="B264" s="8">
        <v>37858</v>
      </c>
      <c r="C264" s="6">
        <f ca="1">IF(OR($C$7="",$B264&gt;NOW()),"",IF(INDEX(Data!$A:$G,MATCH($B264,Data!$A:$A,0),MATCH($C$7,Data!$4:$4,0))="","",INDEX(Data!$A:$G,MATCH($B264,Data!$A:$A,0),MATCH($C$7,Data!$4:$4,0))))</f>
        <v>77.2</v>
      </c>
      <c r="D264" s="148">
        <f t="shared" ca="1" si="12"/>
        <v>0</v>
      </c>
      <c r="E264" s="148">
        <f t="shared" ca="1" si="13"/>
        <v>12.200000000000003</v>
      </c>
    </row>
    <row r="265" spans="2:5" x14ac:dyDescent="0.25">
      <c r="B265" s="8">
        <v>37859</v>
      </c>
      <c r="C265" s="6">
        <f ca="1">IF(OR($C$7="",$B265&gt;NOW()),"",IF(INDEX(Data!$A:$G,MATCH($B265,Data!$A:$A,0),MATCH($C$7,Data!$4:$4,0))="","",INDEX(Data!$A:$G,MATCH($B265,Data!$A:$A,0),MATCH($C$7,Data!$4:$4,0))))</f>
        <v>78.7</v>
      </c>
      <c r="D265" s="148">
        <f t="shared" ca="1" si="12"/>
        <v>0</v>
      </c>
      <c r="E265" s="148">
        <f t="shared" ca="1" si="13"/>
        <v>13.700000000000003</v>
      </c>
    </row>
    <row r="266" spans="2:5" x14ac:dyDescent="0.25">
      <c r="B266" s="8">
        <v>37860</v>
      </c>
      <c r="C266" s="6">
        <f ca="1">IF(OR($C$7="",$B266&gt;NOW()),"",IF(INDEX(Data!$A:$G,MATCH($B266,Data!$A:$A,0),MATCH($C$7,Data!$4:$4,0))="","",INDEX(Data!$A:$G,MATCH($B266,Data!$A:$A,0),MATCH($C$7,Data!$4:$4,0))))</f>
        <v>79.900000000000006</v>
      </c>
      <c r="D266" s="148">
        <f t="shared" ca="1" si="12"/>
        <v>0</v>
      </c>
      <c r="E266" s="148">
        <f t="shared" ca="1" si="13"/>
        <v>14.900000000000006</v>
      </c>
    </row>
    <row r="267" spans="2:5" x14ac:dyDescent="0.25">
      <c r="B267" s="8">
        <v>37861</v>
      </c>
      <c r="C267" s="6">
        <f ca="1">IF(OR($C$7="",$B267&gt;NOW()),"",IF(INDEX(Data!$A:$G,MATCH($B267,Data!$A:$A,0),MATCH($C$7,Data!$4:$4,0))="","",INDEX(Data!$A:$G,MATCH($B267,Data!$A:$A,0),MATCH($C$7,Data!$4:$4,0))))</f>
        <v>77.7</v>
      </c>
      <c r="D267" s="148">
        <f t="shared" ca="1" si="12"/>
        <v>0</v>
      </c>
      <c r="E267" s="148">
        <f t="shared" ca="1" si="13"/>
        <v>12.700000000000003</v>
      </c>
    </row>
    <row r="268" spans="2:5" x14ac:dyDescent="0.25">
      <c r="B268" s="8">
        <v>37862</v>
      </c>
      <c r="C268" s="6">
        <f ca="1">IF(OR($C$7="",$B268&gt;NOW()),"",IF(INDEX(Data!$A:$G,MATCH($B268,Data!$A:$A,0),MATCH($C$7,Data!$4:$4,0))="","",INDEX(Data!$A:$G,MATCH($B268,Data!$A:$A,0),MATCH($C$7,Data!$4:$4,0))))</f>
        <v>75.400000000000006</v>
      </c>
      <c r="D268" s="148">
        <f t="shared" ca="1" si="12"/>
        <v>0</v>
      </c>
      <c r="E268" s="148">
        <f t="shared" ca="1" si="13"/>
        <v>10.400000000000006</v>
      </c>
    </row>
    <row r="269" spans="2:5" x14ac:dyDescent="0.25">
      <c r="B269" s="8">
        <v>37863</v>
      </c>
      <c r="C269" s="6">
        <f ca="1">IF(OR($C$7="",$B269&gt;NOW()),"",IF(INDEX(Data!$A:$G,MATCH($B269,Data!$A:$A,0),MATCH($C$7,Data!$4:$4,0))="","",INDEX(Data!$A:$G,MATCH($B269,Data!$A:$A,0),MATCH($C$7,Data!$4:$4,0))))</f>
        <v>79</v>
      </c>
      <c r="D269" s="148">
        <f t="shared" ca="1" si="12"/>
        <v>0</v>
      </c>
      <c r="E269" s="148">
        <f t="shared" ca="1" si="13"/>
        <v>14</v>
      </c>
    </row>
    <row r="270" spans="2:5" x14ac:dyDescent="0.25">
      <c r="B270" s="8">
        <v>37864</v>
      </c>
      <c r="C270" s="6">
        <f ca="1">IF(OR($C$7="",$B270&gt;NOW()),"",IF(INDEX(Data!$A:$G,MATCH($B270,Data!$A:$A,0),MATCH($C$7,Data!$4:$4,0))="","",INDEX(Data!$A:$G,MATCH($B270,Data!$A:$A,0),MATCH($C$7,Data!$4:$4,0))))</f>
        <v>68.099999999999994</v>
      </c>
      <c r="D270" s="148">
        <f t="shared" ca="1" si="12"/>
        <v>0</v>
      </c>
      <c r="E270" s="148">
        <f t="shared" ca="1" si="13"/>
        <v>3.0999999999999943</v>
      </c>
    </row>
    <row r="271" spans="2:5" x14ac:dyDescent="0.25">
      <c r="B271" s="8">
        <v>37865</v>
      </c>
      <c r="C271" s="6">
        <f ca="1">IF(OR($C$7="",$B271&gt;NOW()),"",IF(INDEX(Data!$A:$G,MATCH($B271,Data!$A:$A,0),MATCH($C$7,Data!$4:$4,0))="","",INDEX(Data!$A:$G,MATCH($B271,Data!$A:$A,0),MATCH($C$7,Data!$4:$4,0))))</f>
        <v>65.900000000000006</v>
      </c>
      <c r="D271" s="148">
        <f t="shared" ca="1" si="12"/>
        <v>0</v>
      </c>
      <c r="E271" s="148">
        <f t="shared" ca="1" si="13"/>
        <v>0.90000000000000568</v>
      </c>
    </row>
    <row r="272" spans="2:5" x14ac:dyDescent="0.25">
      <c r="B272" s="8">
        <v>37866</v>
      </c>
      <c r="C272" s="6">
        <f ca="1">IF(OR($C$7="",$B272&gt;NOW()),"",IF(INDEX(Data!$A:$G,MATCH($B272,Data!$A:$A,0),MATCH($C$7,Data!$4:$4,0))="","",INDEX(Data!$A:$G,MATCH($B272,Data!$A:$A,0),MATCH($C$7,Data!$4:$4,0))))</f>
        <v>63.1</v>
      </c>
      <c r="D272" s="148">
        <f t="shared" ca="1" si="12"/>
        <v>1.8999999999999986</v>
      </c>
      <c r="E272" s="148">
        <f t="shared" ca="1" si="13"/>
        <v>0</v>
      </c>
    </row>
    <row r="273" spans="2:5" x14ac:dyDescent="0.25">
      <c r="B273" s="8">
        <v>37867</v>
      </c>
      <c r="C273" s="6">
        <f ca="1">IF(OR($C$7="",$B273&gt;NOW()),"",IF(INDEX(Data!$A:$G,MATCH($B273,Data!$A:$A,0),MATCH($C$7,Data!$4:$4,0))="","",INDEX(Data!$A:$G,MATCH($B273,Data!$A:$A,0),MATCH($C$7,Data!$4:$4,0))))</f>
        <v>64.2</v>
      </c>
      <c r="D273" s="148">
        <f t="shared" ca="1" si="12"/>
        <v>0.79999999999999716</v>
      </c>
      <c r="E273" s="148">
        <f t="shared" ca="1" si="13"/>
        <v>0</v>
      </c>
    </row>
    <row r="274" spans="2:5" x14ac:dyDescent="0.25">
      <c r="B274" s="8">
        <v>37868</v>
      </c>
      <c r="C274" s="6">
        <f ca="1">IF(OR($C$7="",$B274&gt;NOW()),"",IF(INDEX(Data!$A:$G,MATCH($B274,Data!$A:$A,0),MATCH($C$7,Data!$4:$4,0))="","",INDEX(Data!$A:$G,MATCH($B274,Data!$A:$A,0),MATCH($C$7,Data!$4:$4,0))))</f>
        <v>72.5</v>
      </c>
      <c r="D274" s="148">
        <f t="shared" ca="1" si="12"/>
        <v>0</v>
      </c>
      <c r="E274" s="148">
        <f t="shared" ca="1" si="13"/>
        <v>7.5</v>
      </c>
    </row>
    <row r="275" spans="2:5" x14ac:dyDescent="0.25">
      <c r="B275" s="8">
        <v>37869</v>
      </c>
      <c r="C275" s="6">
        <f ca="1">IF(OR($C$7="",$B275&gt;NOW()),"",IF(INDEX(Data!$A:$G,MATCH($B275,Data!$A:$A,0),MATCH($C$7,Data!$4:$4,0))="","",INDEX(Data!$A:$G,MATCH($B275,Data!$A:$A,0),MATCH($C$7,Data!$4:$4,0))))</f>
        <v>72.2</v>
      </c>
      <c r="D275" s="148">
        <f t="shared" ca="1" si="12"/>
        <v>0</v>
      </c>
      <c r="E275" s="148">
        <f t="shared" ca="1" si="13"/>
        <v>7.2000000000000028</v>
      </c>
    </row>
    <row r="276" spans="2:5" x14ac:dyDescent="0.25">
      <c r="B276" s="8">
        <v>37870</v>
      </c>
      <c r="C276" s="6">
        <f ca="1">IF(OR($C$7="",$B276&gt;NOW()),"",IF(INDEX(Data!$A:$G,MATCH($B276,Data!$A:$A,0),MATCH($C$7,Data!$4:$4,0))="","",INDEX(Data!$A:$G,MATCH($B276,Data!$A:$A,0),MATCH($C$7,Data!$4:$4,0))))</f>
        <v>69.099999999999994</v>
      </c>
      <c r="D276" s="148">
        <f t="shared" ca="1" si="12"/>
        <v>0</v>
      </c>
      <c r="E276" s="148">
        <f t="shared" ca="1" si="13"/>
        <v>4.0999999999999943</v>
      </c>
    </row>
    <row r="277" spans="2:5" x14ac:dyDescent="0.25">
      <c r="B277" s="8">
        <v>37871</v>
      </c>
      <c r="C277" s="6">
        <f ca="1">IF(OR($C$7="",$B277&gt;NOW()),"",IF(INDEX(Data!$A:$G,MATCH($B277,Data!$A:$A,0),MATCH($C$7,Data!$4:$4,0))="","",INDEX(Data!$A:$G,MATCH($B277,Data!$A:$A,0),MATCH($C$7,Data!$4:$4,0))))</f>
        <v>72</v>
      </c>
      <c r="D277" s="148">
        <f t="shared" ca="1" si="12"/>
        <v>0</v>
      </c>
      <c r="E277" s="148">
        <f t="shared" ca="1" si="13"/>
        <v>7</v>
      </c>
    </row>
    <row r="278" spans="2:5" x14ac:dyDescent="0.25">
      <c r="B278" s="8">
        <v>37872</v>
      </c>
      <c r="C278" s="6">
        <f ca="1">IF(OR($C$7="",$B278&gt;NOW()),"",IF(INDEX(Data!$A:$G,MATCH($B278,Data!$A:$A,0),MATCH($C$7,Data!$4:$4,0))="","",INDEX(Data!$A:$G,MATCH($B278,Data!$A:$A,0),MATCH($C$7,Data!$4:$4,0))))</f>
        <v>72.5</v>
      </c>
      <c r="D278" s="148">
        <f t="shared" ca="1" si="12"/>
        <v>0</v>
      </c>
      <c r="E278" s="148">
        <f t="shared" ca="1" si="13"/>
        <v>7.5</v>
      </c>
    </row>
    <row r="279" spans="2:5" x14ac:dyDescent="0.25">
      <c r="B279" s="8">
        <v>37873</v>
      </c>
      <c r="C279" s="6">
        <f ca="1">IF(OR($C$7="",$B279&gt;NOW()),"",IF(INDEX(Data!$A:$G,MATCH($B279,Data!$A:$A,0),MATCH($C$7,Data!$4:$4,0))="","",INDEX(Data!$A:$G,MATCH($B279,Data!$A:$A,0),MATCH($C$7,Data!$4:$4,0))))</f>
        <v>68.5</v>
      </c>
      <c r="D279" s="148">
        <f t="shared" ca="1" si="12"/>
        <v>0</v>
      </c>
      <c r="E279" s="148">
        <f t="shared" ca="1" si="13"/>
        <v>3.5</v>
      </c>
    </row>
    <row r="280" spans="2:5" x14ac:dyDescent="0.25">
      <c r="B280" s="8">
        <v>37874</v>
      </c>
      <c r="C280" s="6">
        <f ca="1">IF(OR($C$7="",$B280&gt;NOW()),"",IF(INDEX(Data!$A:$G,MATCH($B280,Data!$A:$A,0),MATCH($C$7,Data!$4:$4,0))="","",INDEX(Data!$A:$G,MATCH($B280,Data!$A:$A,0),MATCH($C$7,Data!$4:$4,0))))</f>
        <v>66.400000000000006</v>
      </c>
      <c r="D280" s="148">
        <f t="shared" ca="1" si="12"/>
        <v>0</v>
      </c>
      <c r="E280" s="148">
        <f t="shared" ca="1" si="13"/>
        <v>1.4000000000000057</v>
      </c>
    </row>
    <row r="281" spans="2:5" x14ac:dyDescent="0.25">
      <c r="B281" s="8">
        <v>37875</v>
      </c>
      <c r="C281" s="6">
        <f ca="1">IF(OR($C$7="",$B281&gt;NOW()),"",IF(INDEX(Data!$A:$G,MATCH($B281,Data!$A:$A,0),MATCH($C$7,Data!$4:$4,0))="","",INDEX(Data!$A:$G,MATCH($B281,Data!$A:$A,0),MATCH($C$7,Data!$4:$4,0))))</f>
        <v>71.7</v>
      </c>
      <c r="D281" s="148">
        <f t="shared" ca="1" si="12"/>
        <v>0</v>
      </c>
      <c r="E281" s="148">
        <f t="shared" ca="1" si="13"/>
        <v>6.7000000000000028</v>
      </c>
    </row>
    <row r="282" spans="2:5" x14ac:dyDescent="0.25">
      <c r="B282" s="8">
        <v>37876</v>
      </c>
      <c r="C282" s="6">
        <f ca="1">IF(OR($C$7="",$B282&gt;NOW()),"",IF(INDEX(Data!$A:$G,MATCH($B282,Data!$A:$A,0),MATCH($C$7,Data!$4:$4,0))="","",INDEX(Data!$A:$G,MATCH($B282,Data!$A:$A,0),MATCH($C$7,Data!$4:$4,0))))</f>
        <v>67.8</v>
      </c>
      <c r="D282" s="148">
        <f t="shared" ca="1" si="12"/>
        <v>0</v>
      </c>
      <c r="E282" s="148">
        <f t="shared" ca="1" si="13"/>
        <v>2.7999999999999972</v>
      </c>
    </row>
    <row r="283" spans="2:5" x14ac:dyDescent="0.25">
      <c r="B283" s="8">
        <v>37877</v>
      </c>
      <c r="C283" s="6">
        <f ca="1">IF(OR($C$7="",$B283&gt;NOW()),"",IF(INDEX(Data!$A:$G,MATCH($B283,Data!$A:$A,0),MATCH($C$7,Data!$4:$4,0))="","",INDEX(Data!$A:$G,MATCH($B283,Data!$A:$A,0),MATCH($C$7,Data!$4:$4,0))))</f>
        <v>67.5</v>
      </c>
      <c r="D283" s="148">
        <f t="shared" ca="1" si="12"/>
        <v>0</v>
      </c>
      <c r="E283" s="148">
        <f t="shared" ca="1" si="13"/>
        <v>2.5</v>
      </c>
    </row>
    <row r="284" spans="2:5" x14ac:dyDescent="0.25">
      <c r="B284" s="8">
        <v>37878</v>
      </c>
      <c r="C284" s="6">
        <f ca="1">IF(OR($C$7="",$B284&gt;NOW()),"",IF(INDEX(Data!$A:$G,MATCH($B284,Data!$A:$A,0),MATCH($C$7,Data!$4:$4,0))="","",INDEX(Data!$A:$G,MATCH($B284,Data!$A:$A,0),MATCH($C$7,Data!$4:$4,0))))</f>
        <v>73.3</v>
      </c>
      <c r="D284" s="148">
        <f t="shared" ca="1" si="12"/>
        <v>0</v>
      </c>
      <c r="E284" s="148">
        <f t="shared" ca="1" si="13"/>
        <v>8.2999999999999972</v>
      </c>
    </row>
    <row r="285" spans="2:5" x14ac:dyDescent="0.25">
      <c r="B285" s="8">
        <v>37879</v>
      </c>
      <c r="C285" s="6">
        <f ca="1">IF(OR($C$7="",$B285&gt;NOW()),"",IF(INDEX(Data!$A:$G,MATCH($B285,Data!$A:$A,0),MATCH($C$7,Data!$4:$4,0))="","",INDEX(Data!$A:$G,MATCH($B285,Data!$A:$A,0),MATCH($C$7,Data!$4:$4,0))))</f>
        <v>75.2</v>
      </c>
      <c r="D285" s="148">
        <f t="shared" ref="D285:D348" ca="1" si="14">IF($C285="","",IF($C285&gt;$D$26,0,$D$26-$C285))</f>
        <v>0</v>
      </c>
      <c r="E285" s="148">
        <f t="shared" ref="E285:E348" ca="1" si="15">IF($C285="","",IF($C285&lt;$E$26,0,$C285-$E$26))</f>
        <v>10.200000000000003</v>
      </c>
    </row>
    <row r="286" spans="2:5" x14ac:dyDescent="0.25">
      <c r="B286" s="8">
        <v>37880</v>
      </c>
      <c r="C286" s="6">
        <f ca="1">IF(OR($C$7="",$B286&gt;NOW()),"",IF(INDEX(Data!$A:$G,MATCH($B286,Data!$A:$A,0),MATCH($C$7,Data!$4:$4,0))="","",INDEX(Data!$A:$G,MATCH($B286,Data!$A:$A,0),MATCH($C$7,Data!$4:$4,0))))</f>
        <v>72.8</v>
      </c>
      <c r="D286" s="148">
        <f t="shared" ca="1" si="14"/>
        <v>0</v>
      </c>
      <c r="E286" s="148">
        <f t="shared" ca="1" si="15"/>
        <v>7.7999999999999972</v>
      </c>
    </row>
    <row r="287" spans="2:5" x14ac:dyDescent="0.25">
      <c r="B287" s="8">
        <v>37881</v>
      </c>
      <c r="C287" s="6">
        <f ca="1">IF(OR($C$7="",$B287&gt;NOW()),"",IF(INDEX(Data!$A:$G,MATCH($B287,Data!$A:$A,0),MATCH($C$7,Data!$4:$4,0))="","",INDEX(Data!$A:$G,MATCH($B287,Data!$A:$A,0),MATCH($C$7,Data!$4:$4,0))))</f>
        <v>70.900000000000006</v>
      </c>
      <c r="D287" s="148">
        <f t="shared" ca="1" si="14"/>
        <v>0</v>
      </c>
      <c r="E287" s="148">
        <f t="shared" ca="1" si="15"/>
        <v>5.9000000000000057</v>
      </c>
    </row>
    <row r="288" spans="2:5" x14ac:dyDescent="0.25">
      <c r="B288" s="8">
        <v>37882</v>
      </c>
      <c r="C288" s="6">
        <f ca="1">IF(OR($C$7="",$B288&gt;NOW()),"",IF(INDEX(Data!$A:$G,MATCH($B288,Data!$A:$A,0),MATCH($C$7,Data!$4:$4,0))="","",INDEX(Data!$A:$G,MATCH($B288,Data!$A:$A,0),MATCH($C$7,Data!$4:$4,0))))</f>
        <v>68.900000000000006</v>
      </c>
      <c r="D288" s="148">
        <f t="shared" ca="1" si="14"/>
        <v>0</v>
      </c>
      <c r="E288" s="148">
        <f t="shared" ca="1" si="15"/>
        <v>3.9000000000000057</v>
      </c>
    </row>
    <row r="289" spans="2:5" x14ac:dyDescent="0.25">
      <c r="B289" s="8">
        <v>37883</v>
      </c>
      <c r="C289" s="6">
        <f ca="1">IF(OR($C$7="",$B289&gt;NOW()),"",IF(INDEX(Data!$A:$G,MATCH($B289,Data!$A:$A,0),MATCH($C$7,Data!$4:$4,0))="","",INDEX(Data!$A:$G,MATCH($B289,Data!$A:$A,0),MATCH($C$7,Data!$4:$4,0))))</f>
        <v>75.3</v>
      </c>
      <c r="D289" s="148">
        <f t="shared" ca="1" si="14"/>
        <v>0</v>
      </c>
      <c r="E289" s="148">
        <f t="shared" ca="1" si="15"/>
        <v>10.299999999999997</v>
      </c>
    </row>
    <row r="290" spans="2:5" x14ac:dyDescent="0.25">
      <c r="B290" s="8">
        <v>37884</v>
      </c>
      <c r="C290" s="6">
        <f ca="1">IF(OR($C$7="",$B290&gt;NOW()),"",IF(INDEX(Data!$A:$G,MATCH($B290,Data!$A:$A,0),MATCH($C$7,Data!$4:$4,0))="","",INDEX(Data!$A:$G,MATCH($B290,Data!$A:$A,0),MATCH($C$7,Data!$4:$4,0))))</f>
        <v>75.2</v>
      </c>
      <c r="D290" s="148">
        <f t="shared" ca="1" si="14"/>
        <v>0</v>
      </c>
      <c r="E290" s="148">
        <f t="shared" ca="1" si="15"/>
        <v>10.200000000000003</v>
      </c>
    </row>
    <row r="291" spans="2:5" x14ac:dyDescent="0.25">
      <c r="B291" s="8">
        <v>37885</v>
      </c>
      <c r="C291" s="6">
        <f ca="1">IF(OR($C$7="",$B291&gt;NOW()),"",IF(INDEX(Data!$A:$G,MATCH($B291,Data!$A:$A,0),MATCH($C$7,Data!$4:$4,0))="","",INDEX(Data!$A:$G,MATCH($B291,Data!$A:$A,0),MATCH($C$7,Data!$4:$4,0))))</f>
        <v>70.400000000000006</v>
      </c>
      <c r="D291" s="148">
        <f t="shared" ca="1" si="14"/>
        <v>0</v>
      </c>
      <c r="E291" s="148">
        <f t="shared" ca="1" si="15"/>
        <v>5.4000000000000057</v>
      </c>
    </row>
    <row r="292" spans="2:5" x14ac:dyDescent="0.25">
      <c r="B292" s="8">
        <v>37886</v>
      </c>
      <c r="C292" s="6">
        <f ca="1">IF(OR($C$7="",$B292&gt;NOW()),"",IF(INDEX(Data!$A:$G,MATCH($B292,Data!$A:$A,0),MATCH($C$7,Data!$4:$4,0))="","",INDEX(Data!$A:$G,MATCH($B292,Data!$A:$A,0),MATCH($C$7,Data!$4:$4,0))))</f>
        <v>69.099999999999994</v>
      </c>
      <c r="D292" s="148">
        <f t="shared" ca="1" si="14"/>
        <v>0</v>
      </c>
      <c r="E292" s="148">
        <f t="shared" ca="1" si="15"/>
        <v>4.0999999999999943</v>
      </c>
    </row>
    <row r="293" spans="2:5" x14ac:dyDescent="0.25">
      <c r="B293" s="8">
        <v>37887</v>
      </c>
      <c r="C293" s="6">
        <f ca="1">IF(OR($C$7="",$B293&gt;NOW()),"",IF(INDEX(Data!$A:$G,MATCH($B293,Data!$A:$A,0),MATCH($C$7,Data!$4:$4,0))="","",INDEX(Data!$A:$G,MATCH($B293,Data!$A:$A,0),MATCH($C$7,Data!$4:$4,0))))</f>
        <v>70.8</v>
      </c>
      <c r="D293" s="148">
        <f t="shared" ca="1" si="14"/>
        <v>0</v>
      </c>
      <c r="E293" s="148">
        <f t="shared" ca="1" si="15"/>
        <v>5.7999999999999972</v>
      </c>
    </row>
    <row r="294" spans="2:5" x14ac:dyDescent="0.25">
      <c r="B294" s="8">
        <v>37888</v>
      </c>
      <c r="C294" s="6">
        <f ca="1">IF(OR($C$7="",$B294&gt;NOW()),"",IF(INDEX(Data!$A:$G,MATCH($B294,Data!$A:$A,0),MATCH($C$7,Data!$4:$4,0))="","",INDEX(Data!$A:$G,MATCH($B294,Data!$A:$A,0),MATCH($C$7,Data!$4:$4,0))))</f>
        <v>67.5</v>
      </c>
      <c r="D294" s="148">
        <f t="shared" ca="1" si="14"/>
        <v>0</v>
      </c>
      <c r="E294" s="148">
        <f t="shared" ca="1" si="15"/>
        <v>2.5</v>
      </c>
    </row>
    <row r="295" spans="2:5" x14ac:dyDescent="0.25">
      <c r="B295" s="8">
        <v>37889</v>
      </c>
      <c r="C295" s="6">
        <f ca="1">IF(OR($C$7="",$B295&gt;NOW()),"",IF(INDEX(Data!$A:$G,MATCH($B295,Data!$A:$A,0),MATCH($C$7,Data!$4:$4,0))="","",INDEX(Data!$A:$G,MATCH($B295,Data!$A:$A,0),MATCH($C$7,Data!$4:$4,0))))</f>
        <v>69.400000000000006</v>
      </c>
      <c r="D295" s="148">
        <f t="shared" ca="1" si="14"/>
        <v>0</v>
      </c>
      <c r="E295" s="148">
        <f t="shared" ca="1" si="15"/>
        <v>4.4000000000000057</v>
      </c>
    </row>
    <row r="296" spans="2:5" x14ac:dyDescent="0.25">
      <c r="B296" s="8">
        <v>37890</v>
      </c>
      <c r="C296" s="6">
        <f ca="1">IF(OR($C$7="",$B296&gt;NOW()),"",IF(INDEX(Data!$A:$G,MATCH($B296,Data!$A:$A,0),MATCH($C$7,Data!$4:$4,0))="","",INDEX(Data!$A:$G,MATCH($B296,Data!$A:$A,0),MATCH($C$7,Data!$4:$4,0))))</f>
        <v>67.5</v>
      </c>
      <c r="D296" s="148">
        <f t="shared" ca="1" si="14"/>
        <v>0</v>
      </c>
      <c r="E296" s="148">
        <f t="shared" ca="1" si="15"/>
        <v>2.5</v>
      </c>
    </row>
    <row r="297" spans="2:5" x14ac:dyDescent="0.25">
      <c r="B297" s="8">
        <v>37891</v>
      </c>
      <c r="C297" s="6">
        <f ca="1">IF(OR($C$7="",$B297&gt;NOW()),"",IF(INDEX(Data!$A:$G,MATCH($B297,Data!$A:$A,0),MATCH($C$7,Data!$4:$4,0))="","",INDEX(Data!$A:$G,MATCH($B297,Data!$A:$A,0),MATCH($C$7,Data!$4:$4,0))))</f>
        <v>72.3</v>
      </c>
      <c r="D297" s="148">
        <f t="shared" ca="1" si="14"/>
        <v>0</v>
      </c>
      <c r="E297" s="148">
        <f t="shared" ca="1" si="15"/>
        <v>7.2999999999999972</v>
      </c>
    </row>
    <row r="298" spans="2:5" x14ac:dyDescent="0.25">
      <c r="B298" s="8">
        <v>37892</v>
      </c>
      <c r="C298" s="6">
        <f ca="1">IF(OR($C$7="",$B298&gt;NOW()),"",IF(INDEX(Data!$A:$G,MATCH($B298,Data!$A:$A,0),MATCH($C$7,Data!$4:$4,0))="","",INDEX(Data!$A:$G,MATCH($B298,Data!$A:$A,0),MATCH($C$7,Data!$4:$4,0))))</f>
        <v>69.7</v>
      </c>
      <c r="D298" s="148">
        <f t="shared" ca="1" si="14"/>
        <v>0</v>
      </c>
      <c r="E298" s="148">
        <f t="shared" ca="1" si="15"/>
        <v>4.7000000000000028</v>
      </c>
    </row>
    <row r="299" spans="2:5" x14ac:dyDescent="0.25">
      <c r="B299" s="8">
        <v>37893</v>
      </c>
      <c r="C299" s="6">
        <f ca="1">IF(OR($C$7="",$B299&gt;NOW()),"",IF(INDEX(Data!$A:$G,MATCH($B299,Data!$A:$A,0),MATCH($C$7,Data!$4:$4,0))="","",INDEX(Data!$A:$G,MATCH($B299,Data!$A:$A,0),MATCH($C$7,Data!$4:$4,0))))</f>
        <v>61.4</v>
      </c>
      <c r="D299" s="148">
        <f t="shared" ca="1" si="14"/>
        <v>3.6000000000000014</v>
      </c>
      <c r="E299" s="148">
        <f t="shared" ca="1" si="15"/>
        <v>0</v>
      </c>
    </row>
    <row r="300" spans="2:5" x14ac:dyDescent="0.25">
      <c r="B300" s="8">
        <v>37894</v>
      </c>
      <c r="C300" s="6">
        <f ca="1">IF(OR($C$7="",$B300&gt;NOW()),"",IF(INDEX(Data!$A:$G,MATCH($B300,Data!$A:$A,0),MATCH($C$7,Data!$4:$4,0))="","",INDEX(Data!$A:$G,MATCH($B300,Data!$A:$A,0),MATCH($C$7,Data!$4:$4,0))))</f>
        <v>58.6</v>
      </c>
      <c r="D300" s="148">
        <f t="shared" ca="1" si="14"/>
        <v>6.3999999999999986</v>
      </c>
      <c r="E300" s="148">
        <f t="shared" ca="1" si="15"/>
        <v>0</v>
      </c>
    </row>
    <row r="301" spans="2:5" x14ac:dyDescent="0.25">
      <c r="B301" s="8">
        <v>37895</v>
      </c>
      <c r="C301" s="6">
        <f ca="1">IF(OR($C$7="",$B301&gt;NOW()),"",IF(INDEX(Data!$A:$G,MATCH($B301,Data!$A:$A,0),MATCH($C$7,Data!$4:$4,0))="","",INDEX(Data!$A:$G,MATCH($B301,Data!$A:$A,0),MATCH($C$7,Data!$4:$4,0))))</f>
        <v>58.6</v>
      </c>
      <c r="D301" s="148">
        <f t="shared" ca="1" si="14"/>
        <v>6.3999999999999986</v>
      </c>
      <c r="E301" s="148">
        <f t="shared" ca="1" si="15"/>
        <v>0</v>
      </c>
    </row>
    <row r="302" spans="2:5" x14ac:dyDescent="0.25">
      <c r="B302" s="8">
        <v>37896</v>
      </c>
      <c r="C302" s="6">
        <f ca="1">IF(OR($C$7="",$B302&gt;NOW()),"",IF(INDEX(Data!$A:$G,MATCH($B302,Data!$A:$A,0),MATCH($C$7,Data!$4:$4,0))="","",INDEX(Data!$A:$G,MATCH($B302,Data!$A:$A,0),MATCH($C$7,Data!$4:$4,0))))</f>
        <v>56</v>
      </c>
      <c r="D302" s="148">
        <f t="shared" ca="1" si="14"/>
        <v>9</v>
      </c>
      <c r="E302" s="148">
        <f t="shared" ca="1" si="15"/>
        <v>0</v>
      </c>
    </row>
    <row r="303" spans="2:5" x14ac:dyDescent="0.25">
      <c r="B303" s="8">
        <v>37897</v>
      </c>
      <c r="C303" s="6">
        <f ca="1">IF(OR($C$7="",$B303&gt;NOW()),"",IF(INDEX(Data!$A:$G,MATCH($B303,Data!$A:$A,0),MATCH($C$7,Data!$4:$4,0))="","",INDEX(Data!$A:$G,MATCH($B303,Data!$A:$A,0),MATCH($C$7,Data!$4:$4,0))))</f>
        <v>48.8</v>
      </c>
      <c r="D303" s="148">
        <f t="shared" ca="1" si="14"/>
        <v>16.200000000000003</v>
      </c>
      <c r="E303" s="148">
        <f t="shared" ca="1" si="15"/>
        <v>0</v>
      </c>
    </row>
    <row r="304" spans="2:5" x14ac:dyDescent="0.25">
      <c r="B304" s="8">
        <v>37898</v>
      </c>
      <c r="C304" s="6">
        <f ca="1">IF(OR($C$7="",$B304&gt;NOW()),"",IF(INDEX(Data!$A:$G,MATCH($B304,Data!$A:$A,0),MATCH($C$7,Data!$4:$4,0))="","",INDEX(Data!$A:$G,MATCH($B304,Data!$A:$A,0),MATCH($C$7,Data!$4:$4,0))))</f>
        <v>56.8</v>
      </c>
      <c r="D304" s="148">
        <f t="shared" ca="1" si="14"/>
        <v>8.2000000000000028</v>
      </c>
      <c r="E304" s="148">
        <f t="shared" ca="1" si="15"/>
        <v>0</v>
      </c>
    </row>
    <row r="305" spans="2:5" x14ac:dyDescent="0.25">
      <c r="B305" s="8">
        <v>37899</v>
      </c>
      <c r="C305" s="6">
        <f ca="1">IF(OR($C$7="",$B305&gt;NOW()),"",IF(INDEX(Data!$A:$G,MATCH($B305,Data!$A:$A,0),MATCH($C$7,Data!$4:$4,0))="","",INDEX(Data!$A:$G,MATCH($B305,Data!$A:$A,0),MATCH($C$7,Data!$4:$4,0))))</f>
        <v>54.3</v>
      </c>
      <c r="D305" s="148">
        <f t="shared" ca="1" si="14"/>
        <v>10.700000000000003</v>
      </c>
      <c r="E305" s="148">
        <f t="shared" ca="1" si="15"/>
        <v>0</v>
      </c>
    </row>
    <row r="306" spans="2:5" x14ac:dyDescent="0.25">
      <c r="B306" s="8">
        <v>37900</v>
      </c>
      <c r="C306" s="6">
        <f ca="1">IF(OR($C$7="",$B306&gt;NOW()),"",IF(INDEX(Data!$A:$G,MATCH($B306,Data!$A:$A,0),MATCH($C$7,Data!$4:$4,0))="","",INDEX(Data!$A:$G,MATCH($B306,Data!$A:$A,0),MATCH($C$7,Data!$4:$4,0))))</f>
        <v>53.6</v>
      </c>
      <c r="D306" s="148">
        <f t="shared" ca="1" si="14"/>
        <v>11.399999999999999</v>
      </c>
      <c r="E306" s="148">
        <f t="shared" ca="1" si="15"/>
        <v>0</v>
      </c>
    </row>
    <row r="307" spans="2:5" x14ac:dyDescent="0.25">
      <c r="B307" s="8">
        <v>37901</v>
      </c>
      <c r="C307" s="6">
        <f ca="1">IF(OR($C$7="",$B307&gt;NOW()),"",IF(INDEX(Data!$A:$G,MATCH($B307,Data!$A:$A,0),MATCH($C$7,Data!$4:$4,0))="","",INDEX(Data!$A:$G,MATCH($B307,Data!$A:$A,0),MATCH($C$7,Data!$4:$4,0))))</f>
        <v>56.4</v>
      </c>
      <c r="D307" s="148">
        <f t="shared" ca="1" si="14"/>
        <v>8.6000000000000014</v>
      </c>
      <c r="E307" s="148">
        <f t="shared" ca="1" si="15"/>
        <v>0</v>
      </c>
    </row>
    <row r="308" spans="2:5" x14ac:dyDescent="0.25">
      <c r="B308" s="8">
        <v>37902</v>
      </c>
      <c r="C308" s="6">
        <f ca="1">IF(OR($C$7="",$B308&gt;NOW()),"",IF(INDEX(Data!$A:$G,MATCH($B308,Data!$A:$A,0),MATCH($C$7,Data!$4:$4,0))="","",INDEX(Data!$A:$G,MATCH($B308,Data!$A:$A,0),MATCH($C$7,Data!$4:$4,0))))</f>
        <v>63.2</v>
      </c>
      <c r="D308" s="148">
        <f t="shared" ca="1" si="14"/>
        <v>1.7999999999999972</v>
      </c>
      <c r="E308" s="148">
        <f t="shared" ca="1" si="15"/>
        <v>0</v>
      </c>
    </row>
    <row r="309" spans="2:5" x14ac:dyDescent="0.25">
      <c r="B309" s="8">
        <v>37903</v>
      </c>
      <c r="C309" s="6">
        <f ca="1">IF(OR($C$7="",$B309&gt;NOW()),"",IF(INDEX(Data!$A:$G,MATCH($B309,Data!$A:$A,0),MATCH($C$7,Data!$4:$4,0))="","",INDEX(Data!$A:$G,MATCH($B309,Data!$A:$A,0),MATCH($C$7,Data!$4:$4,0))))</f>
        <v>68.2</v>
      </c>
      <c r="D309" s="148">
        <f t="shared" ca="1" si="14"/>
        <v>0</v>
      </c>
      <c r="E309" s="148">
        <f t="shared" ca="1" si="15"/>
        <v>3.2000000000000028</v>
      </c>
    </row>
    <row r="310" spans="2:5" x14ac:dyDescent="0.25">
      <c r="B310" s="8">
        <v>37904</v>
      </c>
      <c r="C310" s="6">
        <f ca="1">IF(OR($C$7="",$B310&gt;NOW()),"",IF(INDEX(Data!$A:$G,MATCH($B310,Data!$A:$A,0),MATCH($C$7,Data!$4:$4,0))="","",INDEX(Data!$A:$G,MATCH($B310,Data!$A:$A,0),MATCH($C$7,Data!$4:$4,0))))</f>
        <v>63.4</v>
      </c>
      <c r="D310" s="148">
        <f t="shared" ca="1" si="14"/>
        <v>1.6000000000000014</v>
      </c>
      <c r="E310" s="148">
        <f t="shared" ca="1" si="15"/>
        <v>0</v>
      </c>
    </row>
    <row r="311" spans="2:5" x14ac:dyDescent="0.25">
      <c r="B311" s="8">
        <v>37905</v>
      </c>
      <c r="C311" s="6">
        <f ca="1">IF(OR($C$7="",$B311&gt;NOW()),"",IF(INDEX(Data!$A:$G,MATCH($B311,Data!$A:$A,0),MATCH($C$7,Data!$4:$4,0))="","",INDEX(Data!$A:$G,MATCH($B311,Data!$A:$A,0),MATCH($C$7,Data!$4:$4,0))))</f>
        <v>62.6</v>
      </c>
      <c r="D311" s="148">
        <f t="shared" ca="1" si="14"/>
        <v>2.3999999999999986</v>
      </c>
      <c r="E311" s="148">
        <f t="shared" ca="1" si="15"/>
        <v>0</v>
      </c>
    </row>
    <row r="312" spans="2:5" x14ac:dyDescent="0.25">
      <c r="B312" s="8">
        <v>37906</v>
      </c>
      <c r="C312" s="6">
        <f ca="1">IF(OR($C$7="",$B312&gt;NOW()),"",IF(INDEX(Data!$A:$G,MATCH($B312,Data!$A:$A,0),MATCH($C$7,Data!$4:$4,0))="","",INDEX(Data!$A:$G,MATCH($B312,Data!$A:$A,0),MATCH($C$7,Data!$4:$4,0))))</f>
        <v>63.5</v>
      </c>
      <c r="D312" s="148">
        <f t="shared" ca="1" si="14"/>
        <v>1.5</v>
      </c>
      <c r="E312" s="148">
        <f t="shared" ca="1" si="15"/>
        <v>0</v>
      </c>
    </row>
    <row r="313" spans="2:5" x14ac:dyDescent="0.25">
      <c r="B313" s="8">
        <v>37907</v>
      </c>
      <c r="C313" s="6">
        <f ca="1">IF(OR($C$7="",$B313&gt;NOW()),"",IF(INDEX(Data!$A:$G,MATCH($B313,Data!$A:$A,0),MATCH($C$7,Data!$4:$4,0))="","",INDEX(Data!$A:$G,MATCH($B313,Data!$A:$A,0),MATCH($C$7,Data!$4:$4,0))))</f>
        <v>64.400000000000006</v>
      </c>
      <c r="D313" s="148">
        <f t="shared" ca="1" si="14"/>
        <v>0.59999999999999432</v>
      </c>
      <c r="E313" s="148">
        <f t="shared" ca="1" si="15"/>
        <v>0</v>
      </c>
    </row>
    <row r="314" spans="2:5" x14ac:dyDescent="0.25">
      <c r="B314" s="8">
        <v>37908</v>
      </c>
      <c r="C314" s="6">
        <f ca="1">IF(OR($C$7="",$B314&gt;NOW()),"",IF(INDEX(Data!$A:$G,MATCH($B314,Data!$A:$A,0),MATCH($C$7,Data!$4:$4,0))="","",INDEX(Data!$A:$G,MATCH($B314,Data!$A:$A,0),MATCH($C$7,Data!$4:$4,0))))</f>
        <v>62.7</v>
      </c>
      <c r="D314" s="148">
        <f t="shared" ca="1" si="14"/>
        <v>2.2999999999999972</v>
      </c>
      <c r="E314" s="148">
        <f t="shared" ca="1" si="15"/>
        <v>0</v>
      </c>
    </row>
    <row r="315" spans="2:5" x14ac:dyDescent="0.25">
      <c r="B315" s="8">
        <v>37909</v>
      </c>
      <c r="C315" s="6">
        <f ca="1">IF(OR($C$7="",$B315&gt;NOW()),"",IF(INDEX(Data!$A:$G,MATCH($B315,Data!$A:$A,0),MATCH($C$7,Data!$4:$4,0))="","",INDEX(Data!$A:$G,MATCH($B315,Data!$A:$A,0),MATCH($C$7,Data!$4:$4,0))))</f>
        <v>61.8</v>
      </c>
      <c r="D315" s="148">
        <f t="shared" ca="1" si="14"/>
        <v>3.2000000000000028</v>
      </c>
      <c r="E315" s="148">
        <f t="shared" ca="1" si="15"/>
        <v>0</v>
      </c>
    </row>
    <row r="316" spans="2:5" x14ac:dyDescent="0.25">
      <c r="B316" s="8">
        <v>37910</v>
      </c>
      <c r="C316" s="6">
        <f ca="1">IF(OR($C$7="",$B316&gt;NOW()),"",IF(INDEX(Data!$A:$G,MATCH($B316,Data!$A:$A,0),MATCH($C$7,Data!$4:$4,0))="","",INDEX(Data!$A:$G,MATCH($B316,Data!$A:$A,0),MATCH($C$7,Data!$4:$4,0))))</f>
        <v>57.6</v>
      </c>
      <c r="D316" s="148">
        <f t="shared" ca="1" si="14"/>
        <v>7.3999999999999986</v>
      </c>
      <c r="E316" s="148">
        <f t="shared" ca="1" si="15"/>
        <v>0</v>
      </c>
    </row>
    <row r="317" spans="2:5" x14ac:dyDescent="0.25">
      <c r="B317" s="8">
        <v>37911</v>
      </c>
      <c r="C317" s="6">
        <f ca="1">IF(OR($C$7="",$B317&gt;NOW()),"",IF(INDEX(Data!$A:$G,MATCH($B317,Data!$A:$A,0),MATCH($C$7,Data!$4:$4,0))="","",INDEX(Data!$A:$G,MATCH($B317,Data!$A:$A,0),MATCH($C$7,Data!$4:$4,0))))</f>
        <v>55.8</v>
      </c>
      <c r="D317" s="148">
        <f t="shared" ca="1" si="14"/>
        <v>9.2000000000000028</v>
      </c>
      <c r="E317" s="148">
        <f t="shared" ca="1" si="15"/>
        <v>0</v>
      </c>
    </row>
    <row r="318" spans="2:5" x14ac:dyDescent="0.25">
      <c r="B318" s="8">
        <v>37912</v>
      </c>
      <c r="C318" s="6">
        <f ca="1">IF(OR($C$7="",$B318&gt;NOW()),"",IF(INDEX(Data!$A:$G,MATCH($B318,Data!$A:$A,0),MATCH($C$7,Data!$4:$4,0))="","",INDEX(Data!$A:$G,MATCH($B318,Data!$A:$A,0),MATCH($C$7,Data!$4:$4,0))))</f>
        <v>50.4</v>
      </c>
      <c r="D318" s="148">
        <f t="shared" ca="1" si="14"/>
        <v>14.600000000000001</v>
      </c>
      <c r="E318" s="148">
        <f t="shared" ca="1" si="15"/>
        <v>0</v>
      </c>
    </row>
    <row r="319" spans="2:5" x14ac:dyDescent="0.25">
      <c r="B319" s="8">
        <v>37913</v>
      </c>
      <c r="C319" s="6">
        <f ca="1">IF(OR($C$7="",$B319&gt;NOW()),"",IF(INDEX(Data!$A:$G,MATCH($B319,Data!$A:$A,0),MATCH($C$7,Data!$4:$4,0))="","",INDEX(Data!$A:$G,MATCH($B319,Data!$A:$A,0),MATCH($C$7,Data!$4:$4,0))))</f>
        <v>52.8</v>
      </c>
      <c r="D319" s="148">
        <f t="shared" ca="1" si="14"/>
        <v>12.200000000000003</v>
      </c>
      <c r="E319" s="148">
        <f t="shared" ca="1" si="15"/>
        <v>0</v>
      </c>
    </row>
    <row r="320" spans="2:5" x14ac:dyDescent="0.25">
      <c r="B320" s="8">
        <v>37914</v>
      </c>
      <c r="C320" s="6">
        <f ca="1">IF(OR($C$7="",$B320&gt;NOW()),"",IF(INDEX(Data!$A:$G,MATCH($B320,Data!$A:$A,0),MATCH($C$7,Data!$4:$4,0))="","",INDEX(Data!$A:$G,MATCH($B320,Data!$A:$A,0),MATCH($C$7,Data!$4:$4,0))))</f>
        <v>49.5</v>
      </c>
      <c r="D320" s="148">
        <f t="shared" ca="1" si="14"/>
        <v>15.5</v>
      </c>
      <c r="E320" s="148">
        <f t="shared" ca="1" si="15"/>
        <v>0</v>
      </c>
    </row>
    <row r="321" spans="2:5" x14ac:dyDescent="0.25">
      <c r="B321" s="8">
        <v>37915</v>
      </c>
      <c r="C321" s="6">
        <f ca="1">IF(OR($C$7="",$B321&gt;NOW()),"",IF(INDEX(Data!$A:$G,MATCH($B321,Data!$A:$A,0),MATCH($C$7,Data!$4:$4,0))="","",INDEX(Data!$A:$G,MATCH($B321,Data!$A:$A,0),MATCH($C$7,Data!$4:$4,0))))</f>
        <v>61.9</v>
      </c>
      <c r="D321" s="148">
        <f t="shared" ca="1" si="14"/>
        <v>3.1000000000000014</v>
      </c>
      <c r="E321" s="148">
        <f t="shared" ca="1" si="15"/>
        <v>0</v>
      </c>
    </row>
    <row r="322" spans="2:5" x14ac:dyDescent="0.25">
      <c r="B322" s="8">
        <v>37916</v>
      </c>
      <c r="C322" s="6">
        <f ca="1">IF(OR($C$7="",$B322&gt;NOW()),"",IF(INDEX(Data!$A:$G,MATCH($B322,Data!$A:$A,0),MATCH($C$7,Data!$4:$4,0))="","",INDEX(Data!$A:$G,MATCH($B322,Data!$A:$A,0),MATCH($C$7,Data!$4:$4,0))))</f>
        <v>52.5</v>
      </c>
      <c r="D322" s="148">
        <f t="shared" ca="1" si="14"/>
        <v>12.5</v>
      </c>
      <c r="E322" s="148">
        <f t="shared" ca="1" si="15"/>
        <v>0</v>
      </c>
    </row>
    <row r="323" spans="2:5" x14ac:dyDescent="0.25">
      <c r="B323" s="8">
        <v>37917</v>
      </c>
      <c r="C323" s="6">
        <f ca="1">IF(OR($C$7="",$B323&gt;NOW()),"",IF(INDEX(Data!$A:$G,MATCH($B323,Data!$A:$A,0),MATCH($C$7,Data!$4:$4,0))="","",INDEX(Data!$A:$G,MATCH($B323,Data!$A:$A,0),MATCH($C$7,Data!$4:$4,0))))</f>
        <v>41.7</v>
      </c>
      <c r="D323" s="148">
        <f t="shared" ca="1" si="14"/>
        <v>23.299999999999997</v>
      </c>
      <c r="E323" s="148">
        <f t="shared" ca="1" si="15"/>
        <v>0</v>
      </c>
    </row>
    <row r="324" spans="2:5" x14ac:dyDescent="0.25">
      <c r="B324" s="8">
        <v>37918</v>
      </c>
      <c r="C324" s="6">
        <f ca="1">IF(OR($C$7="",$B324&gt;NOW()),"",IF(INDEX(Data!$A:$G,MATCH($B324,Data!$A:$A,0),MATCH($C$7,Data!$4:$4,0))="","",INDEX(Data!$A:$G,MATCH($B324,Data!$A:$A,0),MATCH($C$7,Data!$4:$4,0))))</f>
        <v>43.5</v>
      </c>
      <c r="D324" s="148">
        <f t="shared" ca="1" si="14"/>
        <v>21.5</v>
      </c>
      <c r="E324" s="148">
        <f t="shared" ca="1" si="15"/>
        <v>0</v>
      </c>
    </row>
    <row r="325" spans="2:5" x14ac:dyDescent="0.25">
      <c r="B325" s="8">
        <v>37919</v>
      </c>
      <c r="C325" s="6">
        <f ca="1">IF(OR($C$7="",$B325&gt;NOW()),"",IF(INDEX(Data!$A:$G,MATCH($B325,Data!$A:$A,0),MATCH($C$7,Data!$4:$4,0))="","",INDEX(Data!$A:$G,MATCH($B325,Data!$A:$A,0),MATCH($C$7,Data!$4:$4,0))))</f>
        <v>50.1</v>
      </c>
      <c r="D325" s="148">
        <f t="shared" ca="1" si="14"/>
        <v>14.899999999999999</v>
      </c>
      <c r="E325" s="148">
        <f t="shared" ca="1" si="15"/>
        <v>0</v>
      </c>
    </row>
    <row r="326" spans="2:5" x14ac:dyDescent="0.25">
      <c r="B326" s="8">
        <v>37920</v>
      </c>
      <c r="C326" s="6">
        <f ca="1">IF(OR($C$7="",$B326&gt;NOW()),"",IF(INDEX(Data!$A:$G,MATCH($B326,Data!$A:$A,0),MATCH($C$7,Data!$4:$4,0))="","",INDEX(Data!$A:$G,MATCH($B326,Data!$A:$A,0),MATCH($C$7,Data!$4:$4,0))))</f>
        <v>61.4</v>
      </c>
      <c r="D326" s="148">
        <f t="shared" ca="1" si="14"/>
        <v>3.6000000000000014</v>
      </c>
      <c r="E326" s="148">
        <f t="shared" ca="1" si="15"/>
        <v>0</v>
      </c>
    </row>
    <row r="327" spans="2:5" x14ac:dyDescent="0.25">
      <c r="B327" s="8">
        <v>37921</v>
      </c>
      <c r="C327" s="6">
        <f ca="1">IF(OR($C$7="",$B327&gt;NOW()),"",IF(INDEX(Data!$A:$G,MATCH($B327,Data!$A:$A,0),MATCH($C$7,Data!$4:$4,0))="","",INDEX(Data!$A:$G,MATCH($B327,Data!$A:$A,0),MATCH($C$7,Data!$4:$4,0))))</f>
        <v>62.5</v>
      </c>
      <c r="D327" s="148">
        <f t="shared" ca="1" si="14"/>
        <v>2.5</v>
      </c>
      <c r="E327" s="148">
        <f t="shared" ca="1" si="15"/>
        <v>0</v>
      </c>
    </row>
    <row r="328" spans="2:5" x14ac:dyDescent="0.25">
      <c r="B328" s="8">
        <v>37922</v>
      </c>
      <c r="C328" s="6">
        <f ca="1">IF(OR($C$7="",$B328&gt;NOW()),"",IF(INDEX(Data!$A:$G,MATCH($B328,Data!$A:$A,0),MATCH($C$7,Data!$4:$4,0))="","",INDEX(Data!$A:$G,MATCH($B328,Data!$A:$A,0),MATCH($C$7,Data!$4:$4,0))))</f>
        <v>53.4</v>
      </c>
      <c r="D328" s="148">
        <f t="shared" ca="1" si="14"/>
        <v>11.600000000000001</v>
      </c>
      <c r="E328" s="148">
        <f t="shared" ca="1" si="15"/>
        <v>0</v>
      </c>
    </row>
    <row r="329" spans="2:5" x14ac:dyDescent="0.25">
      <c r="B329" s="8">
        <v>37923</v>
      </c>
      <c r="C329" s="6">
        <f ca="1">IF(OR($C$7="",$B329&gt;NOW()),"",IF(INDEX(Data!$A:$G,MATCH($B329,Data!$A:$A,0),MATCH($C$7,Data!$4:$4,0))="","",INDEX(Data!$A:$G,MATCH($B329,Data!$A:$A,0),MATCH($C$7,Data!$4:$4,0))))</f>
        <v>55.5</v>
      </c>
      <c r="D329" s="148">
        <f t="shared" ca="1" si="14"/>
        <v>9.5</v>
      </c>
      <c r="E329" s="148">
        <f t="shared" ca="1" si="15"/>
        <v>0</v>
      </c>
    </row>
    <row r="330" spans="2:5" x14ac:dyDescent="0.25">
      <c r="B330" s="8">
        <v>37924</v>
      </c>
      <c r="C330" s="6">
        <f ca="1">IF(OR($C$7="",$B330&gt;NOW()),"",IF(INDEX(Data!$A:$G,MATCH($B330,Data!$A:$A,0),MATCH($C$7,Data!$4:$4,0))="","",INDEX(Data!$A:$G,MATCH($B330,Data!$A:$A,0),MATCH($C$7,Data!$4:$4,0))))</f>
        <v>53.5</v>
      </c>
      <c r="D330" s="148">
        <f t="shared" ca="1" si="14"/>
        <v>11.5</v>
      </c>
      <c r="E330" s="148">
        <f t="shared" ca="1" si="15"/>
        <v>0</v>
      </c>
    </row>
    <row r="331" spans="2:5" x14ac:dyDescent="0.25">
      <c r="B331" s="8">
        <v>37925</v>
      </c>
      <c r="C331" s="6">
        <f ca="1">IF(OR($C$7="",$B331&gt;NOW()),"",IF(INDEX(Data!$A:$G,MATCH($B331,Data!$A:$A,0),MATCH($C$7,Data!$4:$4,0))="","",INDEX(Data!$A:$G,MATCH($B331,Data!$A:$A,0),MATCH($C$7,Data!$4:$4,0))))</f>
        <v>58</v>
      </c>
      <c r="D331" s="148">
        <f t="shared" ca="1" si="14"/>
        <v>7</v>
      </c>
      <c r="E331" s="148">
        <f t="shared" ca="1" si="15"/>
        <v>0</v>
      </c>
    </row>
    <row r="332" spans="2:5" x14ac:dyDescent="0.25">
      <c r="B332" s="8">
        <v>37926</v>
      </c>
      <c r="C332" s="6">
        <f ca="1">IF(OR($C$7="",$B332&gt;NOW()),"",IF(INDEX(Data!$A:$G,MATCH($B332,Data!$A:$A,0),MATCH($C$7,Data!$4:$4,0))="","",INDEX(Data!$A:$G,MATCH($B332,Data!$A:$A,0),MATCH($C$7,Data!$4:$4,0))))</f>
        <v>63.7</v>
      </c>
      <c r="D332" s="148">
        <f t="shared" ca="1" si="14"/>
        <v>1.2999999999999972</v>
      </c>
      <c r="E332" s="148">
        <f t="shared" ca="1" si="15"/>
        <v>0</v>
      </c>
    </row>
    <row r="333" spans="2:5" x14ac:dyDescent="0.25">
      <c r="B333" s="8">
        <v>37927</v>
      </c>
      <c r="C333" s="6">
        <f ca="1">IF(OR($C$7="",$B333&gt;NOW()),"",IF(INDEX(Data!$A:$G,MATCH($B333,Data!$A:$A,0),MATCH($C$7,Data!$4:$4,0))="","",INDEX(Data!$A:$G,MATCH($B333,Data!$A:$A,0),MATCH($C$7,Data!$4:$4,0))))</f>
        <v>64.599999999999994</v>
      </c>
      <c r="D333" s="148">
        <f t="shared" ca="1" si="14"/>
        <v>0.40000000000000568</v>
      </c>
      <c r="E333" s="148">
        <f t="shared" ca="1" si="15"/>
        <v>0</v>
      </c>
    </row>
    <row r="334" spans="2:5" x14ac:dyDescent="0.25">
      <c r="B334" s="8">
        <v>37928</v>
      </c>
      <c r="C334" s="6">
        <f ca="1">IF(OR($C$7="",$B334&gt;NOW()),"",IF(INDEX(Data!$A:$G,MATCH($B334,Data!$A:$A,0),MATCH($C$7,Data!$4:$4,0))="","",INDEX(Data!$A:$G,MATCH($B334,Data!$A:$A,0),MATCH($C$7,Data!$4:$4,0))))</f>
        <v>66.5</v>
      </c>
      <c r="D334" s="148">
        <f t="shared" ca="1" si="14"/>
        <v>0</v>
      </c>
      <c r="E334" s="148">
        <f t="shared" ca="1" si="15"/>
        <v>1.5</v>
      </c>
    </row>
    <row r="335" spans="2:5" x14ac:dyDescent="0.25">
      <c r="B335" s="8">
        <v>37929</v>
      </c>
      <c r="C335" s="6">
        <f ca="1">IF(OR($C$7="",$B335&gt;NOW()),"",IF(INDEX(Data!$A:$G,MATCH($B335,Data!$A:$A,0),MATCH($C$7,Data!$4:$4,0))="","",INDEX(Data!$A:$G,MATCH($B335,Data!$A:$A,0),MATCH($C$7,Data!$4:$4,0))))</f>
        <v>62</v>
      </c>
      <c r="D335" s="148">
        <f t="shared" ca="1" si="14"/>
        <v>3</v>
      </c>
      <c r="E335" s="148">
        <f t="shared" ca="1" si="15"/>
        <v>0</v>
      </c>
    </row>
    <row r="336" spans="2:5" x14ac:dyDescent="0.25">
      <c r="B336" s="8">
        <v>37930</v>
      </c>
      <c r="C336" s="6">
        <f ca="1">IF(OR($C$7="",$B336&gt;NOW()),"",IF(INDEX(Data!$A:$G,MATCH($B336,Data!$A:$A,0),MATCH($C$7,Data!$4:$4,0))="","",INDEX(Data!$A:$G,MATCH($B336,Data!$A:$A,0),MATCH($C$7,Data!$4:$4,0))))</f>
        <v>53.9</v>
      </c>
      <c r="D336" s="148">
        <f t="shared" ca="1" si="14"/>
        <v>11.100000000000001</v>
      </c>
      <c r="E336" s="148">
        <f t="shared" ca="1" si="15"/>
        <v>0</v>
      </c>
    </row>
    <row r="337" spans="2:5" x14ac:dyDescent="0.25">
      <c r="B337" s="8">
        <v>37931</v>
      </c>
      <c r="C337" s="6">
        <f ca="1">IF(OR($C$7="",$B337&gt;NOW()),"",IF(INDEX(Data!$A:$G,MATCH($B337,Data!$A:$A,0),MATCH($C$7,Data!$4:$4,0))="","",INDEX(Data!$A:$G,MATCH($B337,Data!$A:$A,0),MATCH($C$7,Data!$4:$4,0))))</f>
        <v>57.9</v>
      </c>
      <c r="D337" s="148">
        <f t="shared" ca="1" si="14"/>
        <v>7.1000000000000014</v>
      </c>
      <c r="E337" s="148">
        <f t="shared" ca="1" si="15"/>
        <v>0</v>
      </c>
    </row>
    <row r="338" spans="2:5" x14ac:dyDescent="0.25">
      <c r="B338" s="8">
        <v>37932</v>
      </c>
      <c r="C338" s="6">
        <f ca="1">IF(OR($C$7="",$B338&gt;NOW()),"",IF(INDEX(Data!$A:$G,MATCH($B338,Data!$A:$A,0),MATCH($C$7,Data!$4:$4,0))="","",INDEX(Data!$A:$G,MATCH($B338,Data!$A:$A,0),MATCH($C$7,Data!$4:$4,0))))</f>
        <v>52.5</v>
      </c>
      <c r="D338" s="148">
        <f t="shared" ca="1" si="14"/>
        <v>12.5</v>
      </c>
      <c r="E338" s="148">
        <f t="shared" ca="1" si="15"/>
        <v>0</v>
      </c>
    </row>
    <row r="339" spans="2:5" x14ac:dyDescent="0.25">
      <c r="B339" s="8">
        <v>37933</v>
      </c>
      <c r="C339" s="6">
        <f ca="1">IF(OR($C$7="",$B339&gt;NOW()),"",IF(INDEX(Data!$A:$G,MATCH($B339,Data!$A:$A,0),MATCH($C$7,Data!$4:$4,0))="","",INDEX(Data!$A:$G,MATCH($B339,Data!$A:$A,0),MATCH($C$7,Data!$4:$4,0))))</f>
        <v>46.8</v>
      </c>
      <c r="D339" s="148">
        <f t="shared" ca="1" si="14"/>
        <v>18.200000000000003</v>
      </c>
      <c r="E339" s="148">
        <f t="shared" ca="1" si="15"/>
        <v>0</v>
      </c>
    </row>
    <row r="340" spans="2:5" x14ac:dyDescent="0.25">
      <c r="B340" s="8">
        <v>37934</v>
      </c>
      <c r="C340" s="6">
        <f ca="1">IF(OR($C$7="",$B340&gt;NOW()),"",IF(INDEX(Data!$A:$G,MATCH($B340,Data!$A:$A,0),MATCH($C$7,Data!$4:$4,0))="","",INDEX(Data!$A:$G,MATCH($B340,Data!$A:$A,0),MATCH($C$7,Data!$4:$4,0))))</f>
        <v>37.6</v>
      </c>
      <c r="D340" s="148">
        <f t="shared" ca="1" si="14"/>
        <v>27.4</v>
      </c>
      <c r="E340" s="148">
        <f t="shared" ca="1" si="15"/>
        <v>0</v>
      </c>
    </row>
    <row r="341" spans="2:5" x14ac:dyDescent="0.25">
      <c r="B341" s="8">
        <v>37935</v>
      </c>
      <c r="C341" s="6">
        <f ca="1">IF(OR($C$7="",$B341&gt;NOW()),"",IF(INDEX(Data!$A:$G,MATCH($B341,Data!$A:$A,0),MATCH($C$7,Data!$4:$4,0))="","",INDEX(Data!$A:$G,MATCH($B341,Data!$A:$A,0),MATCH($C$7,Data!$4:$4,0))))</f>
        <v>41.8</v>
      </c>
      <c r="D341" s="148">
        <f t="shared" ca="1" si="14"/>
        <v>23.200000000000003</v>
      </c>
      <c r="E341" s="148">
        <f t="shared" ca="1" si="15"/>
        <v>0</v>
      </c>
    </row>
    <row r="342" spans="2:5" x14ac:dyDescent="0.25">
      <c r="B342" s="8">
        <v>37936</v>
      </c>
      <c r="C342" s="6">
        <f ca="1">IF(OR($C$7="",$B342&gt;NOW()),"",IF(INDEX(Data!$A:$G,MATCH($B342,Data!$A:$A,0),MATCH($C$7,Data!$4:$4,0))="","",INDEX(Data!$A:$G,MATCH($B342,Data!$A:$A,0),MATCH($C$7,Data!$4:$4,0))))</f>
        <v>46.3</v>
      </c>
      <c r="D342" s="148">
        <f t="shared" ca="1" si="14"/>
        <v>18.700000000000003</v>
      </c>
      <c r="E342" s="148">
        <f t="shared" ca="1" si="15"/>
        <v>0</v>
      </c>
    </row>
    <row r="343" spans="2:5" x14ac:dyDescent="0.25">
      <c r="B343" s="8">
        <v>37937</v>
      </c>
      <c r="C343" s="6">
        <f ca="1">IF(OR($C$7="",$B343&gt;NOW()),"",IF(INDEX(Data!$A:$G,MATCH($B343,Data!$A:$A,0),MATCH($C$7,Data!$4:$4,0))="","",INDEX(Data!$A:$G,MATCH($B343,Data!$A:$A,0),MATCH($C$7,Data!$4:$4,0))))</f>
        <v>53.9</v>
      </c>
      <c r="D343" s="148">
        <f t="shared" ca="1" si="14"/>
        <v>11.100000000000001</v>
      </c>
      <c r="E343" s="148">
        <f t="shared" ca="1" si="15"/>
        <v>0</v>
      </c>
    </row>
    <row r="344" spans="2:5" x14ac:dyDescent="0.25">
      <c r="B344" s="8">
        <v>37938</v>
      </c>
      <c r="C344" s="6">
        <f ca="1">IF(OR($C$7="",$B344&gt;NOW()),"",IF(INDEX(Data!$A:$G,MATCH($B344,Data!$A:$A,0),MATCH($C$7,Data!$4:$4,0))="","",INDEX(Data!$A:$G,MATCH($B344,Data!$A:$A,0),MATCH($C$7,Data!$4:$4,0))))</f>
        <v>52.4</v>
      </c>
      <c r="D344" s="148">
        <f t="shared" ca="1" si="14"/>
        <v>12.600000000000001</v>
      </c>
      <c r="E344" s="148">
        <f t="shared" ca="1" si="15"/>
        <v>0</v>
      </c>
    </row>
    <row r="345" spans="2:5" x14ac:dyDescent="0.25">
      <c r="B345" s="8">
        <v>37939</v>
      </c>
      <c r="C345" s="6">
        <f ca="1">IF(OR($C$7="",$B345&gt;NOW()),"",IF(INDEX(Data!$A:$G,MATCH($B345,Data!$A:$A,0),MATCH($C$7,Data!$4:$4,0))="","",INDEX(Data!$A:$G,MATCH($B345,Data!$A:$A,0),MATCH($C$7,Data!$4:$4,0))))</f>
        <v>40.6</v>
      </c>
      <c r="D345" s="148">
        <f t="shared" ca="1" si="14"/>
        <v>24.4</v>
      </c>
      <c r="E345" s="148">
        <f t="shared" ca="1" si="15"/>
        <v>0</v>
      </c>
    </row>
    <row r="346" spans="2:5" x14ac:dyDescent="0.25">
      <c r="B346" s="8">
        <v>37940</v>
      </c>
      <c r="C346" s="6">
        <f ca="1">IF(OR($C$7="",$B346&gt;NOW()),"",IF(INDEX(Data!$A:$G,MATCH($B346,Data!$A:$A,0),MATCH($C$7,Data!$4:$4,0))="","",INDEX(Data!$A:$G,MATCH($B346,Data!$A:$A,0),MATCH($C$7,Data!$4:$4,0))))</f>
        <v>43.7</v>
      </c>
      <c r="D346" s="148">
        <f t="shared" ca="1" si="14"/>
        <v>21.299999999999997</v>
      </c>
      <c r="E346" s="148">
        <f t="shared" ca="1" si="15"/>
        <v>0</v>
      </c>
    </row>
    <row r="347" spans="2:5" x14ac:dyDescent="0.25">
      <c r="B347" s="8">
        <v>37941</v>
      </c>
      <c r="C347" s="6">
        <f ca="1">IF(OR($C$7="",$B347&gt;NOW()),"",IF(INDEX(Data!$A:$G,MATCH($B347,Data!$A:$A,0),MATCH($C$7,Data!$4:$4,0))="","",INDEX(Data!$A:$G,MATCH($B347,Data!$A:$A,0),MATCH($C$7,Data!$4:$4,0))))</f>
        <v>45.1</v>
      </c>
      <c r="D347" s="148">
        <f t="shared" ca="1" si="14"/>
        <v>19.899999999999999</v>
      </c>
      <c r="E347" s="148">
        <f t="shared" ca="1" si="15"/>
        <v>0</v>
      </c>
    </row>
    <row r="348" spans="2:5" x14ac:dyDescent="0.25">
      <c r="B348" s="8">
        <v>37942</v>
      </c>
      <c r="C348" s="6">
        <f ca="1">IF(OR($C$7="",$B348&gt;NOW()),"",IF(INDEX(Data!$A:$G,MATCH($B348,Data!$A:$A,0),MATCH($C$7,Data!$4:$4,0))="","",INDEX(Data!$A:$G,MATCH($B348,Data!$A:$A,0),MATCH($C$7,Data!$4:$4,0))))</f>
        <v>48.8</v>
      </c>
      <c r="D348" s="148">
        <f t="shared" ca="1" si="14"/>
        <v>16.200000000000003</v>
      </c>
      <c r="E348" s="148">
        <f t="shared" ca="1" si="15"/>
        <v>0</v>
      </c>
    </row>
    <row r="349" spans="2:5" x14ac:dyDescent="0.25">
      <c r="B349" s="8">
        <v>37943</v>
      </c>
      <c r="C349" s="6">
        <f ca="1">IF(OR($C$7="",$B349&gt;NOW()),"",IF(INDEX(Data!$A:$G,MATCH($B349,Data!$A:$A,0),MATCH($C$7,Data!$4:$4,0))="","",INDEX(Data!$A:$G,MATCH($B349,Data!$A:$A,0),MATCH($C$7,Data!$4:$4,0))))</f>
        <v>48.6</v>
      </c>
      <c r="D349" s="148">
        <f t="shared" ref="D349:D412" ca="1" si="16">IF($C349="","",IF($C349&gt;$D$26,0,$D$26-$C349))</f>
        <v>16.399999999999999</v>
      </c>
      <c r="E349" s="148">
        <f t="shared" ref="E349:E412" ca="1" si="17">IF($C349="","",IF($C349&lt;$E$26,0,$C349-$E$26))</f>
        <v>0</v>
      </c>
    </row>
    <row r="350" spans="2:5" x14ac:dyDescent="0.25">
      <c r="B350" s="8">
        <v>37944</v>
      </c>
      <c r="C350" s="6">
        <f ca="1">IF(OR($C$7="",$B350&gt;NOW()),"",IF(INDEX(Data!$A:$G,MATCH($B350,Data!$A:$A,0),MATCH($C$7,Data!$4:$4,0))="","",INDEX(Data!$A:$G,MATCH($B350,Data!$A:$A,0),MATCH($C$7,Data!$4:$4,0))))</f>
        <v>58.4</v>
      </c>
      <c r="D350" s="148">
        <f t="shared" ca="1" si="16"/>
        <v>6.6000000000000014</v>
      </c>
      <c r="E350" s="148">
        <f t="shared" ca="1" si="17"/>
        <v>0</v>
      </c>
    </row>
    <row r="351" spans="2:5" x14ac:dyDescent="0.25">
      <c r="B351" s="8">
        <v>37945</v>
      </c>
      <c r="C351" s="6">
        <f ca="1">IF(OR($C$7="",$B351&gt;NOW()),"",IF(INDEX(Data!$A:$G,MATCH($B351,Data!$A:$A,0),MATCH($C$7,Data!$4:$4,0))="","",INDEX(Data!$A:$G,MATCH($B351,Data!$A:$A,0),MATCH($C$7,Data!$4:$4,0))))</f>
        <v>52.8</v>
      </c>
      <c r="D351" s="148">
        <f t="shared" ca="1" si="16"/>
        <v>12.200000000000003</v>
      </c>
      <c r="E351" s="148">
        <f t="shared" ca="1" si="17"/>
        <v>0</v>
      </c>
    </row>
    <row r="352" spans="2:5" x14ac:dyDescent="0.25">
      <c r="B352" s="8">
        <v>37946</v>
      </c>
      <c r="C352" s="6">
        <f ca="1">IF(OR($C$7="",$B352&gt;NOW()),"",IF(INDEX(Data!$A:$G,MATCH($B352,Data!$A:$A,0),MATCH($C$7,Data!$4:$4,0))="","",INDEX(Data!$A:$G,MATCH($B352,Data!$A:$A,0),MATCH($C$7,Data!$4:$4,0))))</f>
        <v>52</v>
      </c>
      <c r="D352" s="148">
        <f t="shared" ca="1" si="16"/>
        <v>13</v>
      </c>
      <c r="E352" s="148">
        <f t="shared" ca="1" si="17"/>
        <v>0</v>
      </c>
    </row>
    <row r="353" spans="2:5" x14ac:dyDescent="0.25">
      <c r="B353" s="8">
        <v>37947</v>
      </c>
      <c r="C353" s="6">
        <f ca="1">IF(OR($C$7="",$B353&gt;NOW()),"",IF(INDEX(Data!$A:$G,MATCH($B353,Data!$A:$A,0),MATCH($C$7,Data!$4:$4,0))="","",INDEX(Data!$A:$G,MATCH($B353,Data!$A:$A,0),MATCH($C$7,Data!$4:$4,0))))</f>
        <v>54.8</v>
      </c>
      <c r="D353" s="148">
        <f t="shared" ca="1" si="16"/>
        <v>10.200000000000003</v>
      </c>
      <c r="E353" s="148">
        <f t="shared" ca="1" si="17"/>
        <v>0</v>
      </c>
    </row>
    <row r="354" spans="2:5" x14ac:dyDescent="0.25">
      <c r="B354" s="8">
        <v>37948</v>
      </c>
      <c r="C354" s="6">
        <f ca="1">IF(OR($C$7="",$B354&gt;NOW()),"",IF(INDEX(Data!$A:$G,MATCH($B354,Data!$A:$A,0),MATCH($C$7,Data!$4:$4,0))="","",INDEX(Data!$A:$G,MATCH($B354,Data!$A:$A,0),MATCH($C$7,Data!$4:$4,0))))</f>
        <v>49.7</v>
      </c>
      <c r="D354" s="148">
        <f t="shared" ca="1" si="16"/>
        <v>15.299999999999997</v>
      </c>
      <c r="E354" s="148">
        <f t="shared" ca="1" si="17"/>
        <v>0</v>
      </c>
    </row>
    <row r="355" spans="2:5" x14ac:dyDescent="0.25">
      <c r="B355" s="8">
        <v>37949</v>
      </c>
      <c r="C355" s="6">
        <f ca="1">IF(OR($C$7="",$B355&gt;NOW()),"",IF(INDEX(Data!$A:$G,MATCH($B355,Data!$A:$A,0),MATCH($C$7,Data!$4:$4,0))="","",INDEX(Data!$A:$G,MATCH($B355,Data!$A:$A,0),MATCH($C$7,Data!$4:$4,0))))</f>
        <v>50.1</v>
      </c>
      <c r="D355" s="148">
        <f t="shared" ca="1" si="16"/>
        <v>14.899999999999999</v>
      </c>
      <c r="E355" s="148">
        <f t="shared" ca="1" si="17"/>
        <v>0</v>
      </c>
    </row>
    <row r="356" spans="2:5" x14ac:dyDescent="0.25">
      <c r="B356" s="8">
        <v>37950</v>
      </c>
      <c r="C356" s="6">
        <f ca="1">IF(OR($C$7="",$B356&gt;NOW()),"",IF(INDEX(Data!$A:$G,MATCH($B356,Data!$A:$A,0),MATCH($C$7,Data!$4:$4,0))="","",INDEX(Data!$A:$G,MATCH($B356,Data!$A:$A,0),MATCH($C$7,Data!$4:$4,0))))</f>
        <v>44.8</v>
      </c>
      <c r="D356" s="148">
        <f t="shared" ca="1" si="16"/>
        <v>20.200000000000003</v>
      </c>
      <c r="E356" s="148">
        <f t="shared" ca="1" si="17"/>
        <v>0</v>
      </c>
    </row>
    <row r="357" spans="2:5" x14ac:dyDescent="0.25">
      <c r="B357" s="8">
        <v>37951</v>
      </c>
      <c r="C357" s="6">
        <f ca="1">IF(OR($C$7="",$B357&gt;NOW()),"",IF(INDEX(Data!$A:$G,MATCH($B357,Data!$A:$A,0),MATCH($C$7,Data!$4:$4,0))="","",INDEX(Data!$A:$G,MATCH($B357,Data!$A:$A,0),MATCH($C$7,Data!$4:$4,0))))</f>
        <v>41.6</v>
      </c>
      <c r="D357" s="148">
        <f t="shared" ca="1" si="16"/>
        <v>23.4</v>
      </c>
      <c r="E357" s="148">
        <f t="shared" ca="1" si="17"/>
        <v>0</v>
      </c>
    </row>
    <row r="358" spans="2:5" x14ac:dyDescent="0.25">
      <c r="B358" s="8">
        <v>37952</v>
      </c>
      <c r="C358" s="6">
        <f ca="1">IF(OR($C$7="",$B358&gt;NOW()),"",IF(INDEX(Data!$A:$G,MATCH($B358,Data!$A:$A,0),MATCH($C$7,Data!$4:$4,0))="","",INDEX(Data!$A:$G,MATCH($B358,Data!$A:$A,0),MATCH($C$7,Data!$4:$4,0))))</f>
        <v>47.6</v>
      </c>
      <c r="D358" s="148">
        <f t="shared" ca="1" si="16"/>
        <v>17.399999999999999</v>
      </c>
      <c r="E358" s="148">
        <f t="shared" ca="1" si="17"/>
        <v>0</v>
      </c>
    </row>
    <row r="359" spans="2:5" x14ac:dyDescent="0.25">
      <c r="B359" s="8">
        <v>37953</v>
      </c>
      <c r="C359" s="6">
        <f ca="1">IF(OR($C$7="",$B359&gt;NOW()),"",IF(INDEX(Data!$A:$G,MATCH($B359,Data!$A:$A,0),MATCH($C$7,Data!$4:$4,0))="","",INDEX(Data!$A:$G,MATCH($B359,Data!$A:$A,0),MATCH($C$7,Data!$4:$4,0))))</f>
        <v>54.4</v>
      </c>
      <c r="D359" s="148">
        <f t="shared" ca="1" si="16"/>
        <v>10.600000000000001</v>
      </c>
      <c r="E359" s="148">
        <f t="shared" ca="1" si="17"/>
        <v>0</v>
      </c>
    </row>
    <row r="360" spans="2:5" x14ac:dyDescent="0.25">
      <c r="B360" s="8">
        <v>37954</v>
      </c>
      <c r="C360" s="6">
        <f ca="1">IF(OR($C$7="",$B360&gt;NOW()),"",IF(INDEX(Data!$A:$G,MATCH($B360,Data!$A:$A,0),MATCH($C$7,Data!$4:$4,0))="","",INDEX(Data!$A:$G,MATCH($B360,Data!$A:$A,0),MATCH($C$7,Data!$4:$4,0))))</f>
        <v>48.2</v>
      </c>
      <c r="D360" s="148">
        <f t="shared" ca="1" si="16"/>
        <v>16.799999999999997</v>
      </c>
      <c r="E360" s="148">
        <f t="shared" ca="1" si="17"/>
        <v>0</v>
      </c>
    </row>
    <row r="361" spans="2:5" x14ac:dyDescent="0.25">
      <c r="B361" s="8">
        <v>37955</v>
      </c>
      <c r="C361" s="6">
        <f ca="1">IF(OR($C$7="",$B361&gt;NOW()),"",IF(INDEX(Data!$A:$G,MATCH($B361,Data!$A:$A,0),MATCH($C$7,Data!$4:$4,0))="","",INDEX(Data!$A:$G,MATCH($B361,Data!$A:$A,0),MATCH($C$7,Data!$4:$4,0))))</f>
        <v>42.6</v>
      </c>
      <c r="D361" s="148">
        <f t="shared" ca="1" si="16"/>
        <v>22.4</v>
      </c>
      <c r="E361" s="148">
        <f t="shared" ca="1" si="17"/>
        <v>0</v>
      </c>
    </row>
    <row r="362" spans="2:5" x14ac:dyDescent="0.25">
      <c r="B362" s="8">
        <v>37956</v>
      </c>
      <c r="C362" s="6">
        <f ca="1">IF(OR($C$7="",$B362&gt;NOW()),"",IF(INDEX(Data!$A:$G,MATCH($B362,Data!$A:$A,0),MATCH($C$7,Data!$4:$4,0))="","",INDEX(Data!$A:$G,MATCH($B362,Data!$A:$A,0),MATCH($C$7,Data!$4:$4,0))))</f>
        <v>47.3</v>
      </c>
      <c r="D362" s="148">
        <f t="shared" ca="1" si="16"/>
        <v>17.700000000000003</v>
      </c>
      <c r="E362" s="148">
        <f t="shared" ca="1" si="17"/>
        <v>0</v>
      </c>
    </row>
    <row r="363" spans="2:5" x14ac:dyDescent="0.25">
      <c r="B363" s="8">
        <v>37957</v>
      </c>
      <c r="C363" s="6">
        <f ca="1">IF(OR($C$7="",$B363&gt;NOW()),"",IF(INDEX(Data!$A:$G,MATCH($B363,Data!$A:$A,0),MATCH($C$7,Data!$4:$4,0))="","",INDEX(Data!$A:$G,MATCH($B363,Data!$A:$A,0),MATCH($C$7,Data!$4:$4,0))))</f>
        <v>35.299999999999997</v>
      </c>
      <c r="D363" s="148">
        <f t="shared" ca="1" si="16"/>
        <v>29.700000000000003</v>
      </c>
      <c r="E363" s="148">
        <f t="shared" ca="1" si="17"/>
        <v>0</v>
      </c>
    </row>
    <row r="364" spans="2:5" x14ac:dyDescent="0.25">
      <c r="B364" s="8">
        <v>37958</v>
      </c>
      <c r="C364" s="6">
        <f ca="1">IF(OR($C$7="",$B364&gt;NOW()),"",IF(INDEX(Data!$A:$G,MATCH($B364,Data!$A:$A,0),MATCH($C$7,Data!$4:$4,0))="","",INDEX(Data!$A:$G,MATCH($B364,Data!$A:$A,0),MATCH($C$7,Data!$4:$4,0))))</f>
        <v>26.5</v>
      </c>
      <c r="D364" s="148">
        <f t="shared" ca="1" si="16"/>
        <v>38.5</v>
      </c>
      <c r="E364" s="148">
        <f t="shared" ca="1" si="17"/>
        <v>0</v>
      </c>
    </row>
    <row r="365" spans="2:5" x14ac:dyDescent="0.25">
      <c r="B365" s="8">
        <v>37959</v>
      </c>
      <c r="C365" s="6">
        <f ca="1">IF(OR($C$7="",$B365&gt;NOW()),"",IF(INDEX(Data!$A:$G,MATCH($B365,Data!$A:$A,0),MATCH($C$7,Data!$4:$4,0))="","",INDEX(Data!$A:$G,MATCH($B365,Data!$A:$A,0),MATCH($C$7,Data!$4:$4,0))))</f>
        <v>33.5</v>
      </c>
      <c r="D365" s="148">
        <f t="shared" ca="1" si="16"/>
        <v>31.5</v>
      </c>
      <c r="E365" s="148">
        <f t="shared" ca="1" si="17"/>
        <v>0</v>
      </c>
    </row>
    <row r="366" spans="2:5" x14ac:dyDescent="0.25">
      <c r="B366" s="8">
        <v>37960</v>
      </c>
      <c r="C366" s="6">
        <f ca="1">IF(OR($C$7="",$B366&gt;NOW()),"",IF(INDEX(Data!$A:$G,MATCH($B366,Data!$A:$A,0),MATCH($C$7,Data!$4:$4,0))="","",INDEX(Data!$A:$G,MATCH($B366,Data!$A:$A,0),MATCH($C$7,Data!$4:$4,0))))</f>
        <v>33.799999999999997</v>
      </c>
      <c r="D366" s="148">
        <f t="shared" ca="1" si="16"/>
        <v>31.200000000000003</v>
      </c>
      <c r="E366" s="148">
        <f t="shared" ca="1" si="17"/>
        <v>0</v>
      </c>
    </row>
    <row r="367" spans="2:5" x14ac:dyDescent="0.25">
      <c r="B367" s="8">
        <v>37961</v>
      </c>
      <c r="C367" s="6">
        <f ca="1">IF(OR($C$7="",$B367&gt;NOW()),"",IF(INDEX(Data!$A:$G,MATCH($B367,Data!$A:$A,0),MATCH($C$7,Data!$4:$4,0))="","",INDEX(Data!$A:$G,MATCH($B367,Data!$A:$A,0),MATCH($C$7,Data!$4:$4,0))))</f>
        <v>27.8</v>
      </c>
      <c r="D367" s="148">
        <f t="shared" ca="1" si="16"/>
        <v>37.200000000000003</v>
      </c>
      <c r="E367" s="148">
        <f t="shared" ca="1" si="17"/>
        <v>0</v>
      </c>
    </row>
    <row r="368" spans="2:5" x14ac:dyDescent="0.25">
      <c r="B368" s="8">
        <v>37962</v>
      </c>
      <c r="C368" s="6">
        <f ca="1">IF(OR($C$7="",$B368&gt;NOW()),"",IF(INDEX(Data!$A:$G,MATCH($B368,Data!$A:$A,0),MATCH($C$7,Data!$4:$4,0))="","",INDEX(Data!$A:$G,MATCH($B368,Data!$A:$A,0),MATCH($C$7,Data!$4:$4,0))))</f>
        <v>27.9</v>
      </c>
      <c r="D368" s="148">
        <f t="shared" ca="1" si="16"/>
        <v>37.1</v>
      </c>
      <c r="E368" s="148">
        <f t="shared" ca="1" si="17"/>
        <v>0</v>
      </c>
    </row>
    <row r="369" spans="2:5" x14ac:dyDescent="0.25">
      <c r="B369" s="8">
        <v>37963</v>
      </c>
      <c r="C369" s="6">
        <f ca="1">IF(OR($C$7="",$B369&gt;NOW()),"",IF(INDEX(Data!$A:$G,MATCH($B369,Data!$A:$A,0),MATCH($C$7,Data!$4:$4,0))="","",INDEX(Data!$A:$G,MATCH($B369,Data!$A:$A,0),MATCH($C$7,Data!$4:$4,0))))</f>
        <v>29.8</v>
      </c>
      <c r="D369" s="148">
        <f t="shared" ca="1" si="16"/>
        <v>35.200000000000003</v>
      </c>
      <c r="E369" s="148">
        <f t="shared" ca="1" si="17"/>
        <v>0</v>
      </c>
    </row>
    <row r="370" spans="2:5" x14ac:dyDescent="0.25">
      <c r="B370" s="8">
        <v>37964</v>
      </c>
      <c r="C370" s="6">
        <f ca="1">IF(OR($C$7="",$B370&gt;NOW()),"",IF(INDEX(Data!$A:$G,MATCH($B370,Data!$A:$A,0),MATCH($C$7,Data!$4:$4,0))="","",INDEX(Data!$A:$G,MATCH($B370,Data!$A:$A,0),MATCH($C$7,Data!$4:$4,0))))</f>
        <v>34.4</v>
      </c>
      <c r="D370" s="148">
        <f t="shared" ca="1" si="16"/>
        <v>30.6</v>
      </c>
      <c r="E370" s="148">
        <f t="shared" ca="1" si="17"/>
        <v>0</v>
      </c>
    </row>
    <row r="371" spans="2:5" x14ac:dyDescent="0.25">
      <c r="B371" s="8">
        <v>37965</v>
      </c>
      <c r="C371" s="6">
        <f ca="1">IF(OR($C$7="",$B371&gt;NOW()),"",IF(INDEX(Data!$A:$G,MATCH($B371,Data!$A:$A,0),MATCH($C$7,Data!$4:$4,0))="","",INDEX(Data!$A:$G,MATCH($B371,Data!$A:$A,0),MATCH($C$7,Data!$4:$4,0))))</f>
        <v>40.5</v>
      </c>
      <c r="D371" s="148">
        <f t="shared" ca="1" si="16"/>
        <v>24.5</v>
      </c>
      <c r="E371" s="148">
        <f t="shared" ca="1" si="17"/>
        <v>0</v>
      </c>
    </row>
    <row r="372" spans="2:5" x14ac:dyDescent="0.25">
      <c r="B372" s="8">
        <v>37966</v>
      </c>
      <c r="C372" s="6">
        <f ca="1">IF(OR($C$7="",$B372&gt;NOW()),"",IF(INDEX(Data!$A:$G,MATCH($B372,Data!$A:$A,0),MATCH($C$7,Data!$4:$4,0))="","",INDEX(Data!$A:$G,MATCH($B372,Data!$A:$A,0),MATCH($C$7,Data!$4:$4,0))))</f>
        <v>53.7</v>
      </c>
      <c r="D372" s="148">
        <f t="shared" ca="1" si="16"/>
        <v>11.299999999999997</v>
      </c>
      <c r="E372" s="148">
        <f t="shared" ca="1" si="17"/>
        <v>0</v>
      </c>
    </row>
    <row r="373" spans="2:5" x14ac:dyDescent="0.25">
      <c r="B373" s="8">
        <v>37967</v>
      </c>
      <c r="C373" s="6">
        <f ca="1">IF(OR($C$7="",$B373&gt;NOW()),"",IF(INDEX(Data!$A:$G,MATCH($B373,Data!$A:$A,0),MATCH($C$7,Data!$4:$4,0))="","",INDEX(Data!$A:$G,MATCH($B373,Data!$A:$A,0),MATCH($C$7,Data!$4:$4,0))))</f>
        <v>40.799999999999997</v>
      </c>
      <c r="D373" s="148">
        <f t="shared" ca="1" si="16"/>
        <v>24.200000000000003</v>
      </c>
      <c r="E373" s="148">
        <f t="shared" ca="1" si="17"/>
        <v>0</v>
      </c>
    </row>
    <row r="374" spans="2:5" x14ac:dyDescent="0.25">
      <c r="B374" s="8">
        <v>37968</v>
      </c>
      <c r="C374" s="6">
        <f ca="1">IF(OR($C$7="",$B374&gt;NOW()),"",IF(INDEX(Data!$A:$G,MATCH($B374,Data!$A:$A,0),MATCH($C$7,Data!$4:$4,0))="","",INDEX(Data!$A:$G,MATCH($B374,Data!$A:$A,0),MATCH($C$7,Data!$4:$4,0))))</f>
        <v>33.6</v>
      </c>
      <c r="D374" s="148">
        <f t="shared" ca="1" si="16"/>
        <v>31.4</v>
      </c>
      <c r="E374" s="148">
        <f t="shared" ca="1" si="17"/>
        <v>0</v>
      </c>
    </row>
    <row r="375" spans="2:5" x14ac:dyDescent="0.25">
      <c r="B375" s="8">
        <v>37969</v>
      </c>
      <c r="C375" s="6">
        <f ca="1">IF(OR($C$7="",$B375&gt;NOW()),"",IF(INDEX(Data!$A:$G,MATCH($B375,Data!$A:$A,0),MATCH($C$7,Data!$4:$4,0))="","",INDEX(Data!$A:$G,MATCH($B375,Data!$A:$A,0),MATCH($C$7,Data!$4:$4,0))))</f>
        <v>30.8</v>
      </c>
      <c r="D375" s="148">
        <f t="shared" ca="1" si="16"/>
        <v>34.200000000000003</v>
      </c>
      <c r="E375" s="148">
        <f t="shared" ca="1" si="17"/>
        <v>0</v>
      </c>
    </row>
    <row r="376" spans="2:5" x14ac:dyDescent="0.25">
      <c r="B376" s="8">
        <v>37970</v>
      </c>
      <c r="C376" s="6">
        <f ca="1">IF(OR($C$7="",$B376&gt;NOW()),"",IF(INDEX(Data!$A:$G,MATCH($B376,Data!$A:$A,0),MATCH($C$7,Data!$4:$4,0))="","",INDEX(Data!$A:$G,MATCH($B376,Data!$A:$A,0),MATCH($C$7,Data!$4:$4,0))))</f>
        <v>36.700000000000003</v>
      </c>
      <c r="D376" s="148">
        <f t="shared" ca="1" si="16"/>
        <v>28.299999999999997</v>
      </c>
      <c r="E376" s="148">
        <f t="shared" ca="1" si="17"/>
        <v>0</v>
      </c>
    </row>
    <row r="377" spans="2:5" x14ac:dyDescent="0.25">
      <c r="B377" s="8">
        <v>37971</v>
      </c>
      <c r="C377" s="6">
        <f ca="1">IF(OR($C$7="",$B377&gt;NOW()),"",IF(INDEX(Data!$A:$G,MATCH($B377,Data!$A:$A,0),MATCH($C$7,Data!$4:$4,0))="","",INDEX(Data!$A:$G,MATCH($B377,Data!$A:$A,0),MATCH($C$7,Data!$4:$4,0))))</f>
        <v>38.1</v>
      </c>
      <c r="D377" s="148">
        <f t="shared" ca="1" si="16"/>
        <v>26.9</v>
      </c>
      <c r="E377" s="148">
        <f t="shared" ca="1" si="17"/>
        <v>0</v>
      </c>
    </row>
    <row r="378" spans="2:5" x14ac:dyDescent="0.25">
      <c r="B378" s="8">
        <v>37972</v>
      </c>
      <c r="C378" s="6">
        <f ca="1">IF(OR($C$7="",$B378&gt;NOW()),"",IF(INDEX(Data!$A:$G,MATCH($B378,Data!$A:$A,0),MATCH($C$7,Data!$4:$4,0))="","",INDEX(Data!$A:$G,MATCH($B378,Data!$A:$A,0),MATCH($C$7,Data!$4:$4,0))))</f>
        <v>47.5</v>
      </c>
      <c r="D378" s="148">
        <f t="shared" ca="1" si="16"/>
        <v>17.5</v>
      </c>
      <c r="E378" s="148">
        <f t="shared" ca="1" si="17"/>
        <v>0</v>
      </c>
    </row>
    <row r="379" spans="2:5" x14ac:dyDescent="0.25">
      <c r="B379" s="8">
        <v>37973</v>
      </c>
      <c r="C379" s="6">
        <f ca="1">IF(OR($C$7="",$B379&gt;NOW()),"",IF(INDEX(Data!$A:$G,MATCH($B379,Data!$A:$A,0),MATCH($C$7,Data!$4:$4,0))="","",INDEX(Data!$A:$G,MATCH($B379,Data!$A:$A,0),MATCH($C$7,Data!$4:$4,0))))</f>
        <v>35.700000000000003</v>
      </c>
      <c r="D379" s="148">
        <f t="shared" ca="1" si="16"/>
        <v>29.299999999999997</v>
      </c>
      <c r="E379" s="148">
        <f t="shared" ca="1" si="17"/>
        <v>0</v>
      </c>
    </row>
    <row r="380" spans="2:5" x14ac:dyDescent="0.25">
      <c r="B380" s="8">
        <v>37974</v>
      </c>
      <c r="C380" s="6">
        <f ca="1">IF(OR($C$7="",$B380&gt;NOW()),"",IF(INDEX(Data!$A:$G,MATCH($B380,Data!$A:$A,0),MATCH($C$7,Data!$4:$4,0))="","",INDEX(Data!$A:$G,MATCH($B380,Data!$A:$A,0),MATCH($C$7,Data!$4:$4,0))))</f>
        <v>33.9</v>
      </c>
      <c r="D380" s="148">
        <f t="shared" ca="1" si="16"/>
        <v>31.1</v>
      </c>
      <c r="E380" s="148">
        <f t="shared" ca="1" si="17"/>
        <v>0</v>
      </c>
    </row>
    <row r="381" spans="2:5" x14ac:dyDescent="0.25">
      <c r="B381" s="8">
        <v>37975</v>
      </c>
      <c r="C381" s="6">
        <f ca="1">IF(OR($C$7="",$B381&gt;NOW()),"",IF(INDEX(Data!$A:$G,MATCH($B381,Data!$A:$A,0),MATCH($C$7,Data!$4:$4,0))="","",INDEX(Data!$A:$G,MATCH($B381,Data!$A:$A,0),MATCH($C$7,Data!$4:$4,0))))</f>
        <v>35</v>
      </c>
      <c r="D381" s="148">
        <f t="shared" ca="1" si="16"/>
        <v>30</v>
      </c>
      <c r="E381" s="148">
        <f t="shared" ca="1" si="17"/>
        <v>0</v>
      </c>
    </row>
    <row r="382" spans="2:5" x14ac:dyDescent="0.25">
      <c r="B382" s="8">
        <v>37976</v>
      </c>
      <c r="C382" s="6">
        <f ca="1">IF(OR($C$7="",$B382&gt;NOW()),"",IF(INDEX(Data!$A:$G,MATCH($B382,Data!$A:$A,0),MATCH($C$7,Data!$4:$4,0))="","",INDEX(Data!$A:$G,MATCH($B382,Data!$A:$A,0),MATCH($C$7,Data!$4:$4,0))))</f>
        <v>31.6</v>
      </c>
      <c r="D382" s="148">
        <f t="shared" ca="1" si="16"/>
        <v>33.4</v>
      </c>
      <c r="E382" s="148">
        <f t="shared" ca="1" si="17"/>
        <v>0</v>
      </c>
    </row>
    <row r="383" spans="2:5" x14ac:dyDescent="0.25">
      <c r="B383" s="8">
        <v>37977</v>
      </c>
      <c r="C383" s="6">
        <f ca="1">IF(OR($C$7="",$B383&gt;NOW()),"",IF(INDEX(Data!$A:$G,MATCH($B383,Data!$A:$A,0),MATCH($C$7,Data!$4:$4,0))="","",INDEX(Data!$A:$G,MATCH($B383,Data!$A:$A,0),MATCH($C$7,Data!$4:$4,0))))</f>
        <v>41.5</v>
      </c>
      <c r="D383" s="148">
        <f t="shared" ca="1" si="16"/>
        <v>23.5</v>
      </c>
      <c r="E383" s="148">
        <f t="shared" ca="1" si="17"/>
        <v>0</v>
      </c>
    </row>
    <row r="384" spans="2:5" x14ac:dyDescent="0.25">
      <c r="B384" s="8">
        <v>37978</v>
      </c>
      <c r="C384" s="6">
        <f ca="1">IF(OR($C$7="",$B384&gt;NOW()),"",IF(INDEX(Data!$A:$G,MATCH($B384,Data!$A:$A,0),MATCH($C$7,Data!$4:$4,0))="","",INDEX(Data!$A:$G,MATCH($B384,Data!$A:$A,0),MATCH($C$7,Data!$4:$4,0))))</f>
        <v>48.8</v>
      </c>
      <c r="D384" s="148">
        <f t="shared" ca="1" si="16"/>
        <v>16.200000000000003</v>
      </c>
      <c r="E384" s="148">
        <f t="shared" ca="1" si="17"/>
        <v>0</v>
      </c>
    </row>
    <row r="385" spans="2:5" x14ac:dyDescent="0.25">
      <c r="B385" s="8">
        <v>37979</v>
      </c>
      <c r="C385" s="6">
        <f ca="1">IF(OR($C$7="",$B385&gt;NOW()),"",IF(INDEX(Data!$A:$G,MATCH($B385,Data!$A:$A,0),MATCH($C$7,Data!$4:$4,0))="","",INDEX(Data!$A:$G,MATCH($B385,Data!$A:$A,0),MATCH($C$7,Data!$4:$4,0))))</f>
        <v>52</v>
      </c>
      <c r="D385" s="148">
        <f t="shared" ca="1" si="16"/>
        <v>13</v>
      </c>
      <c r="E385" s="148">
        <f t="shared" ca="1" si="17"/>
        <v>0</v>
      </c>
    </row>
    <row r="386" spans="2:5" x14ac:dyDescent="0.25">
      <c r="B386" s="8">
        <v>37980</v>
      </c>
      <c r="C386" s="6">
        <f ca="1">IF(OR($C$7="",$B386&gt;NOW()),"",IF(INDEX(Data!$A:$G,MATCH($B386,Data!$A:$A,0),MATCH($C$7,Data!$4:$4,0))="","",INDEX(Data!$A:$G,MATCH($B386,Data!$A:$A,0),MATCH($C$7,Data!$4:$4,0))))</f>
        <v>44.3</v>
      </c>
      <c r="D386" s="148">
        <f t="shared" ca="1" si="16"/>
        <v>20.700000000000003</v>
      </c>
      <c r="E386" s="148">
        <f t="shared" ca="1" si="17"/>
        <v>0</v>
      </c>
    </row>
    <row r="387" spans="2:5" x14ac:dyDescent="0.25">
      <c r="B387" s="8">
        <v>37981</v>
      </c>
      <c r="C387" s="6">
        <f ca="1">IF(OR($C$7="",$B387&gt;NOW()),"",IF(INDEX(Data!$A:$G,MATCH($B387,Data!$A:$A,0),MATCH($C$7,Data!$4:$4,0))="","",INDEX(Data!$A:$G,MATCH($B387,Data!$A:$A,0),MATCH($C$7,Data!$4:$4,0))))</f>
        <v>36.6</v>
      </c>
      <c r="D387" s="148">
        <f t="shared" ca="1" si="16"/>
        <v>28.4</v>
      </c>
      <c r="E387" s="148">
        <f t="shared" ca="1" si="17"/>
        <v>0</v>
      </c>
    </row>
    <row r="388" spans="2:5" x14ac:dyDescent="0.25">
      <c r="B388" s="8">
        <v>37982</v>
      </c>
      <c r="C388" s="6">
        <f ca="1">IF(OR($C$7="",$B388&gt;NOW()),"",IF(INDEX(Data!$A:$G,MATCH($B388,Data!$A:$A,0),MATCH($C$7,Data!$4:$4,0))="","",INDEX(Data!$A:$G,MATCH($B388,Data!$A:$A,0),MATCH($C$7,Data!$4:$4,0))))</f>
        <v>43.6</v>
      </c>
      <c r="D388" s="148">
        <f t="shared" ca="1" si="16"/>
        <v>21.4</v>
      </c>
      <c r="E388" s="148">
        <f t="shared" ca="1" si="17"/>
        <v>0</v>
      </c>
    </row>
    <row r="389" spans="2:5" x14ac:dyDescent="0.25">
      <c r="B389" s="8">
        <v>37983</v>
      </c>
      <c r="C389" s="6">
        <f ca="1">IF(OR($C$7="",$B389&gt;NOW()),"",IF(INDEX(Data!$A:$G,MATCH($B389,Data!$A:$A,0),MATCH($C$7,Data!$4:$4,0))="","",INDEX(Data!$A:$G,MATCH($B389,Data!$A:$A,0),MATCH($C$7,Data!$4:$4,0))))</f>
        <v>42.4</v>
      </c>
      <c r="D389" s="148">
        <f t="shared" ca="1" si="16"/>
        <v>22.6</v>
      </c>
      <c r="E389" s="148">
        <f t="shared" ca="1" si="17"/>
        <v>0</v>
      </c>
    </row>
    <row r="390" spans="2:5" x14ac:dyDescent="0.25">
      <c r="B390" s="8">
        <v>37984</v>
      </c>
      <c r="C390" s="6">
        <f ca="1">IF(OR($C$7="",$B390&gt;NOW()),"",IF(INDEX(Data!$A:$G,MATCH($B390,Data!$A:$A,0),MATCH($C$7,Data!$4:$4,0))="","",INDEX(Data!$A:$G,MATCH($B390,Data!$A:$A,0),MATCH($C$7,Data!$4:$4,0))))</f>
        <v>44.1</v>
      </c>
      <c r="D390" s="148">
        <f t="shared" ca="1" si="16"/>
        <v>20.9</v>
      </c>
      <c r="E390" s="148">
        <f t="shared" ca="1" si="17"/>
        <v>0</v>
      </c>
    </row>
    <row r="391" spans="2:5" x14ac:dyDescent="0.25">
      <c r="B391" s="8">
        <v>37985</v>
      </c>
      <c r="C391" s="6">
        <f ca="1">IF(OR($C$7="",$B391&gt;NOW()),"",IF(INDEX(Data!$A:$G,MATCH($B391,Data!$A:$A,0),MATCH($C$7,Data!$4:$4,0))="","",INDEX(Data!$A:$G,MATCH($B391,Data!$A:$A,0),MATCH($C$7,Data!$4:$4,0))))</f>
        <v>47.4</v>
      </c>
      <c r="D391" s="148">
        <f t="shared" ca="1" si="16"/>
        <v>17.600000000000001</v>
      </c>
      <c r="E391" s="148">
        <f t="shared" ca="1" si="17"/>
        <v>0</v>
      </c>
    </row>
    <row r="392" spans="2:5" x14ac:dyDescent="0.25">
      <c r="B392" s="8">
        <v>37986</v>
      </c>
      <c r="C392" s="6">
        <f ca="1">IF(OR($C$7="",$B392&gt;NOW()),"",IF(INDEX(Data!$A:$G,MATCH($B392,Data!$A:$A,0),MATCH($C$7,Data!$4:$4,0))="","",INDEX(Data!$A:$G,MATCH($B392,Data!$A:$A,0),MATCH($C$7,Data!$4:$4,0))))</f>
        <v>41.8</v>
      </c>
      <c r="D392" s="148">
        <f t="shared" ca="1" si="16"/>
        <v>23.200000000000003</v>
      </c>
      <c r="E392" s="148">
        <f t="shared" ca="1" si="17"/>
        <v>0</v>
      </c>
    </row>
    <row r="393" spans="2:5" x14ac:dyDescent="0.25">
      <c r="B393" s="8">
        <v>37987</v>
      </c>
      <c r="C393" s="6">
        <f ca="1">IF(OR($C$7="",$B393&gt;NOW()),"",IF(INDEX(Data!$A:$G,MATCH($B393,Data!$A:$A,0),MATCH($C$7,Data!$4:$4,0))="","",INDEX(Data!$A:$G,MATCH($B393,Data!$A:$A,0),MATCH($C$7,Data!$4:$4,0))))</f>
        <v>42.7</v>
      </c>
      <c r="D393" s="148">
        <f t="shared" ca="1" si="16"/>
        <v>22.299999999999997</v>
      </c>
      <c r="E393" s="148">
        <f t="shared" ca="1" si="17"/>
        <v>0</v>
      </c>
    </row>
    <row r="394" spans="2:5" x14ac:dyDescent="0.25">
      <c r="B394" s="8">
        <v>37988</v>
      </c>
      <c r="C394" s="6">
        <f ca="1">IF(OR($C$7="",$B394&gt;NOW()),"",IF(INDEX(Data!$A:$G,MATCH($B394,Data!$A:$A,0),MATCH($C$7,Data!$4:$4,0))="","",INDEX(Data!$A:$G,MATCH($B394,Data!$A:$A,0),MATCH($C$7,Data!$4:$4,0))))</f>
        <v>43.2</v>
      </c>
      <c r="D394" s="148">
        <f t="shared" ca="1" si="16"/>
        <v>21.799999999999997</v>
      </c>
      <c r="E394" s="148">
        <f t="shared" ca="1" si="17"/>
        <v>0</v>
      </c>
    </row>
    <row r="395" spans="2:5" x14ac:dyDescent="0.25">
      <c r="B395" s="8">
        <v>37989</v>
      </c>
      <c r="C395" s="6">
        <f ca="1">IF(OR($C$7="",$B395&gt;NOW()),"",IF(INDEX(Data!$A:$G,MATCH($B395,Data!$A:$A,0),MATCH($C$7,Data!$4:$4,0))="","",INDEX(Data!$A:$G,MATCH($B395,Data!$A:$A,0),MATCH($C$7,Data!$4:$4,0))))</f>
        <v>47.3</v>
      </c>
      <c r="D395" s="148">
        <f t="shared" ca="1" si="16"/>
        <v>17.700000000000003</v>
      </c>
      <c r="E395" s="148">
        <f t="shared" ca="1" si="17"/>
        <v>0</v>
      </c>
    </row>
    <row r="396" spans="2:5" x14ac:dyDescent="0.25">
      <c r="B396" s="8">
        <v>37990</v>
      </c>
      <c r="C396" s="6">
        <f ca="1">IF(OR($C$7="",$B396&gt;NOW()),"",IF(INDEX(Data!$A:$G,MATCH($B396,Data!$A:$A,0),MATCH($C$7,Data!$4:$4,0))="","",INDEX(Data!$A:$G,MATCH($B396,Data!$A:$A,0),MATCH($C$7,Data!$4:$4,0))))</f>
        <v>51.3</v>
      </c>
      <c r="D396" s="148">
        <f t="shared" ca="1" si="16"/>
        <v>13.700000000000003</v>
      </c>
      <c r="E396" s="148">
        <f t="shared" ca="1" si="17"/>
        <v>0</v>
      </c>
    </row>
    <row r="397" spans="2:5" x14ac:dyDescent="0.25">
      <c r="B397" s="8">
        <v>37991</v>
      </c>
      <c r="C397" s="6">
        <f ca="1">IF(OR($C$7="",$B397&gt;NOW()),"",IF(INDEX(Data!$A:$G,MATCH($B397,Data!$A:$A,0),MATCH($C$7,Data!$4:$4,0))="","",INDEX(Data!$A:$G,MATCH($B397,Data!$A:$A,0),MATCH($C$7,Data!$4:$4,0))))</f>
        <v>38.4</v>
      </c>
      <c r="D397" s="148">
        <f t="shared" ca="1" si="16"/>
        <v>26.6</v>
      </c>
      <c r="E397" s="148">
        <f t="shared" ca="1" si="17"/>
        <v>0</v>
      </c>
    </row>
    <row r="398" spans="2:5" x14ac:dyDescent="0.25">
      <c r="B398" s="8">
        <v>37992</v>
      </c>
      <c r="C398" s="6">
        <f ca="1">IF(OR($C$7="",$B398&gt;NOW()),"",IF(INDEX(Data!$A:$G,MATCH($B398,Data!$A:$A,0),MATCH($C$7,Data!$4:$4,0))="","",INDEX(Data!$A:$G,MATCH($B398,Data!$A:$A,0),MATCH($C$7,Data!$4:$4,0))))</f>
        <v>37.200000000000003</v>
      </c>
      <c r="D398" s="148">
        <f t="shared" ca="1" si="16"/>
        <v>27.799999999999997</v>
      </c>
      <c r="E398" s="148">
        <f t="shared" ca="1" si="17"/>
        <v>0</v>
      </c>
    </row>
    <row r="399" spans="2:5" x14ac:dyDescent="0.25">
      <c r="B399" s="8">
        <v>37993</v>
      </c>
      <c r="C399" s="6">
        <f ca="1">IF(OR($C$7="",$B399&gt;NOW()),"",IF(INDEX(Data!$A:$G,MATCH($B399,Data!$A:$A,0),MATCH($C$7,Data!$4:$4,0))="","",INDEX(Data!$A:$G,MATCH($B399,Data!$A:$A,0),MATCH($C$7,Data!$4:$4,0))))</f>
        <v>23.8</v>
      </c>
      <c r="D399" s="148">
        <f t="shared" ca="1" si="16"/>
        <v>41.2</v>
      </c>
      <c r="E399" s="148">
        <f t="shared" ca="1" si="17"/>
        <v>0</v>
      </c>
    </row>
    <row r="400" spans="2:5" x14ac:dyDescent="0.25">
      <c r="B400" s="8">
        <v>37994</v>
      </c>
      <c r="C400" s="6">
        <f ca="1">IF(OR($C$7="",$B400&gt;NOW()),"",IF(INDEX(Data!$A:$G,MATCH($B400,Data!$A:$A,0),MATCH($C$7,Data!$4:$4,0))="","",INDEX(Data!$A:$G,MATCH($B400,Data!$A:$A,0),MATCH($C$7,Data!$4:$4,0))))</f>
        <v>25.2</v>
      </c>
      <c r="D400" s="148">
        <f t="shared" ca="1" si="16"/>
        <v>39.799999999999997</v>
      </c>
      <c r="E400" s="148">
        <f t="shared" ca="1" si="17"/>
        <v>0</v>
      </c>
    </row>
    <row r="401" spans="2:5" x14ac:dyDescent="0.25">
      <c r="B401" s="8">
        <v>37995</v>
      </c>
      <c r="C401" s="6">
        <f ca="1">IF(OR($C$7="",$B401&gt;NOW()),"",IF(INDEX(Data!$A:$G,MATCH($B401,Data!$A:$A,0),MATCH($C$7,Data!$4:$4,0))="","",INDEX(Data!$A:$G,MATCH($B401,Data!$A:$A,0),MATCH($C$7,Data!$4:$4,0))))</f>
        <v>21.6</v>
      </c>
      <c r="D401" s="148">
        <f t="shared" ca="1" si="16"/>
        <v>43.4</v>
      </c>
      <c r="E401" s="148">
        <f t="shared" ca="1" si="17"/>
        <v>0</v>
      </c>
    </row>
    <row r="402" spans="2:5" x14ac:dyDescent="0.25">
      <c r="B402" s="8">
        <v>37996</v>
      </c>
      <c r="C402" s="6">
        <f ca="1">IF(OR($C$7="",$B402&gt;NOW()),"",IF(INDEX(Data!$A:$G,MATCH($B402,Data!$A:$A,0),MATCH($C$7,Data!$4:$4,0))="","",INDEX(Data!$A:$G,MATCH($B402,Data!$A:$A,0),MATCH($C$7,Data!$4:$4,0))))</f>
        <v>8.4</v>
      </c>
      <c r="D402" s="148">
        <f t="shared" ca="1" si="16"/>
        <v>56.6</v>
      </c>
      <c r="E402" s="148">
        <f t="shared" ca="1" si="17"/>
        <v>0</v>
      </c>
    </row>
    <row r="403" spans="2:5" x14ac:dyDescent="0.25">
      <c r="B403" s="8">
        <v>37997</v>
      </c>
      <c r="C403" s="6">
        <f ca="1">IF(OR($C$7="",$B403&gt;NOW()),"",IF(INDEX(Data!$A:$G,MATCH($B403,Data!$A:$A,0),MATCH($C$7,Data!$4:$4,0))="","",INDEX(Data!$A:$G,MATCH($B403,Data!$A:$A,0),MATCH($C$7,Data!$4:$4,0))))</f>
        <v>14.3</v>
      </c>
      <c r="D403" s="148">
        <f t="shared" ca="1" si="16"/>
        <v>50.7</v>
      </c>
      <c r="E403" s="148">
        <f t="shared" ca="1" si="17"/>
        <v>0</v>
      </c>
    </row>
    <row r="404" spans="2:5" x14ac:dyDescent="0.25">
      <c r="B404" s="8">
        <v>37998</v>
      </c>
      <c r="C404" s="6">
        <f ca="1">IF(OR($C$7="",$B404&gt;NOW()),"",IF(INDEX(Data!$A:$G,MATCH($B404,Data!$A:$A,0),MATCH($C$7,Data!$4:$4,0))="","",INDEX(Data!$A:$G,MATCH($B404,Data!$A:$A,0),MATCH($C$7,Data!$4:$4,0))))</f>
        <v>30.7</v>
      </c>
      <c r="D404" s="148">
        <f t="shared" ca="1" si="16"/>
        <v>34.299999999999997</v>
      </c>
      <c r="E404" s="148">
        <f t="shared" ca="1" si="17"/>
        <v>0</v>
      </c>
    </row>
    <row r="405" spans="2:5" x14ac:dyDescent="0.25">
      <c r="B405" s="8">
        <v>37999</v>
      </c>
      <c r="C405" s="6">
        <f ca="1">IF(OR($C$7="",$B405&gt;NOW()),"",IF(INDEX(Data!$A:$G,MATCH($B405,Data!$A:$A,0),MATCH($C$7,Data!$4:$4,0))="","",INDEX(Data!$A:$G,MATCH($B405,Data!$A:$A,0),MATCH($C$7,Data!$4:$4,0))))</f>
        <v>38.299999999999997</v>
      </c>
      <c r="D405" s="148">
        <f t="shared" ca="1" si="16"/>
        <v>26.700000000000003</v>
      </c>
      <c r="E405" s="148">
        <f t="shared" ca="1" si="17"/>
        <v>0</v>
      </c>
    </row>
    <row r="406" spans="2:5" x14ac:dyDescent="0.25">
      <c r="B406" s="8">
        <v>38000</v>
      </c>
      <c r="C406" s="6">
        <f ca="1">IF(OR($C$7="",$B406&gt;NOW()),"",IF(INDEX(Data!$A:$G,MATCH($B406,Data!$A:$A,0),MATCH($C$7,Data!$4:$4,0))="","",INDEX(Data!$A:$G,MATCH($B406,Data!$A:$A,0),MATCH($C$7,Data!$4:$4,0))))</f>
        <v>15.6</v>
      </c>
      <c r="D406" s="148">
        <f t="shared" ca="1" si="16"/>
        <v>49.4</v>
      </c>
      <c r="E406" s="148">
        <f t="shared" ca="1" si="17"/>
        <v>0</v>
      </c>
    </row>
    <row r="407" spans="2:5" x14ac:dyDescent="0.25">
      <c r="B407" s="8">
        <v>38001</v>
      </c>
      <c r="C407" s="6">
        <f ca="1">IF(OR($C$7="",$B407&gt;NOW()),"",IF(INDEX(Data!$A:$G,MATCH($B407,Data!$A:$A,0),MATCH($C$7,Data!$4:$4,0))="","",INDEX(Data!$A:$G,MATCH($B407,Data!$A:$A,0),MATCH($C$7,Data!$4:$4,0))))</f>
        <v>13.2</v>
      </c>
      <c r="D407" s="148">
        <f t="shared" ca="1" si="16"/>
        <v>51.8</v>
      </c>
      <c r="E407" s="148">
        <f t="shared" ca="1" si="17"/>
        <v>0</v>
      </c>
    </row>
    <row r="408" spans="2:5" x14ac:dyDescent="0.25">
      <c r="B408" s="8">
        <v>38002</v>
      </c>
      <c r="C408" s="6">
        <f ca="1">IF(OR($C$7="",$B408&gt;NOW()),"",IF(INDEX(Data!$A:$G,MATCH($B408,Data!$A:$A,0),MATCH($C$7,Data!$4:$4,0))="","",INDEX(Data!$A:$G,MATCH($B408,Data!$A:$A,0),MATCH($C$7,Data!$4:$4,0))))</f>
        <v>12</v>
      </c>
      <c r="D408" s="148">
        <f t="shared" ca="1" si="16"/>
        <v>53</v>
      </c>
      <c r="E408" s="148">
        <f t="shared" ca="1" si="17"/>
        <v>0</v>
      </c>
    </row>
    <row r="409" spans="2:5" x14ac:dyDescent="0.25">
      <c r="B409" s="8">
        <v>38003</v>
      </c>
      <c r="C409" s="6">
        <f ca="1">IF(OR($C$7="",$B409&gt;NOW()),"",IF(INDEX(Data!$A:$G,MATCH($B409,Data!$A:$A,0),MATCH($C$7,Data!$4:$4,0))="","",INDEX(Data!$A:$G,MATCH($B409,Data!$A:$A,0),MATCH($C$7,Data!$4:$4,0))))</f>
        <v>25.1</v>
      </c>
      <c r="D409" s="148">
        <f t="shared" ca="1" si="16"/>
        <v>39.9</v>
      </c>
      <c r="E409" s="148">
        <f t="shared" ca="1" si="17"/>
        <v>0</v>
      </c>
    </row>
    <row r="410" spans="2:5" x14ac:dyDescent="0.25">
      <c r="B410" s="8">
        <v>38004</v>
      </c>
      <c r="C410" s="6">
        <f ca="1">IF(OR($C$7="",$B410&gt;NOW()),"",IF(INDEX(Data!$A:$G,MATCH($B410,Data!$A:$A,0),MATCH($C$7,Data!$4:$4,0))="","",INDEX(Data!$A:$G,MATCH($B410,Data!$A:$A,0),MATCH($C$7,Data!$4:$4,0))))</f>
        <v>32.5</v>
      </c>
      <c r="D410" s="148">
        <f t="shared" ca="1" si="16"/>
        <v>32.5</v>
      </c>
      <c r="E410" s="148">
        <f t="shared" ca="1" si="17"/>
        <v>0</v>
      </c>
    </row>
    <row r="411" spans="2:5" x14ac:dyDescent="0.25">
      <c r="B411" s="8">
        <v>38005</v>
      </c>
      <c r="C411" s="6">
        <f ca="1">IF(OR($C$7="",$B411&gt;NOW()),"",IF(INDEX(Data!$A:$G,MATCH($B411,Data!$A:$A,0),MATCH($C$7,Data!$4:$4,0))="","",INDEX(Data!$A:$G,MATCH($B411,Data!$A:$A,0),MATCH($C$7,Data!$4:$4,0))))</f>
        <v>26.6</v>
      </c>
      <c r="D411" s="148">
        <f t="shared" ca="1" si="16"/>
        <v>38.4</v>
      </c>
      <c r="E411" s="148">
        <f t="shared" ca="1" si="17"/>
        <v>0</v>
      </c>
    </row>
    <row r="412" spans="2:5" x14ac:dyDescent="0.25">
      <c r="B412" s="8">
        <v>38006</v>
      </c>
      <c r="C412" s="6">
        <f ca="1">IF(OR($C$7="",$B412&gt;NOW()),"",IF(INDEX(Data!$A:$G,MATCH($B412,Data!$A:$A,0),MATCH($C$7,Data!$4:$4,0))="","",INDEX(Data!$A:$G,MATCH($B412,Data!$A:$A,0),MATCH($C$7,Data!$4:$4,0))))</f>
        <v>22.6</v>
      </c>
      <c r="D412" s="148">
        <f t="shared" ca="1" si="16"/>
        <v>42.4</v>
      </c>
      <c r="E412" s="148">
        <f t="shared" ca="1" si="17"/>
        <v>0</v>
      </c>
    </row>
    <row r="413" spans="2:5" x14ac:dyDescent="0.25">
      <c r="B413" s="8">
        <v>38007</v>
      </c>
      <c r="C413" s="6">
        <f ca="1">IF(OR($C$7="",$B413&gt;NOW()),"",IF(INDEX(Data!$A:$G,MATCH($B413,Data!$A:$A,0),MATCH($C$7,Data!$4:$4,0))="","",INDEX(Data!$A:$G,MATCH($B413,Data!$A:$A,0),MATCH($C$7,Data!$4:$4,0))))</f>
        <v>21.8</v>
      </c>
      <c r="D413" s="148">
        <f t="shared" ref="D413:D476" ca="1" si="18">IF($C413="","",IF($C413&gt;$D$26,0,$D$26-$C413))</f>
        <v>43.2</v>
      </c>
      <c r="E413" s="148">
        <f t="shared" ref="E413:E476" ca="1" si="19">IF($C413="","",IF($C413&lt;$E$26,0,$C413-$E$26))</f>
        <v>0</v>
      </c>
    </row>
    <row r="414" spans="2:5" x14ac:dyDescent="0.25">
      <c r="B414" s="8">
        <v>38008</v>
      </c>
      <c r="C414" s="6">
        <f ca="1">IF(OR($C$7="",$B414&gt;NOW()),"",IF(INDEX(Data!$A:$G,MATCH($B414,Data!$A:$A,0),MATCH($C$7,Data!$4:$4,0))="","",INDEX(Data!$A:$G,MATCH($B414,Data!$A:$A,0),MATCH($C$7,Data!$4:$4,0))))</f>
        <v>28.8</v>
      </c>
      <c r="D414" s="148">
        <f t="shared" ca="1" si="18"/>
        <v>36.200000000000003</v>
      </c>
      <c r="E414" s="148">
        <f t="shared" ca="1" si="19"/>
        <v>0</v>
      </c>
    </row>
    <row r="415" spans="2:5" x14ac:dyDescent="0.25">
      <c r="B415" s="8">
        <v>38009</v>
      </c>
      <c r="C415" s="6">
        <f ca="1">IF(OR($C$7="",$B415&gt;NOW()),"",IF(INDEX(Data!$A:$G,MATCH($B415,Data!$A:$A,0),MATCH($C$7,Data!$4:$4,0))="","",INDEX(Data!$A:$G,MATCH($B415,Data!$A:$A,0),MATCH($C$7,Data!$4:$4,0))))</f>
        <v>20.100000000000001</v>
      </c>
      <c r="D415" s="148">
        <f t="shared" ca="1" si="18"/>
        <v>44.9</v>
      </c>
      <c r="E415" s="148">
        <f t="shared" ca="1" si="19"/>
        <v>0</v>
      </c>
    </row>
    <row r="416" spans="2:5" x14ac:dyDescent="0.25">
      <c r="B416" s="8">
        <v>38010</v>
      </c>
      <c r="C416" s="6">
        <f ca="1">IF(OR($C$7="",$B416&gt;NOW()),"",IF(INDEX(Data!$A:$G,MATCH($B416,Data!$A:$A,0),MATCH($C$7,Data!$4:$4,0))="","",INDEX(Data!$A:$G,MATCH($B416,Data!$A:$A,0),MATCH($C$7,Data!$4:$4,0))))</f>
        <v>17.5</v>
      </c>
      <c r="D416" s="148">
        <f t="shared" ca="1" si="18"/>
        <v>47.5</v>
      </c>
      <c r="E416" s="148">
        <f t="shared" ca="1" si="19"/>
        <v>0</v>
      </c>
    </row>
    <row r="417" spans="2:5" x14ac:dyDescent="0.25">
      <c r="B417" s="8">
        <v>38011</v>
      </c>
      <c r="C417" s="6">
        <f ca="1">IF(OR($C$7="",$B417&gt;NOW()),"",IF(INDEX(Data!$A:$G,MATCH($B417,Data!$A:$A,0),MATCH($C$7,Data!$4:$4,0))="","",INDEX(Data!$A:$G,MATCH($B417,Data!$A:$A,0),MATCH($C$7,Data!$4:$4,0))))</f>
        <v>13.3</v>
      </c>
      <c r="D417" s="148">
        <f t="shared" ca="1" si="18"/>
        <v>51.7</v>
      </c>
      <c r="E417" s="148">
        <f t="shared" ca="1" si="19"/>
        <v>0</v>
      </c>
    </row>
    <row r="418" spans="2:5" x14ac:dyDescent="0.25">
      <c r="B418" s="8">
        <v>38012</v>
      </c>
      <c r="C418" s="6">
        <f ca="1">IF(OR($C$7="",$B418&gt;NOW()),"",IF(INDEX(Data!$A:$G,MATCH($B418,Data!$A:$A,0),MATCH($C$7,Data!$4:$4,0))="","",INDEX(Data!$A:$G,MATCH($B418,Data!$A:$A,0),MATCH($C$7,Data!$4:$4,0))))</f>
        <v>18.3</v>
      </c>
      <c r="D418" s="148">
        <f t="shared" ca="1" si="18"/>
        <v>46.7</v>
      </c>
      <c r="E418" s="148">
        <f t="shared" ca="1" si="19"/>
        <v>0</v>
      </c>
    </row>
    <row r="419" spans="2:5" x14ac:dyDescent="0.25">
      <c r="B419" s="8">
        <v>38013</v>
      </c>
      <c r="C419" s="6">
        <f ca="1">IF(OR($C$7="",$B419&gt;NOW()),"",IF(INDEX(Data!$A:$G,MATCH($B419,Data!$A:$A,0),MATCH($C$7,Data!$4:$4,0))="","",INDEX(Data!$A:$G,MATCH($B419,Data!$A:$A,0),MATCH($C$7,Data!$4:$4,0))))</f>
        <v>21.5</v>
      </c>
      <c r="D419" s="148">
        <f t="shared" ca="1" si="18"/>
        <v>43.5</v>
      </c>
      <c r="E419" s="148">
        <f t="shared" ca="1" si="19"/>
        <v>0</v>
      </c>
    </row>
    <row r="420" spans="2:5" x14ac:dyDescent="0.25">
      <c r="B420" s="8">
        <v>38014</v>
      </c>
      <c r="C420" s="6">
        <f ca="1">IF(OR($C$7="",$B420&gt;NOW()),"",IF(INDEX(Data!$A:$G,MATCH($B420,Data!$A:$A,0),MATCH($C$7,Data!$4:$4,0))="","",INDEX(Data!$A:$G,MATCH($B420,Data!$A:$A,0),MATCH($C$7,Data!$4:$4,0))))</f>
        <v>24.4</v>
      </c>
      <c r="D420" s="148">
        <f t="shared" ca="1" si="18"/>
        <v>40.6</v>
      </c>
      <c r="E420" s="148">
        <f t="shared" ca="1" si="19"/>
        <v>0</v>
      </c>
    </row>
    <row r="421" spans="2:5" x14ac:dyDescent="0.25">
      <c r="B421" s="8">
        <v>38015</v>
      </c>
      <c r="C421" s="6">
        <f ca="1">IF(OR($C$7="",$B421&gt;NOW()),"",IF(INDEX(Data!$A:$G,MATCH($B421,Data!$A:$A,0),MATCH($C$7,Data!$4:$4,0))="","",INDEX(Data!$A:$G,MATCH($B421,Data!$A:$A,0),MATCH($C$7,Data!$4:$4,0))))</f>
        <v>25.2</v>
      </c>
      <c r="D421" s="148">
        <f t="shared" ca="1" si="18"/>
        <v>39.799999999999997</v>
      </c>
      <c r="E421" s="148">
        <f t="shared" ca="1" si="19"/>
        <v>0</v>
      </c>
    </row>
    <row r="422" spans="2:5" x14ac:dyDescent="0.25">
      <c r="B422" s="8">
        <v>38016</v>
      </c>
      <c r="C422" s="6">
        <f ca="1">IF(OR($C$7="",$B422&gt;NOW()),"",IF(INDEX(Data!$A:$G,MATCH($B422,Data!$A:$A,0),MATCH($C$7,Data!$4:$4,0))="","",INDEX(Data!$A:$G,MATCH($B422,Data!$A:$A,0),MATCH($C$7,Data!$4:$4,0))))</f>
        <v>20</v>
      </c>
      <c r="D422" s="148">
        <f t="shared" ca="1" si="18"/>
        <v>45</v>
      </c>
      <c r="E422" s="148">
        <f t="shared" ca="1" si="19"/>
        <v>0</v>
      </c>
    </row>
    <row r="423" spans="2:5" x14ac:dyDescent="0.25">
      <c r="B423" s="8">
        <v>38017</v>
      </c>
      <c r="C423" s="6">
        <f ca="1">IF(OR($C$7="",$B423&gt;NOW()),"",IF(INDEX(Data!$A:$G,MATCH($B423,Data!$A:$A,0),MATCH($C$7,Data!$4:$4,0))="","",INDEX(Data!$A:$G,MATCH($B423,Data!$A:$A,0),MATCH($C$7,Data!$4:$4,0))))</f>
        <v>21.7</v>
      </c>
      <c r="D423" s="148">
        <f t="shared" ca="1" si="18"/>
        <v>43.3</v>
      </c>
      <c r="E423" s="148">
        <f t="shared" ca="1" si="19"/>
        <v>0</v>
      </c>
    </row>
    <row r="424" spans="2:5" x14ac:dyDescent="0.25">
      <c r="B424" s="8">
        <v>38018</v>
      </c>
      <c r="C424" s="6">
        <f ca="1">IF(OR($C$7="",$B424&gt;NOW()),"",IF(INDEX(Data!$A:$G,MATCH($B424,Data!$A:$A,0),MATCH($C$7,Data!$4:$4,0))="","",INDEX(Data!$A:$G,MATCH($B424,Data!$A:$A,0),MATCH($C$7,Data!$4:$4,0))))</f>
        <v>27.1</v>
      </c>
      <c r="D424" s="148">
        <f t="shared" ca="1" si="18"/>
        <v>37.9</v>
      </c>
      <c r="E424" s="148">
        <f t="shared" ca="1" si="19"/>
        <v>0</v>
      </c>
    </row>
    <row r="425" spans="2:5" x14ac:dyDescent="0.25">
      <c r="B425" s="8">
        <v>38019</v>
      </c>
      <c r="C425" s="6">
        <f ca="1">IF(OR($C$7="",$B425&gt;NOW()),"",IF(INDEX(Data!$A:$G,MATCH($B425,Data!$A:$A,0),MATCH($C$7,Data!$4:$4,0))="","",INDEX(Data!$A:$G,MATCH($B425,Data!$A:$A,0),MATCH($C$7,Data!$4:$4,0))))</f>
        <v>29.8</v>
      </c>
      <c r="D425" s="148">
        <f t="shared" ca="1" si="18"/>
        <v>35.200000000000003</v>
      </c>
      <c r="E425" s="148">
        <f t="shared" ca="1" si="19"/>
        <v>0</v>
      </c>
    </row>
    <row r="426" spans="2:5" x14ac:dyDescent="0.25">
      <c r="B426" s="8">
        <v>38020</v>
      </c>
      <c r="C426" s="6">
        <f ca="1">IF(OR($C$7="",$B426&gt;NOW()),"",IF(INDEX(Data!$A:$G,MATCH($B426,Data!$A:$A,0),MATCH($C$7,Data!$4:$4,0))="","",INDEX(Data!$A:$G,MATCH($B426,Data!$A:$A,0),MATCH($C$7,Data!$4:$4,0))))</f>
        <v>31.4</v>
      </c>
      <c r="D426" s="148">
        <f t="shared" ca="1" si="18"/>
        <v>33.6</v>
      </c>
      <c r="E426" s="148">
        <f t="shared" ca="1" si="19"/>
        <v>0</v>
      </c>
    </row>
    <row r="427" spans="2:5" x14ac:dyDescent="0.25">
      <c r="B427" s="8">
        <v>38021</v>
      </c>
      <c r="C427" s="6">
        <f ca="1">IF(OR($C$7="",$B427&gt;NOW()),"",IF(INDEX(Data!$A:$G,MATCH($B427,Data!$A:$A,0),MATCH($C$7,Data!$4:$4,0))="","",INDEX(Data!$A:$G,MATCH($B427,Data!$A:$A,0),MATCH($C$7,Data!$4:$4,0))))</f>
        <v>38.9</v>
      </c>
      <c r="D427" s="148">
        <f t="shared" ca="1" si="18"/>
        <v>26.1</v>
      </c>
      <c r="E427" s="148">
        <f t="shared" ca="1" si="19"/>
        <v>0</v>
      </c>
    </row>
    <row r="428" spans="2:5" x14ac:dyDescent="0.25">
      <c r="B428" s="8">
        <v>38022</v>
      </c>
      <c r="C428" s="6">
        <f ca="1">IF(OR($C$7="",$B428&gt;NOW()),"",IF(INDEX(Data!$A:$G,MATCH($B428,Data!$A:$A,0),MATCH($C$7,Data!$4:$4,0))="","",INDEX(Data!$A:$G,MATCH($B428,Data!$A:$A,0),MATCH($C$7,Data!$4:$4,0))))</f>
        <v>32</v>
      </c>
      <c r="D428" s="148">
        <f t="shared" ca="1" si="18"/>
        <v>33</v>
      </c>
      <c r="E428" s="148">
        <f t="shared" ca="1" si="19"/>
        <v>0</v>
      </c>
    </row>
    <row r="429" spans="2:5" x14ac:dyDescent="0.25">
      <c r="B429" s="8">
        <v>38023</v>
      </c>
      <c r="C429" s="6">
        <f ca="1">IF(OR($C$7="",$B429&gt;NOW()),"",IF(INDEX(Data!$A:$G,MATCH($B429,Data!$A:$A,0),MATCH($C$7,Data!$4:$4,0))="","",INDEX(Data!$A:$G,MATCH($B429,Data!$A:$A,0),MATCH($C$7,Data!$4:$4,0))))</f>
        <v>32.4</v>
      </c>
      <c r="D429" s="148">
        <f t="shared" ca="1" si="18"/>
        <v>32.6</v>
      </c>
      <c r="E429" s="148">
        <f t="shared" ca="1" si="19"/>
        <v>0</v>
      </c>
    </row>
    <row r="430" spans="2:5" x14ac:dyDescent="0.25">
      <c r="B430" s="8">
        <v>38024</v>
      </c>
      <c r="C430" s="6">
        <f ca="1">IF(OR($C$7="",$B430&gt;NOW()),"",IF(INDEX(Data!$A:$G,MATCH($B430,Data!$A:$A,0),MATCH($C$7,Data!$4:$4,0))="","",INDEX(Data!$A:$G,MATCH($B430,Data!$A:$A,0),MATCH($C$7,Data!$4:$4,0))))</f>
        <v>38.200000000000003</v>
      </c>
      <c r="D430" s="148">
        <f t="shared" ca="1" si="18"/>
        <v>26.799999999999997</v>
      </c>
      <c r="E430" s="148">
        <f t="shared" ca="1" si="19"/>
        <v>0</v>
      </c>
    </row>
    <row r="431" spans="2:5" x14ac:dyDescent="0.25">
      <c r="B431" s="8">
        <v>38025</v>
      </c>
      <c r="C431" s="6">
        <f ca="1">IF(OR($C$7="",$B431&gt;NOW()),"",IF(INDEX(Data!$A:$G,MATCH($B431,Data!$A:$A,0),MATCH($C$7,Data!$4:$4,0))="","",INDEX(Data!$A:$G,MATCH($B431,Data!$A:$A,0),MATCH($C$7,Data!$4:$4,0))))</f>
        <v>27.5</v>
      </c>
      <c r="D431" s="148">
        <f t="shared" ca="1" si="18"/>
        <v>37.5</v>
      </c>
      <c r="E431" s="148">
        <f t="shared" ca="1" si="19"/>
        <v>0</v>
      </c>
    </row>
    <row r="432" spans="2:5" x14ac:dyDescent="0.25">
      <c r="B432" s="8">
        <v>38026</v>
      </c>
      <c r="C432" s="6">
        <f ca="1">IF(OR($C$7="",$B432&gt;NOW()),"",IF(INDEX(Data!$A:$G,MATCH($B432,Data!$A:$A,0),MATCH($C$7,Data!$4:$4,0))="","",INDEX(Data!$A:$G,MATCH($B432,Data!$A:$A,0),MATCH($C$7,Data!$4:$4,0))))</f>
        <v>33.799999999999997</v>
      </c>
      <c r="D432" s="148">
        <f t="shared" ca="1" si="18"/>
        <v>31.200000000000003</v>
      </c>
      <c r="E432" s="148">
        <f t="shared" ca="1" si="19"/>
        <v>0</v>
      </c>
    </row>
    <row r="433" spans="2:5" x14ac:dyDescent="0.25">
      <c r="B433" s="8">
        <v>38027</v>
      </c>
      <c r="C433" s="6">
        <f ca="1">IF(OR($C$7="",$B433&gt;NOW()),"",IF(INDEX(Data!$A:$G,MATCH($B433,Data!$A:$A,0),MATCH($C$7,Data!$4:$4,0))="","",INDEX(Data!$A:$G,MATCH($B433,Data!$A:$A,0),MATCH($C$7,Data!$4:$4,0))))</f>
        <v>42.9</v>
      </c>
      <c r="D433" s="148">
        <f t="shared" ca="1" si="18"/>
        <v>22.1</v>
      </c>
      <c r="E433" s="148">
        <f t="shared" ca="1" si="19"/>
        <v>0</v>
      </c>
    </row>
    <row r="434" spans="2:5" x14ac:dyDescent="0.25">
      <c r="B434" s="8">
        <v>38028</v>
      </c>
      <c r="C434" s="6">
        <f ca="1">IF(OR($C$7="",$B434&gt;NOW()),"",IF(INDEX(Data!$A:$G,MATCH($B434,Data!$A:$A,0),MATCH($C$7,Data!$4:$4,0))="","",INDEX(Data!$A:$G,MATCH($B434,Data!$A:$A,0),MATCH($C$7,Data!$4:$4,0))))</f>
        <v>38.6</v>
      </c>
      <c r="D434" s="148">
        <f t="shared" ca="1" si="18"/>
        <v>26.4</v>
      </c>
      <c r="E434" s="148">
        <f t="shared" ca="1" si="19"/>
        <v>0</v>
      </c>
    </row>
    <row r="435" spans="2:5" x14ac:dyDescent="0.25">
      <c r="B435" s="8">
        <v>38029</v>
      </c>
      <c r="C435" s="6">
        <f ca="1">IF(OR($C$7="",$B435&gt;NOW()),"",IF(INDEX(Data!$A:$G,MATCH($B435,Data!$A:$A,0),MATCH($C$7,Data!$4:$4,0))="","",INDEX(Data!$A:$G,MATCH($B435,Data!$A:$A,0),MATCH($C$7,Data!$4:$4,0))))</f>
        <v>33.1</v>
      </c>
      <c r="D435" s="148">
        <f t="shared" ca="1" si="18"/>
        <v>31.9</v>
      </c>
      <c r="E435" s="148">
        <f t="shared" ca="1" si="19"/>
        <v>0</v>
      </c>
    </row>
    <row r="436" spans="2:5" x14ac:dyDescent="0.25">
      <c r="B436" s="8">
        <v>38030</v>
      </c>
      <c r="C436" s="6">
        <f ca="1">IF(OR($C$7="",$B436&gt;NOW()),"",IF(INDEX(Data!$A:$G,MATCH($B436,Data!$A:$A,0),MATCH($C$7,Data!$4:$4,0))="","",INDEX(Data!$A:$G,MATCH($B436,Data!$A:$A,0),MATCH($C$7,Data!$4:$4,0))))</f>
        <v>38</v>
      </c>
      <c r="D436" s="148">
        <f t="shared" ca="1" si="18"/>
        <v>27</v>
      </c>
      <c r="E436" s="148">
        <f t="shared" ca="1" si="19"/>
        <v>0</v>
      </c>
    </row>
    <row r="437" spans="2:5" x14ac:dyDescent="0.25">
      <c r="B437" s="8">
        <v>38031</v>
      </c>
      <c r="C437" s="6">
        <f ca="1">IF(OR($C$7="",$B437&gt;NOW()),"",IF(INDEX(Data!$A:$G,MATCH($B437,Data!$A:$A,0),MATCH($C$7,Data!$4:$4,0))="","",INDEX(Data!$A:$G,MATCH($B437,Data!$A:$A,0),MATCH($C$7,Data!$4:$4,0))))</f>
        <v>37.9</v>
      </c>
      <c r="D437" s="148">
        <f t="shared" ca="1" si="18"/>
        <v>27.1</v>
      </c>
      <c r="E437" s="148">
        <f t="shared" ca="1" si="19"/>
        <v>0</v>
      </c>
    </row>
    <row r="438" spans="2:5" x14ac:dyDescent="0.25">
      <c r="B438" s="8">
        <v>38032</v>
      </c>
      <c r="C438" s="6">
        <f ca="1">IF(OR($C$7="",$B438&gt;NOW()),"",IF(INDEX(Data!$A:$G,MATCH($B438,Data!$A:$A,0),MATCH($C$7,Data!$4:$4,0))="","",INDEX(Data!$A:$G,MATCH($B438,Data!$A:$A,0),MATCH($C$7,Data!$4:$4,0))))</f>
        <v>29.9</v>
      </c>
      <c r="D438" s="148">
        <f t="shared" ca="1" si="18"/>
        <v>35.1</v>
      </c>
      <c r="E438" s="148">
        <f t="shared" ca="1" si="19"/>
        <v>0</v>
      </c>
    </row>
    <row r="439" spans="2:5" x14ac:dyDescent="0.25">
      <c r="B439" s="8">
        <v>38033</v>
      </c>
      <c r="C439" s="6">
        <f ca="1">IF(OR($C$7="",$B439&gt;NOW()),"",IF(INDEX(Data!$A:$G,MATCH($B439,Data!$A:$A,0),MATCH($C$7,Data!$4:$4,0))="","",INDEX(Data!$A:$G,MATCH($B439,Data!$A:$A,0),MATCH($C$7,Data!$4:$4,0))))</f>
        <v>21.8</v>
      </c>
      <c r="D439" s="148">
        <f t="shared" ca="1" si="18"/>
        <v>43.2</v>
      </c>
      <c r="E439" s="148">
        <f t="shared" ca="1" si="19"/>
        <v>0</v>
      </c>
    </row>
    <row r="440" spans="2:5" x14ac:dyDescent="0.25">
      <c r="B440" s="8">
        <v>38034</v>
      </c>
      <c r="C440" s="6">
        <f ca="1">IF(OR($C$7="",$B440&gt;NOW()),"",IF(INDEX(Data!$A:$G,MATCH($B440,Data!$A:$A,0),MATCH($C$7,Data!$4:$4,0))="","",INDEX(Data!$A:$G,MATCH($B440,Data!$A:$A,0),MATCH($C$7,Data!$4:$4,0))))</f>
        <v>26.9</v>
      </c>
      <c r="D440" s="148">
        <f t="shared" ca="1" si="18"/>
        <v>38.1</v>
      </c>
      <c r="E440" s="148">
        <f t="shared" ca="1" si="19"/>
        <v>0</v>
      </c>
    </row>
    <row r="441" spans="2:5" x14ac:dyDescent="0.25">
      <c r="B441" s="8">
        <v>38035</v>
      </c>
      <c r="C441" s="6">
        <f ca="1">IF(OR($C$7="",$B441&gt;NOW()),"",IF(INDEX(Data!$A:$G,MATCH($B441,Data!$A:$A,0),MATCH($C$7,Data!$4:$4,0))="","",INDEX(Data!$A:$G,MATCH($B441,Data!$A:$A,0),MATCH($C$7,Data!$4:$4,0))))</f>
        <v>33.4</v>
      </c>
      <c r="D441" s="148">
        <f t="shared" ca="1" si="18"/>
        <v>31.6</v>
      </c>
      <c r="E441" s="148">
        <f t="shared" ca="1" si="19"/>
        <v>0</v>
      </c>
    </row>
    <row r="442" spans="2:5" x14ac:dyDescent="0.25">
      <c r="B442" s="8">
        <v>38036</v>
      </c>
      <c r="C442" s="6">
        <f ca="1">IF(OR($C$7="",$B442&gt;NOW()),"",IF(INDEX(Data!$A:$G,MATCH($B442,Data!$A:$A,0),MATCH($C$7,Data!$4:$4,0))="","",INDEX(Data!$A:$G,MATCH($B442,Data!$A:$A,0),MATCH($C$7,Data!$4:$4,0))))</f>
        <v>36.299999999999997</v>
      </c>
      <c r="D442" s="148">
        <f t="shared" ca="1" si="18"/>
        <v>28.700000000000003</v>
      </c>
      <c r="E442" s="148">
        <f t="shared" ca="1" si="19"/>
        <v>0</v>
      </c>
    </row>
    <row r="443" spans="2:5" x14ac:dyDescent="0.25">
      <c r="B443" s="8">
        <v>38037</v>
      </c>
      <c r="C443" s="6">
        <f ca="1">IF(OR($C$7="",$B443&gt;NOW()),"",IF(INDEX(Data!$A:$G,MATCH($B443,Data!$A:$A,0),MATCH($C$7,Data!$4:$4,0))="","",INDEX(Data!$A:$G,MATCH($B443,Data!$A:$A,0),MATCH($C$7,Data!$4:$4,0))))</f>
        <v>37</v>
      </c>
      <c r="D443" s="148">
        <f t="shared" ca="1" si="18"/>
        <v>28</v>
      </c>
      <c r="E443" s="148">
        <f t="shared" ca="1" si="19"/>
        <v>0</v>
      </c>
    </row>
    <row r="444" spans="2:5" x14ac:dyDescent="0.25">
      <c r="B444" s="8">
        <v>38038</v>
      </c>
      <c r="C444" s="6">
        <f ca="1">IF(OR($C$7="",$B444&gt;NOW()),"",IF(INDEX(Data!$A:$G,MATCH($B444,Data!$A:$A,0),MATCH($C$7,Data!$4:$4,0))="","",INDEX(Data!$A:$G,MATCH($B444,Data!$A:$A,0),MATCH($C$7,Data!$4:$4,0))))</f>
        <v>39.4</v>
      </c>
      <c r="D444" s="148">
        <f t="shared" ca="1" si="18"/>
        <v>25.6</v>
      </c>
      <c r="E444" s="148">
        <f t="shared" ca="1" si="19"/>
        <v>0</v>
      </c>
    </row>
    <row r="445" spans="2:5" x14ac:dyDescent="0.25">
      <c r="B445" s="8">
        <v>38039</v>
      </c>
      <c r="C445" s="6">
        <f ca="1">IF(OR($C$7="",$B445&gt;NOW()),"",IF(INDEX(Data!$A:$G,MATCH($B445,Data!$A:$A,0),MATCH($C$7,Data!$4:$4,0))="","",INDEX(Data!$A:$G,MATCH($B445,Data!$A:$A,0),MATCH($C$7,Data!$4:$4,0))))</f>
        <v>39</v>
      </c>
      <c r="D445" s="148">
        <f t="shared" ca="1" si="18"/>
        <v>26</v>
      </c>
      <c r="E445" s="148">
        <f t="shared" ca="1" si="19"/>
        <v>0</v>
      </c>
    </row>
    <row r="446" spans="2:5" x14ac:dyDescent="0.25">
      <c r="B446" s="8">
        <v>38040</v>
      </c>
      <c r="C446" s="6">
        <f ca="1">IF(OR($C$7="",$B446&gt;NOW()),"",IF(INDEX(Data!$A:$G,MATCH($B446,Data!$A:$A,0),MATCH($C$7,Data!$4:$4,0))="","",INDEX(Data!$A:$G,MATCH($B446,Data!$A:$A,0),MATCH($C$7,Data!$4:$4,0))))</f>
        <v>37.1</v>
      </c>
      <c r="D446" s="148">
        <f t="shared" ca="1" si="18"/>
        <v>27.9</v>
      </c>
      <c r="E446" s="148">
        <f t="shared" ca="1" si="19"/>
        <v>0</v>
      </c>
    </row>
    <row r="447" spans="2:5" x14ac:dyDescent="0.25">
      <c r="B447" s="8">
        <v>38041</v>
      </c>
      <c r="C447" s="6">
        <f ca="1">IF(OR($C$7="",$B447&gt;NOW()),"",IF(INDEX(Data!$A:$G,MATCH($B447,Data!$A:$A,0),MATCH($C$7,Data!$4:$4,0))="","",INDEX(Data!$A:$G,MATCH($B447,Data!$A:$A,0),MATCH($C$7,Data!$4:$4,0))))</f>
        <v>36</v>
      </c>
      <c r="D447" s="148">
        <f t="shared" ca="1" si="18"/>
        <v>29</v>
      </c>
      <c r="E447" s="148">
        <f t="shared" ca="1" si="19"/>
        <v>0</v>
      </c>
    </row>
    <row r="448" spans="2:5" x14ac:dyDescent="0.25">
      <c r="B448" s="8">
        <v>38042</v>
      </c>
      <c r="C448" s="6">
        <f ca="1">IF(OR($C$7="",$B448&gt;NOW()),"",IF(INDEX(Data!$A:$G,MATCH($B448,Data!$A:$A,0),MATCH($C$7,Data!$4:$4,0))="","",INDEX(Data!$A:$G,MATCH($B448,Data!$A:$A,0),MATCH($C$7,Data!$4:$4,0))))</f>
        <v>32.1</v>
      </c>
      <c r="D448" s="148">
        <f t="shared" ca="1" si="18"/>
        <v>32.9</v>
      </c>
      <c r="E448" s="148">
        <f t="shared" ca="1" si="19"/>
        <v>0</v>
      </c>
    </row>
    <row r="449" spans="2:5" x14ac:dyDescent="0.25">
      <c r="B449" s="8">
        <v>38043</v>
      </c>
      <c r="C449" s="6">
        <f ca="1">IF(OR($C$7="",$B449&gt;NOW()),"",IF(INDEX(Data!$A:$G,MATCH($B449,Data!$A:$A,0),MATCH($C$7,Data!$4:$4,0))="","",INDEX(Data!$A:$G,MATCH($B449,Data!$A:$A,0),MATCH($C$7,Data!$4:$4,0))))</f>
        <v>35.700000000000003</v>
      </c>
      <c r="D449" s="148">
        <f t="shared" ca="1" si="18"/>
        <v>29.299999999999997</v>
      </c>
      <c r="E449" s="148">
        <f t="shared" ca="1" si="19"/>
        <v>0</v>
      </c>
    </row>
    <row r="450" spans="2:5" x14ac:dyDescent="0.25">
      <c r="B450" s="8">
        <v>38044</v>
      </c>
      <c r="C450" s="6">
        <f ca="1">IF(OR($C$7="",$B450&gt;NOW()),"",IF(INDEX(Data!$A:$G,MATCH($B450,Data!$A:$A,0),MATCH($C$7,Data!$4:$4,0))="","",INDEX(Data!$A:$G,MATCH($B450,Data!$A:$A,0),MATCH($C$7,Data!$4:$4,0))))</f>
        <v>36.1</v>
      </c>
      <c r="D450" s="148">
        <f t="shared" ca="1" si="18"/>
        <v>28.9</v>
      </c>
      <c r="E450" s="148">
        <f t="shared" ca="1" si="19"/>
        <v>0</v>
      </c>
    </row>
    <row r="451" spans="2:5" x14ac:dyDescent="0.25">
      <c r="B451" s="8">
        <v>38045</v>
      </c>
      <c r="C451" s="6">
        <f ca="1">IF(OR($C$7="",$B451&gt;NOW()),"",IF(INDEX(Data!$A:$G,MATCH($B451,Data!$A:$A,0),MATCH($C$7,Data!$4:$4,0))="","",INDEX(Data!$A:$G,MATCH($B451,Data!$A:$A,0),MATCH($C$7,Data!$4:$4,0))))</f>
        <v>40.9</v>
      </c>
      <c r="D451" s="148">
        <f t="shared" ca="1" si="18"/>
        <v>24.1</v>
      </c>
      <c r="E451" s="148">
        <f t="shared" ca="1" si="19"/>
        <v>0</v>
      </c>
    </row>
    <row r="452" spans="2:5" x14ac:dyDescent="0.25">
      <c r="B452" s="8">
        <v>38046</v>
      </c>
      <c r="C452" s="6">
        <f ca="1">IF(OR($C$7="",$B452&gt;NOW()),"",IF(INDEX(Data!$A:$G,MATCH($B452,Data!$A:$A,0),MATCH($C$7,Data!$4:$4,0))="","",INDEX(Data!$A:$G,MATCH($B452,Data!$A:$A,0),MATCH($C$7,Data!$4:$4,0))))</f>
        <v>49</v>
      </c>
      <c r="D452" s="148">
        <f t="shared" ca="1" si="18"/>
        <v>16</v>
      </c>
      <c r="E452" s="148">
        <f t="shared" ca="1" si="19"/>
        <v>0</v>
      </c>
    </row>
    <row r="453" spans="2:5" x14ac:dyDescent="0.25">
      <c r="B453" s="8">
        <v>38047</v>
      </c>
      <c r="C453" s="6">
        <f ca="1">IF(OR($C$7="",$B453&gt;NOW()),"",IF(INDEX(Data!$A:$G,MATCH($B453,Data!$A:$A,0),MATCH($C$7,Data!$4:$4,0))="","",INDEX(Data!$A:$G,MATCH($B453,Data!$A:$A,0),MATCH($C$7,Data!$4:$4,0))))</f>
        <v>53.3</v>
      </c>
      <c r="D453" s="148">
        <f t="shared" ca="1" si="18"/>
        <v>11.700000000000003</v>
      </c>
      <c r="E453" s="148">
        <f t="shared" ca="1" si="19"/>
        <v>0</v>
      </c>
    </row>
    <row r="454" spans="2:5" x14ac:dyDescent="0.25">
      <c r="B454" s="8">
        <v>38048</v>
      </c>
      <c r="C454" s="6">
        <f ca="1">IF(OR($C$7="",$B454&gt;NOW()),"",IF(INDEX(Data!$A:$G,MATCH($B454,Data!$A:$A,0),MATCH($C$7,Data!$4:$4,0))="","",INDEX(Data!$A:$G,MATCH($B454,Data!$A:$A,0),MATCH($C$7,Data!$4:$4,0))))</f>
        <v>51</v>
      </c>
      <c r="D454" s="148">
        <f t="shared" ca="1" si="18"/>
        <v>14</v>
      </c>
      <c r="E454" s="148">
        <f t="shared" ca="1" si="19"/>
        <v>0</v>
      </c>
    </row>
    <row r="455" spans="2:5" x14ac:dyDescent="0.25">
      <c r="B455" s="8">
        <v>38049</v>
      </c>
      <c r="C455" s="6">
        <f ca="1">IF(OR($C$7="",$B455&gt;NOW()),"",IF(INDEX(Data!$A:$G,MATCH($B455,Data!$A:$A,0),MATCH($C$7,Data!$4:$4,0))="","",INDEX(Data!$A:$G,MATCH($B455,Data!$A:$A,0),MATCH($C$7,Data!$4:$4,0))))</f>
        <v>52.3</v>
      </c>
      <c r="D455" s="148">
        <f t="shared" ca="1" si="18"/>
        <v>12.700000000000003</v>
      </c>
      <c r="E455" s="148">
        <f t="shared" ca="1" si="19"/>
        <v>0</v>
      </c>
    </row>
    <row r="456" spans="2:5" x14ac:dyDescent="0.25">
      <c r="B456" s="8">
        <v>38050</v>
      </c>
      <c r="C456" s="6">
        <f ca="1">IF(OR($C$7="",$B456&gt;NOW()),"",IF(INDEX(Data!$A:$G,MATCH($B456,Data!$A:$A,0),MATCH($C$7,Data!$4:$4,0))="","",INDEX(Data!$A:$G,MATCH($B456,Data!$A:$A,0),MATCH($C$7,Data!$4:$4,0))))</f>
        <v>48.5</v>
      </c>
      <c r="D456" s="148">
        <f t="shared" ca="1" si="18"/>
        <v>16.5</v>
      </c>
      <c r="E456" s="148">
        <f t="shared" ca="1" si="19"/>
        <v>0</v>
      </c>
    </row>
    <row r="457" spans="2:5" x14ac:dyDescent="0.25">
      <c r="B457" s="8">
        <v>38051</v>
      </c>
      <c r="C457" s="6">
        <f ca="1">IF(OR($C$7="",$B457&gt;NOW()),"",IF(INDEX(Data!$A:$G,MATCH($B457,Data!$A:$A,0),MATCH($C$7,Data!$4:$4,0))="","",INDEX(Data!$A:$G,MATCH($B457,Data!$A:$A,0),MATCH($C$7,Data!$4:$4,0))))</f>
        <v>45</v>
      </c>
      <c r="D457" s="148">
        <f t="shared" ca="1" si="18"/>
        <v>20</v>
      </c>
      <c r="E457" s="148">
        <f t="shared" ca="1" si="19"/>
        <v>0</v>
      </c>
    </row>
    <row r="458" spans="2:5" x14ac:dyDescent="0.25">
      <c r="B458" s="8">
        <v>38052</v>
      </c>
      <c r="C458" s="6">
        <f ca="1">IF(OR($C$7="",$B458&gt;NOW()),"",IF(INDEX(Data!$A:$G,MATCH($B458,Data!$A:$A,0),MATCH($C$7,Data!$4:$4,0))="","",INDEX(Data!$A:$G,MATCH($B458,Data!$A:$A,0),MATCH($C$7,Data!$4:$4,0))))</f>
        <v>50</v>
      </c>
      <c r="D458" s="148">
        <f t="shared" ca="1" si="18"/>
        <v>15</v>
      </c>
      <c r="E458" s="148">
        <f t="shared" ca="1" si="19"/>
        <v>0</v>
      </c>
    </row>
    <row r="459" spans="2:5" x14ac:dyDescent="0.25">
      <c r="B459" s="8">
        <v>38053</v>
      </c>
      <c r="C459" s="6">
        <f ca="1">IF(OR($C$7="",$B459&gt;NOW()),"",IF(INDEX(Data!$A:$G,MATCH($B459,Data!$A:$A,0),MATCH($C$7,Data!$4:$4,0))="","",INDEX(Data!$A:$G,MATCH($B459,Data!$A:$A,0),MATCH($C$7,Data!$4:$4,0))))</f>
        <v>45.4</v>
      </c>
      <c r="D459" s="148">
        <f t="shared" ca="1" si="18"/>
        <v>19.600000000000001</v>
      </c>
      <c r="E459" s="148">
        <f t="shared" ca="1" si="19"/>
        <v>0</v>
      </c>
    </row>
    <row r="460" spans="2:5" x14ac:dyDescent="0.25">
      <c r="B460" s="8">
        <v>38054</v>
      </c>
      <c r="C460" s="6">
        <f ca="1">IF(OR($C$7="",$B460&gt;NOW()),"",IF(INDEX(Data!$A:$G,MATCH($B460,Data!$A:$A,0),MATCH($C$7,Data!$4:$4,0))="","",INDEX(Data!$A:$G,MATCH($B460,Data!$A:$A,0),MATCH($C$7,Data!$4:$4,0))))</f>
        <v>37.9</v>
      </c>
      <c r="D460" s="148">
        <f t="shared" ca="1" si="18"/>
        <v>27.1</v>
      </c>
      <c r="E460" s="148">
        <f t="shared" ca="1" si="19"/>
        <v>0</v>
      </c>
    </row>
    <row r="461" spans="2:5" x14ac:dyDescent="0.25">
      <c r="B461" s="8">
        <v>38055</v>
      </c>
      <c r="C461" s="6">
        <f ca="1">IF(OR($C$7="",$B461&gt;NOW()),"",IF(INDEX(Data!$A:$G,MATCH($B461,Data!$A:$A,0),MATCH($C$7,Data!$4:$4,0))="","",INDEX(Data!$A:$G,MATCH($B461,Data!$A:$A,0),MATCH($C$7,Data!$4:$4,0))))</f>
        <v>36.9</v>
      </c>
      <c r="D461" s="148">
        <f t="shared" ca="1" si="18"/>
        <v>28.1</v>
      </c>
      <c r="E461" s="148">
        <f t="shared" ca="1" si="19"/>
        <v>0</v>
      </c>
    </row>
    <row r="462" spans="2:5" x14ac:dyDescent="0.25">
      <c r="B462" s="8">
        <v>38056</v>
      </c>
      <c r="C462" s="6">
        <f ca="1">IF(OR($C$7="",$B462&gt;NOW()),"",IF(INDEX(Data!$A:$G,MATCH($B462,Data!$A:$A,0),MATCH($C$7,Data!$4:$4,0))="","",INDEX(Data!$A:$G,MATCH($B462,Data!$A:$A,0),MATCH($C$7,Data!$4:$4,0))))</f>
        <v>37.799999999999997</v>
      </c>
      <c r="D462" s="148">
        <f t="shared" ca="1" si="18"/>
        <v>27.200000000000003</v>
      </c>
      <c r="E462" s="148">
        <f t="shared" ca="1" si="19"/>
        <v>0</v>
      </c>
    </row>
    <row r="463" spans="2:5" x14ac:dyDescent="0.25">
      <c r="B463" s="8">
        <v>38057</v>
      </c>
      <c r="C463" s="6">
        <f ca="1">IF(OR($C$7="",$B463&gt;NOW()),"",IF(INDEX(Data!$A:$G,MATCH($B463,Data!$A:$A,0),MATCH($C$7,Data!$4:$4,0))="","",INDEX(Data!$A:$G,MATCH($B463,Data!$A:$A,0),MATCH($C$7,Data!$4:$4,0))))</f>
        <v>42.9</v>
      </c>
      <c r="D463" s="148">
        <f t="shared" ca="1" si="18"/>
        <v>22.1</v>
      </c>
      <c r="E463" s="148">
        <f t="shared" ca="1" si="19"/>
        <v>0</v>
      </c>
    </row>
    <row r="464" spans="2:5" x14ac:dyDescent="0.25">
      <c r="B464" s="8">
        <v>38058</v>
      </c>
      <c r="C464" s="6">
        <f ca="1">IF(OR($C$7="",$B464&gt;NOW()),"",IF(INDEX(Data!$A:$G,MATCH($B464,Data!$A:$A,0),MATCH($C$7,Data!$4:$4,0))="","",INDEX(Data!$A:$G,MATCH($B464,Data!$A:$A,0),MATCH($C$7,Data!$4:$4,0))))</f>
        <v>44.6</v>
      </c>
      <c r="D464" s="148">
        <f t="shared" ca="1" si="18"/>
        <v>20.399999999999999</v>
      </c>
      <c r="E464" s="148">
        <f t="shared" ca="1" si="19"/>
        <v>0</v>
      </c>
    </row>
    <row r="465" spans="2:5" x14ac:dyDescent="0.25">
      <c r="B465" s="8">
        <v>38059</v>
      </c>
      <c r="C465" s="6">
        <f ca="1">IF(OR($C$7="",$B465&gt;NOW()),"",IF(INDEX(Data!$A:$G,MATCH($B465,Data!$A:$A,0),MATCH($C$7,Data!$4:$4,0))="","",INDEX(Data!$A:$G,MATCH($B465,Data!$A:$A,0),MATCH($C$7,Data!$4:$4,0))))</f>
        <v>36.5</v>
      </c>
      <c r="D465" s="148">
        <f t="shared" ca="1" si="18"/>
        <v>28.5</v>
      </c>
      <c r="E465" s="148">
        <f t="shared" ca="1" si="19"/>
        <v>0</v>
      </c>
    </row>
    <row r="466" spans="2:5" x14ac:dyDescent="0.25">
      <c r="B466" s="8">
        <v>38060</v>
      </c>
      <c r="C466" s="6">
        <f ca="1">IF(OR($C$7="",$B466&gt;NOW()),"",IF(INDEX(Data!$A:$G,MATCH($B466,Data!$A:$A,0),MATCH($C$7,Data!$4:$4,0))="","",INDEX(Data!$A:$G,MATCH($B466,Data!$A:$A,0),MATCH($C$7,Data!$4:$4,0))))</f>
        <v>34.6</v>
      </c>
      <c r="D466" s="148">
        <f t="shared" ca="1" si="18"/>
        <v>30.4</v>
      </c>
      <c r="E466" s="148">
        <f t="shared" ca="1" si="19"/>
        <v>0</v>
      </c>
    </row>
    <row r="467" spans="2:5" x14ac:dyDescent="0.25">
      <c r="B467" s="8">
        <v>38061</v>
      </c>
      <c r="C467" s="6">
        <f ca="1">IF(OR($C$7="",$B467&gt;NOW()),"",IF(INDEX(Data!$A:$G,MATCH($B467,Data!$A:$A,0),MATCH($C$7,Data!$4:$4,0))="","",INDEX(Data!$A:$G,MATCH($B467,Data!$A:$A,0),MATCH($C$7,Data!$4:$4,0))))</f>
        <v>48</v>
      </c>
      <c r="D467" s="148">
        <f t="shared" ca="1" si="18"/>
        <v>17</v>
      </c>
      <c r="E467" s="148">
        <f t="shared" ca="1" si="19"/>
        <v>0</v>
      </c>
    </row>
    <row r="468" spans="2:5" x14ac:dyDescent="0.25">
      <c r="B468" s="8">
        <v>38062</v>
      </c>
      <c r="C468" s="6">
        <f ca="1">IF(OR($C$7="",$B468&gt;NOW()),"",IF(INDEX(Data!$A:$G,MATCH($B468,Data!$A:$A,0),MATCH($C$7,Data!$4:$4,0))="","",INDEX(Data!$A:$G,MATCH($B468,Data!$A:$A,0),MATCH($C$7,Data!$4:$4,0))))</f>
        <v>37.799999999999997</v>
      </c>
      <c r="D468" s="148">
        <f t="shared" ca="1" si="18"/>
        <v>27.200000000000003</v>
      </c>
      <c r="E468" s="148">
        <f t="shared" ca="1" si="19"/>
        <v>0</v>
      </c>
    </row>
    <row r="469" spans="2:5" x14ac:dyDescent="0.25">
      <c r="B469" s="8">
        <v>38063</v>
      </c>
      <c r="C469" s="6">
        <f ca="1">IF(OR($C$7="",$B469&gt;NOW()),"",IF(INDEX(Data!$A:$G,MATCH($B469,Data!$A:$A,0),MATCH($C$7,Data!$4:$4,0))="","",INDEX(Data!$A:$G,MATCH($B469,Data!$A:$A,0),MATCH($C$7,Data!$4:$4,0))))</f>
        <v>30.4</v>
      </c>
      <c r="D469" s="148">
        <f t="shared" ca="1" si="18"/>
        <v>34.6</v>
      </c>
      <c r="E469" s="148">
        <f t="shared" ca="1" si="19"/>
        <v>0</v>
      </c>
    </row>
    <row r="470" spans="2:5" x14ac:dyDescent="0.25">
      <c r="B470" s="8">
        <v>38064</v>
      </c>
      <c r="C470" s="6">
        <f ca="1">IF(OR($C$7="",$B470&gt;NOW()),"",IF(INDEX(Data!$A:$G,MATCH($B470,Data!$A:$A,0),MATCH($C$7,Data!$4:$4,0))="","",INDEX(Data!$A:$G,MATCH($B470,Data!$A:$A,0),MATCH($C$7,Data!$4:$4,0))))</f>
        <v>31.7</v>
      </c>
      <c r="D470" s="148">
        <f t="shared" ca="1" si="18"/>
        <v>33.299999999999997</v>
      </c>
      <c r="E470" s="148">
        <f t="shared" ca="1" si="19"/>
        <v>0</v>
      </c>
    </row>
    <row r="471" spans="2:5" x14ac:dyDescent="0.25">
      <c r="B471" s="8">
        <v>38065</v>
      </c>
      <c r="C471" s="6">
        <f ca="1">IF(OR($C$7="",$B471&gt;NOW()),"",IF(INDEX(Data!$A:$G,MATCH($B471,Data!$A:$A,0),MATCH($C$7,Data!$4:$4,0))="","",INDEX(Data!$A:$G,MATCH($B471,Data!$A:$A,0),MATCH($C$7,Data!$4:$4,0))))</f>
        <v>36.6</v>
      </c>
      <c r="D471" s="148">
        <f t="shared" ca="1" si="18"/>
        <v>28.4</v>
      </c>
      <c r="E471" s="148">
        <f t="shared" ca="1" si="19"/>
        <v>0</v>
      </c>
    </row>
    <row r="472" spans="2:5" x14ac:dyDescent="0.25">
      <c r="B472" s="8">
        <v>38066</v>
      </c>
      <c r="C472" s="6">
        <f ca="1">IF(OR($C$7="",$B472&gt;NOW()),"",IF(INDEX(Data!$A:$G,MATCH($B472,Data!$A:$A,0),MATCH($C$7,Data!$4:$4,0))="","",INDEX(Data!$A:$G,MATCH($B472,Data!$A:$A,0),MATCH($C$7,Data!$4:$4,0))))</f>
        <v>39.200000000000003</v>
      </c>
      <c r="D472" s="148">
        <f t="shared" ca="1" si="18"/>
        <v>25.799999999999997</v>
      </c>
      <c r="E472" s="148">
        <f t="shared" ca="1" si="19"/>
        <v>0</v>
      </c>
    </row>
    <row r="473" spans="2:5" x14ac:dyDescent="0.25">
      <c r="B473" s="8">
        <v>38067</v>
      </c>
      <c r="C473" s="6">
        <f ca="1">IF(OR($C$7="",$B473&gt;NOW()),"",IF(INDEX(Data!$A:$G,MATCH($B473,Data!$A:$A,0),MATCH($C$7,Data!$4:$4,0))="","",INDEX(Data!$A:$G,MATCH($B473,Data!$A:$A,0),MATCH($C$7,Data!$4:$4,0))))</f>
        <v>44</v>
      </c>
      <c r="D473" s="148">
        <f t="shared" ca="1" si="18"/>
        <v>21</v>
      </c>
      <c r="E473" s="148">
        <f t="shared" ca="1" si="19"/>
        <v>0</v>
      </c>
    </row>
    <row r="474" spans="2:5" x14ac:dyDescent="0.25">
      <c r="B474" s="8">
        <v>38068</v>
      </c>
      <c r="C474" s="6">
        <f ca="1">IF(OR($C$7="",$B474&gt;NOW()),"",IF(INDEX(Data!$A:$G,MATCH($B474,Data!$A:$A,0),MATCH($C$7,Data!$4:$4,0))="","",INDEX(Data!$A:$G,MATCH($B474,Data!$A:$A,0),MATCH($C$7,Data!$4:$4,0))))</f>
        <v>31.3</v>
      </c>
      <c r="D474" s="148">
        <f t="shared" ca="1" si="18"/>
        <v>33.700000000000003</v>
      </c>
      <c r="E474" s="148">
        <f t="shared" ca="1" si="19"/>
        <v>0</v>
      </c>
    </row>
    <row r="475" spans="2:5" x14ac:dyDescent="0.25">
      <c r="B475" s="8">
        <v>38069</v>
      </c>
      <c r="C475" s="6">
        <f ca="1">IF(OR($C$7="",$B475&gt;NOW()),"",IF(INDEX(Data!$A:$G,MATCH($B475,Data!$A:$A,0),MATCH($C$7,Data!$4:$4,0))="","",INDEX(Data!$A:$G,MATCH($B475,Data!$A:$A,0),MATCH($C$7,Data!$4:$4,0))))</f>
        <v>33.5</v>
      </c>
      <c r="D475" s="148">
        <f t="shared" ca="1" si="18"/>
        <v>31.5</v>
      </c>
      <c r="E475" s="148">
        <f t="shared" ca="1" si="19"/>
        <v>0</v>
      </c>
    </row>
    <row r="476" spans="2:5" x14ac:dyDescent="0.25">
      <c r="B476" s="8">
        <v>38070</v>
      </c>
      <c r="C476" s="6">
        <f ca="1">IF(OR($C$7="",$B476&gt;NOW()),"",IF(INDEX(Data!$A:$G,MATCH($B476,Data!$A:$A,0),MATCH($C$7,Data!$4:$4,0))="","",INDEX(Data!$A:$G,MATCH($B476,Data!$A:$A,0),MATCH($C$7,Data!$4:$4,0))))</f>
        <v>45.7</v>
      </c>
      <c r="D476" s="148">
        <f t="shared" ca="1" si="18"/>
        <v>19.299999999999997</v>
      </c>
      <c r="E476" s="148">
        <f t="shared" ca="1" si="19"/>
        <v>0</v>
      </c>
    </row>
    <row r="477" spans="2:5" x14ac:dyDescent="0.25">
      <c r="B477" s="8">
        <v>38071</v>
      </c>
      <c r="C477" s="6">
        <f ca="1">IF(OR($C$7="",$B477&gt;NOW()),"",IF(INDEX(Data!$A:$G,MATCH($B477,Data!$A:$A,0),MATCH($C$7,Data!$4:$4,0))="","",INDEX(Data!$A:$G,MATCH($B477,Data!$A:$A,0),MATCH($C$7,Data!$4:$4,0))))</f>
        <v>47.1</v>
      </c>
      <c r="D477" s="148">
        <f t="shared" ref="D477:D540" ca="1" si="20">IF($C477="","",IF($C477&gt;$D$26,0,$D$26-$C477))</f>
        <v>17.899999999999999</v>
      </c>
      <c r="E477" s="148">
        <f t="shared" ref="E477:E540" ca="1" si="21">IF($C477="","",IF($C477&lt;$E$26,0,$C477-$E$26))</f>
        <v>0</v>
      </c>
    </row>
    <row r="478" spans="2:5" x14ac:dyDescent="0.25">
      <c r="B478" s="8">
        <v>38072</v>
      </c>
      <c r="C478" s="6">
        <f ca="1">IF(OR($C$7="",$B478&gt;NOW()),"",IF(INDEX(Data!$A:$G,MATCH($B478,Data!$A:$A,0),MATCH($C$7,Data!$4:$4,0))="","",INDEX(Data!$A:$G,MATCH($B478,Data!$A:$A,0),MATCH($C$7,Data!$4:$4,0))))</f>
        <v>49.9</v>
      </c>
      <c r="D478" s="148">
        <f t="shared" ca="1" si="20"/>
        <v>15.100000000000001</v>
      </c>
      <c r="E478" s="148">
        <f t="shared" ca="1" si="21"/>
        <v>0</v>
      </c>
    </row>
    <row r="479" spans="2:5" x14ac:dyDescent="0.25">
      <c r="B479" s="8">
        <v>38073</v>
      </c>
      <c r="C479" s="6">
        <f ca="1">IF(OR($C$7="",$B479&gt;NOW()),"",IF(INDEX(Data!$A:$G,MATCH($B479,Data!$A:$A,0),MATCH($C$7,Data!$4:$4,0))="","",INDEX(Data!$A:$G,MATCH($B479,Data!$A:$A,0),MATCH($C$7,Data!$4:$4,0))))</f>
        <v>57.1</v>
      </c>
      <c r="D479" s="148">
        <f t="shared" ca="1" si="20"/>
        <v>7.8999999999999986</v>
      </c>
      <c r="E479" s="148">
        <f t="shared" ca="1" si="21"/>
        <v>0</v>
      </c>
    </row>
    <row r="480" spans="2:5" x14ac:dyDescent="0.25">
      <c r="B480" s="8">
        <v>38074</v>
      </c>
      <c r="C480" s="6">
        <f ca="1">IF(OR($C$7="",$B480&gt;NOW()),"",IF(INDEX(Data!$A:$G,MATCH($B480,Data!$A:$A,0),MATCH($C$7,Data!$4:$4,0))="","",INDEX(Data!$A:$G,MATCH($B480,Data!$A:$A,0),MATCH($C$7,Data!$4:$4,0))))</f>
        <v>52.1</v>
      </c>
      <c r="D480" s="148">
        <f t="shared" ca="1" si="20"/>
        <v>12.899999999999999</v>
      </c>
      <c r="E480" s="148">
        <f t="shared" ca="1" si="21"/>
        <v>0</v>
      </c>
    </row>
    <row r="481" spans="2:5" x14ac:dyDescent="0.25">
      <c r="B481" s="8">
        <v>38075</v>
      </c>
      <c r="C481" s="6">
        <f ca="1">IF(OR($C$7="",$B481&gt;NOW()),"",IF(INDEX(Data!$A:$G,MATCH($B481,Data!$A:$A,0),MATCH($C$7,Data!$4:$4,0))="","",INDEX(Data!$A:$G,MATCH($B481,Data!$A:$A,0),MATCH($C$7,Data!$4:$4,0))))</f>
        <v>43.1</v>
      </c>
      <c r="D481" s="148">
        <f t="shared" ca="1" si="20"/>
        <v>21.9</v>
      </c>
      <c r="E481" s="148">
        <f t="shared" ca="1" si="21"/>
        <v>0</v>
      </c>
    </row>
    <row r="482" spans="2:5" x14ac:dyDescent="0.25">
      <c r="B482" s="8">
        <v>38076</v>
      </c>
      <c r="C482" s="6">
        <f ca="1">IF(OR($C$7="",$B482&gt;NOW()),"",IF(INDEX(Data!$A:$G,MATCH($B482,Data!$A:$A,0),MATCH($C$7,Data!$4:$4,0))="","",INDEX(Data!$A:$G,MATCH($B482,Data!$A:$A,0),MATCH($C$7,Data!$4:$4,0))))</f>
        <v>38.4</v>
      </c>
      <c r="D482" s="148">
        <f t="shared" ca="1" si="20"/>
        <v>26.6</v>
      </c>
      <c r="E482" s="148">
        <f t="shared" ca="1" si="21"/>
        <v>0</v>
      </c>
    </row>
    <row r="483" spans="2:5" x14ac:dyDescent="0.25">
      <c r="B483" s="8">
        <v>38077</v>
      </c>
      <c r="C483" s="6">
        <f ca="1">IF(OR($C$7="",$B483&gt;NOW()),"",IF(INDEX(Data!$A:$G,MATCH($B483,Data!$A:$A,0),MATCH($C$7,Data!$4:$4,0))="","",INDEX(Data!$A:$G,MATCH($B483,Data!$A:$A,0),MATCH($C$7,Data!$4:$4,0))))</f>
        <v>42.2</v>
      </c>
      <c r="D483" s="148">
        <f t="shared" ca="1" si="20"/>
        <v>22.799999999999997</v>
      </c>
      <c r="E483" s="148">
        <f t="shared" ca="1" si="21"/>
        <v>0</v>
      </c>
    </row>
    <row r="484" spans="2:5" x14ac:dyDescent="0.25">
      <c r="B484" s="8">
        <v>38078</v>
      </c>
      <c r="C484" s="6">
        <f ca="1">IF(OR($C$7="",$B484&gt;NOW()),"",IF(INDEX(Data!$A:$G,MATCH($B484,Data!$A:$A,0),MATCH($C$7,Data!$4:$4,0))="","",INDEX(Data!$A:$G,MATCH($B484,Data!$A:$A,0),MATCH($C$7,Data!$4:$4,0))))</f>
        <v>44.4</v>
      </c>
      <c r="D484" s="148">
        <f t="shared" ca="1" si="20"/>
        <v>20.6</v>
      </c>
      <c r="E484" s="148">
        <f t="shared" ca="1" si="21"/>
        <v>0</v>
      </c>
    </row>
    <row r="485" spans="2:5" x14ac:dyDescent="0.25">
      <c r="B485" s="8">
        <v>38079</v>
      </c>
      <c r="C485" s="6">
        <f ca="1">IF(OR($C$7="",$B485&gt;NOW()),"",IF(INDEX(Data!$A:$G,MATCH($B485,Data!$A:$A,0),MATCH($C$7,Data!$4:$4,0))="","",INDEX(Data!$A:$G,MATCH($B485,Data!$A:$A,0),MATCH($C$7,Data!$4:$4,0))))</f>
        <v>44.9</v>
      </c>
      <c r="D485" s="148">
        <f t="shared" ca="1" si="20"/>
        <v>20.100000000000001</v>
      </c>
      <c r="E485" s="148">
        <f t="shared" ca="1" si="21"/>
        <v>0</v>
      </c>
    </row>
    <row r="486" spans="2:5" x14ac:dyDescent="0.25">
      <c r="B486" s="8">
        <v>38080</v>
      </c>
      <c r="C486" s="6">
        <f ca="1">IF(OR($C$7="",$B486&gt;NOW()),"",IF(INDEX(Data!$A:$G,MATCH($B486,Data!$A:$A,0),MATCH($C$7,Data!$4:$4,0))="","",INDEX(Data!$A:$G,MATCH($B486,Data!$A:$A,0),MATCH($C$7,Data!$4:$4,0))))</f>
        <v>44</v>
      </c>
      <c r="D486" s="148">
        <f t="shared" ca="1" si="20"/>
        <v>21</v>
      </c>
      <c r="E486" s="148">
        <f t="shared" ca="1" si="21"/>
        <v>0</v>
      </c>
    </row>
    <row r="487" spans="2:5" x14ac:dyDescent="0.25">
      <c r="B487" s="8">
        <v>38081</v>
      </c>
      <c r="C487" s="6">
        <f ca="1">IF(OR($C$7="",$B487&gt;NOW()),"",IF(INDEX(Data!$A:$G,MATCH($B487,Data!$A:$A,0),MATCH($C$7,Data!$4:$4,0))="","",INDEX(Data!$A:$G,MATCH($B487,Data!$A:$A,0),MATCH($C$7,Data!$4:$4,0))))</f>
        <v>48.1</v>
      </c>
      <c r="D487" s="148">
        <f t="shared" ca="1" si="20"/>
        <v>16.899999999999999</v>
      </c>
      <c r="E487" s="148">
        <f t="shared" ca="1" si="21"/>
        <v>0</v>
      </c>
    </row>
    <row r="488" spans="2:5" x14ac:dyDescent="0.25">
      <c r="B488" s="8">
        <v>38082</v>
      </c>
      <c r="C488" s="6">
        <f ca="1">IF(OR($C$7="",$B488&gt;NOW()),"",IF(INDEX(Data!$A:$G,MATCH($B488,Data!$A:$A,0),MATCH($C$7,Data!$4:$4,0))="","",INDEX(Data!$A:$G,MATCH($B488,Data!$A:$A,0),MATCH($C$7,Data!$4:$4,0))))</f>
        <v>36.299999999999997</v>
      </c>
      <c r="D488" s="148">
        <f t="shared" ca="1" si="20"/>
        <v>28.700000000000003</v>
      </c>
      <c r="E488" s="148">
        <f t="shared" ca="1" si="21"/>
        <v>0</v>
      </c>
    </row>
    <row r="489" spans="2:5" x14ac:dyDescent="0.25">
      <c r="B489" s="8">
        <v>38083</v>
      </c>
      <c r="C489" s="6">
        <f ca="1">IF(OR($C$7="",$B489&gt;NOW()),"",IF(INDEX(Data!$A:$G,MATCH($B489,Data!$A:$A,0),MATCH($C$7,Data!$4:$4,0))="","",INDEX(Data!$A:$G,MATCH($B489,Data!$A:$A,0),MATCH($C$7,Data!$4:$4,0))))</f>
        <v>40.4</v>
      </c>
      <c r="D489" s="148">
        <f t="shared" ca="1" si="20"/>
        <v>24.6</v>
      </c>
      <c r="E489" s="148">
        <f t="shared" ca="1" si="21"/>
        <v>0</v>
      </c>
    </row>
    <row r="490" spans="2:5" x14ac:dyDescent="0.25">
      <c r="B490" s="8">
        <v>38084</v>
      </c>
      <c r="C490" s="6">
        <f ca="1">IF(OR($C$7="",$B490&gt;NOW()),"",IF(INDEX(Data!$A:$G,MATCH($B490,Data!$A:$A,0),MATCH($C$7,Data!$4:$4,0))="","",INDEX(Data!$A:$G,MATCH($B490,Data!$A:$A,0),MATCH($C$7,Data!$4:$4,0))))</f>
        <v>53.2</v>
      </c>
      <c r="D490" s="148">
        <f t="shared" ca="1" si="20"/>
        <v>11.799999999999997</v>
      </c>
      <c r="E490" s="148">
        <f t="shared" ca="1" si="21"/>
        <v>0</v>
      </c>
    </row>
    <row r="491" spans="2:5" x14ac:dyDescent="0.25">
      <c r="B491" s="8">
        <v>38085</v>
      </c>
      <c r="C491" s="6">
        <f ca="1">IF(OR($C$7="",$B491&gt;NOW()),"",IF(INDEX(Data!$A:$G,MATCH($B491,Data!$A:$A,0),MATCH($C$7,Data!$4:$4,0))="","",INDEX(Data!$A:$G,MATCH($B491,Data!$A:$A,0),MATCH($C$7,Data!$4:$4,0))))</f>
        <v>47.5</v>
      </c>
      <c r="D491" s="148">
        <f t="shared" ca="1" si="20"/>
        <v>17.5</v>
      </c>
      <c r="E491" s="148">
        <f t="shared" ca="1" si="21"/>
        <v>0</v>
      </c>
    </row>
    <row r="492" spans="2:5" x14ac:dyDescent="0.25">
      <c r="B492" s="8">
        <v>38086</v>
      </c>
      <c r="C492" s="6">
        <f ca="1">IF(OR($C$7="",$B492&gt;NOW()),"",IF(INDEX(Data!$A:$G,MATCH($B492,Data!$A:$A,0),MATCH($C$7,Data!$4:$4,0))="","",INDEX(Data!$A:$G,MATCH($B492,Data!$A:$A,0),MATCH($C$7,Data!$4:$4,0))))</f>
        <v>50.5</v>
      </c>
      <c r="D492" s="148">
        <f t="shared" ca="1" si="20"/>
        <v>14.5</v>
      </c>
      <c r="E492" s="148">
        <f t="shared" ca="1" si="21"/>
        <v>0</v>
      </c>
    </row>
    <row r="493" spans="2:5" x14ac:dyDescent="0.25">
      <c r="B493" s="8">
        <v>38087</v>
      </c>
      <c r="C493" s="6">
        <f ca="1">IF(OR($C$7="",$B493&gt;NOW()),"",IF(INDEX(Data!$A:$G,MATCH($B493,Data!$A:$A,0),MATCH($C$7,Data!$4:$4,0))="","",INDEX(Data!$A:$G,MATCH($B493,Data!$A:$A,0),MATCH($C$7,Data!$4:$4,0))))</f>
        <v>52.1</v>
      </c>
      <c r="D493" s="148">
        <f t="shared" ca="1" si="20"/>
        <v>12.899999999999999</v>
      </c>
      <c r="E493" s="148">
        <f t="shared" ca="1" si="21"/>
        <v>0</v>
      </c>
    </row>
    <row r="494" spans="2:5" x14ac:dyDescent="0.25">
      <c r="B494" s="8">
        <v>38088</v>
      </c>
      <c r="C494" s="6">
        <f ca="1">IF(OR($C$7="",$B494&gt;NOW()),"",IF(INDEX(Data!$A:$G,MATCH($B494,Data!$A:$A,0),MATCH($C$7,Data!$4:$4,0))="","",INDEX(Data!$A:$G,MATCH($B494,Data!$A:$A,0),MATCH($C$7,Data!$4:$4,0))))</f>
        <v>48.4</v>
      </c>
      <c r="D494" s="148">
        <f t="shared" ca="1" si="20"/>
        <v>16.600000000000001</v>
      </c>
      <c r="E494" s="148">
        <f t="shared" ca="1" si="21"/>
        <v>0</v>
      </c>
    </row>
    <row r="495" spans="2:5" x14ac:dyDescent="0.25">
      <c r="B495" s="8">
        <v>38089</v>
      </c>
      <c r="C495" s="6">
        <f ca="1">IF(OR($C$7="",$B495&gt;NOW()),"",IF(INDEX(Data!$A:$G,MATCH($B495,Data!$A:$A,0),MATCH($C$7,Data!$4:$4,0))="","",INDEX(Data!$A:$G,MATCH($B495,Data!$A:$A,0),MATCH($C$7,Data!$4:$4,0))))</f>
        <v>46.7</v>
      </c>
      <c r="D495" s="148">
        <f t="shared" ca="1" si="20"/>
        <v>18.299999999999997</v>
      </c>
      <c r="E495" s="148">
        <f t="shared" ca="1" si="21"/>
        <v>0</v>
      </c>
    </row>
    <row r="496" spans="2:5" x14ac:dyDescent="0.25">
      <c r="B496" s="8">
        <v>38090</v>
      </c>
      <c r="C496" s="6">
        <f ca="1">IF(OR($C$7="",$B496&gt;NOW()),"",IF(INDEX(Data!$A:$G,MATCH($B496,Data!$A:$A,0),MATCH($C$7,Data!$4:$4,0))="","",INDEX(Data!$A:$G,MATCH($B496,Data!$A:$A,0),MATCH($C$7,Data!$4:$4,0))))</f>
        <v>44.9</v>
      </c>
      <c r="D496" s="148">
        <f t="shared" ca="1" si="20"/>
        <v>20.100000000000001</v>
      </c>
      <c r="E496" s="148">
        <f t="shared" ca="1" si="21"/>
        <v>0</v>
      </c>
    </row>
    <row r="497" spans="2:5" x14ac:dyDescent="0.25">
      <c r="B497" s="8">
        <v>38091</v>
      </c>
      <c r="C497" s="6">
        <f ca="1">IF(OR($C$7="",$B497&gt;NOW()),"",IF(INDEX(Data!$A:$G,MATCH($B497,Data!$A:$A,0),MATCH($C$7,Data!$4:$4,0))="","",INDEX(Data!$A:$G,MATCH($B497,Data!$A:$A,0),MATCH($C$7,Data!$4:$4,0))))</f>
        <v>51.5</v>
      </c>
      <c r="D497" s="148">
        <f t="shared" ca="1" si="20"/>
        <v>13.5</v>
      </c>
      <c r="E497" s="148">
        <f t="shared" ca="1" si="21"/>
        <v>0</v>
      </c>
    </row>
    <row r="498" spans="2:5" x14ac:dyDescent="0.25">
      <c r="B498" s="8">
        <v>38092</v>
      </c>
      <c r="C498" s="6">
        <f ca="1">IF(OR($C$7="",$B498&gt;NOW()),"",IF(INDEX(Data!$A:$G,MATCH($B498,Data!$A:$A,0),MATCH($C$7,Data!$4:$4,0))="","",INDEX(Data!$A:$G,MATCH($B498,Data!$A:$A,0),MATCH($C$7,Data!$4:$4,0))))</f>
        <v>49.3</v>
      </c>
      <c r="D498" s="148">
        <f t="shared" ca="1" si="20"/>
        <v>15.700000000000003</v>
      </c>
      <c r="E498" s="148">
        <f t="shared" ca="1" si="21"/>
        <v>0</v>
      </c>
    </row>
    <row r="499" spans="2:5" x14ac:dyDescent="0.25">
      <c r="B499" s="8">
        <v>38093</v>
      </c>
      <c r="C499" s="6">
        <f ca="1">IF(OR($C$7="",$B499&gt;NOW()),"",IF(INDEX(Data!$A:$G,MATCH($B499,Data!$A:$A,0),MATCH($C$7,Data!$4:$4,0))="","",INDEX(Data!$A:$G,MATCH($B499,Data!$A:$A,0),MATCH($C$7,Data!$4:$4,0))))</f>
        <v>51.3</v>
      </c>
      <c r="D499" s="148">
        <f t="shared" ca="1" si="20"/>
        <v>13.700000000000003</v>
      </c>
      <c r="E499" s="148">
        <f t="shared" ca="1" si="21"/>
        <v>0</v>
      </c>
    </row>
    <row r="500" spans="2:5" x14ac:dyDescent="0.25">
      <c r="B500" s="8">
        <v>38094</v>
      </c>
      <c r="C500" s="6">
        <f ca="1">IF(OR($C$7="",$B500&gt;NOW()),"",IF(INDEX(Data!$A:$G,MATCH($B500,Data!$A:$A,0),MATCH($C$7,Data!$4:$4,0))="","",INDEX(Data!$A:$G,MATCH($B500,Data!$A:$A,0),MATCH($C$7,Data!$4:$4,0))))</f>
        <v>57</v>
      </c>
      <c r="D500" s="148">
        <f t="shared" ca="1" si="20"/>
        <v>8</v>
      </c>
      <c r="E500" s="148">
        <f t="shared" ca="1" si="21"/>
        <v>0</v>
      </c>
    </row>
    <row r="501" spans="2:5" x14ac:dyDescent="0.25">
      <c r="B501" s="8">
        <v>38095</v>
      </c>
      <c r="C501" s="6">
        <f ca="1">IF(OR($C$7="",$B501&gt;NOW()),"",IF(INDEX(Data!$A:$G,MATCH($B501,Data!$A:$A,0),MATCH($C$7,Data!$4:$4,0))="","",INDEX(Data!$A:$G,MATCH($B501,Data!$A:$A,0),MATCH($C$7,Data!$4:$4,0))))</f>
        <v>64.7</v>
      </c>
      <c r="D501" s="148">
        <f t="shared" ca="1" si="20"/>
        <v>0.29999999999999716</v>
      </c>
      <c r="E501" s="148">
        <f t="shared" ca="1" si="21"/>
        <v>0</v>
      </c>
    </row>
    <row r="502" spans="2:5" x14ac:dyDescent="0.25">
      <c r="B502" s="8">
        <v>38096</v>
      </c>
      <c r="C502" s="6">
        <f ca="1">IF(OR($C$7="",$B502&gt;NOW()),"",IF(INDEX(Data!$A:$G,MATCH($B502,Data!$A:$A,0),MATCH($C$7,Data!$4:$4,0))="","",INDEX(Data!$A:$G,MATCH($B502,Data!$A:$A,0),MATCH($C$7,Data!$4:$4,0))))</f>
        <v>59.4</v>
      </c>
      <c r="D502" s="148">
        <f t="shared" ca="1" si="20"/>
        <v>5.6000000000000014</v>
      </c>
      <c r="E502" s="148">
        <f t="shared" ca="1" si="21"/>
        <v>0</v>
      </c>
    </row>
    <row r="503" spans="2:5" x14ac:dyDescent="0.25">
      <c r="B503" s="8">
        <v>38097</v>
      </c>
      <c r="C503" s="6">
        <f ca="1">IF(OR($C$7="",$B503&gt;NOW()),"",IF(INDEX(Data!$A:$G,MATCH($B503,Data!$A:$A,0),MATCH($C$7,Data!$4:$4,0))="","",INDEX(Data!$A:$G,MATCH($B503,Data!$A:$A,0),MATCH($C$7,Data!$4:$4,0))))</f>
        <v>68.400000000000006</v>
      </c>
      <c r="D503" s="148">
        <f t="shared" ca="1" si="20"/>
        <v>0</v>
      </c>
      <c r="E503" s="148">
        <f t="shared" ca="1" si="21"/>
        <v>3.4000000000000057</v>
      </c>
    </row>
    <row r="504" spans="2:5" x14ac:dyDescent="0.25">
      <c r="B504" s="8">
        <v>38098</v>
      </c>
      <c r="C504" s="6">
        <f ca="1">IF(OR($C$7="",$B504&gt;NOW()),"",IF(INDEX(Data!$A:$G,MATCH($B504,Data!$A:$A,0),MATCH($C$7,Data!$4:$4,0))="","",INDEX(Data!$A:$G,MATCH($B504,Data!$A:$A,0),MATCH($C$7,Data!$4:$4,0))))</f>
        <v>56.1</v>
      </c>
      <c r="D504" s="148">
        <f t="shared" ca="1" si="20"/>
        <v>8.8999999999999986</v>
      </c>
      <c r="E504" s="148">
        <f t="shared" ca="1" si="21"/>
        <v>0</v>
      </c>
    </row>
    <row r="505" spans="2:5" x14ac:dyDescent="0.25">
      <c r="B505" s="8">
        <v>38099</v>
      </c>
      <c r="C505" s="6">
        <f ca="1">IF(OR($C$7="",$B505&gt;NOW()),"",IF(INDEX(Data!$A:$G,MATCH($B505,Data!$A:$A,0),MATCH($C$7,Data!$4:$4,0))="","",INDEX(Data!$A:$G,MATCH($B505,Data!$A:$A,0),MATCH($C$7,Data!$4:$4,0))))</f>
        <v>59.9</v>
      </c>
      <c r="D505" s="148">
        <f t="shared" ca="1" si="20"/>
        <v>5.1000000000000014</v>
      </c>
      <c r="E505" s="148">
        <f t="shared" ca="1" si="21"/>
        <v>0</v>
      </c>
    </row>
    <row r="506" spans="2:5" x14ac:dyDescent="0.25">
      <c r="B506" s="8">
        <v>38100</v>
      </c>
      <c r="C506" s="6">
        <f ca="1">IF(OR($C$7="",$B506&gt;NOW()),"",IF(INDEX(Data!$A:$G,MATCH($B506,Data!$A:$A,0),MATCH($C$7,Data!$4:$4,0))="","",INDEX(Data!$A:$G,MATCH($B506,Data!$A:$A,0),MATCH($C$7,Data!$4:$4,0))))</f>
        <v>59</v>
      </c>
      <c r="D506" s="148">
        <f t="shared" ca="1" si="20"/>
        <v>6</v>
      </c>
      <c r="E506" s="148">
        <f t="shared" ca="1" si="21"/>
        <v>0</v>
      </c>
    </row>
    <row r="507" spans="2:5" x14ac:dyDescent="0.25">
      <c r="B507" s="8">
        <v>38101</v>
      </c>
      <c r="C507" s="6">
        <f ca="1">IF(OR($C$7="",$B507&gt;NOW()),"",IF(INDEX(Data!$A:$G,MATCH($B507,Data!$A:$A,0),MATCH($C$7,Data!$4:$4,0))="","",INDEX(Data!$A:$G,MATCH($B507,Data!$A:$A,0),MATCH($C$7,Data!$4:$4,0))))</f>
        <v>55.2</v>
      </c>
      <c r="D507" s="148">
        <f t="shared" ca="1" si="20"/>
        <v>9.7999999999999972</v>
      </c>
      <c r="E507" s="148">
        <f t="shared" ca="1" si="21"/>
        <v>0</v>
      </c>
    </row>
    <row r="508" spans="2:5" x14ac:dyDescent="0.25">
      <c r="B508" s="8">
        <v>38102</v>
      </c>
      <c r="C508" s="6">
        <f ca="1">IF(OR($C$7="",$B508&gt;NOW()),"",IF(INDEX(Data!$A:$G,MATCH($B508,Data!$A:$A,0),MATCH($C$7,Data!$4:$4,0))="","",INDEX(Data!$A:$G,MATCH($B508,Data!$A:$A,0),MATCH($C$7,Data!$4:$4,0))))</f>
        <v>51.5</v>
      </c>
      <c r="D508" s="148">
        <f t="shared" ca="1" si="20"/>
        <v>13.5</v>
      </c>
      <c r="E508" s="148">
        <f t="shared" ca="1" si="21"/>
        <v>0</v>
      </c>
    </row>
    <row r="509" spans="2:5" x14ac:dyDescent="0.25">
      <c r="B509" s="8">
        <v>38103</v>
      </c>
      <c r="C509" s="6">
        <f ca="1">IF(OR($C$7="",$B509&gt;NOW()),"",IF(INDEX(Data!$A:$G,MATCH($B509,Data!$A:$A,0),MATCH($C$7,Data!$4:$4,0))="","",INDEX(Data!$A:$G,MATCH($B509,Data!$A:$A,0),MATCH($C$7,Data!$4:$4,0))))</f>
        <v>50.8</v>
      </c>
      <c r="D509" s="148">
        <f t="shared" ca="1" si="20"/>
        <v>14.200000000000003</v>
      </c>
      <c r="E509" s="148">
        <f t="shared" ca="1" si="21"/>
        <v>0</v>
      </c>
    </row>
    <row r="510" spans="2:5" x14ac:dyDescent="0.25">
      <c r="B510" s="8">
        <v>38104</v>
      </c>
      <c r="C510" s="6">
        <f ca="1">IF(OR($C$7="",$B510&gt;NOW()),"",IF(INDEX(Data!$A:$G,MATCH($B510,Data!$A:$A,0),MATCH($C$7,Data!$4:$4,0))="","",INDEX(Data!$A:$G,MATCH($B510,Data!$A:$A,0),MATCH($C$7,Data!$4:$4,0))))</f>
        <v>59.6</v>
      </c>
      <c r="D510" s="148">
        <f t="shared" ca="1" si="20"/>
        <v>5.3999999999999986</v>
      </c>
      <c r="E510" s="148">
        <f t="shared" ca="1" si="21"/>
        <v>0</v>
      </c>
    </row>
    <row r="511" spans="2:5" x14ac:dyDescent="0.25">
      <c r="B511" s="8">
        <v>38105</v>
      </c>
      <c r="C511" s="6">
        <f ca="1">IF(OR($C$7="",$B511&gt;NOW()),"",IF(INDEX(Data!$A:$G,MATCH($B511,Data!$A:$A,0),MATCH($C$7,Data!$4:$4,0))="","",INDEX(Data!$A:$G,MATCH($B511,Data!$A:$A,0),MATCH($C$7,Data!$4:$4,0))))</f>
        <v>50.8</v>
      </c>
      <c r="D511" s="148">
        <f t="shared" ca="1" si="20"/>
        <v>14.200000000000003</v>
      </c>
      <c r="E511" s="148">
        <f t="shared" ca="1" si="21"/>
        <v>0</v>
      </c>
    </row>
    <row r="512" spans="2:5" x14ac:dyDescent="0.25">
      <c r="B512" s="8">
        <v>38106</v>
      </c>
      <c r="C512" s="6">
        <f ca="1">IF(OR($C$7="",$B512&gt;NOW()),"",IF(INDEX(Data!$A:$G,MATCH($B512,Data!$A:$A,0),MATCH($C$7,Data!$4:$4,0))="","",INDEX(Data!$A:$G,MATCH($B512,Data!$A:$A,0),MATCH($C$7,Data!$4:$4,0))))</f>
        <v>60.2</v>
      </c>
      <c r="D512" s="148">
        <f t="shared" ca="1" si="20"/>
        <v>4.7999999999999972</v>
      </c>
      <c r="E512" s="148">
        <f t="shared" ca="1" si="21"/>
        <v>0</v>
      </c>
    </row>
    <row r="513" spans="2:5" x14ac:dyDescent="0.25">
      <c r="B513" s="8">
        <v>38107</v>
      </c>
      <c r="C513" s="6">
        <f ca="1">IF(OR($C$7="",$B513&gt;NOW()),"",IF(INDEX(Data!$A:$G,MATCH($B513,Data!$A:$A,0),MATCH($C$7,Data!$4:$4,0))="","",INDEX(Data!$A:$G,MATCH($B513,Data!$A:$A,0),MATCH($C$7,Data!$4:$4,0))))</f>
        <v>63.2</v>
      </c>
      <c r="D513" s="148">
        <f t="shared" ca="1" si="20"/>
        <v>1.7999999999999972</v>
      </c>
      <c r="E513" s="148">
        <f t="shared" ca="1" si="21"/>
        <v>0</v>
      </c>
    </row>
    <row r="514" spans="2:5" x14ac:dyDescent="0.25">
      <c r="B514" s="8">
        <v>38108</v>
      </c>
      <c r="C514" s="6">
        <f ca="1">IF(OR($C$7="",$B514&gt;NOW()),"",IF(INDEX(Data!$A:$G,MATCH($B514,Data!$A:$A,0),MATCH($C$7,Data!$4:$4,0))="","",INDEX(Data!$A:$G,MATCH($B514,Data!$A:$A,0),MATCH($C$7,Data!$4:$4,0))))</f>
        <v>63.3</v>
      </c>
      <c r="D514" s="148">
        <f t="shared" ca="1" si="20"/>
        <v>1.7000000000000028</v>
      </c>
      <c r="E514" s="148">
        <f t="shared" ca="1" si="21"/>
        <v>0</v>
      </c>
    </row>
    <row r="515" spans="2:5" x14ac:dyDescent="0.25">
      <c r="B515" s="8">
        <v>38109</v>
      </c>
      <c r="C515" s="6">
        <f ca="1">IF(OR($C$7="",$B515&gt;NOW()),"",IF(INDEX(Data!$A:$G,MATCH($B515,Data!$A:$A,0),MATCH($C$7,Data!$4:$4,0))="","",INDEX(Data!$A:$G,MATCH($B515,Data!$A:$A,0),MATCH($C$7,Data!$4:$4,0))))</f>
        <v>61</v>
      </c>
      <c r="D515" s="148">
        <f t="shared" ca="1" si="20"/>
        <v>4</v>
      </c>
      <c r="E515" s="148">
        <f t="shared" ca="1" si="21"/>
        <v>0</v>
      </c>
    </row>
    <row r="516" spans="2:5" x14ac:dyDescent="0.25">
      <c r="B516" s="8">
        <v>38110</v>
      </c>
      <c r="C516" s="6">
        <f ca="1">IF(OR($C$7="",$B516&gt;NOW()),"",IF(INDEX(Data!$A:$G,MATCH($B516,Data!$A:$A,0),MATCH($C$7,Data!$4:$4,0))="","",INDEX(Data!$A:$G,MATCH($B516,Data!$A:$A,0),MATCH($C$7,Data!$4:$4,0))))</f>
        <v>56.6</v>
      </c>
      <c r="D516" s="148">
        <f t="shared" ca="1" si="20"/>
        <v>8.3999999999999986</v>
      </c>
      <c r="E516" s="148">
        <f t="shared" ca="1" si="21"/>
        <v>0</v>
      </c>
    </row>
    <row r="517" spans="2:5" x14ac:dyDescent="0.25">
      <c r="B517" s="8">
        <v>38111</v>
      </c>
      <c r="C517" s="6">
        <f ca="1">IF(OR($C$7="",$B517&gt;NOW()),"",IF(INDEX(Data!$A:$G,MATCH($B517,Data!$A:$A,0),MATCH($C$7,Data!$4:$4,0))="","",INDEX(Data!$A:$G,MATCH($B517,Data!$A:$A,0),MATCH($C$7,Data!$4:$4,0))))</f>
        <v>50.1</v>
      </c>
      <c r="D517" s="148">
        <f t="shared" ca="1" si="20"/>
        <v>14.899999999999999</v>
      </c>
      <c r="E517" s="148">
        <f t="shared" ca="1" si="21"/>
        <v>0</v>
      </c>
    </row>
    <row r="518" spans="2:5" x14ac:dyDescent="0.25">
      <c r="B518" s="8">
        <v>38112</v>
      </c>
      <c r="C518" s="6">
        <f ca="1">IF(OR($C$7="",$B518&gt;NOW()),"",IF(INDEX(Data!$A:$G,MATCH($B518,Data!$A:$A,0),MATCH($C$7,Data!$4:$4,0))="","",INDEX(Data!$A:$G,MATCH($B518,Data!$A:$A,0),MATCH($C$7,Data!$4:$4,0))))</f>
        <v>56.8</v>
      </c>
      <c r="D518" s="148">
        <f t="shared" ca="1" si="20"/>
        <v>8.2000000000000028</v>
      </c>
      <c r="E518" s="148">
        <f t="shared" ca="1" si="21"/>
        <v>0</v>
      </c>
    </row>
    <row r="519" spans="2:5" x14ac:dyDescent="0.25">
      <c r="B519" s="8">
        <v>38113</v>
      </c>
      <c r="C519" s="6">
        <f ca="1">IF(OR($C$7="",$B519&gt;NOW()),"",IF(INDEX(Data!$A:$G,MATCH($B519,Data!$A:$A,0),MATCH($C$7,Data!$4:$4,0))="","",INDEX(Data!$A:$G,MATCH($B519,Data!$A:$A,0),MATCH($C$7,Data!$4:$4,0))))</f>
        <v>57.2</v>
      </c>
      <c r="D519" s="148">
        <f t="shared" ca="1" si="20"/>
        <v>7.7999999999999972</v>
      </c>
      <c r="E519" s="148">
        <f t="shared" ca="1" si="21"/>
        <v>0</v>
      </c>
    </row>
    <row r="520" spans="2:5" x14ac:dyDescent="0.25">
      <c r="B520" s="8">
        <v>38114</v>
      </c>
      <c r="C520" s="6">
        <f ca="1">IF(OR($C$7="",$B520&gt;NOW()),"",IF(INDEX(Data!$A:$G,MATCH($B520,Data!$A:$A,0),MATCH($C$7,Data!$4:$4,0))="","",INDEX(Data!$A:$G,MATCH($B520,Data!$A:$A,0),MATCH($C$7,Data!$4:$4,0))))</f>
        <v>66.7</v>
      </c>
      <c r="D520" s="148">
        <f t="shared" ca="1" si="20"/>
        <v>0</v>
      </c>
      <c r="E520" s="148">
        <f t="shared" ca="1" si="21"/>
        <v>1.7000000000000028</v>
      </c>
    </row>
    <row r="521" spans="2:5" x14ac:dyDescent="0.25">
      <c r="B521" s="8">
        <v>38115</v>
      </c>
      <c r="C521" s="6">
        <f ca="1">IF(OR($C$7="",$B521&gt;NOW()),"",IF(INDEX(Data!$A:$G,MATCH($B521,Data!$A:$A,0),MATCH($C$7,Data!$4:$4,0))="","",INDEX(Data!$A:$G,MATCH($B521,Data!$A:$A,0),MATCH($C$7,Data!$4:$4,0))))</f>
        <v>57.9</v>
      </c>
      <c r="D521" s="148">
        <f t="shared" ca="1" si="20"/>
        <v>7.1000000000000014</v>
      </c>
      <c r="E521" s="148">
        <f t="shared" ca="1" si="21"/>
        <v>0</v>
      </c>
    </row>
    <row r="522" spans="2:5" x14ac:dyDescent="0.25">
      <c r="B522" s="8">
        <v>38116</v>
      </c>
      <c r="C522" s="6">
        <f ca="1">IF(OR($C$7="",$B522&gt;NOW()),"",IF(INDEX(Data!$A:$G,MATCH($B522,Data!$A:$A,0),MATCH($C$7,Data!$4:$4,0))="","",INDEX(Data!$A:$G,MATCH($B522,Data!$A:$A,0),MATCH($C$7,Data!$4:$4,0))))</f>
        <v>55.4</v>
      </c>
      <c r="D522" s="148">
        <f t="shared" ca="1" si="20"/>
        <v>9.6000000000000014</v>
      </c>
      <c r="E522" s="148">
        <f t="shared" ca="1" si="21"/>
        <v>0</v>
      </c>
    </row>
    <row r="523" spans="2:5" x14ac:dyDescent="0.25">
      <c r="B523" s="8">
        <v>38117</v>
      </c>
      <c r="C523" s="6">
        <f ca="1">IF(OR($C$7="",$B523&gt;NOW()),"",IF(INDEX(Data!$A:$G,MATCH($B523,Data!$A:$A,0),MATCH($C$7,Data!$4:$4,0))="","",INDEX(Data!$A:$G,MATCH($B523,Data!$A:$A,0),MATCH($C$7,Data!$4:$4,0))))</f>
        <v>61.1</v>
      </c>
      <c r="D523" s="148">
        <f t="shared" ca="1" si="20"/>
        <v>3.8999999999999986</v>
      </c>
      <c r="E523" s="148">
        <f t="shared" ca="1" si="21"/>
        <v>0</v>
      </c>
    </row>
    <row r="524" spans="2:5" x14ac:dyDescent="0.25">
      <c r="B524" s="8">
        <v>38118</v>
      </c>
      <c r="C524" s="6">
        <f ca="1">IF(OR($C$7="",$B524&gt;NOW()),"",IF(INDEX(Data!$A:$G,MATCH($B524,Data!$A:$A,0),MATCH($C$7,Data!$4:$4,0))="","",INDEX(Data!$A:$G,MATCH($B524,Data!$A:$A,0),MATCH($C$7,Data!$4:$4,0))))</f>
        <v>70.5</v>
      </c>
      <c r="D524" s="148">
        <f t="shared" ca="1" si="20"/>
        <v>0</v>
      </c>
      <c r="E524" s="148">
        <f t="shared" ca="1" si="21"/>
        <v>5.5</v>
      </c>
    </row>
    <row r="525" spans="2:5" x14ac:dyDescent="0.25">
      <c r="B525" s="8">
        <v>38119</v>
      </c>
      <c r="C525" s="6">
        <f ca="1">IF(OR($C$7="",$B525&gt;NOW()),"",IF(INDEX(Data!$A:$G,MATCH($B525,Data!$A:$A,0),MATCH($C$7,Data!$4:$4,0))="","",INDEX(Data!$A:$G,MATCH($B525,Data!$A:$A,0),MATCH($C$7,Data!$4:$4,0))))</f>
        <v>73.599999999999994</v>
      </c>
      <c r="D525" s="148">
        <f t="shared" ca="1" si="20"/>
        <v>0</v>
      </c>
      <c r="E525" s="148">
        <f t="shared" ca="1" si="21"/>
        <v>8.5999999999999943</v>
      </c>
    </row>
    <row r="526" spans="2:5" x14ac:dyDescent="0.25">
      <c r="B526" s="8">
        <v>38120</v>
      </c>
      <c r="C526" s="6">
        <f ca="1">IF(OR($C$7="",$B526&gt;NOW()),"",IF(INDEX(Data!$A:$G,MATCH($B526,Data!$A:$A,0),MATCH($C$7,Data!$4:$4,0))="","",INDEX(Data!$A:$G,MATCH($B526,Data!$A:$A,0),MATCH($C$7,Data!$4:$4,0))))</f>
        <v>72.099999999999994</v>
      </c>
      <c r="D526" s="148">
        <f t="shared" ca="1" si="20"/>
        <v>0</v>
      </c>
      <c r="E526" s="148">
        <f t="shared" ca="1" si="21"/>
        <v>7.0999999999999943</v>
      </c>
    </row>
    <row r="527" spans="2:5" x14ac:dyDescent="0.25">
      <c r="B527" s="8">
        <v>38121</v>
      </c>
      <c r="C527" s="6">
        <f ca="1">IF(OR($C$7="",$B527&gt;NOW()),"",IF(INDEX(Data!$A:$G,MATCH($B527,Data!$A:$A,0),MATCH($C$7,Data!$4:$4,0))="","",INDEX(Data!$A:$G,MATCH($B527,Data!$A:$A,0),MATCH($C$7,Data!$4:$4,0))))</f>
        <v>58.6</v>
      </c>
      <c r="D527" s="148">
        <f t="shared" ca="1" si="20"/>
        <v>6.3999999999999986</v>
      </c>
      <c r="E527" s="148">
        <f t="shared" ca="1" si="21"/>
        <v>0</v>
      </c>
    </row>
    <row r="528" spans="2:5" x14ac:dyDescent="0.25">
      <c r="B528" s="8">
        <v>38122</v>
      </c>
      <c r="C528" s="6">
        <f ca="1">IF(OR($C$7="",$B528&gt;NOW()),"",IF(INDEX(Data!$A:$G,MATCH($B528,Data!$A:$A,0),MATCH($C$7,Data!$4:$4,0))="","",INDEX(Data!$A:$G,MATCH($B528,Data!$A:$A,0),MATCH($C$7,Data!$4:$4,0))))</f>
        <v>69.7</v>
      </c>
      <c r="D528" s="148">
        <f t="shared" ca="1" si="20"/>
        <v>0</v>
      </c>
      <c r="E528" s="148">
        <f t="shared" ca="1" si="21"/>
        <v>4.7000000000000028</v>
      </c>
    </row>
    <row r="529" spans="2:5" x14ac:dyDescent="0.25">
      <c r="B529" s="8">
        <v>38123</v>
      </c>
      <c r="C529" s="6">
        <f ca="1">IF(OR($C$7="",$B529&gt;NOW()),"",IF(INDEX(Data!$A:$G,MATCH($B529,Data!$A:$A,0),MATCH($C$7,Data!$4:$4,0))="","",INDEX(Data!$A:$G,MATCH($B529,Data!$A:$A,0),MATCH($C$7,Data!$4:$4,0))))</f>
        <v>71.099999999999994</v>
      </c>
      <c r="D529" s="148">
        <f t="shared" ca="1" si="20"/>
        <v>0</v>
      </c>
      <c r="E529" s="148">
        <f t="shared" ca="1" si="21"/>
        <v>6.0999999999999943</v>
      </c>
    </row>
    <row r="530" spans="2:5" x14ac:dyDescent="0.25">
      <c r="B530" s="8">
        <v>38124</v>
      </c>
      <c r="C530" s="6">
        <f ca="1">IF(OR($C$7="",$B530&gt;NOW()),"",IF(INDEX(Data!$A:$G,MATCH($B530,Data!$A:$A,0),MATCH($C$7,Data!$4:$4,0))="","",INDEX(Data!$A:$G,MATCH($B530,Data!$A:$A,0),MATCH($C$7,Data!$4:$4,0))))</f>
        <v>63.7</v>
      </c>
      <c r="D530" s="148">
        <f t="shared" ca="1" si="20"/>
        <v>1.2999999999999972</v>
      </c>
      <c r="E530" s="148">
        <f t="shared" ca="1" si="21"/>
        <v>0</v>
      </c>
    </row>
    <row r="531" spans="2:5" x14ac:dyDescent="0.25">
      <c r="B531" s="8">
        <v>38125</v>
      </c>
      <c r="C531" s="6">
        <f ca="1">IF(OR($C$7="",$B531&gt;NOW()),"",IF(INDEX(Data!$A:$G,MATCH($B531,Data!$A:$A,0),MATCH($C$7,Data!$4:$4,0))="","",INDEX(Data!$A:$G,MATCH($B531,Data!$A:$A,0),MATCH($C$7,Data!$4:$4,0))))</f>
        <v>68.5</v>
      </c>
      <c r="D531" s="148">
        <f t="shared" ca="1" si="20"/>
        <v>0</v>
      </c>
      <c r="E531" s="148">
        <f t="shared" ca="1" si="21"/>
        <v>3.5</v>
      </c>
    </row>
    <row r="532" spans="2:5" x14ac:dyDescent="0.25">
      <c r="B532" s="8">
        <v>38126</v>
      </c>
      <c r="C532" s="6">
        <f ca="1">IF(OR($C$7="",$B532&gt;NOW()),"",IF(INDEX(Data!$A:$G,MATCH($B532,Data!$A:$A,0),MATCH($C$7,Data!$4:$4,0))="","",INDEX(Data!$A:$G,MATCH($B532,Data!$A:$A,0),MATCH($C$7,Data!$4:$4,0))))</f>
        <v>70.7</v>
      </c>
      <c r="D532" s="148">
        <f t="shared" ca="1" si="20"/>
        <v>0</v>
      </c>
      <c r="E532" s="148">
        <f t="shared" ca="1" si="21"/>
        <v>5.7000000000000028</v>
      </c>
    </row>
    <row r="533" spans="2:5" x14ac:dyDescent="0.25">
      <c r="B533" s="8">
        <v>38127</v>
      </c>
      <c r="C533" s="6">
        <f ca="1">IF(OR($C$7="",$B533&gt;NOW()),"",IF(INDEX(Data!$A:$G,MATCH($B533,Data!$A:$A,0),MATCH($C$7,Data!$4:$4,0))="","",INDEX(Data!$A:$G,MATCH($B533,Data!$A:$A,0),MATCH($C$7,Data!$4:$4,0))))</f>
        <v>63.2</v>
      </c>
      <c r="D533" s="148">
        <f t="shared" ca="1" si="20"/>
        <v>1.7999999999999972</v>
      </c>
      <c r="E533" s="148">
        <f t="shared" ca="1" si="21"/>
        <v>0</v>
      </c>
    </row>
    <row r="534" spans="2:5" x14ac:dyDescent="0.25">
      <c r="B534" s="8">
        <v>38128</v>
      </c>
      <c r="C534" s="6">
        <f ca="1">IF(OR($C$7="",$B534&gt;NOW()),"",IF(INDEX(Data!$A:$G,MATCH($B534,Data!$A:$A,0),MATCH($C$7,Data!$4:$4,0))="","",INDEX(Data!$A:$G,MATCH($B534,Data!$A:$A,0),MATCH($C$7,Data!$4:$4,0))))</f>
        <v>67.2</v>
      </c>
      <c r="D534" s="148">
        <f t="shared" ca="1" si="20"/>
        <v>0</v>
      </c>
      <c r="E534" s="148">
        <f t="shared" ca="1" si="21"/>
        <v>2.2000000000000028</v>
      </c>
    </row>
    <row r="535" spans="2:5" x14ac:dyDescent="0.25">
      <c r="B535" s="8">
        <v>38129</v>
      </c>
      <c r="C535" s="6">
        <f ca="1">IF(OR($C$7="",$B535&gt;NOW()),"",IF(INDEX(Data!$A:$G,MATCH($B535,Data!$A:$A,0),MATCH($C$7,Data!$4:$4,0))="","",INDEX(Data!$A:$G,MATCH($B535,Data!$A:$A,0),MATCH($C$7,Data!$4:$4,0))))</f>
        <v>73.400000000000006</v>
      </c>
      <c r="D535" s="148">
        <f t="shared" ca="1" si="20"/>
        <v>0</v>
      </c>
      <c r="E535" s="148">
        <f t="shared" ca="1" si="21"/>
        <v>8.4000000000000057</v>
      </c>
    </row>
    <row r="536" spans="2:5" x14ac:dyDescent="0.25">
      <c r="B536" s="8">
        <v>38130</v>
      </c>
      <c r="C536" s="6">
        <f ca="1">IF(OR($C$7="",$B536&gt;NOW()),"",IF(INDEX(Data!$A:$G,MATCH($B536,Data!$A:$A,0),MATCH($C$7,Data!$4:$4,0))="","",INDEX(Data!$A:$G,MATCH($B536,Data!$A:$A,0),MATCH($C$7,Data!$4:$4,0))))</f>
        <v>68</v>
      </c>
      <c r="D536" s="148">
        <f t="shared" ca="1" si="20"/>
        <v>0</v>
      </c>
      <c r="E536" s="148">
        <f t="shared" ca="1" si="21"/>
        <v>3</v>
      </c>
    </row>
    <row r="537" spans="2:5" x14ac:dyDescent="0.25">
      <c r="B537" s="8">
        <v>38131</v>
      </c>
      <c r="C537" s="6">
        <f ca="1">IF(OR($C$7="",$B537&gt;NOW()),"",IF(INDEX(Data!$A:$G,MATCH($B537,Data!$A:$A,0),MATCH($C$7,Data!$4:$4,0))="","",INDEX(Data!$A:$G,MATCH($B537,Data!$A:$A,0),MATCH($C$7,Data!$4:$4,0))))</f>
        <v>63.3</v>
      </c>
      <c r="D537" s="148">
        <f t="shared" ca="1" si="20"/>
        <v>1.7000000000000028</v>
      </c>
      <c r="E537" s="148">
        <f t="shared" ca="1" si="21"/>
        <v>0</v>
      </c>
    </row>
    <row r="538" spans="2:5" x14ac:dyDescent="0.25">
      <c r="B538" s="8">
        <v>38132</v>
      </c>
      <c r="C538" s="6">
        <f ca="1">IF(OR($C$7="",$B538&gt;NOW()),"",IF(INDEX(Data!$A:$G,MATCH($B538,Data!$A:$A,0),MATCH($C$7,Data!$4:$4,0))="","",INDEX(Data!$A:$G,MATCH($B538,Data!$A:$A,0),MATCH($C$7,Data!$4:$4,0))))</f>
        <v>67</v>
      </c>
      <c r="D538" s="148">
        <f t="shared" ca="1" si="20"/>
        <v>0</v>
      </c>
      <c r="E538" s="148">
        <f t="shared" ca="1" si="21"/>
        <v>2</v>
      </c>
    </row>
    <row r="539" spans="2:5" x14ac:dyDescent="0.25">
      <c r="B539" s="8">
        <v>38133</v>
      </c>
      <c r="C539" s="6">
        <f ca="1">IF(OR($C$7="",$B539&gt;NOW()),"",IF(INDEX(Data!$A:$G,MATCH($B539,Data!$A:$A,0),MATCH($C$7,Data!$4:$4,0))="","",INDEX(Data!$A:$G,MATCH($B539,Data!$A:$A,0),MATCH($C$7,Data!$4:$4,0))))</f>
        <v>57.5</v>
      </c>
      <c r="D539" s="148">
        <f t="shared" ca="1" si="20"/>
        <v>7.5</v>
      </c>
      <c r="E539" s="148">
        <f t="shared" ca="1" si="21"/>
        <v>0</v>
      </c>
    </row>
    <row r="540" spans="2:5" x14ac:dyDescent="0.25">
      <c r="B540" s="8">
        <v>38134</v>
      </c>
      <c r="C540" s="6">
        <f ca="1">IF(OR($C$7="",$B540&gt;NOW()),"",IF(INDEX(Data!$A:$G,MATCH($B540,Data!$A:$A,0),MATCH($C$7,Data!$4:$4,0))="","",INDEX(Data!$A:$G,MATCH($B540,Data!$A:$A,0),MATCH($C$7,Data!$4:$4,0))))</f>
        <v>62.1</v>
      </c>
      <c r="D540" s="148">
        <f t="shared" ca="1" si="20"/>
        <v>2.8999999999999986</v>
      </c>
      <c r="E540" s="148">
        <f t="shared" ca="1" si="21"/>
        <v>0</v>
      </c>
    </row>
    <row r="541" spans="2:5" x14ac:dyDescent="0.25">
      <c r="B541" s="8">
        <v>38135</v>
      </c>
      <c r="C541" s="6">
        <f ca="1">IF(OR($C$7="",$B541&gt;NOW()),"",IF(INDEX(Data!$A:$G,MATCH($B541,Data!$A:$A,0),MATCH($C$7,Data!$4:$4,0))="","",INDEX(Data!$A:$G,MATCH($B541,Data!$A:$A,0),MATCH($C$7,Data!$4:$4,0))))</f>
        <v>65.5</v>
      </c>
      <c r="D541" s="148">
        <f t="shared" ref="D541:D604" ca="1" si="22">IF($C541="","",IF($C541&gt;$D$26,0,$D$26-$C541))</f>
        <v>0</v>
      </c>
      <c r="E541" s="148">
        <f t="shared" ref="E541:E604" ca="1" si="23">IF($C541="","",IF($C541&lt;$E$26,0,$C541-$E$26))</f>
        <v>0.5</v>
      </c>
    </row>
    <row r="542" spans="2:5" x14ac:dyDescent="0.25">
      <c r="B542" s="8">
        <v>38136</v>
      </c>
      <c r="C542" s="6">
        <f ca="1">IF(OR($C$7="",$B542&gt;NOW()),"",IF(INDEX(Data!$A:$G,MATCH($B542,Data!$A:$A,0),MATCH($C$7,Data!$4:$4,0))="","",INDEX(Data!$A:$G,MATCH($B542,Data!$A:$A,0),MATCH($C$7,Data!$4:$4,0))))</f>
        <v>62.4</v>
      </c>
      <c r="D542" s="148">
        <f t="shared" ca="1" si="22"/>
        <v>2.6000000000000014</v>
      </c>
      <c r="E542" s="148">
        <f t="shared" ca="1" si="23"/>
        <v>0</v>
      </c>
    </row>
    <row r="543" spans="2:5" x14ac:dyDescent="0.25">
      <c r="B543" s="8">
        <v>38137</v>
      </c>
      <c r="C543" s="6">
        <f ca="1">IF(OR($C$7="",$B543&gt;NOW()),"",IF(INDEX(Data!$A:$G,MATCH($B543,Data!$A:$A,0),MATCH($C$7,Data!$4:$4,0))="","",INDEX(Data!$A:$G,MATCH($B543,Data!$A:$A,0),MATCH($C$7,Data!$4:$4,0))))</f>
        <v>62.9</v>
      </c>
      <c r="D543" s="148">
        <f t="shared" ca="1" si="22"/>
        <v>2.1000000000000014</v>
      </c>
      <c r="E543" s="148">
        <f t="shared" ca="1" si="23"/>
        <v>0</v>
      </c>
    </row>
    <row r="544" spans="2:5" x14ac:dyDescent="0.25">
      <c r="B544" s="8">
        <v>38138</v>
      </c>
      <c r="C544" s="6">
        <f ca="1">IF(OR($C$7="",$B544&gt;NOW()),"",IF(INDEX(Data!$A:$G,MATCH($B544,Data!$A:$A,0),MATCH($C$7,Data!$4:$4,0))="","",INDEX(Data!$A:$G,MATCH($B544,Data!$A:$A,0),MATCH($C$7,Data!$4:$4,0))))</f>
        <v>63</v>
      </c>
      <c r="D544" s="148">
        <f t="shared" ca="1" si="22"/>
        <v>2</v>
      </c>
      <c r="E544" s="148">
        <f t="shared" ca="1" si="23"/>
        <v>0</v>
      </c>
    </row>
    <row r="545" spans="2:5" x14ac:dyDescent="0.25">
      <c r="B545" s="8">
        <v>38139</v>
      </c>
      <c r="C545" s="6">
        <f ca="1">IF(OR($C$7="",$B545&gt;NOW()),"",IF(INDEX(Data!$A:$G,MATCH($B545,Data!$A:$A,0),MATCH($C$7,Data!$4:$4,0))="","",INDEX(Data!$A:$G,MATCH($B545,Data!$A:$A,0),MATCH($C$7,Data!$4:$4,0))))</f>
        <v>59.5</v>
      </c>
      <c r="D545" s="148">
        <f t="shared" ca="1" si="22"/>
        <v>5.5</v>
      </c>
      <c r="E545" s="148">
        <f t="shared" ca="1" si="23"/>
        <v>0</v>
      </c>
    </row>
    <row r="546" spans="2:5" x14ac:dyDescent="0.25">
      <c r="B546" s="8">
        <v>38140</v>
      </c>
      <c r="C546" s="6">
        <f ca="1">IF(OR($C$7="",$B546&gt;NOW()),"",IF(INDEX(Data!$A:$G,MATCH($B546,Data!$A:$A,0),MATCH($C$7,Data!$4:$4,0))="","",INDEX(Data!$A:$G,MATCH($B546,Data!$A:$A,0),MATCH($C$7,Data!$4:$4,0))))</f>
        <v>67.7</v>
      </c>
      <c r="D546" s="148">
        <f t="shared" ca="1" si="22"/>
        <v>0</v>
      </c>
      <c r="E546" s="148">
        <f t="shared" ca="1" si="23"/>
        <v>2.7000000000000028</v>
      </c>
    </row>
    <row r="547" spans="2:5" x14ac:dyDescent="0.25">
      <c r="B547" s="8">
        <v>38141</v>
      </c>
      <c r="C547" s="6">
        <f ca="1">IF(OR($C$7="",$B547&gt;NOW()),"",IF(INDEX(Data!$A:$G,MATCH($B547,Data!$A:$A,0),MATCH($C$7,Data!$4:$4,0))="","",INDEX(Data!$A:$G,MATCH($B547,Data!$A:$A,0),MATCH($C$7,Data!$4:$4,0))))</f>
        <v>68.599999999999994</v>
      </c>
      <c r="D547" s="148">
        <f t="shared" ca="1" si="22"/>
        <v>0</v>
      </c>
      <c r="E547" s="148">
        <f t="shared" ca="1" si="23"/>
        <v>3.5999999999999943</v>
      </c>
    </row>
    <row r="548" spans="2:5" x14ac:dyDescent="0.25">
      <c r="B548" s="8">
        <v>38142</v>
      </c>
      <c r="C548" s="6">
        <f ca="1">IF(OR($C$7="",$B548&gt;NOW()),"",IF(INDEX(Data!$A:$G,MATCH($B548,Data!$A:$A,0),MATCH($C$7,Data!$4:$4,0))="","",INDEX(Data!$A:$G,MATCH($B548,Data!$A:$A,0),MATCH($C$7,Data!$4:$4,0))))</f>
        <v>66.599999999999994</v>
      </c>
      <c r="D548" s="148">
        <f t="shared" ca="1" si="22"/>
        <v>0</v>
      </c>
      <c r="E548" s="148">
        <f t="shared" ca="1" si="23"/>
        <v>1.5999999999999943</v>
      </c>
    </row>
    <row r="549" spans="2:5" x14ac:dyDescent="0.25">
      <c r="B549" s="8">
        <v>38143</v>
      </c>
      <c r="C549" s="6">
        <f ca="1">IF(OR($C$7="",$B549&gt;NOW()),"",IF(INDEX(Data!$A:$G,MATCH($B549,Data!$A:$A,0),MATCH($C$7,Data!$4:$4,0))="","",INDEX(Data!$A:$G,MATCH($B549,Data!$A:$A,0),MATCH($C$7,Data!$4:$4,0))))</f>
        <v>62.2</v>
      </c>
      <c r="D549" s="148">
        <f t="shared" ca="1" si="22"/>
        <v>2.7999999999999972</v>
      </c>
      <c r="E549" s="148">
        <f t="shared" ca="1" si="23"/>
        <v>0</v>
      </c>
    </row>
    <row r="550" spans="2:5" x14ac:dyDescent="0.25">
      <c r="B550" s="8">
        <v>38144</v>
      </c>
      <c r="C550" s="6">
        <f ca="1">IF(OR($C$7="",$B550&gt;NOW()),"",IF(INDEX(Data!$A:$G,MATCH($B550,Data!$A:$A,0),MATCH($C$7,Data!$4:$4,0))="","",INDEX(Data!$A:$G,MATCH($B550,Data!$A:$A,0),MATCH($C$7,Data!$4:$4,0))))</f>
        <v>58.6</v>
      </c>
      <c r="D550" s="148">
        <f t="shared" ca="1" si="22"/>
        <v>6.3999999999999986</v>
      </c>
      <c r="E550" s="148">
        <f t="shared" ca="1" si="23"/>
        <v>0</v>
      </c>
    </row>
    <row r="551" spans="2:5" x14ac:dyDescent="0.25">
      <c r="B551" s="8">
        <v>38145</v>
      </c>
      <c r="C551" s="6">
        <f ca="1">IF(OR($C$7="",$B551&gt;NOW()),"",IF(INDEX(Data!$A:$G,MATCH($B551,Data!$A:$A,0),MATCH($C$7,Data!$4:$4,0))="","",INDEX(Data!$A:$G,MATCH($B551,Data!$A:$A,0),MATCH($C$7,Data!$4:$4,0))))</f>
        <v>66.3</v>
      </c>
      <c r="D551" s="148">
        <f t="shared" ca="1" si="22"/>
        <v>0</v>
      </c>
      <c r="E551" s="148">
        <f t="shared" ca="1" si="23"/>
        <v>1.2999999999999972</v>
      </c>
    </row>
    <row r="552" spans="2:5" x14ac:dyDescent="0.25">
      <c r="B552" s="8">
        <v>38146</v>
      </c>
      <c r="C552" s="6">
        <f ca="1">IF(OR($C$7="",$B552&gt;NOW()),"",IF(INDEX(Data!$A:$G,MATCH($B552,Data!$A:$A,0),MATCH($C$7,Data!$4:$4,0))="","",INDEX(Data!$A:$G,MATCH($B552,Data!$A:$A,0),MATCH($C$7,Data!$4:$4,0))))</f>
        <v>78.7</v>
      </c>
      <c r="D552" s="148">
        <f t="shared" ca="1" si="22"/>
        <v>0</v>
      </c>
      <c r="E552" s="148">
        <f t="shared" ca="1" si="23"/>
        <v>13.700000000000003</v>
      </c>
    </row>
    <row r="553" spans="2:5" x14ac:dyDescent="0.25">
      <c r="B553" s="8">
        <v>38147</v>
      </c>
      <c r="C553" s="6">
        <f ca="1">IF(OR($C$7="",$B553&gt;NOW()),"",IF(INDEX(Data!$A:$G,MATCH($B553,Data!$A:$A,0),MATCH($C$7,Data!$4:$4,0))="","",INDEX(Data!$A:$G,MATCH($B553,Data!$A:$A,0),MATCH($C$7,Data!$4:$4,0))))</f>
        <v>82.5</v>
      </c>
      <c r="D553" s="148">
        <f t="shared" ca="1" si="22"/>
        <v>0</v>
      </c>
      <c r="E553" s="148">
        <f t="shared" ca="1" si="23"/>
        <v>17.5</v>
      </c>
    </row>
    <row r="554" spans="2:5" x14ac:dyDescent="0.25">
      <c r="B554" s="8">
        <v>38148</v>
      </c>
      <c r="C554" s="6">
        <f ca="1">IF(OR($C$7="",$B554&gt;NOW()),"",IF(INDEX(Data!$A:$G,MATCH($B554,Data!$A:$A,0),MATCH($C$7,Data!$4:$4,0))="","",INDEX(Data!$A:$G,MATCH($B554,Data!$A:$A,0),MATCH($C$7,Data!$4:$4,0))))</f>
        <v>78.5</v>
      </c>
      <c r="D554" s="148">
        <f t="shared" ca="1" si="22"/>
        <v>0</v>
      </c>
      <c r="E554" s="148">
        <f t="shared" ca="1" si="23"/>
        <v>13.5</v>
      </c>
    </row>
    <row r="555" spans="2:5" x14ac:dyDescent="0.25">
      <c r="B555" s="8">
        <v>38149</v>
      </c>
      <c r="C555" s="6">
        <f ca="1">IF(OR($C$7="",$B555&gt;NOW()),"",IF(INDEX(Data!$A:$G,MATCH($B555,Data!$A:$A,0),MATCH($C$7,Data!$4:$4,0))="","",INDEX(Data!$A:$G,MATCH($B555,Data!$A:$A,0),MATCH($C$7,Data!$4:$4,0))))</f>
        <v>66.8</v>
      </c>
      <c r="D555" s="148">
        <f t="shared" ca="1" si="22"/>
        <v>0</v>
      </c>
      <c r="E555" s="148">
        <f t="shared" ca="1" si="23"/>
        <v>1.7999999999999972</v>
      </c>
    </row>
    <row r="556" spans="2:5" x14ac:dyDescent="0.25">
      <c r="B556" s="8">
        <v>38150</v>
      </c>
      <c r="C556" s="6">
        <f ca="1">IF(OR($C$7="",$B556&gt;NOW()),"",IF(INDEX(Data!$A:$G,MATCH($B556,Data!$A:$A,0),MATCH($C$7,Data!$4:$4,0))="","",INDEX(Data!$A:$G,MATCH($B556,Data!$A:$A,0),MATCH($C$7,Data!$4:$4,0))))</f>
        <v>67.3</v>
      </c>
      <c r="D556" s="148">
        <f t="shared" ca="1" si="22"/>
        <v>0</v>
      </c>
      <c r="E556" s="148">
        <f t="shared" ca="1" si="23"/>
        <v>2.2999999999999972</v>
      </c>
    </row>
    <row r="557" spans="2:5" x14ac:dyDescent="0.25">
      <c r="B557" s="8">
        <v>38151</v>
      </c>
      <c r="C557" s="6">
        <f ca="1">IF(OR($C$7="",$B557&gt;NOW()),"",IF(INDEX(Data!$A:$G,MATCH($B557,Data!$A:$A,0),MATCH($C$7,Data!$4:$4,0))="","",INDEX(Data!$A:$G,MATCH($B557,Data!$A:$A,0),MATCH($C$7,Data!$4:$4,0))))</f>
        <v>67.3</v>
      </c>
      <c r="D557" s="148">
        <f t="shared" ca="1" si="22"/>
        <v>0</v>
      </c>
      <c r="E557" s="148">
        <f t="shared" ca="1" si="23"/>
        <v>2.2999999999999972</v>
      </c>
    </row>
    <row r="558" spans="2:5" x14ac:dyDescent="0.25">
      <c r="B558" s="8">
        <v>38152</v>
      </c>
      <c r="C558" s="6">
        <f ca="1">IF(OR($C$7="",$B558&gt;NOW()),"",IF(INDEX(Data!$A:$G,MATCH($B558,Data!$A:$A,0),MATCH($C$7,Data!$4:$4,0))="","",INDEX(Data!$A:$G,MATCH($B558,Data!$A:$A,0),MATCH($C$7,Data!$4:$4,0))))</f>
        <v>70.2</v>
      </c>
      <c r="D558" s="148">
        <f t="shared" ca="1" si="22"/>
        <v>0</v>
      </c>
      <c r="E558" s="148">
        <f t="shared" ca="1" si="23"/>
        <v>5.2000000000000028</v>
      </c>
    </row>
    <row r="559" spans="2:5" x14ac:dyDescent="0.25">
      <c r="B559" s="8">
        <v>38153</v>
      </c>
      <c r="C559" s="6">
        <f ca="1">IF(OR($C$7="",$B559&gt;NOW()),"",IF(INDEX(Data!$A:$G,MATCH($B559,Data!$A:$A,0),MATCH($C$7,Data!$4:$4,0))="","",INDEX(Data!$A:$G,MATCH($B559,Data!$A:$A,0),MATCH($C$7,Data!$4:$4,0))))</f>
        <v>78.5</v>
      </c>
      <c r="D559" s="148">
        <f t="shared" ca="1" si="22"/>
        <v>0</v>
      </c>
      <c r="E559" s="148">
        <f t="shared" ca="1" si="23"/>
        <v>13.5</v>
      </c>
    </row>
    <row r="560" spans="2:5" x14ac:dyDescent="0.25">
      <c r="B560" s="8">
        <v>38154</v>
      </c>
      <c r="C560" s="6">
        <f ca="1">IF(OR($C$7="",$B560&gt;NOW()),"",IF(INDEX(Data!$A:$G,MATCH($B560,Data!$A:$A,0),MATCH($C$7,Data!$4:$4,0))="","",INDEX(Data!$A:$G,MATCH($B560,Data!$A:$A,0),MATCH($C$7,Data!$4:$4,0))))</f>
        <v>80.3</v>
      </c>
      <c r="D560" s="148">
        <f t="shared" ca="1" si="22"/>
        <v>0</v>
      </c>
      <c r="E560" s="148">
        <f t="shared" ca="1" si="23"/>
        <v>15.299999999999997</v>
      </c>
    </row>
    <row r="561" spans="2:5" x14ac:dyDescent="0.25">
      <c r="B561" s="8">
        <v>38155</v>
      </c>
      <c r="C561" s="6">
        <f ca="1">IF(OR($C$7="",$B561&gt;NOW()),"",IF(INDEX(Data!$A:$G,MATCH($B561,Data!$A:$A,0),MATCH($C$7,Data!$4:$4,0))="","",INDEX(Data!$A:$G,MATCH($B561,Data!$A:$A,0),MATCH($C$7,Data!$4:$4,0))))</f>
        <v>78.3</v>
      </c>
      <c r="D561" s="148">
        <f t="shared" ca="1" si="22"/>
        <v>0</v>
      </c>
      <c r="E561" s="148">
        <f t="shared" ca="1" si="23"/>
        <v>13.299999999999997</v>
      </c>
    </row>
    <row r="562" spans="2:5" x14ac:dyDescent="0.25">
      <c r="B562" s="8">
        <v>38156</v>
      </c>
      <c r="C562" s="6">
        <f ca="1">IF(OR($C$7="",$B562&gt;NOW()),"",IF(INDEX(Data!$A:$G,MATCH($B562,Data!$A:$A,0),MATCH($C$7,Data!$4:$4,0))="","",INDEX(Data!$A:$G,MATCH($B562,Data!$A:$A,0),MATCH($C$7,Data!$4:$4,0))))</f>
        <v>78.900000000000006</v>
      </c>
      <c r="D562" s="148">
        <f t="shared" ca="1" si="22"/>
        <v>0</v>
      </c>
      <c r="E562" s="148">
        <f t="shared" ca="1" si="23"/>
        <v>13.900000000000006</v>
      </c>
    </row>
    <row r="563" spans="2:5" x14ac:dyDescent="0.25">
      <c r="B563" s="8">
        <v>38157</v>
      </c>
      <c r="C563" s="6">
        <f ca="1">IF(OR($C$7="",$B563&gt;NOW()),"",IF(INDEX(Data!$A:$G,MATCH($B563,Data!$A:$A,0),MATCH($C$7,Data!$4:$4,0))="","",INDEX(Data!$A:$G,MATCH($B563,Data!$A:$A,0),MATCH($C$7,Data!$4:$4,0))))</f>
        <v>76.2</v>
      </c>
      <c r="D563" s="148">
        <f t="shared" ca="1" si="22"/>
        <v>0</v>
      </c>
      <c r="E563" s="148">
        <f t="shared" ca="1" si="23"/>
        <v>11.200000000000003</v>
      </c>
    </row>
    <row r="564" spans="2:5" x14ac:dyDescent="0.25">
      <c r="B564" s="8">
        <v>38158</v>
      </c>
      <c r="C564" s="6">
        <f ca="1">IF(OR($C$7="",$B564&gt;NOW()),"",IF(INDEX(Data!$A:$G,MATCH($B564,Data!$A:$A,0),MATCH($C$7,Data!$4:$4,0))="","",INDEX(Data!$A:$G,MATCH($B564,Data!$A:$A,0),MATCH($C$7,Data!$4:$4,0))))</f>
        <v>67</v>
      </c>
      <c r="D564" s="148">
        <f t="shared" ca="1" si="22"/>
        <v>0</v>
      </c>
      <c r="E564" s="148">
        <f t="shared" ca="1" si="23"/>
        <v>2</v>
      </c>
    </row>
    <row r="565" spans="2:5" x14ac:dyDescent="0.25">
      <c r="B565" s="8">
        <v>38159</v>
      </c>
      <c r="C565" s="6">
        <f ca="1">IF(OR($C$7="",$B565&gt;NOW()),"",IF(INDEX(Data!$A:$G,MATCH($B565,Data!$A:$A,0),MATCH($C$7,Data!$4:$4,0))="","",INDEX(Data!$A:$G,MATCH($B565,Data!$A:$A,0),MATCH($C$7,Data!$4:$4,0))))</f>
        <v>72.099999999999994</v>
      </c>
      <c r="D565" s="148">
        <f t="shared" ca="1" si="22"/>
        <v>0</v>
      </c>
      <c r="E565" s="148">
        <f t="shared" ca="1" si="23"/>
        <v>7.0999999999999943</v>
      </c>
    </row>
    <row r="566" spans="2:5" x14ac:dyDescent="0.25">
      <c r="B566" s="8">
        <v>38160</v>
      </c>
      <c r="C566" s="6">
        <f ca="1">IF(OR($C$7="",$B566&gt;NOW()),"",IF(INDEX(Data!$A:$G,MATCH($B566,Data!$A:$A,0),MATCH($C$7,Data!$4:$4,0))="","",INDEX(Data!$A:$G,MATCH($B566,Data!$A:$A,0),MATCH($C$7,Data!$4:$4,0))))</f>
        <v>72.2</v>
      </c>
      <c r="D566" s="148">
        <f t="shared" ca="1" si="22"/>
        <v>0</v>
      </c>
      <c r="E566" s="148">
        <f t="shared" ca="1" si="23"/>
        <v>7.2000000000000028</v>
      </c>
    </row>
    <row r="567" spans="2:5" x14ac:dyDescent="0.25">
      <c r="B567" s="8">
        <v>38161</v>
      </c>
      <c r="C567" s="6">
        <f ca="1">IF(OR($C$7="",$B567&gt;NOW()),"",IF(INDEX(Data!$A:$G,MATCH($B567,Data!$A:$A,0),MATCH($C$7,Data!$4:$4,0))="","",INDEX(Data!$A:$G,MATCH($B567,Data!$A:$A,0),MATCH($C$7,Data!$4:$4,0))))</f>
        <v>76</v>
      </c>
      <c r="D567" s="148">
        <f t="shared" ca="1" si="22"/>
        <v>0</v>
      </c>
      <c r="E567" s="148">
        <f t="shared" ca="1" si="23"/>
        <v>11</v>
      </c>
    </row>
    <row r="568" spans="2:5" x14ac:dyDescent="0.25">
      <c r="B568" s="8">
        <v>38162</v>
      </c>
      <c r="C568" s="6">
        <f ca="1">IF(OR($C$7="",$B568&gt;NOW()),"",IF(INDEX(Data!$A:$G,MATCH($B568,Data!$A:$A,0),MATCH($C$7,Data!$4:$4,0))="","",INDEX(Data!$A:$G,MATCH($B568,Data!$A:$A,0),MATCH($C$7,Data!$4:$4,0))))</f>
        <v>74</v>
      </c>
      <c r="D568" s="148">
        <f t="shared" ca="1" si="22"/>
        <v>0</v>
      </c>
      <c r="E568" s="148">
        <f t="shared" ca="1" si="23"/>
        <v>9</v>
      </c>
    </row>
    <row r="569" spans="2:5" x14ac:dyDescent="0.25">
      <c r="B569" s="8">
        <v>38163</v>
      </c>
      <c r="C569" s="6">
        <f ca="1">IF(OR($C$7="",$B569&gt;NOW()),"",IF(INDEX(Data!$A:$G,MATCH($B569,Data!$A:$A,0),MATCH($C$7,Data!$4:$4,0))="","",INDEX(Data!$A:$G,MATCH($B569,Data!$A:$A,0),MATCH($C$7,Data!$4:$4,0))))</f>
        <v>73.8</v>
      </c>
      <c r="D569" s="148">
        <f t="shared" ca="1" si="22"/>
        <v>0</v>
      </c>
      <c r="E569" s="148">
        <f t="shared" ca="1" si="23"/>
        <v>8.7999999999999972</v>
      </c>
    </row>
    <row r="570" spans="2:5" x14ac:dyDescent="0.25">
      <c r="B570" s="8">
        <v>38164</v>
      </c>
      <c r="C570" s="6">
        <f ca="1">IF(OR($C$7="",$B570&gt;NOW()),"",IF(INDEX(Data!$A:$G,MATCH($B570,Data!$A:$A,0),MATCH($C$7,Data!$4:$4,0))="","",INDEX(Data!$A:$G,MATCH($B570,Data!$A:$A,0),MATCH($C$7,Data!$4:$4,0))))</f>
        <v>72.599999999999994</v>
      </c>
      <c r="D570" s="148">
        <f t="shared" ca="1" si="22"/>
        <v>0</v>
      </c>
      <c r="E570" s="148">
        <f t="shared" ca="1" si="23"/>
        <v>7.5999999999999943</v>
      </c>
    </row>
    <row r="571" spans="2:5" x14ac:dyDescent="0.25">
      <c r="B571" s="8">
        <v>38165</v>
      </c>
      <c r="C571" s="6">
        <f ca="1">IF(OR($C$7="",$B571&gt;NOW()),"",IF(INDEX(Data!$A:$G,MATCH($B571,Data!$A:$A,0),MATCH($C$7,Data!$4:$4,0))="","",INDEX(Data!$A:$G,MATCH($B571,Data!$A:$A,0),MATCH($C$7,Data!$4:$4,0))))</f>
        <v>71.2</v>
      </c>
      <c r="D571" s="148">
        <f t="shared" ca="1" si="22"/>
        <v>0</v>
      </c>
      <c r="E571" s="148">
        <f t="shared" ca="1" si="23"/>
        <v>6.2000000000000028</v>
      </c>
    </row>
    <row r="572" spans="2:5" x14ac:dyDescent="0.25">
      <c r="B572" s="8">
        <v>38166</v>
      </c>
      <c r="C572" s="6">
        <f ca="1">IF(OR($C$7="",$B572&gt;NOW()),"",IF(INDEX(Data!$A:$G,MATCH($B572,Data!$A:$A,0),MATCH($C$7,Data!$4:$4,0))="","",INDEX(Data!$A:$G,MATCH($B572,Data!$A:$A,0),MATCH($C$7,Data!$4:$4,0))))</f>
        <v>74</v>
      </c>
      <c r="D572" s="148">
        <f t="shared" ca="1" si="22"/>
        <v>0</v>
      </c>
      <c r="E572" s="148">
        <f t="shared" ca="1" si="23"/>
        <v>9</v>
      </c>
    </row>
    <row r="573" spans="2:5" x14ac:dyDescent="0.25">
      <c r="B573" s="8">
        <v>38167</v>
      </c>
      <c r="C573" s="6">
        <f ca="1">IF(OR($C$7="",$B573&gt;NOW()),"",IF(INDEX(Data!$A:$G,MATCH($B573,Data!$A:$A,0),MATCH($C$7,Data!$4:$4,0))="","",INDEX(Data!$A:$G,MATCH($B573,Data!$A:$A,0),MATCH($C$7,Data!$4:$4,0))))</f>
        <v>71.3</v>
      </c>
      <c r="D573" s="148">
        <f t="shared" ca="1" si="22"/>
        <v>0</v>
      </c>
      <c r="E573" s="148">
        <f t="shared" ca="1" si="23"/>
        <v>6.2999999999999972</v>
      </c>
    </row>
    <row r="574" spans="2:5" x14ac:dyDescent="0.25">
      <c r="B574" s="8">
        <v>38168</v>
      </c>
      <c r="C574" s="6">
        <f ca="1">IF(OR($C$7="",$B574&gt;NOW()),"",IF(INDEX(Data!$A:$G,MATCH($B574,Data!$A:$A,0),MATCH($C$7,Data!$4:$4,0))="","",INDEX(Data!$A:$G,MATCH($B574,Data!$A:$A,0),MATCH($C$7,Data!$4:$4,0))))</f>
        <v>76.7</v>
      </c>
      <c r="D574" s="148">
        <f t="shared" ca="1" si="22"/>
        <v>0</v>
      </c>
      <c r="E574" s="148">
        <f t="shared" ca="1" si="23"/>
        <v>11.700000000000003</v>
      </c>
    </row>
    <row r="575" spans="2:5" x14ac:dyDescent="0.25">
      <c r="B575" s="8">
        <v>38169</v>
      </c>
      <c r="C575" s="6">
        <f ca="1">IF(OR($C$7="",$B575&gt;NOW()),"",IF(INDEX(Data!$A:$G,MATCH($B575,Data!$A:$A,0),MATCH($C$7,Data!$4:$4,0))="","",INDEX(Data!$A:$G,MATCH($B575,Data!$A:$A,0),MATCH($C$7,Data!$4:$4,0))))</f>
        <v>77.5</v>
      </c>
      <c r="D575" s="148">
        <f t="shared" ca="1" si="22"/>
        <v>0</v>
      </c>
      <c r="E575" s="148">
        <f t="shared" ca="1" si="23"/>
        <v>12.5</v>
      </c>
    </row>
    <row r="576" spans="2:5" x14ac:dyDescent="0.25">
      <c r="B576" s="8">
        <v>38170</v>
      </c>
      <c r="C576" s="6">
        <f ca="1">IF(OR($C$7="",$B576&gt;NOW()),"",IF(INDEX(Data!$A:$G,MATCH($B576,Data!$A:$A,0),MATCH($C$7,Data!$4:$4,0))="","",INDEX(Data!$A:$G,MATCH($B576,Data!$A:$A,0),MATCH($C$7,Data!$4:$4,0))))</f>
        <v>78</v>
      </c>
      <c r="D576" s="148">
        <f t="shared" ca="1" si="22"/>
        <v>0</v>
      </c>
      <c r="E576" s="148">
        <f t="shared" ca="1" si="23"/>
        <v>13</v>
      </c>
    </row>
    <row r="577" spans="2:5" x14ac:dyDescent="0.25">
      <c r="B577" s="8">
        <v>38171</v>
      </c>
      <c r="C577" s="6">
        <f ca="1">IF(OR($C$7="",$B577&gt;NOW()),"",IF(INDEX(Data!$A:$G,MATCH($B577,Data!$A:$A,0),MATCH($C$7,Data!$4:$4,0))="","",INDEX(Data!$A:$G,MATCH($B577,Data!$A:$A,0),MATCH($C$7,Data!$4:$4,0))))</f>
        <v>75.5</v>
      </c>
      <c r="D577" s="148">
        <f t="shared" ca="1" si="22"/>
        <v>0</v>
      </c>
      <c r="E577" s="148">
        <f t="shared" ca="1" si="23"/>
        <v>10.5</v>
      </c>
    </row>
    <row r="578" spans="2:5" x14ac:dyDescent="0.25">
      <c r="B578" s="8">
        <v>38172</v>
      </c>
      <c r="C578" s="6">
        <f ca="1">IF(OR($C$7="",$B578&gt;NOW()),"",IF(INDEX(Data!$A:$G,MATCH($B578,Data!$A:$A,0),MATCH($C$7,Data!$4:$4,0))="","",INDEX(Data!$A:$G,MATCH($B578,Data!$A:$A,0),MATCH($C$7,Data!$4:$4,0))))</f>
        <v>76.599999999999994</v>
      </c>
      <c r="D578" s="148">
        <f t="shared" ca="1" si="22"/>
        <v>0</v>
      </c>
      <c r="E578" s="148">
        <f t="shared" ca="1" si="23"/>
        <v>11.599999999999994</v>
      </c>
    </row>
    <row r="579" spans="2:5" x14ac:dyDescent="0.25">
      <c r="B579" s="8">
        <v>38173</v>
      </c>
      <c r="C579" s="6">
        <f ca="1">IF(OR($C$7="",$B579&gt;NOW()),"",IF(INDEX(Data!$A:$G,MATCH($B579,Data!$A:$A,0),MATCH($C$7,Data!$4:$4,0))="","",INDEX(Data!$A:$G,MATCH($B579,Data!$A:$A,0),MATCH($C$7,Data!$4:$4,0))))</f>
        <v>76.8</v>
      </c>
      <c r="D579" s="148">
        <f t="shared" ca="1" si="22"/>
        <v>0</v>
      </c>
      <c r="E579" s="148">
        <f t="shared" ca="1" si="23"/>
        <v>11.799999999999997</v>
      </c>
    </row>
    <row r="580" spans="2:5" x14ac:dyDescent="0.25">
      <c r="B580" s="8">
        <v>38174</v>
      </c>
      <c r="C580" s="6">
        <f ca="1">IF(OR($C$7="",$B580&gt;NOW()),"",IF(INDEX(Data!$A:$G,MATCH($B580,Data!$A:$A,0),MATCH($C$7,Data!$4:$4,0))="","",INDEX(Data!$A:$G,MATCH($B580,Data!$A:$A,0),MATCH($C$7,Data!$4:$4,0))))</f>
        <v>78.2</v>
      </c>
      <c r="D580" s="148">
        <f t="shared" ca="1" si="22"/>
        <v>0</v>
      </c>
      <c r="E580" s="148">
        <f t="shared" ca="1" si="23"/>
        <v>13.200000000000003</v>
      </c>
    </row>
    <row r="581" spans="2:5" x14ac:dyDescent="0.25">
      <c r="B581" s="8">
        <v>38175</v>
      </c>
      <c r="C581" s="6">
        <f ca="1">IF(OR($C$7="",$B581&gt;NOW()),"",IF(INDEX(Data!$A:$G,MATCH($B581,Data!$A:$A,0),MATCH($C$7,Data!$4:$4,0))="","",INDEX(Data!$A:$G,MATCH($B581,Data!$A:$A,0),MATCH($C$7,Data!$4:$4,0))))</f>
        <v>76</v>
      </c>
      <c r="D581" s="148">
        <f t="shared" ca="1" si="22"/>
        <v>0</v>
      </c>
      <c r="E581" s="148">
        <f t="shared" ca="1" si="23"/>
        <v>11</v>
      </c>
    </row>
    <row r="582" spans="2:5" x14ac:dyDescent="0.25">
      <c r="B582" s="8">
        <v>38176</v>
      </c>
      <c r="C582" s="6">
        <f ca="1">IF(OR($C$7="",$B582&gt;NOW()),"",IF(INDEX(Data!$A:$G,MATCH($B582,Data!$A:$A,0),MATCH($C$7,Data!$4:$4,0))="","",INDEX(Data!$A:$G,MATCH($B582,Data!$A:$A,0),MATCH($C$7,Data!$4:$4,0))))</f>
        <v>79.900000000000006</v>
      </c>
      <c r="D582" s="148">
        <f t="shared" ca="1" si="22"/>
        <v>0</v>
      </c>
      <c r="E582" s="148">
        <f t="shared" ca="1" si="23"/>
        <v>14.900000000000006</v>
      </c>
    </row>
    <row r="583" spans="2:5" x14ac:dyDescent="0.25">
      <c r="B583" s="8">
        <v>38177</v>
      </c>
      <c r="C583" s="6">
        <f ca="1">IF(OR($C$7="",$B583&gt;NOW()),"",IF(INDEX(Data!$A:$G,MATCH($B583,Data!$A:$A,0),MATCH($C$7,Data!$4:$4,0))="","",INDEX(Data!$A:$G,MATCH($B583,Data!$A:$A,0),MATCH($C$7,Data!$4:$4,0))))</f>
        <v>76.400000000000006</v>
      </c>
      <c r="D583" s="148">
        <f t="shared" ca="1" si="22"/>
        <v>0</v>
      </c>
      <c r="E583" s="148">
        <f t="shared" ca="1" si="23"/>
        <v>11.400000000000006</v>
      </c>
    </row>
    <row r="584" spans="2:5" x14ac:dyDescent="0.25">
      <c r="B584" s="8">
        <v>38178</v>
      </c>
      <c r="C584" s="6">
        <f ca="1">IF(OR($C$7="",$B584&gt;NOW()),"",IF(INDEX(Data!$A:$G,MATCH($B584,Data!$A:$A,0),MATCH($C$7,Data!$4:$4,0))="","",INDEX(Data!$A:$G,MATCH($B584,Data!$A:$A,0),MATCH($C$7,Data!$4:$4,0))))</f>
        <v>74.8</v>
      </c>
      <c r="D584" s="148">
        <f t="shared" ca="1" si="22"/>
        <v>0</v>
      </c>
      <c r="E584" s="148">
        <f t="shared" ca="1" si="23"/>
        <v>9.7999999999999972</v>
      </c>
    </row>
    <row r="585" spans="2:5" x14ac:dyDescent="0.25">
      <c r="B585" s="8">
        <v>38179</v>
      </c>
      <c r="C585" s="6">
        <f ca="1">IF(OR($C$7="",$B585&gt;NOW()),"",IF(INDEX(Data!$A:$G,MATCH($B585,Data!$A:$A,0),MATCH($C$7,Data!$4:$4,0))="","",INDEX(Data!$A:$G,MATCH($B585,Data!$A:$A,0),MATCH($C$7,Data!$4:$4,0))))</f>
        <v>78.900000000000006</v>
      </c>
      <c r="D585" s="148">
        <f t="shared" ca="1" si="22"/>
        <v>0</v>
      </c>
      <c r="E585" s="148">
        <f t="shared" ca="1" si="23"/>
        <v>13.900000000000006</v>
      </c>
    </row>
    <row r="586" spans="2:5" x14ac:dyDescent="0.25">
      <c r="B586" s="8">
        <v>38180</v>
      </c>
      <c r="C586" s="6">
        <f ca="1">IF(OR($C$7="",$B586&gt;NOW()),"",IF(INDEX(Data!$A:$G,MATCH($B586,Data!$A:$A,0),MATCH($C$7,Data!$4:$4,0))="","",INDEX(Data!$A:$G,MATCH($B586,Data!$A:$A,0),MATCH($C$7,Data!$4:$4,0))))</f>
        <v>72.599999999999994</v>
      </c>
      <c r="D586" s="148">
        <f t="shared" ca="1" si="22"/>
        <v>0</v>
      </c>
      <c r="E586" s="148">
        <f t="shared" ca="1" si="23"/>
        <v>7.5999999999999943</v>
      </c>
    </row>
    <row r="587" spans="2:5" x14ac:dyDescent="0.25">
      <c r="B587" s="8">
        <v>38181</v>
      </c>
      <c r="C587" s="6">
        <f ca="1">IF(OR($C$7="",$B587&gt;NOW()),"",IF(INDEX(Data!$A:$G,MATCH($B587,Data!$A:$A,0),MATCH($C$7,Data!$4:$4,0))="","",INDEX(Data!$A:$G,MATCH($B587,Data!$A:$A,0),MATCH($C$7,Data!$4:$4,0))))</f>
        <v>66.099999999999994</v>
      </c>
      <c r="D587" s="148">
        <f t="shared" ca="1" si="22"/>
        <v>0</v>
      </c>
      <c r="E587" s="148">
        <f t="shared" ca="1" si="23"/>
        <v>1.0999999999999943</v>
      </c>
    </row>
    <row r="588" spans="2:5" x14ac:dyDescent="0.25">
      <c r="B588" s="8">
        <v>38182</v>
      </c>
      <c r="C588" s="6">
        <f ca="1">IF(OR($C$7="",$B588&gt;NOW()),"",IF(INDEX(Data!$A:$G,MATCH($B588,Data!$A:$A,0),MATCH($C$7,Data!$4:$4,0))="","",INDEX(Data!$A:$G,MATCH($B588,Data!$A:$A,0),MATCH($C$7,Data!$4:$4,0))))</f>
        <v>69.7</v>
      </c>
      <c r="D588" s="148">
        <f t="shared" ca="1" si="22"/>
        <v>0</v>
      </c>
      <c r="E588" s="148">
        <f t="shared" ca="1" si="23"/>
        <v>4.7000000000000028</v>
      </c>
    </row>
    <row r="589" spans="2:5" x14ac:dyDescent="0.25">
      <c r="B589" s="8">
        <v>38183</v>
      </c>
      <c r="C589" s="6">
        <f ca="1">IF(OR($C$7="",$B589&gt;NOW()),"",IF(INDEX(Data!$A:$G,MATCH($B589,Data!$A:$A,0),MATCH($C$7,Data!$4:$4,0))="","",INDEX(Data!$A:$G,MATCH($B589,Data!$A:$A,0),MATCH($C$7,Data!$4:$4,0))))</f>
        <v>73.599999999999994</v>
      </c>
      <c r="D589" s="148">
        <f t="shared" ca="1" si="22"/>
        <v>0</v>
      </c>
      <c r="E589" s="148">
        <f t="shared" ca="1" si="23"/>
        <v>8.5999999999999943</v>
      </c>
    </row>
    <row r="590" spans="2:5" x14ac:dyDescent="0.25">
      <c r="B590" s="8">
        <v>38184</v>
      </c>
      <c r="C590" s="6">
        <f ca="1">IF(OR($C$7="",$B590&gt;NOW()),"",IF(INDEX(Data!$A:$G,MATCH($B590,Data!$A:$A,0),MATCH($C$7,Data!$4:$4,0))="","",INDEX(Data!$A:$G,MATCH($B590,Data!$A:$A,0),MATCH($C$7,Data!$4:$4,0))))</f>
        <v>74.900000000000006</v>
      </c>
      <c r="D590" s="148">
        <f t="shared" ca="1" si="22"/>
        <v>0</v>
      </c>
      <c r="E590" s="148">
        <f t="shared" ca="1" si="23"/>
        <v>9.9000000000000057</v>
      </c>
    </row>
    <row r="591" spans="2:5" x14ac:dyDescent="0.25">
      <c r="B591" s="8">
        <v>38185</v>
      </c>
      <c r="C591" s="6">
        <f ca="1">IF(OR($C$7="",$B591&gt;NOW()),"",IF(INDEX(Data!$A:$G,MATCH($B591,Data!$A:$A,0),MATCH($C$7,Data!$4:$4,0))="","",INDEX(Data!$A:$G,MATCH($B591,Data!$A:$A,0),MATCH($C$7,Data!$4:$4,0))))</f>
        <v>77.7</v>
      </c>
      <c r="D591" s="148">
        <f t="shared" ca="1" si="22"/>
        <v>0</v>
      </c>
      <c r="E591" s="148">
        <f t="shared" ca="1" si="23"/>
        <v>12.700000000000003</v>
      </c>
    </row>
    <row r="592" spans="2:5" x14ac:dyDescent="0.25">
      <c r="B592" s="8">
        <v>38186</v>
      </c>
      <c r="C592" s="6">
        <f ca="1">IF(OR($C$7="",$B592&gt;NOW()),"",IF(INDEX(Data!$A:$G,MATCH($B592,Data!$A:$A,0),MATCH($C$7,Data!$4:$4,0))="","",INDEX(Data!$A:$G,MATCH($B592,Data!$A:$A,0),MATCH($C$7,Data!$4:$4,0))))</f>
        <v>73.900000000000006</v>
      </c>
      <c r="D592" s="148">
        <f t="shared" ca="1" si="22"/>
        <v>0</v>
      </c>
      <c r="E592" s="148">
        <f t="shared" ca="1" si="23"/>
        <v>8.9000000000000057</v>
      </c>
    </row>
    <row r="593" spans="2:5" x14ac:dyDescent="0.25">
      <c r="B593" s="8">
        <v>38187</v>
      </c>
      <c r="C593" s="6">
        <f ca="1">IF(OR($C$7="",$B593&gt;NOW()),"",IF(INDEX(Data!$A:$G,MATCH($B593,Data!$A:$A,0),MATCH($C$7,Data!$4:$4,0))="","",INDEX(Data!$A:$G,MATCH($B593,Data!$A:$A,0),MATCH($C$7,Data!$4:$4,0))))</f>
        <v>73</v>
      </c>
      <c r="D593" s="148">
        <f t="shared" ca="1" si="22"/>
        <v>0</v>
      </c>
      <c r="E593" s="148">
        <f t="shared" ca="1" si="23"/>
        <v>8</v>
      </c>
    </row>
    <row r="594" spans="2:5" x14ac:dyDescent="0.25">
      <c r="B594" s="8">
        <v>38188</v>
      </c>
      <c r="C594" s="6">
        <f ca="1">IF(OR($C$7="",$B594&gt;NOW()),"",IF(INDEX(Data!$A:$G,MATCH($B594,Data!$A:$A,0),MATCH($C$7,Data!$4:$4,0))="","",INDEX(Data!$A:$G,MATCH($B594,Data!$A:$A,0),MATCH($C$7,Data!$4:$4,0))))</f>
        <v>78.900000000000006</v>
      </c>
      <c r="D594" s="148">
        <f t="shared" ca="1" si="22"/>
        <v>0</v>
      </c>
      <c r="E594" s="148">
        <f t="shared" ca="1" si="23"/>
        <v>13.900000000000006</v>
      </c>
    </row>
    <row r="595" spans="2:5" x14ac:dyDescent="0.25">
      <c r="B595" s="8">
        <v>38189</v>
      </c>
      <c r="C595" s="6">
        <f ca="1">IF(OR($C$7="",$B595&gt;NOW()),"",IF(INDEX(Data!$A:$G,MATCH($B595,Data!$A:$A,0),MATCH($C$7,Data!$4:$4,0))="","",INDEX(Data!$A:$G,MATCH($B595,Data!$A:$A,0),MATCH($C$7,Data!$4:$4,0))))</f>
        <v>80.2</v>
      </c>
      <c r="D595" s="148">
        <f t="shared" ca="1" si="22"/>
        <v>0</v>
      </c>
      <c r="E595" s="148">
        <f t="shared" ca="1" si="23"/>
        <v>15.200000000000003</v>
      </c>
    </row>
    <row r="596" spans="2:5" x14ac:dyDescent="0.25">
      <c r="B596" s="8">
        <v>38190</v>
      </c>
      <c r="C596" s="6">
        <f ca="1">IF(OR($C$7="",$B596&gt;NOW()),"",IF(INDEX(Data!$A:$G,MATCH($B596,Data!$A:$A,0),MATCH($C$7,Data!$4:$4,0))="","",INDEX(Data!$A:$G,MATCH($B596,Data!$A:$A,0),MATCH($C$7,Data!$4:$4,0))))</f>
        <v>81.099999999999994</v>
      </c>
      <c r="D596" s="148">
        <f t="shared" ca="1" si="22"/>
        <v>0</v>
      </c>
      <c r="E596" s="148">
        <f t="shared" ca="1" si="23"/>
        <v>16.099999999999994</v>
      </c>
    </row>
    <row r="597" spans="2:5" x14ac:dyDescent="0.25">
      <c r="B597" s="8">
        <v>38191</v>
      </c>
      <c r="C597" s="6">
        <f ca="1">IF(OR($C$7="",$B597&gt;NOW()),"",IF(INDEX(Data!$A:$G,MATCH($B597,Data!$A:$A,0),MATCH($C$7,Data!$4:$4,0))="","",INDEX(Data!$A:$G,MATCH($B597,Data!$A:$A,0),MATCH($C$7,Data!$4:$4,0))))</f>
        <v>76.599999999999994</v>
      </c>
      <c r="D597" s="148">
        <f t="shared" ca="1" si="22"/>
        <v>0</v>
      </c>
      <c r="E597" s="148">
        <f t="shared" ca="1" si="23"/>
        <v>11.599999999999994</v>
      </c>
    </row>
    <row r="598" spans="2:5" x14ac:dyDescent="0.25">
      <c r="B598" s="8">
        <v>38192</v>
      </c>
      <c r="C598" s="6">
        <f ca="1">IF(OR($C$7="",$B598&gt;NOW()),"",IF(INDEX(Data!$A:$G,MATCH($B598,Data!$A:$A,0),MATCH($C$7,Data!$4:$4,0))="","",INDEX(Data!$A:$G,MATCH($B598,Data!$A:$A,0),MATCH($C$7,Data!$4:$4,0))))</f>
        <v>72.400000000000006</v>
      </c>
      <c r="D598" s="148">
        <f t="shared" ca="1" si="22"/>
        <v>0</v>
      </c>
      <c r="E598" s="148">
        <f t="shared" ca="1" si="23"/>
        <v>7.4000000000000057</v>
      </c>
    </row>
    <row r="599" spans="2:5" x14ac:dyDescent="0.25">
      <c r="B599" s="8">
        <v>38193</v>
      </c>
      <c r="C599" s="6">
        <f ca="1">IF(OR($C$7="",$B599&gt;NOW()),"",IF(INDEX(Data!$A:$G,MATCH($B599,Data!$A:$A,0),MATCH($C$7,Data!$4:$4,0))="","",INDEX(Data!$A:$G,MATCH($B599,Data!$A:$A,0),MATCH($C$7,Data!$4:$4,0))))</f>
        <v>70.8</v>
      </c>
      <c r="D599" s="148">
        <f t="shared" ca="1" si="22"/>
        <v>0</v>
      </c>
      <c r="E599" s="148">
        <f t="shared" ca="1" si="23"/>
        <v>5.7999999999999972</v>
      </c>
    </row>
    <row r="600" spans="2:5" x14ac:dyDescent="0.25">
      <c r="B600" s="8">
        <v>38194</v>
      </c>
      <c r="C600" s="6">
        <f ca="1">IF(OR($C$7="",$B600&gt;NOW()),"",IF(INDEX(Data!$A:$G,MATCH($B600,Data!$A:$A,0),MATCH($C$7,Data!$4:$4,0))="","",INDEX(Data!$A:$G,MATCH($B600,Data!$A:$A,0),MATCH($C$7,Data!$4:$4,0))))</f>
        <v>71.8</v>
      </c>
      <c r="D600" s="148">
        <f t="shared" ca="1" si="22"/>
        <v>0</v>
      </c>
      <c r="E600" s="148">
        <f t="shared" ca="1" si="23"/>
        <v>6.7999999999999972</v>
      </c>
    </row>
    <row r="601" spans="2:5" x14ac:dyDescent="0.25">
      <c r="B601" s="8">
        <v>38195</v>
      </c>
      <c r="C601" s="6">
        <f ca="1">IF(OR($C$7="",$B601&gt;NOW()),"",IF(INDEX(Data!$A:$G,MATCH($B601,Data!$A:$A,0),MATCH($C$7,Data!$4:$4,0))="","",INDEX(Data!$A:$G,MATCH($B601,Data!$A:$A,0),MATCH($C$7,Data!$4:$4,0))))</f>
        <v>71.099999999999994</v>
      </c>
      <c r="D601" s="148">
        <f t="shared" ca="1" si="22"/>
        <v>0</v>
      </c>
      <c r="E601" s="148">
        <f t="shared" ca="1" si="23"/>
        <v>6.0999999999999943</v>
      </c>
    </row>
    <row r="602" spans="2:5" x14ac:dyDescent="0.25">
      <c r="B602" s="8">
        <v>38196</v>
      </c>
      <c r="C602" s="6">
        <f ca="1">IF(OR($C$7="",$B602&gt;NOW()),"",IF(INDEX(Data!$A:$G,MATCH($B602,Data!$A:$A,0),MATCH($C$7,Data!$4:$4,0))="","",INDEX(Data!$A:$G,MATCH($B602,Data!$A:$A,0),MATCH($C$7,Data!$4:$4,0))))</f>
        <v>70.599999999999994</v>
      </c>
      <c r="D602" s="148">
        <f t="shared" ca="1" si="22"/>
        <v>0</v>
      </c>
      <c r="E602" s="148">
        <f t="shared" ca="1" si="23"/>
        <v>5.5999999999999943</v>
      </c>
    </row>
    <row r="603" spans="2:5" x14ac:dyDescent="0.25">
      <c r="B603" s="8">
        <v>38197</v>
      </c>
      <c r="C603" s="6">
        <f ca="1">IF(OR($C$7="",$B603&gt;NOW()),"",IF(INDEX(Data!$A:$G,MATCH($B603,Data!$A:$A,0),MATCH($C$7,Data!$4:$4,0))="","",INDEX(Data!$A:$G,MATCH($B603,Data!$A:$A,0),MATCH($C$7,Data!$4:$4,0))))</f>
        <v>75.7</v>
      </c>
      <c r="D603" s="148">
        <f t="shared" ca="1" si="22"/>
        <v>0</v>
      </c>
      <c r="E603" s="148">
        <f t="shared" ca="1" si="23"/>
        <v>10.700000000000003</v>
      </c>
    </row>
    <row r="604" spans="2:5" x14ac:dyDescent="0.25">
      <c r="B604" s="8">
        <v>38198</v>
      </c>
      <c r="C604" s="6">
        <f ca="1">IF(OR($C$7="",$B604&gt;NOW()),"",IF(INDEX(Data!$A:$G,MATCH($B604,Data!$A:$A,0),MATCH($C$7,Data!$4:$4,0))="","",INDEX(Data!$A:$G,MATCH($B604,Data!$A:$A,0),MATCH($C$7,Data!$4:$4,0))))</f>
        <v>78.8</v>
      </c>
      <c r="D604" s="148">
        <f t="shared" ca="1" si="22"/>
        <v>0</v>
      </c>
      <c r="E604" s="148">
        <f t="shared" ca="1" si="23"/>
        <v>13.799999999999997</v>
      </c>
    </row>
    <row r="605" spans="2:5" x14ac:dyDescent="0.25">
      <c r="B605" s="8">
        <v>38199</v>
      </c>
      <c r="C605" s="6">
        <f ca="1">IF(OR($C$7="",$B605&gt;NOW()),"",IF(INDEX(Data!$A:$G,MATCH($B605,Data!$A:$A,0),MATCH($C$7,Data!$4:$4,0))="","",INDEX(Data!$A:$G,MATCH($B605,Data!$A:$A,0),MATCH($C$7,Data!$4:$4,0))))</f>
        <v>80.2</v>
      </c>
      <c r="D605" s="148">
        <f t="shared" ref="D605:D668" ca="1" si="24">IF($C605="","",IF($C605&gt;$D$26,0,$D$26-$C605))</f>
        <v>0</v>
      </c>
      <c r="E605" s="148">
        <f t="shared" ref="E605:E668" ca="1" si="25">IF($C605="","",IF($C605&lt;$E$26,0,$C605-$E$26))</f>
        <v>15.200000000000003</v>
      </c>
    </row>
    <row r="606" spans="2:5" x14ac:dyDescent="0.25">
      <c r="B606" s="8">
        <v>38200</v>
      </c>
      <c r="C606" s="6">
        <f ca="1">IF(OR($C$7="",$B606&gt;NOW()),"",IF(INDEX(Data!$A:$G,MATCH($B606,Data!$A:$A,0),MATCH($C$7,Data!$4:$4,0))="","",INDEX(Data!$A:$G,MATCH($B606,Data!$A:$A,0),MATCH($C$7,Data!$4:$4,0))))</f>
        <v>79.400000000000006</v>
      </c>
      <c r="D606" s="148">
        <f t="shared" ca="1" si="24"/>
        <v>0</v>
      </c>
      <c r="E606" s="148">
        <f t="shared" ca="1" si="25"/>
        <v>14.400000000000006</v>
      </c>
    </row>
    <row r="607" spans="2:5" x14ac:dyDescent="0.25">
      <c r="B607" s="8">
        <v>38201</v>
      </c>
      <c r="C607" s="6">
        <f ca="1">IF(OR($C$7="",$B607&gt;NOW()),"",IF(INDEX(Data!$A:$G,MATCH($B607,Data!$A:$A,0),MATCH($C$7,Data!$4:$4,0))="","",INDEX(Data!$A:$G,MATCH($B607,Data!$A:$A,0),MATCH($C$7,Data!$4:$4,0))))</f>
        <v>80</v>
      </c>
      <c r="D607" s="148">
        <f t="shared" ca="1" si="24"/>
        <v>0</v>
      </c>
      <c r="E607" s="148">
        <f t="shared" ca="1" si="25"/>
        <v>15</v>
      </c>
    </row>
    <row r="608" spans="2:5" x14ac:dyDescent="0.25">
      <c r="B608" s="8">
        <v>38202</v>
      </c>
      <c r="C608" s="6">
        <f ca="1">IF(OR($C$7="",$B608&gt;NOW()),"",IF(INDEX(Data!$A:$G,MATCH($B608,Data!$A:$A,0),MATCH($C$7,Data!$4:$4,0))="","",INDEX(Data!$A:$G,MATCH($B608,Data!$A:$A,0),MATCH($C$7,Data!$4:$4,0))))</f>
        <v>79.099999999999994</v>
      </c>
      <c r="D608" s="148">
        <f t="shared" ca="1" si="24"/>
        <v>0</v>
      </c>
      <c r="E608" s="148">
        <f t="shared" ca="1" si="25"/>
        <v>14.099999999999994</v>
      </c>
    </row>
    <row r="609" spans="2:5" x14ac:dyDescent="0.25">
      <c r="B609" s="8">
        <v>38203</v>
      </c>
      <c r="C609" s="6">
        <f ca="1">IF(OR($C$7="",$B609&gt;NOW()),"",IF(INDEX(Data!$A:$G,MATCH($B609,Data!$A:$A,0),MATCH($C$7,Data!$4:$4,0))="","",INDEX(Data!$A:$G,MATCH($B609,Data!$A:$A,0),MATCH($C$7,Data!$4:$4,0))))</f>
        <v>79.5</v>
      </c>
      <c r="D609" s="148">
        <f t="shared" ca="1" si="24"/>
        <v>0</v>
      </c>
      <c r="E609" s="148">
        <f t="shared" ca="1" si="25"/>
        <v>14.5</v>
      </c>
    </row>
    <row r="610" spans="2:5" x14ac:dyDescent="0.25">
      <c r="B610" s="8">
        <v>38204</v>
      </c>
      <c r="C610" s="6">
        <f ca="1">IF(OR($C$7="",$B610&gt;NOW()),"",IF(INDEX(Data!$A:$G,MATCH($B610,Data!$A:$A,0),MATCH($C$7,Data!$4:$4,0))="","",INDEX(Data!$A:$G,MATCH($B610,Data!$A:$A,0),MATCH($C$7,Data!$4:$4,0))))</f>
        <v>73.7</v>
      </c>
      <c r="D610" s="148">
        <f t="shared" ca="1" si="24"/>
        <v>0</v>
      </c>
      <c r="E610" s="148">
        <f t="shared" ca="1" si="25"/>
        <v>8.7000000000000028</v>
      </c>
    </row>
    <row r="611" spans="2:5" x14ac:dyDescent="0.25">
      <c r="B611" s="8">
        <v>38205</v>
      </c>
      <c r="C611" s="6">
        <f ca="1">IF(OR($C$7="",$B611&gt;NOW()),"",IF(INDEX(Data!$A:$G,MATCH($B611,Data!$A:$A,0),MATCH($C$7,Data!$4:$4,0))="","",INDEX(Data!$A:$G,MATCH($B611,Data!$A:$A,0),MATCH($C$7,Data!$4:$4,0))))</f>
        <v>68.5</v>
      </c>
      <c r="D611" s="148">
        <f t="shared" ca="1" si="24"/>
        <v>0</v>
      </c>
      <c r="E611" s="148">
        <f t="shared" ca="1" si="25"/>
        <v>3.5</v>
      </c>
    </row>
    <row r="612" spans="2:5" x14ac:dyDescent="0.25">
      <c r="B612" s="8">
        <v>38206</v>
      </c>
      <c r="C612" s="6">
        <f ca="1">IF(OR($C$7="",$B612&gt;NOW()),"",IF(INDEX(Data!$A:$G,MATCH($B612,Data!$A:$A,0),MATCH($C$7,Data!$4:$4,0))="","",INDEX(Data!$A:$G,MATCH($B612,Data!$A:$A,0),MATCH($C$7,Data!$4:$4,0))))</f>
        <v>66.099999999999994</v>
      </c>
      <c r="D612" s="148">
        <f t="shared" ca="1" si="24"/>
        <v>0</v>
      </c>
      <c r="E612" s="148">
        <f t="shared" ca="1" si="25"/>
        <v>1.0999999999999943</v>
      </c>
    </row>
    <row r="613" spans="2:5" x14ac:dyDescent="0.25">
      <c r="B613" s="8">
        <v>38207</v>
      </c>
      <c r="C613" s="6">
        <f ca="1">IF(OR($C$7="",$B613&gt;NOW()),"",IF(INDEX(Data!$A:$G,MATCH($B613,Data!$A:$A,0),MATCH($C$7,Data!$4:$4,0))="","",INDEX(Data!$A:$G,MATCH($B613,Data!$A:$A,0),MATCH($C$7,Data!$4:$4,0))))</f>
        <v>70.099999999999994</v>
      </c>
      <c r="D613" s="148">
        <f t="shared" ca="1" si="24"/>
        <v>0</v>
      </c>
      <c r="E613" s="148">
        <f t="shared" ca="1" si="25"/>
        <v>5.0999999999999943</v>
      </c>
    </row>
    <row r="614" spans="2:5" x14ac:dyDescent="0.25">
      <c r="B614" s="8">
        <v>38208</v>
      </c>
      <c r="C614" s="6">
        <f ca="1">IF(OR($C$7="",$B614&gt;NOW()),"",IF(INDEX(Data!$A:$G,MATCH($B614,Data!$A:$A,0),MATCH($C$7,Data!$4:$4,0))="","",INDEX(Data!$A:$G,MATCH($B614,Data!$A:$A,0),MATCH($C$7,Data!$4:$4,0))))</f>
        <v>76.8</v>
      </c>
      <c r="D614" s="148">
        <f t="shared" ca="1" si="24"/>
        <v>0</v>
      </c>
      <c r="E614" s="148">
        <f t="shared" ca="1" si="25"/>
        <v>11.799999999999997</v>
      </c>
    </row>
    <row r="615" spans="2:5" x14ac:dyDescent="0.25">
      <c r="B615" s="8">
        <v>38209</v>
      </c>
      <c r="C615" s="6">
        <f ca="1">IF(OR($C$7="",$B615&gt;NOW()),"",IF(INDEX(Data!$A:$G,MATCH($B615,Data!$A:$A,0),MATCH($C$7,Data!$4:$4,0))="","",INDEX(Data!$A:$G,MATCH($B615,Data!$A:$A,0),MATCH($C$7,Data!$4:$4,0))))</f>
        <v>77.8</v>
      </c>
      <c r="D615" s="148">
        <f t="shared" ca="1" si="24"/>
        <v>0</v>
      </c>
      <c r="E615" s="148">
        <f t="shared" ca="1" si="25"/>
        <v>12.799999999999997</v>
      </c>
    </row>
    <row r="616" spans="2:5" x14ac:dyDescent="0.25">
      <c r="B616" s="8">
        <v>38210</v>
      </c>
      <c r="C616" s="6">
        <f ca="1">IF(OR($C$7="",$B616&gt;NOW()),"",IF(INDEX(Data!$A:$G,MATCH($B616,Data!$A:$A,0),MATCH($C$7,Data!$4:$4,0))="","",INDEX(Data!$A:$G,MATCH($B616,Data!$A:$A,0),MATCH($C$7,Data!$4:$4,0))))</f>
        <v>75.8</v>
      </c>
      <c r="D616" s="148">
        <f t="shared" ca="1" si="24"/>
        <v>0</v>
      </c>
      <c r="E616" s="148">
        <f t="shared" ca="1" si="25"/>
        <v>10.799999999999997</v>
      </c>
    </row>
    <row r="617" spans="2:5" x14ac:dyDescent="0.25">
      <c r="B617" s="8">
        <v>38211</v>
      </c>
      <c r="C617" s="6">
        <f ca="1">IF(OR($C$7="",$B617&gt;NOW()),"",IF(INDEX(Data!$A:$G,MATCH($B617,Data!$A:$A,0),MATCH($C$7,Data!$4:$4,0))="","",INDEX(Data!$A:$G,MATCH($B617,Data!$A:$A,0),MATCH($C$7,Data!$4:$4,0))))</f>
        <v>74.900000000000006</v>
      </c>
      <c r="D617" s="148">
        <f t="shared" ca="1" si="24"/>
        <v>0</v>
      </c>
      <c r="E617" s="148">
        <f t="shared" ca="1" si="25"/>
        <v>9.9000000000000057</v>
      </c>
    </row>
    <row r="618" spans="2:5" x14ac:dyDescent="0.25">
      <c r="B618" s="8">
        <v>38212</v>
      </c>
      <c r="C618" s="6">
        <f ca="1">IF(OR($C$7="",$B618&gt;NOW()),"",IF(INDEX(Data!$A:$G,MATCH($B618,Data!$A:$A,0),MATCH($C$7,Data!$4:$4,0))="","",INDEX(Data!$A:$G,MATCH($B618,Data!$A:$A,0),MATCH($C$7,Data!$4:$4,0))))</f>
        <v>75.599999999999994</v>
      </c>
      <c r="D618" s="148">
        <f t="shared" ca="1" si="24"/>
        <v>0</v>
      </c>
      <c r="E618" s="148">
        <f t="shared" ca="1" si="25"/>
        <v>10.599999999999994</v>
      </c>
    </row>
    <row r="619" spans="2:5" x14ac:dyDescent="0.25">
      <c r="B619" s="8">
        <v>38213</v>
      </c>
      <c r="C619" s="6">
        <f ca="1">IF(OR($C$7="",$B619&gt;NOW()),"",IF(INDEX(Data!$A:$G,MATCH($B619,Data!$A:$A,0),MATCH($C$7,Data!$4:$4,0))="","",INDEX(Data!$A:$G,MATCH($B619,Data!$A:$A,0),MATCH($C$7,Data!$4:$4,0))))</f>
        <v>73.599999999999994</v>
      </c>
      <c r="D619" s="148">
        <f t="shared" ca="1" si="24"/>
        <v>0</v>
      </c>
      <c r="E619" s="148">
        <f t="shared" ca="1" si="25"/>
        <v>8.5999999999999943</v>
      </c>
    </row>
    <row r="620" spans="2:5" x14ac:dyDescent="0.25">
      <c r="B620" s="8">
        <v>38214</v>
      </c>
      <c r="C620" s="6">
        <f ca="1">IF(OR($C$7="",$B620&gt;NOW()),"",IF(INDEX(Data!$A:$G,MATCH($B620,Data!$A:$A,0),MATCH($C$7,Data!$4:$4,0))="","",INDEX(Data!$A:$G,MATCH($B620,Data!$A:$A,0),MATCH($C$7,Data!$4:$4,0))))</f>
        <v>71.099999999999994</v>
      </c>
      <c r="D620" s="148">
        <f t="shared" ca="1" si="24"/>
        <v>0</v>
      </c>
      <c r="E620" s="148">
        <f t="shared" ca="1" si="25"/>
        <v>6.0999999999999943</v>
      </c>
    </row>
    <row r="621" spans="2:5" x14ac:dyDescent="0.25">
      <c r="B621" s="8">
        <v>38215</v>
      </c>
      <c r="C621" s="6">
        <f ca="1">IF(OR($C$7="",$B621&gt;NOW()),"",IF(INDEX(Data!$A:$G,MATCH($B621,Data!$A:$A,0),MATCH($C$7,Data!$4:$4,0))="","",INDEX(Data!$A:$G,MATCH($B621,Data!$A:$A,0),MATCH($C$7,Data!$4:$4,0))))</f>
        <v>70.3</v>
      </c>
      <c r="D621" s="148">
        <f t="shared" ca="1" si="24"/>
        <v>0</v>
      </c>
      <c r="E621" s="148">
        <f t="shared" ca="1" si="25"/>
        <v>5.2999999999999972</v>
      </c>
    </row>
    <row r="622" spans="2:5" x14ac:dyDescent="0.25">
      <c r="B622" s="8">
        <v>38216</v>
      </c>
      <c r="C622" s="6">
        <f ca="1">IF(OR($C$7="",$B622&gt;NOW()),"",IF(INDEX(Data!$A:$G,MATCH($B622,Data!$A:$A,0),MATCH($C$7,Data!$4:$4,0))="","",INDEX(Data!$A:$G,MATCH($B622,Data!$A:$A,0),MATCH($C$7,Data!$4:$4,0))))</f>
        <v>70</v>
      </c>
      <c r="D622" s="148">
        <f t="shared" ca="1" si="24"/>
        <v>0</v>
      </c>
      <c r="E622" s="148">
        <f t="shared" ca="1" si="25"/>
        <v>5</v>
      </c>
    </row>
    <row r="623" spans="2:5" x14ac:dyDescent="0.25">
      <c r="B623" s="8">
        <v>38217</v>
      </c>
      <c r="C623" s="6">
        <f ca="1">IF(OR($C$7="",$B623&gt;NOW()),"",IF(INDEX(Data!$A:$G,MATCH($B623,Data!$A:$A,0),MATCH($C$7,Data!$4:$4,0))="","",INDEX(Data!$A:$G,MATCH($B623,Data!$A:$A,0),MATCH($C$7,Data!$4:$4,0))))</f>
        <v>72.900000000000006</v>
      </c>
      <c r="D623" s="148">
        <f t="shared" ca="1" si="24"/>
        <v>0</v>
      </c>
      <c r="E623" s="148">
        <f t="shared" ca="1" si="25"/>
        <v>7.9000000000000057</v>
      </c>
    </row>
    <row r="624" spans="2:5" x14ac:dyDescent="0.25">
      <c r="B624" s="8">
        <v>38218</v>
      </c>
      <c r="C624" s="6">
        <f ca="1">IF(OR($C$7="",$B624&gt;NOW()),"",IF(INDEX(Data!$A:$G,MATCH($B624,Data!$A:$A,0),MATCH($C$7,Data!$4:$4,0))="","",INDEX(Data!$A:$G,MATCH($B624,Data!$A:$A,0),MATCH($C$7,Data!$4:$4,0))))</f>
        <v>77.3</v>
      </c>
      <c r="D624" s="148">
        <f t="shared" ca="1" si="24"/>
        <v>0</v>
      </c>
      <c r="E624" s="148">
        <f t="shared" ca="1" si="25"/>
        <v>12.299999999999997</v>
      </c>
    </row>
    <row r="625" spans="2:5" x14ac:dyDescent="0.25">
      <c r="B625" s="8">
        <v>38219</v>
      </c>
      <c r="C625" s="6">
        <f ca="1">IF(OR($C$7="",$B625&gt;NOW()),"",IF(INDEX(Data!$A:$G,MATCH($B625,Data!$A:$A,0),MATCH($C$7,Data!$4:$4,0))="","",INDEX(Data!$A:$G,MATCH($B625,Data!$A:$A,0),MATCH($C$7,Data!$4:$4,0))))</f>
        <v>82.5</v>
      </c>
      <c r="D625" s="148">
        <f t="shared" ca="1" si="24"/>
        <v>0</v>
      </c>
      <c r="E625" s="148">
        <f t="shared" ca="1" si="25"/>
        <v>17.5</v>
      </c>
    </row>
    <row r="626" spans="2:5" x14ac:dyDescent="0.25">
      <c r="B626" s="8">
        <v>38220</v>
      </c>
      <c r="C626" s="6">
        <f ca="1">IF(OR($C$7="",$B626&gt;NOW()),"",IF(INDEX(Data!$A:$G,MATCH($B626,Data!$A:$A,0),MATCH($C$7,Data!$4:$4,0))="","",INDEX(Data!$A:$G,MATCH($B626,Data!$A:$A,0),MATCH($C$7,Data!$4:$4,0))))</f>
        <v>78.3</v>
      </c>
      <c r="D626" s="148">
        <f t="shared" ca="1" si="24"/>
        <v>0</v>
      </c>
      <c r="E626" s="148">
        <f t="shared" ca="1" si="25"/>
        <v>13.299999999999997</v>
      </c>
    </row>
    <row r="627" spans="2:5" x14ac:dyDescent="0.25">
      <c r="B627" s="8">
        <v>38221</v>
      </c>
      <c r="C627" s="6">
        <f ca="1">IF(OR($C$7="",$B627&gt;NOW()),"",IF(INDEX(Data!$A:$G,MATCH($B627,Data!$A:$A,0),MATCH($C$7,Data!$4:$4,0))="","",INDEX(Data!$A:$G,MATCH($B627,Data!$A:$A,0),MATCH($C$7,Data!$4:$4,0))))</f>
        <v>68.099999999999994</v>
      </c>
      <c r="D627" s="148">
        <f t="shared" ca="1" si="24"/>
        <v>0</v>
      </c>
      <c r="E627" s="148">
        <f t="shared" ca="1" si="25"/>
        <v>3.0999999999999943</v>
      </c>
    </row>
    <row r="628" spans="2:5" x14ac:dyDescent="0.25">
      <c r="B628" s="8">
        <v>38222</v>
      </c>
      <c r="C628" s="6">
        <f ca="1">IF(OR($C$7="",$B628&gt;NOW()),"",IF(INDEX(Data!$A:$G,MATCH($B628,Data!$A:$A,0),MATCH($C$7,Data!$4:$4,0))="","",INDEX(Data!$A:$G,MATCH($B628,Data!$A:$A,0),MATCH($C$7,Data!$4:$4,0))))</f>
        <v>72.7</v>
      </c>
      <c r="D628" s="148">
        <f t="shared" ca="1" si="24"/>
        <v>0</v>
      </c>
      <c r="E628" s="148">
        <f t="shared" ca="1" si="25"/>
        <v>7.7000000000000028</v>
      </c>
    </row>
    <row r="629" spans="2:5" x14ac:dyDescent="0.25">
      <c r="B629" s="8">
        <v>38223</v>
      </c>
      <c r="C629" s="6">
        <f ca="1">IF(OR($C$7="",$B629&gt;NOW()),"",IF(INDEX(Data!$A:$G,MATCH($B629,Data!$A:$A,0),MATCH($C$7,Data!$4:$4,0))="","",INDEX(Data!$A:$G,MATCH($B629,Data!$A:$A,0),MATCH($C$7,Data!$4:$4,0))))</f>
        <v>75</v>
      </c>
      <c r="D629" s="148">
        <f t="shared" ca="1" si="24"/>
        <v>0</v>
      </c>
      <c r="E629" s="148">
        <f t="shared" ca="1" si="25"/>
        <v>10</v>
      </c>
    </row>
    <row r="630" spans="2:5" x14ac:dyDescent="0.25">
      <c r="B630" s="8">
        <v>38224</v>
      </c>
      <c r="C630" s="6">
        <f ca="1">IF(OR($C$7="",$B630&gt;NOW()),"",IF(INDEX(Data!$A:$G,MATCH($B630,Data!$A:$A,0),MATCH($C$7,Data!$4:$4,0))="","",INDEX(Data!$A:$G,MATCH($B630,Data!$A:$A,0),MATCH($C$7,Data!$4:$4,0))))</f>
        <v>70.900000000000006</v>
      </c>
      <c r="D630" s="148">
        <f t="shared" ca="1" si="24"/>
        <v>0</v>
      </c>
      <c r="E630" s="148">
        <f t="shared" ca="1" si="25"/>
        <v>5.9000000000000057</v>
      </c>
    </row>
    <row r="631" spans="2:5" x14ac:dyDescent="0.25">
      <c r="B631" s="8">
        <v>38225</v>
      </c>
      <c r="C631" s="6">
        <f ca="1">IF(OR($C$7="",$B631&gt;NOW()),"",IF(INDEX(Data!$A:$G,MATCH($B631,Data!$A:$A,0),MATCH($C$7,Data!$4:$4,0))="","",INDEX(Data!$A:$G,MATCH($B631,Data!$A:$A,0),MATCH($C$7,Data!$4:$4,0))))</f>
        <v>70.099999999999994</v>
      </c>
      <c r="D631" s="148">
        <f t="shared" ca="1" si="24"/>
        <v>0</v>
      </c>
      <c r="E631" s="148">
        <f t="shared" ca="1" si="25"/>
        <v>5.0999999999999943</v>
      </c>
    </row>
    <row r="632" spans="2:5" x14ac:dyDescent="0.25">
      <c r="B632" s="8">
        <v>38226</v>
      </c>
      <c r="C632" s="6">
        <f ca="1">IF(OR($C$7="",$B632&gt;NOW()),"",IF(INDEX(Data!$A:$G,MATCH($B632,Data!$A:$A,0),MATCH($C$7,Data!$4:$4,0))="","",INDEX(Data!$A:$G,MATCH($B632,Data!$A:$A,0),MATCH($C$7,Data!$4:$4,0))))</f>
        <v>74.599999999999994</v>
      </c>
      <c r="D632" s="148">
        <f t="shared" ca="1" si="24"/>
        <v>0</v>
      </c>
      <c r="E632" s="148">
        <f t="shared" ca="1" si="25"/>
        <v>9.5999999999999943</v>
      </c>
    </row>
    <row r="633" spans="2:5" x14ac:dyDescent="0.25">
      <c r="B633" s="8">
        <v>38227</v>
      </c>
      <c r="C633" s="6">
        <f ca="1">IF(OR($C$7="",$B633&gt;NOW()),"",IF(INDEX(Data!$A:$G,MATCH($B633,Data!$A:$A,0),MATCH($C$7,Data!$4:$4,0))="","",INDEX(Data!$A:$G,MATCH($B633,Data!$A:$A,0),MATCH($C$7,Data!$4:$4,0))))</f>
        <v>79.400000000000006</v>
      </c>
      <c r="D633" s="148">
        <f t="shared" ca="1" si="24"/>
        <v>0</v>
      </c>
      <c r="E633" s="148">
        <f t="shared" ca="1" si="25"/>
        <v>14.400000000000006</v>
      </c>
    </row>
    <row r="634" spans="2:5" x14ac:dyDescent="0.25">
      <c r="B634" s="8">
        <v>38228</v>
      </c>
      <c r="C634" s="6">
        <f ca="1">IF(OR($C$7="",$B634&gt;NOW()),"",IF(INDEX(Data!$A:$G,MATCH($B634,Data!$A:$A,0),MATCH($C$7,Data!$4:$4,0))="","",INDEX(Data!$A:$G,MATCH($B634,Data!$A:$A,0),MATCH($C$7,Data!$4:$4,0))))</f>
        <v>80.3</v>
      </c>
      <c r="D634" s="148">
        <f t="shared" ca="1" si="24"/>
        <v>0</v>
      </c>
      <c r="E634" s="148">
        <f t="shared" ca="1" si="25"/>
        <v>15.299999999999997</v>
      </c>
    </row>
    <row r="635" spans="2:5" x14ac:dyDescent="0.25">
      <c r="B635" s="8">
        <v>38229</v>
      </c>
      <c r="C635" s="6">
        <f ca="1">IF(OR($C$7="",$B635&gt;NOW()),"",IF(INDEX(Data!$A:$G,MATCH($B635,Data!$A:$A,0),MATCH($C$7,Data!$4:$4,0))="","",INDEX(Data!$A:$G,MATCH($B635,Data!$A:$A,0),MATCH($C$7,Data!$4:$4,0))))</f>
        <v>77.900000000000006</v>
      </c>
      <c r="D635" s="148">
        <f t="shared" ca="1" si="24"/>
        <v>0</v>
      </c>
      <c r="E635" s="148">
        <f t="shared" ca="1" si="25"/>
        <v>12.900000000000006</v>
      </c>
    </row>
    <row r="636" spans="2:5" x14ac:dyDescent="0.25">
      <c r="B636" s="8">
        <v>38230</v>
      </c>
      <c r="C636" s="6">
        <f ca="1">IF(OR($C$7="",$B636&gt;NOW()),"",IF(INDEX(Data!$A:$G,MATCH($B636,Data!$A:$A,0),MATCH($C$7,Data!$4:$4,0))="","",INDEX(Data!$A:$G,MATCH($B636,Data!$A:$A,0),MATCH($C$7,Data!$4:$4,0))))</f>
        <v>77.8</v>
      </c>
      <c r="D636" s="148">
        <f t="shared" ca="1" si="24"/>
        <v>0</v>
      </c>
      <c r="E636" s="148">
        <f t="shared" ca="1" si="25"/>
        <v>12.799999999999997</v>
      </c>
    </row>
    <row r="637" spans="2:5" x14ac:dyDescent="0.25">
      <c r="B637" s="8">
        <v>38231</v>
      </c>
      <c r="C637" s="6">
        <f ca="1">IF(OR($C$7="",$B637&gt;NOW()),"",IF(INDEX(Data!$A:$G,MATCH($B637,Data!$A:$A,0),MATCH($C$7,Data!$4:$4,0))="","",INDEX(Data!$A:$G,MATCH($B637,Data!$A:$A,0),MATCH($C$7,Data!$4:$4,0))))</f>
        <v>74.400000000000006</v>
      </c>
      <c r="D637" s="148">
        <f t="shared" ca="1" si="24"/>
        <v>0</v>
      </c>
      <c r="E637" s="148">
        <f t="shared" ca="1" si="25"/>
        <v>9.4000000000000057</v>
      </c>
    </row>
    <row r="638" spans="2:5" x14ac:dyDescent="0.25">
      <c r="B638" s="8">
        <v>38232</v>
      </c>
      <c r="C638" s="6">
        <f ca="1">IF(OR($C$7="",$B638&gt;NOW()),"",IF(INDEX(Data!$A:$G,MATCH($B638,Data!$A:$A,0),MATCH($C$7,Data!$4:$4,0))="","",INDEX(Data!$A:$G,MATCH($B638,Data!$A:$A,0),MATCH($C$7,Data!$4:$4,0))))</f>
        <v>72.400000000000006</v>
      </c>
      <c r="D638" s="148">
        <f t="shared" ca="1" si="24"/>
        <v>0</v>
      </c>
      <c r="E638" s="148">
        <f t="shared" ca="1" si="25"/>
        <v>7.4000000000000057</v>
      </c>
    </row>
    <row r="639" spans="2:5" x14ac:dyDescent="0.25">
      <c r="B639" s="8">
        <v>38233</v>
      </c>
      <c r="C639" s="6">
        <f ca="1">IF(OR($C$7="",$B639&gt;NOW()),"",IF(INDEX(Data!$A:$G,MATCH($B639,Data!$A:$A,0),MATCH($C$7,Data!$4:$4,0))="","",INDEX(Data!$A:$G,MATCH($B639,Data!$A:$A,0),MATCH($C$7,Data!$4:$4,0))))</f>
        <v>72.599999999999994</v>
      </c>
      <c r="D639" s="148">
        <f t="shared" ca="1" si="24"/>
        <v>0</v>
      </c>
      <c r="E639" s="148">
        <f t="shared" ca="1" si="25"/>
        <v>7.5999999999999943</v>
      </c>
    </row>
    <row r="640" spans="2:5" x14ac:dyDescent="0.25">
      <c r="B640" s="8">
        <v>38234</v>
      </c>
      <c r="C640" s="6">
        <f ca="1">IF(OR($C$7="",$B640&gt;NOW()),"",IF(INDEX(Data!$A:$G,MATCH($B640,Data!$A:$A,0),MATCH($C$7,Data!$4:$4,0))="","",INDEX(Data!$A:$G,MATCH($B640,Data!$A:$A,0),MATCH($C$7,Data!$4:$4,0))))</f>
        <v>76.5</v>
      </c>
      <c r="D640" s="148">
        <f t="shared" ca="1" si="24"/>
        <v>0</v>
      </c>
      <c r="E640" s="148">
        <f t="shared" ca="1" si="25"/>
        <v>11.5</v>
      </c>
    </row>
    <row r="641" spans="2:5" x14ac:dyDescent="0.25">
      <c r="B641" s="8">
        <v>38235</v>
      </c>
      <c r="C641" s="6">
        <f ca="1">IF(OR($C$7="",$B641&gt;NOW()),"",IF(INDEX(Data!$A:$G,MATCH($B641,Data!$A:$A,0),MATCH($C$7,Data!$4:$4,0))="","",INDEX(Data!$A:$G,MATCH($B641,Data!$A:$A,0),MATCH($C$7,Data!$4:$4,0))))</f>
        <v>70.900000000000006</v>
      </c>
      <c r="D641" s="148">
        <f t="shared" ca="1" si="24"/>
        <v>0</v>
      </c>
      <c r="E641" s="148">
        <f t="shared" ca="1" si="25"/>
        <v>5.9000000000000057</v>
      </c>
    </row>
    <row r="642" spans="2:5" x14ac:dyDescent="0.25">
      <c r="B642" s="8">
        <v>38236</v>
      </c>
      <c r="C642" s="6">
        <f ca="1">IF(OR($C$7="",$B642&gt;NOW()),"",IF(INDEX(Data!$A:$G,MATCH($B642,Data!$A:$A,0),MATCH($C$7,Data!$4:$4,0))="","",INDEX(Data!$A:$G,MATCH($B642,Data!$A:$A,0),MATCH($C$7,Data!$4:$4,0))))</f>
        <v>66.2</v>
      </c>
      <c r="D642" s="148">
        <f t="shared" ca="1" si="24"/>
        <v>0</v>
      </c>
      <c r="E642" s="148">
        <f t="shared" ca="1" si="25"/>
        <v>1.2000000000000028</v>
      </c>
    </row>
    <row r="643" spans="2:5" x14ac:dyDescent="0.25">
      <c r="B643" s="8">
        <v>38237</v>
      </c>
      <c r="C643" s="6">
        <f ca="1">IF(OR($C$7="",$B643&gt;NOW()),"",IF(INDEX(Data!$A:$G,MATCH($B643,Data!$A:$A,0),MATCH($C$7,Data!$4:$4,0))="","",INDEX(Data!$A:$G,MATCH($B643,Data!$A:$A,0),MATCH($C$7,Data!$4:$4,0))))</f>
        <v>72.5</v>
      </c>
      <c r="D643" s="148">
        <f t="shared" ca="1" si="24"/>
        <v>0</v>
      </c>
      <c r="E643" s="148">
        <f t="shared" ca="1" si="25"/>
        <v>7.5</v>
      </c>
    </row>
    <row r="644" spans="2:5" x14ac:dyDescent="0.25">
      <c r="B644" s="8">
        <v>38238</v>
      </c>
      <c r="C644" s="6">
        <f ca="1">IF(OR($C$7="",$B644&gt;NOW()),"",IF(INDEX(Data!$A:$G,MATCH($B644,Data!$A:$A,0),MATCH($C$7,Data!$4:$4,0))="","",INDEX(Data!$A:$G,MATCH($B644,Data!$A:$A,0),MATCH($C$7,Data!$4:$4,0))))</f>
        <v>73.5</v>
      </c>
      <c r="D644" s="148">
        <f t="shared" ca="1" si="24"/>
        <v>0</v>
      </c>
      <c r="E644" s="148">
        <f t="shared" ca="1" si="25"/>
        <v>8.5</v>
      </c>
    </row>
    <row r="645" spans="2:5" x14ac:dyDescent="0.25">
      <c r="B645" s="8">
        <v>38239</v>
      </c>
      <c r="C645" s="6">
        <f ca="1">IF(OR($C$7="",$B645&gt;NOW()),"",IF(INDEX(Data!$A:$G,MATCH($B645,Data!$A:$A,0),MATCH($C$7,Data!$4:$4,0))="","",INDEX(Data!$A:$G,MATCH($B645,Data!$A:$A,0),MATCH($C$7,Data!$4:$4,0))))</f>
        <v>76</v>
      </c>
      <c r="D645" s="148">
        <f t="shared" ca="1" si="24"/>
        <v>0</v>
      </c>
      <c r="E645" s="148">
        <f t="shared" ca="1" si="25"/>
        <v>11</v>
      </c>
    </row>
    <row r="646" spans="2:5" x14ac:dyDescent="0.25">
      <c r="B646" s="8">
        <v>38240</v>
      </c>
      <c r="C646" s="6">
        <f ca="1">IF(OR($C$7="",$B646&gt;NOW()),"",IF(INDEX(Data!$A:$G,MATCH($B646,Data!$A:$A,0),MATCH($C$7,Data!$4:$4,0))="","",INDEX(Data!$A:$G,MATCH($B646,Data!$A:$A,0),MATCH($C$7,Data!$4:$4,0))))</f>
        <v>73.2</v>
      </c>
      <c r="D646" s="148">
        <f t="shared" ca="1" si="24"/>
        <v>0</v>
      </c>
      <c r="E646" s="148">
        <f t="shared" ca="1" si="25"/>
        <v>8.2000000000000028</v>
      </c>
    </row>
    <row r="647" spans="2:5" x14ac:dyDescent="0.25">
      <c r="B647" s="8">
        <v>38241</v>
      </c>
      <c r="C647" s="6">
        <f ca="1">IF(OR($C$7="",$B647&gt;NOW()),"",IF(INDEX(Data!$A:$G,MATCH($B647,Data!$A:$A,0),MATCH($C$7,Data!$4:$4,0))="","",INDEX(Data!$A:$G,MATCH($B647,Data!$A:$A,0),MATCH($C$7,Data!$4:$4,0))))</f>
        <v>69.900000000000006</v>
      </c>
      <c r="D647" s="148">
        <f t="shared" ca="1" si="24"/>
        <v>0</v>
      </c>
      <c r="E647" s="148">
        <f t="shared" ca="1" si="25"/>
        <v>4.9000000000000057</v>
      </c>
    </row>
    <row r="648" spans="2:5" x14ac:dyDescent="0.25">
      <c r="B648" s="8">
        <v>38242</v>
      </c>
      <c r="C648" s="6">
        <f ca="1">IF(OR($C$7="",$B648&gt;NOW()),"",IF(INDEX(Data!$A:$G,MATCH($B648,Data!$A:$A,0),MATCH($C$7,Data!$4:$4,0))="","",INDEX(Data!$A:$G,MATCH($B648,Data!$A:$A,0),MATCH($C$7,Data!$4:$4,0))))</f>
        <v>70.400000000000006</v>
      </c>
      <c r="D648" s="148">
        <f t="shared" ca="1" si="24"/>
        <v>0</v>
      </c>
      <c r="E648" s="148">
        <f t="shared" ca="1" si="25"/>
        <v>5.4000000000000057</v>
      </c>
    </row>
    <row r="649" spans="2:5" x14ac:dyDescent="0.25">
      <c r="B649" s="8">
        <v>38243</v>
      </c>
      <c r="C649" s="6">
        <f ca="1">IF(OR($C$7="",$B649&gt;NOW()),"",IF(INDEX(Data!$A:$G,MATCH($B649,Data!$A:$A,0),MATCH($C$7,Data!$4:$4,0))="","",INDEX(Data!$A:$G,MATCH($B649,Data!$A:$A,0),MATCH($C$7,Data!$4:$4,0))))</f>
        <v>74.3</v>
      </c>
      <c r="D649" s="148">
        <f t="shared" ca="1" si="24"/>
        <v>0</v>
      </c>
      <c r="E649" s="148">
        <f t="shared" ca="1" si="25"/>
        <v>9.2999999999999972</v>
      </c>
    </row>
    <row r="650" spans="2:5" x14ac:dyDescent="0.25">
      <c r="B650" s="8">
        <v>38244</v>
      </c>
      <c r="C650" s="6">
        <f ca="1">IF(OR($C$7="",$B650&gt;NOW()),"",IF(INDEX(Data!$A:$G,MATCH($B650,Data!$A:$A,0),MATCH($C$7,Data!$4:$4,0))="","",INDEX(Data!$A:$G,MATCH($B650,Data!$A:$A,0),MATCH($C$7,Data!$4:$4,0))))</f>
        <v>70.400000000000006</v>
      </c>
      <c r="D650" s="148">
        <f t="shared" ca="1" si="24"/>
        <v>0</v>
      </c>
      <c r="E650" s="148">
        <f t="shared" ca="1" si="25"/>
        <v>5.4000000000000057</v>
      </c>
    </row>
    <row r="651" spans="2:5" x14ac:dyDescent="0.25">
      <c r="B651" s="8">
        <v>38245</v>
      </c>
      <c r="C651" s="6">
        <f ca="1">IF(OR($C$7="",$B651&gt;NOW()),"",IF(INDEX(Data!$A:$G,MATCH($B651,Data!$A:$A,0),MATCH($C$7,Data!$4:$4,0))="","",INDEX(Data!$A:$G,MATCH($B651,Data!$A:$A,0),MATCH($C$7,Data!$4:$4,0))))</f>
        <v>66.599999999999994</v>
      </c>
      <c r="D651" s="148">
        <f t="shared" ca="1" si="24"/>
        <v>0</v>
      </c>
      <c r="E651" s="148">
        <f t="shared" ca="1" si="25"/>
        <v>1.5999999999999943</v>
      </c>
    </row>
    <row r="652" spans="2:5" x14ac:dyDescent="0.25">
      <c r="B652" s="8">
        <v>38246</v>
      </c>
      <c r="C652" s="6">
        <f ca="1">IF(OR($C$7="",$B652&gt;NOW()),"",IF(INDEX(Data!$A:$G,MATCH($B652,Data!$A:$A,0),MATCH($C$7,Data!$4:$4,0))="","",INDEX(Data!$A:$G,MATCH($B652,Data!$A:$A,0),MATCH($C$7,Data!$4:$4,0))))</f>
        <v>70.599999999999994</v>
      </c>
      <c r="D652" s="148">
        <f t="shared" ca="1" si="24"/>
        <v>0</v>
      </c>
      <c r="E652" s="148">
        <f t="shared" ca="1" si="25"/>
        <v>5.5999999999999943</v>
      </c>
    </row>
    <row r="653" spans="2:5" x14ac:dyDescent="0.25">
      <c r="B653" s="8">
        <v>38247</v>
      </c>
      <c r="C653" s="6">
        <f ca="1">IF(OR($C$7="",$B653&gt;NOW()),"",IF(INDEX(Data!$A:$G,MATCH($B653,Data!$A:$A,0),MATCH($C$7,Data!$4:$4,0))="","",INDEX(Data!$A:$G,MATCH($B653,Data!$A:$A,0),MATCH($C$7,Data!$4:$4,0))))</f>
        <v>73.7</v>
      </c>
      <c r="D653" s="148">
        <f t="shared" ca="1" si="24"/>
        <v>0</v>
      </c>
      <c r="E653" s="148">
        <f t="shared" ca="1" si="25"/>
        <v>8.7000000000000028</v>
      </c>
    </row>
    <row r="654" spans="2:5" x14ac:dyDescent="0.25">
      <c r="B654" s="8">
        <v>38248</v>
      </c>
      <c r="C654" s="6">
        <f ca="1">IF(OR($C$7="",$B654&gt;NOW()),"",IF(INDEX(Data!$A:$G,MATCH($B654,Data!$A:$A,0),MATCH($C$7,Data!$4:$4,0))="","",INDEX(Data!$A:$G,MATCH($B654,Data!$A:$A,0),MATCH($C$7,Data!$4:$4,0))))</f>
        <v>69.099999999999994</v>
      </c>
      <c r="D654" s="148">
        <f t="shared" ca="1" si="24"/>
        <v>0</v>
      </c>
      <c r="E654" s="148">
        <f t="shared" ca="1" si="25"/>
        <v>4.0999999999999943</v>
      </c>
    </row>
    <row r="655" spans="2:5" x14ac:dyDescent="0.25">
      <c r="B655" s="8">
        <v>38249</v>
      </c>
      <c r="C655" s="6">
        <f ca="1">IF(OR($C$7="",$B655&gt;NOW()),"",IF(INDEX(Data!$A:$G,MATCH($B655,Data!$A:$A,0),MATCH($C$7,Data!$4:$4,0))="","",INDEX(Data!$A:$G,MATCH($B655,Data!$A:$A,0),MATCH($C$7,Data!$4:$4,0))))</f>
        <v>58</v>
      </c>
      <c r="D655" s="148">
        <f t="shared" ca="1" si="24"/>
        <v>7</v>
      </c>
      <c r="E655" s="148">
        <f t="shared" ca="1" si="25"/>
        <v>0</v>
      </c>
    </row>
    <row r="656" spans="2:5" x14ac:dyDescent="0.25">
      <c r="B656" s="8">
        <v>38250</v>
      </c>
      <c r="C656" s="6">
        <f ca="1">IF(OR($C$7="",$B656&gt;NOW()),"",IF(INDEX(Data!$A:$G,MATCH($B656,Data!$A:$A,0),MATCH($C$7,Data!$4:$4,0))="","",INDEX(Data!$A:$G,MATCH($B656,Data!$A:$A,0),MATCH($C$7,Data!$4:$4,0))))</f>
        <v>60.8</v>
      </c>
      <c r="D656" s="148">
        <f t="shared" ca="1" si="24"/>
        <v>4.2000000000000028</v>
      </c>
      <c r="E656" s="148">
        <f t="shared" ca="1" si="25"/>
        <v>0</v>
      </c>
    </row>
    <row r="657" spans="2:5" x14ac:dyDescent="0.25">
      <c r="B657" s="8">
        <v>38251</v>
      </c>
      <c r="C657" s="6">
        <f ca="1">IF(OR($C$7="",$B657&gt;NOW()),"",IF(INDEX(Data!$A:$G,MATCH($B657,Data!$A:$A,0),MATCH($C$7,Data!$4:$4,0))="","",INDEX(Data!$A:$G,MATCH($B657,Data!$A:$A,0),MATCH($C$7,Data!$4:$4,0))))</f>
        <v>68.900000000000006</v>
      </c>
      <c r="D657" s="148">
        <f t="shared" ca="1" si="24"/>
        <v>0</v>
      </c>
      <c r="E657" s="148">
        <f t="shared" ca="1" si="25"/>
        <v>3.9000000000000057</v>
      </c>
    </row>
    <row r="658" spans="2:5" x14ac:dyDescent="0.25">
      <c r="B658" s="8">
        <v>38252</v>
      </c>
      <c r="C658" s="6">
        <f ca="1">IF(OR($C$7="",$B658&gt;NOW()),"",IF(INDEX(Data!$A:$G,MATCH($B658,Data!$A:$A,0),MATCH($C$7,Data!$4:$4,0))="","",INDEX(Data!$A:$G,MATCH($B658,Data!$A:$A,0),MATCH($C$7,Data!$4:$4,0))))</f>
        <v>73.099999999999994</v>
      </c>
      <c r="D658" s="148">
        <f t="shared" ca="1" si="24"/>
        <v>0</v>
      </c>
      <c r="E658" s="148">
        <f t="shared" ca="1" si="25"/>
        <v>8.0999999999999943</v>
      </c>
    </row>
    <row r="659" spans="2:5" x14ac:dyDescent="0.25">
      <c r="B659" s="8">
        <v>38253</v>
      </c>
      <c r="C659" s="6">
        <f ca="1">IF(OR($C$7="",$B659&gt;NOW()),"",IF(INDEX(Data!$A:$G,MATCH($B659,Data!$A:$A,0),MATCH($C$7,Data!$4:$4,0))="","",INDEX(Data!$A:$G,MATCH($B659,Data!$A:$A,0),MATCH($C$7,Data!$4:$4,0))))</f>
        <v>75.2</v>
      </c>
      <c r="D659" s="148">
        <f t="shared" ca="1" si="24"/>
        <v>0</v>
      </c>
      <c r="E659" s="148">
        <f t="shared" ca="1" si="25"/>
        <v>10.200000000000003</v>
      </c>
    </row>
    <row r="660" spans="2:5" x14ac:dyDescent="0.25">
      <c r="B660" s="8">
        <v>38254</v>
      </c>
      <c r="C660" s="6">
        <f ca="1">IF(OR($C$7="",$B660&gt;NOW()),"",IF(INDEX(Data!$A:$G,MATCH($B660,Data!$A:$A,0),MATCH($C$7,Data!$4:$4,0))="","",INDEX(Data!$A:$G,MATCH($B660,Data!$A:$A,0),MATCH($C$7,Data!$4:$4,0))))</f>
        <v>69.7</v>
      </c>
      <c r="D660" s="148">
        <f t="shared" ca="1" si="24"/>
        <v>0</v>
      </c>
      <c r="E660" s="148">
        <f t="shared" ca="1" si="25"/>
        <v>4.7000000000000028</v>
      </c>
    </row>
    <row r="661" spans="2:5" x14ac:dyDescent="0.25">
      <c r="B661" s="8">
        <v>38255</v>
      </c>
      <c r="C661" s="6">
        <f ca="1">IF(OR($C$7="",$B661&gt;NOW()),"",IF(INDEX(Data!$A:$G,MATCH($B661,Data!$A:$A,0),MATCH($C$7,Data!$4:$4,0))="","",INDEX(Data!$A:$G,MATCH($B661,Data!$A:$A,0),MATCH($C$7,Data!$4:$4,0))))</f>
        <v>68.2</v>
      </c>
      <c r="D661" s="148">
        <f t="shared" ca="1" si="24"/>
        <v>0</v>
      </c>
      <c r="E661" s="148">
        <f t="shared" ca="1" si="25"/>
        <v>3.2000000000000028</v>
      </c>
    </row>
    <row r="662" spans="2:5" x14ac:dyDescent="0.25">
      <c r="B662" s="8">
        <v>38256</v>
      </c>
      <c r="C662" s="6">
        <f ca="1">IF(OR($C$7="",$B662&gt;NOW()),"",IF(INDEX(Data!$A:$G,MATCH($B662,Data!$A:$A,0),MATCH($C$7,Data!$4:$4,0))="","",INDEX(Data!$A:$G,MATCH($B662,Data!$A:$A,0),MATCH($C$7,Data!$4:$4,0))))</f>
        <v>71.8</v>
      </c>
      <c r="D662" s="148">
        <f t="shared" ca="1" si="24"/>
        <v>0</v>
      </c>
      <c r="E662" s="148">
        <f t="shared" ca="1" si="25"/>
        <v>6.7999999999999972</v>
      </c>
    </row>
    <row r="663" spans="2:5" x14ac:dyDescent="0.25">
      <c r="B663" s="8">
        <v>38257</v>
      </c>
      <c r="C663" s="6">
        <f ca="1">IF(OR($C$7="",$B663&gt;NOW()),"",IF(INDEX(Data!$A:$G,MATCH($B663,Data!$A:$A,0),MATCH($C$7,Data!$4:$4,0))="","",INDEX(Data!$A:$G,MATCH($B663,Data!$A:$A,0),MATCH($C$7,Data!$4:$4,0))))</f>
        <v>70</v>
      </c>
      <c r="D663" s="148">
        <f t="shared" ca="1" si="24"/>
        <v>0</v>
      </c>
      <c r="E663" s="148">
        <f t="shared" ca="1" si="25"/>
        <v>5</v>
      </c>
    </row>
    <row r="664" spans="2:5" x14ac:dyDescent="0.25">
      <c r="B664" s="8">
        <v>38258</v>
      </c>
      <c r="C664" s="6">
        <f ca="1">IF(OR($C$7="",$B664&gt;NOW()),"",IF(INDEX(Data!$A:$G,MATCH($B664,Data!$A:$A,0),MATCH($C$7,Data!$4:$4,0))="","",INDEX(Data!$A:$G,MATCH($B664,Data!$A:$A,0),MATCH($C$7,Data!$4:$4,0))))</f>
        <v>70.2</v>
      </c>
      <c r="D664" s="148">
        <f t="shared" ca="1" si="24"/>
        <v>0</v>
      </c>
      <c r="E664" s="148">
        <f t="shared" ca="1" si="25"/>
        <v>5.2000000000000028</v>
      </c>
    </row>
    <row r="665" spans="2:5" x14ac:dyDescent="0.25">
      <c r="B665" s="8">
        <v>38259</v>
      </c>
      <c r="C665" s="6">
        <f ca="1">IF(OR($C$7="",$B665&gt;NOW()),"",IF(INDEX(Data!$A:$G,MATCH($B665,Data!$A:$A,0),MATCH($C$7,Data!$4:$4,0))="","",INDEX(Data!$A:$G,MATCH($B665,Data!$A:$A,0),MATCH($C$7,Data!$4:$4,0))))</f>
        <v>64.099999999999994</v>
      </c>
      <c r="D665" s="148">
        <f t="shared" ca="1" si="24"/>
        <v>0.90000000000000568</v>
      </c>
      <c r="E665" s="148">
        <f t="shared" ca="1" si="25"/>
        <v>0</v>
      </c>
    </row>
    <row r="666" spans="2:5" x14ac:dyDescent="0.25">
      <c r="B666" s="8">
        <v>38260</v>
      </c>
      <c r="C666" s="6">
        <f ca="1">IF(OR($C$7="",$B666&gt;NOW()),"",IF(INDEX(Data!$A:$G,MATCH($B666,Data!$A:$A,0),MATCH($C$7,Data!$4:$4,0))="","",INDEX(Data!$A:$G,MATCH($B666,Data!$A:$A,0),MATCH($C$7,Data!$4:$4,0))))</f>
        <v>62.7</v>
      </c>
      <c r="D666" s="148">
        <f t="shared" ca="1" si="24"/>
        <v>2.2999999999999972</v>
      </c>
      <c r="E666" s="148">
        <f t="shared" ca="1" si="25"/>
        <v>0</v>
      </c>
    </row>
    <row r="667" spans="2:5" x14ac:dyDescent="0.25">
      <c r="B667" s="8">
        <v>38261</v>
      </c>
      <c r="C667" s="6">
        <f ca="1">IF(OR($C$7="",$B667&gt;NOW()),"",IF(INDEX(Data!$A:$G,MATCH($B667,Data!$A:$A,0),MATCH($C$7,Data!$4:$4,0))="","",INDEX(Data!$A:$G,MATCH($B667,Data!$A:$A,0),MATCH($C$7,Data!$4:$4,0))))</f>
        <v>64</v>
      </c>
      <c r="D667" s="148">
        <f t="shared" ca="1" si="24"/>
        <v>1</v>
      </c>
      <c r="E667" s="148">
        <f t="shared" ca="1" si="25"/>
        <v>0</v>
      </c>
    </row>
    <row r="668" spans="2:5" x14ac:dyDescent="0.25">
      <c r="B668" s="8">
        <v>38262</v>
      </c>
      <c r="C668" s="6">
        <f ca="1">IF(OR($C$7="",$B668&gt;NOW()),"",IF(INDEX(Data!$A:$G,MATCH($B668,Data!$A:$A,0),MATCH($C$7,Data!$4:$4,0))="","",INDEX(Data!$A:$G,MATCH($B668,Data!$A:$A,0),MATCH($C$7,Data!$4:$4,0))))</f>
        <v>64.900000000000006</v>
      </c>
      <c r="D668" s="148">
        <f t="shared" ca="1" si="24"/>
        <v>9.9999999999994316E-2</v>
      </c>
      <c r="E668" s="148">
        <f t="shared" ca="1" si="25"/>
        <v>0</v>
      </c>
    </row>
    <row r="669" spans="2:5" x14ac:dyDescent="0.25">
      <c r="B669" s="8">
        <v>38263</v>
      </c>
      <c r="C669" s="6">
        <f ca="1">IF(OR($C$7="",$B669&gt;NOW()),"",IF(INDEX(Data!$A:$G,MATCH($B669,Data!$A:$A,0),MATCH($C$7,Data!$4:$4,0))="","",INDEX(Data!$A:$G,MATCH($B669,Data!$A:$A,0),MATCH($C$7,Data!$4:$4,0))))</f>
        <v>62.4</v>
      </c>
      <c r="D669" s="148">
        <f t="shared" ref="D669:D732" ca="1" si="26">IF($C669="","",IF($C669&gt;$D$26,0,$D$26-$C669))</f>
        <v>2.6000000000000014</v>
      </c>
      <c r="E669" s="148">
        <f t="shared" ref="E669:E732" ca="1" si="27">IF($C669="","",IF($C669&lt;$E$26,0,$C669-$E$26))</f>
        <v>0</v>
      </c>
    </row>
    <row r="670" spans="2:5" x14ac:dyDescent="0.25">
      <c r="B670" s="8">
        <v>38264</v>
      </c>
      <c r="C670" s="6">
        <f ca="1">IF(OR($C$7="",$B670&gt;NOW()),"",IF(INDEX(Data!$A:$G,MATCH($B670,Data!$A:$A,0),MATCH($C$7,Data!$4:$4,0))="","",INDEX(Data!$A:$G,MATCH($B670,Data!$A:$A,0),MATCH($C$7,Data!$4:$4,0))))</f>
        <v>63.2</v>
      </c>
      <c r="D670" s="148">
        <f t="shared" ca="1" si="26"/>
        <v>1.7999999999999972</v>
      </c>
      <c r="E670" s="148">
        <f t="shared" ca="1" si="27"/>
        <v>0</v>
      </c>
    </row>
    <row r="671" spans="2:5" x14ac:dyDescent="0.25">
      <c r="B671" s="8">
        <v>38265</v>
      </c>
      <c r="C671" s="6">
        <f ca="1">IF(OR($C$7="",$B671&gt;NOW()),"",IF(INDEX(Data!$A:$G,MATCH($B671,Data!$A:$A,0),MATCH($C$7,Data!$4:$4,0))="","",INDEX(Data!$A:$G,MATCH($B671,Data!$A:$A,0),MATCH($C$7,Data!$4:$4,0))))</f>
        <v>58.2</v>
      </c>
      <c r="D671" s="148">
        <f t="shared" ca="1" si="26"/>
        <v>6.7999999999999972</v>
      </c>
      <c r="E671" s="148">
        <f t="shared" ca="1" si="27"/>
        <v>0</v>
      </c>
    </row>
    <row r="672" spans="2:5" x14ac:dyDescent="0.25">
      <c r="B672" s="8">
        <v>38266</v>
      </c>
      <c r="C672" s="6">
        <f ca="1">IF(OR($C$7="",$B672&gt;NOW()),"",IF(INDEX(Data!$A:$G,MATCH($B672,Data!$A:$A,0),MATCH($C$7,Data!$4:$4,0))="","",INDEX(Data!$A:$G,MATCH($B672,Data!$A:$A,0),MATCH($C$7,Data!$4:$4,0))))</f>
        <v>56.6</v>
      </c>
      <c r="D672" s="148">
        <f t="shared" ca="1" si="26"/>
        <v>8.3999999999999986</v>
      </c>
      <c r="E672" s="148">
        <f t="shared" ca="1" si="27"/>
        <v>0</v>
      </c>
    </row>
    <row r="673" spans="2:5" x14ac:dyDescent="0.25">
      <c r="B673" s="8">
        <v>38267</v>
      </c>
      <c r="C673" s="6">
        <f ca="1">IF(OR($C$7="",$B673&gt;NOW()),"",IF(INDEX(Data!$A:$G,MATCH($B673,Data!$A:$A,0),MATCH($C$7,Data!$4:$4,0))="","",INDEX(Data!$A:$G,MATCH($B673,Data!$A:$A,0),MATCH($C$7,Data!$4:$4,0))))</f>
        <v>63</v>
      </c>
      <c r="D673" s="148">
        <f t="shared" ca="1" si="26"/>
        <v>2</v>
      </c>
      <c r="E673" s="148">
        <f t="shared" ca="1" si="27"/>
        <v>0</v>
      </c>
    </row>
    <row r="674" spans="2:5" x14ac:dyDescent="0.25">
      <c r="B674" s="8">
        <v>38268</v>
      </c>
      <c r="C674" s="6">
        <f ca="1">IF(OR($C$7="",$B674&gt;NOW()),"",IF(INDEX(Data!$A:$G,MATCH($B674,Data!$A:$A,0),MATCH($C$7,Data!$4:$4,0))="","",INDEX(Data!$A:$G,MATCH($B674,Data!$A:$A,0),MATCH($C$7,Data!$4:$4,0))))</f>
        <v>66</v>
      </c>
      <c r="D674" s="148">
        <f t="shared" ca="1" si="26"/>
        <v>0</v>
      </c>
      <c r="E674" s="148">
        <f t="shared" ca="1" si="27"/>
        <v>1</v>
      </c>
    </row>
    <row r="675" spans="2:5" x14ac:dyDescent="0.25">
      <c r="B675" s="8">
        <v>38269</v>
      </c>
      <c r="C675" s="6">
        <f ca="1">IF(OR($C$7="",$B675&gt;NOW()),"",IF(INDEX(Data!$A:$G,MATCH($B675,Data!$A:$A,0),MATCH($C$7,Data!$4:$4,0))="","",INDEX(Data!$A:$G,MATCH($B675,Data!$A:$A,0),MATCH($C$7,Data!$4:$4,0))))</f>
        <v>65</v>
      </c>
      <c r="D675" s="148">
        <f t="shared" ca="1" si="26"/>
        <v>0</v>
      </c>
      <c r="E675" s="148">
        <f t="shared" ca="1" si="27"/>
        <v>0</v>
      </c>
    </row>
    <row r="676" spans="2:5" x14ac:dyDescent="0.25">
      <c r="B676" s="8">
        <v>38270</v>
      </c>
      <c r="C676" s="6">
        <f ca="1">IF(OR($C$7="",$B676&gt;NOW()),"",IF(INDEX(Data!$A:$G,MATCH($B676,Data!$A:$A,0),MATCH($C$7,Data!$4:$4,0))="","",INDEX(Data!$A:$G,MATCH($B676,Data!$A:$A,0),MATCH($C$7,Data!$4:$4,0))))</f>
        <v>63.8</v>
      </c>
      <c r="D676" s="148">
        <f t="shared" ca="1" si="26"/>
        <v>1.2000000000000028</v>
      </c>
      <c r="E676" s="148">
        <f t="shared" ca="1" si="27"/>
        <v>0</v>
      </c>
    </row>
    <row r="677" spans="2:5" x14ac:dyDescent="0.25">
      <c r="B677" s="8">
        <v>38271</v>
      </c>
      <c r="C677" s="6">
        <f ca="1">IF(OR($C$7="",$B677&gt;NOW()),"",IF(INDEX(Data!$A:$G,MATCH($B677,Data!$A:$A,0),MATCH($C$7,Data!$4:$4,0))="","",INDEX(Data!$A:$G,MATCH($B677,Data!$A:$A,0),MATCH($C$7,Data!$4:$4,0))))</f>
        <v>55</v>
      </c>
      <c r="D677" s="148">
        <f t="shared" ca="1" si="26"/>
        <v>10</v>
      </c>
      <c r="E677" s="148">
        <f t="shared" ca="1" si="27"/>
        <v>0</v>
      </c>
    </row>
    <row r="678" spans="2:5" x14ac:dyDescent="0.25">
      <c r="B678" s="8">
        <v>38272</v>
      </c>
      <c r="C678" s="6">
        <f ca="1">IF(OR($C$7="",$B678&gt;NOW()),"",IF(INDEX(Data!$A:$G,MATCH($B678,Data!$A:$A,0),MATCH($C$7,Data!$4:$4,0))="","",INDEX(Data!$A:$G,MATCH($B678,Data!$A:$A,0),MATCH($C$7,Data!$4:$4,0))))</f>
        <v>55</v>
      </c>
      <c r="D678" s="148">
        <f t="shared" ca="1" si="26"/>
        <v>10</v>
      </c>
      <c r="E678" s="148">
        <f t="shared" ca="1" si="27"/>
        <v>0</v>
      </c>
    </row>
    <row r="679" spans="2:5" x14ac:dyDescent="0.25">
      <c r="B679" s="8">
        <v>38273</v>
      </c>
      <c r="C679" s="6">
        <f ca="1">IF(OR($C$7="",$B679&gt;NOW()),"",IF(INDEX(Data!$A:$G,MATCH($B679,Data!$A:$A,0),MATCH($C$7,Data!$4:$4,0))="","",INDEX(Data!$A:$G,MATCH($B679,Data!$A:$A,0),MATCH($C$7,Data!$4:$4,0))))</f>
        <v>59.1</v>
      </c>
      <c r="D679" s="148">
        <f t="shared" ca="1" si="26"/>
        <v>5.8999999999999986</v>
      </c>
      <c r="E679" s="148">
        <f t="shared" ca="1" si="27"/>
        <v>0</v>
      </c>
    </row>
    <row r="680" spans="2:5" x14ac:dyDescent="0.25">
      <c r="B680" s="8">
        <v>38274</v>
      </c>
      <c r="C680" s="6">
        <f ca="1">IF(OR($C$7="",$B680&gt;NOW()),"",IF(INDEX(Data!$A:$G,MATCH($B680,Data!$A:$A,0),MATCH($C$7,Data!$4:$4,0))="","",INDEX(Data!$A:$G,MATCH($B680,Data!$A:$A,0),MATCH($C$7,Data!$4:$4,0))))</f>
        <v>59.7</v>
      </c>
      <c r="D680" s="148">
        <f t="shared" ca="1" si="26"/>
        <v>5.2999999999999972</v>
      </c>
      <c r="E680" s="148">
        <f t="shared" ca="1" si="27"/>
        <v>0</v>
      </c>
    </row>
    <row r="681" spans="2:5" x14ac:dyDescent="0.25">
      <c r="B681" s="8">
        <v>38275</v>
      </c>
      <c r="C681" s="6">
        <f ca="1">IF(OR($C$7="",$B681&gt;NOW()),"",IF(INDEX(Data!$A:$G,MATCH($B681,Data!$A:$A,0),MATCH($C$7,Data!$4:$4,0))="","",INDEX(Data!$A:$G,MATCH($B681,Data!$A:$A,0),MATCH($C$7,Data!$4:$4,0))))</f>
        <v>59.7</v>
      </c>
      <c r="D681" s="148">
        <f t="shared" ca="1" si="26"/>
        <v>5.2999999999999972</v>
      </c>
      <c r="E681" s="148">
        <f t="shared" ca="1" si="27"/>
        <v>0</v>
      </c>
    </row>
    <row r="682" spans="2:5" x14ac:dyDescent="0.25">
      <c r="B682" s="8">
        <v>38276</v>
      </c>
      <c r="C682" s="6">
        <f ca="1">IF(OR($C$7="",$B682&gt;NOW()),"",IF(INDEX(Data!$A:$G,MATCH($B682,Data!$A:$A,0),MATCH($C$7,Data!$4:$4,0))="","",INDEX(Data!$A:$G,MATCH($B682,Data!$A:$A,0),MATCH($C$7,Data!$4:$4,0))))</f>
        <v>56.8</v>
      </c>
      <c r="D682" s="148">
        <f t="shared" ca="1" si="26"/>
        <v>8.2000000000000028</v>
      </c>
      <c r="E682" s="148">
        <f t="shared" ca="1" si="27"/>
        <v>0</v>
      </c>
    </row>
    <row r="683" spans="2:5" x14ac:dyDescent="0.25">
      <c r="B683" s="8">
        <v>38277</v>
      </c>
      <c r="C683" s="6">
        <f ca="1">IF(OR($C$7="",$B683&gt;NOW()),"",IF(INDEX(Data!$A:$G,MATCH($B683,Data!$A:$A,0),MATCH($C$7,Data!$4:$4,0))="","",INDEX(Data!$A:$G,MATCH($B683,Data!$A:$A,0),MATCH($C$7,Data!$4:$4,0))))</f>
        <v>50.7</v>
      </c>
      <c r="D683" s="148">
        <f t="shared" ca="1" si="26"/>
        <v>14.299999999999997</v>
      </c>
      <c r="E683" s="148">
        <f t="shared" ca="1" si="27"/>
        <v>0</v>
      </c>
    </row>
    <row r="684" spans="2:5" x14ac:dyDescent="0.25">
      <c r="B684" s="8">
        <v>38278</v>
      </c>
      <c r="C684" s="6">
        <f ca="1">IF(OR($C$7="",$B684&gt;NOW()),"",IF(INDEX(Data!$A:$G,MATCH($B684,Data!$A:$A,0),MATCH($C$7,Data!$4:$4,0))="","",INDEX(Data!$A:$G,MATCH($B684,Data!$A:$A,0),MATCH($C$7,Data!$4:$4,0))))</f>
        <v>52.7</v>
      </c>
      <c r="D684" s="148">
        <f t="shared" ca="1" si="26"/>
        <v>12.299999999999997</v>
      </c>
      <c r="E684" s="148">
        <f t="shared" ca="1" si="27"/>
        <v>0</v>
      </c>
    </row>
    <row r="685" spans="2:5" x14ac:dyDescent="0.25">
      <c r="B685" s="8">
        <v>38279</v>
      </c>
      <c r="C685" s="6">
        <f ca="1">IF(OR($C$7="",$B685&gt;NOW()),"",IF(INDEX(Data!$A:$G,MATCH($B685,Data!$A:$A,0),MATCH($C$7,Data!$4:$4,0))="","",INDEX(Data!$A:$G,MATCH($B685,Data!$A:$A,0),MATCH($C$7,Data!$4:$4,0))))</f>
        <v>52.1</v>
      </c>
      <c r="D685" s="148">
        <f t="shared" ca="1" si="26"/>
        <v>12.899999999999999</v>
      </c>
      <c r="E685" s="148">
        <f t="shared" ca="1" si="27"/>
        <v>0</v>
      </c>
    </row>
    <row r="686" spans="2:5" x14ac:dyDescent="0.25">
      <c r="B686" s="8">
        <v>38280</v>
      </c>
      <c r="C686" s="6">
        <f ca="1">IF(OR($C$7="",$B686&gt;NOW()),"",IF(INDEX(Data!$A:$G,MATCH($B686,Data!$A:$A,0),MATCH($C$7,Data!$4:$4,0))="","",INDEX(Data!$A:$G,MATCH($B686,Data!$A:$A,0),MATCH($C$7,Data!$4:$4,0))))</f>
        <v>52.3</v>
      </c>
      <c r="D686" s="148">
        <f t="shared" ca="1" si="26"/>
        <v>12.700000000000003</v>
      </c>
      <c r="E686" s="148">
        <f t="shared" ca="1" si="27"/>
        <v>0</v>
      </c>
    </row>
    <row r="687" spans="2:5" x14ac:dyDescent="0.25">
      <c r="B687" s="8">
        <v>38281</v>
      </c>
      <c r="C687" s="6">
        <f ca="1">IF(OR($C$7="",$B687&gt;NOW()),"",IF(INDEX(Data!$A:$G,MATCH($B687,Data!$A:$A,0),MATCH($C$7,Data!$4:$4,0))="","",INDEX(Data!$A:$G,MATCH($B687,Data!$A:$A,0),MATCH($C$7,Data!$4:$4,0))))</f>
        <v>51.5</v>
      </c>
      <c r="D687" s="148">
        <f t="shared" ca="1" si="26"/>
        <v>13.5</v>
      </c>
      <c r="E687" s="148">
        <f t="shared" ca="1" si="27"/>
        <v>0</v>
      </c>
    </row>
    <row r="688" spans="2:5" x14ac:dyDescent="0.25">
      <c r="B688" s="8">
        <v>38282</v>
      </c>
      <c r="C688" s="6">
        <f ca="1">IF(OR($C$7="",$B688&gt;NOW()),"",IF(INDEX(Data!$A:$G,MATCH($B688,Data!$A:$A,0),MATCH($C$7,Data!$4:$4,0))="","",INDEX(Data!$A:$G,MATCH($B688,Data!$A:$A,0),MATCH($C$7,Data!$4:$4,0))))</f>
        <v>51.8</v>
      </c>
      <c r="D688" s="148">
        <f t="shared" ca="1" si="26"/>
        <v>13.200000000000003</v>
      </c>
      <c r="E688" s="148">
        <f t="shared" ca="1" si="27"/>
        <v>0</v>
      </c>
    </row>
    <row r="689" spans="2:5" x14ac:dyDescent="0.25">
      <c r="B689" s="8">
        <v>38283</v>
      </c>
      <c r="C689" s="6">
        <f ca="1">IF(OR($C$7="",$B689&gt;NOW()),"",IF(INDEX(Data!$A:$G,MATCH($B689,Data!$A:$A,0),MATCH($C$7,Data!$4:$4,0))="","",INDEX(Data!$A:$G,MATCH($B689,Data!$A:$A,0),MATCH($C$7,Data!$4:$4,0))))</f>
        <v>49.8</v>
      </c>
      <c r="D689" s="148">
        <f t="shared" ca="1" si="26"/>
        <v>15.200000000000003</v>
      </c>
      <c r="E689" s="148">
        <f t="shared" ca="1" si="27"/>
        <v>0</v>
      </c>
    </row>
    <row r="690" spans="2:5" x14ac:dyDescent="0.25">
      <c r="B690" s="8">
        <v>38284</v>
      </c>
      <c r="C690" s="6">
        <f ca="1">IF(OR($C$7="",$B690&gt;NOW()),"",IF(INDEX(Data!$A:$G,MATCH($B690,Data!$A:$A,0),MATCH($C$7,Data!$4:$4,0))="","",INDEX(Data!$A:$G,MATCH($B690,Data!$A:$A,0),MATCH($C$7,Data!$4:$4,0))))</f>
        <v>50.1</v>
      </c>
      <c r="D690" s="148">
        <f t="shared" ca="1" si="26"/>
        <v>14.899999999999999</v>
      </c>
      <c r="E690" s="148">
        <f t="shared" ca="1" si="27"/>
        <v>0</v>
      </c>
    </row>
    <row r="691" spans="2:5" x14ac:dyDescent="0.25">
      <c r="B691" s="8">
        <v>38285</v>
      </c>
      <c r="C691" s="6">
        <f ca="1">IF(OR($C$7="",$B691&gt;NOW()),"",IF(INDEX(Data!$A:$G,MATCH($B691,Data!$A:$A,0),MATCH($C$7,Data!$4:$4,0))="","",INDEX(Data!$A:$G,MATCH($B691,Data!$A:$A,0),MATCH($C$7,Data!$4:$4,0))))</f>
        <v>51.1</v>
      </c>
      <c r="D691" s="148">
        <f t="shared" ca="1" si="26"/>
        <v>13.899999999999999</v>
      </c>
      <c r="E691" s="148">
        <f t="shared" ca="1" si="27"/>
        <v>0</v>
      </c>
    </row>
    <row r="692" spans="2:5" x14ac:dyDescent="0.25">
      <c r="B692" s="8">
        <v>38286</v>
      </c>
      <c r="C692" s="6">
        <f ca="1">IF(OR($C$7="",$B692&gt;NOW()),"",IF(INDEX(Data!$A:$G,MATCH($B692,Data!$A:$A,0),MATCH($C$7,Data!$4:$4,0))="","",INDEX(Data!$A:$G,MATCH($B692,Data!$A:$A,0),MATCH($C$7,Data!$4:$4,0))))</f>
        <v>55.9</v>
      </c>
      <c r="D692" s="148">
        <f t="shared" ca="1" si="26"/>
        <v>9.1000000000000014</v>
      </c>
      <c r="E692" s="148">
        <f t="shared" ca="1" si="27"/>
        <v>0</v>
      </c>
    </row>
    <row r="693" spans="2:5" x14ac:dyDescent="0.25">
      <c r="B693" s="8">
        <v>38287</v>
      </c>
      <c r="C693" s="6">
        <f ca="1">IF(OR($C$7="",$B693&gt;NOW()),"",IF(INDEX(Data!$A:$G,MATCH($B693,Data!$A:$A,0),MATCH($C$7,Data!$4:$4,0))="","",INDEX(Data!$A:$G,MATCH($B693,Data!$A:$A,0),MATCH($C$7,Data!$4:$4,0))))</f>
        <v>56.2</v>
      </c>
      <c r="D693" s="148">
        <f t="shared" ca="1" si="26"/>
        <v>8.7999999999999972</v>
      </c>
      <c r="E693" s="148">
        <f t="shared" ca="1" si="27"/>
        <v>0</v>
      </c>
    </row>
    <row r="694" spans="2:5" x14ac:dyDescent="0.25">
      <c r="B694" s="8">
        <v>38288</v>
      </c>
      <c r="C694" s="6">
        <f ca="1">IF(OR($C$7="",$B694&gt;NOW()),"",IF(INDEX(Data!$A:$G,MATCH($B694,Data!$A:$A,0),MATCH($C$7,Data!$4:$4,0))="","",INDEX(Data!$A:$G,MATCH($B694,Data!$A:$A,0),MATCH($C$7,Data!$4:$4,0))))</f>
        <v>51.7</v>
      </c>
      <c r="D694" s="148">
        <f t="shared" ca="1" si="26"/>
        <v>13.299999999999997</v>
      </c>
      <c r="E694" s="148">
        <f t="shared" ca="1" si="27"/>
        <v>0</v>
      </c>
    </row>
    <row r="695" spans="2:5" x14ac:dyDescent="0.25">
      <c r="B695" s="8">
        <v>38289</v>
      </c>
      <c r="C695" s="6">
        <f ca="1">IF(OR($C$7="",$B695&gt;NOW()),"",IF(INDEX(Data!$A:$G,MATCH($B695,Data!$A:$A,0),MATCH($C$7,Data!$4:$4,0))="","",INDEX(Data!$A:$G,MATCH($B695,Data!$A:$A,0),MATCH($C$7,Data!$4:$4,0))))</f>
        <v>52.1</v>
      </c>
      <c r="D695" s="148">
        <f t="shared" ca="1" si="26"/>
        <v>12.899999999999999</v>
      </c>
      <c r="E695" s="148">
        <f t="shared" ca="1" si="27"/>
        <v>0</v>
      </c>
    </row>
    <row r="696" spans="2:5" x14ac:dyDescent="0.25">
      <c r="B696" s="8">
        <v>38290</v>
      </c>
      <c r="C696" s="6">
        <f ca="1">IF(OR($C$7="",$B696&gt;NOW()),"",IF(INDEX(Data!$A:$G,MATCH($B696,Data!$A:$A,0),MATCH($C$7,Data!$4:$4,0))="","",INDEX(Data!$A:$G,MATCH($B696,Data!$A:$A,0),MATCH($C$7,Data!$4:$4,0))))</f>
        <v>57.6</v>
      </c>
      <c r="D696" s="148">
        <f t="shared" ca="1" si="26"/>
        <v>7.3999999999999986</v>
      </c>
      <c r="E696" s="148">
        <f t="shared" ca="1" si="27"/>
        <v>0</v>
      </c>
    </row>
    <row r="697" spans="2:5" x14ac:dyDescent="0.25">
      <c r="B697" s="8">
        <v>38291</v>
      </c>
      <c r="C697" s="6">
        <f ca="1">IF(OR($C$7="",$B697&gt;NOW()),"",IF(INDEX(Data!$A:$G,MATCH($B697,Data!$A:$A,0),MATCH($C$7,Data!$4:$4,0))="","",INDEX(Data!$A:$G,MATCH($B697,Data!$A:$A,0),MATCH($C$7,Data!$4:$4,0))))</f>
        <v>65.2</v>
      </c>
      <c r="D697" s="148">
        <f t="shared" ca="1" si="26"/>
        <v>0</v>
      </c>
      <c r="E697" s="148">
        <f t="shared" ca="1" si="27"/>
        <v>0.20000000000000284</v>
      </c>
    </row>
    <row r="698" spans="2:5" x14ac:dyDescent="0.25">
      <c r="B698" s="8">
        <v>38292</v>
      </c>
      <c r="C698" s="6">
        <f ca="1">IF(OR($C$7="",$B698&gt;NOW()),"",IF(INDEX(Data!$A:$G,MATCH($B698,Data!$A:$A,0),MATCH($C$7,Data!$4:$4,0))="","",INDEX(Data!$A:$G,MATCH($B698,Data!$A:$A,0),MATCH($C$7,Data!$4:$4,0))))</f>
        <v>58.9</v>
      </c>
      <c r="D698" s="148">
        <f t="shared" ca="1" si="26"/>
        <v>6.1000000000000014</v>
      </c>
      <c r="E698" s="148">
        <f t="shared" ca="1" si="27"/>
        <v>0</v>
      </c>
    </row>
    <row r="699" spans="2:5" x14ac:dyDescent="0.25">
      <c r="B699" s="8">
        <v>38293</v>
      </c>
      <c r="C699" s="6">
        <f ca="1">IF(OR($C$7="",$B699&gt;NOW()),"",IF(INDEX(Data!$A:$G,MATCH($B699,Data!$A:$A,0),MATCH($C$7,Data!$4:$4,0))="","",INDEX(Data!$A:$G,MATCH($B699,Data!$A:$A,0),MATCH($C$7,Data!$4:$4,0))))</f>
        <v>52.4</v>
      </c>
      <c r="D699" s="148">
        <f t="shared" ca="1" si="26"/>
        <v>12.600000000000001</v>
      </c>
      <c r="E699" s="148">
        <f t="shared" ca="1" si="27"/>
        <v>0</v>
      </c>
    </row>
    <row r="700" spans="2:5" x14ac:dyDescent="0.25">
      <c r="B700" s="8">
        <v>38294</v>
      </c>
      <c r="C700" s="6">
        <f ca="1">IF(OR($C$7="",$B700&gt;NOW()),"",IF(INDEX(Data!$A:$G,MATCH($B700,Data!$A:$A,0),MATCH($C$7,Data!$4:$4,0))="","",INDEX(Data!$A:$G,MATCH($B700,Data!$A:$A,0),MATCH($C$7,Data!$4:$4,0))))</f>
        <v>56.9</v>
      </c>
      <c r="D700" s="148">
        <f t="shared" ca="1" si="26"/>
        <v>8.1000000000000014</v>
      </c>
      <c r="E700" s="148">
        <f t="shared" ca="1" si="27"/>
        <v>0</v>
      </c>
    </row>
    <row r="701" spans="2:5" x14ac:dyDescent="0.25">
      <c r="B701" s="8">
        <v>38295</v>
      </c>
      <c r="C701" s="6">
        <f ca="1">IF(OR($C$7="",$B701&gt;NOW()),"",IF(INDEX(Data!$A:$G,MATCH($B701,Data!$A:$A,0),MATCH($C$7,Data!$4:$4,0))="","",INDEX(Data!$A:$G,MATCH($B701,Data!$A:$A,0),MATCH($C$7,Data!$4:$4,0))))</f>
        <v>46.1</v>
      </c>
      <c r="D701" s="148">
        <f t="shared" ca="1" si="26"/>
        <v>18.899999999999999</v>
      </c>
      <c r="E701" s="148">
        <f t="shared" ca="1" si="27"/>
        <v>0</v>
      </c>
    </row>
    <row r="702" spans="2:5" x14ac:dyDescent="0.25">
      <c r="B702" s="8">
        <v>38296</v>
      </c>
      <c r="C702" s="6">
        <f ca="1">IF(OR($C$7="",$B702&gt;NOW()),"",IF(INDEX(Data!$A:$G,MATCH($B702,Data!$A:$A,0),MATCH($C$7,Data!$4:$4,0))="","",INDEX(Data!$A:$G,MATCH($B702,Data!$A:$A,0),MATCH($C$7,Data!$4:$4,0))))</f>
        <v>51.2</v>
      </c>
      <c r="D702" s="148">
        <f t="shared" ca="1" si="26"/>
        <v>13.799999999999997</v>
      </c>
      <c r="E702" s="148">
        <f t="shared" ca="1" si="27"/>
        <v>0</v>
      </c>
    </row>
    <row r="703" spans="2:5" x14ac:dyDescent="0.25">
      <c r="B703" s="8">
        <v>38297</v>
      </c>
      <c r="C703" s="6">
        <f ca="1">IF(OR($C$7="",$B703&gt;NOW()),"",IF(INDEX(Data!$A:$G,MATCH($B703,Data!$A:$A,0),MATCH($C$7,Data!$4:$4,0))="","",INDEX(Data!$A:$G,MATCH($B703,Data!$A:$A,0),MATCH($C$7,Data!$4:$4,0))))</f>
        <v>51</v>
      </c>
      <c r="D703" s="148">
        <f t="shared" ca="1" si="26"/>
        <v>14</v>
      </c>
      <c r="E703" s="148">
        <f t="shared" ca="1" si="27"/>
        <v>0</v>
      </c>
    </row>
    <row r="704" spans="2:5" x14ac:dyDescent="0.25">
      <c r="B704" s="8">
        <v>38298</v>
      </c>
      <c r="C704" s="6">
        <f ca="1">IF(OR($C$7="",$B704&gt;NOW()),"",IF(INDEX(Data!$A:$G,MATCH($B704,Data!$A:$A,0),MATCH($C$7,Data!$4:$4,0))="","",INDEX(Data!$A:$G,MATCH($B704,Data!$A:$A,0),MATCH($C$7,Data!$4:$4,0))))</f>
        <v>58.2</v>
      </c>
      <c r="D704" s="148">
        <f t="shared" ca="1" si="26"/>
        <v>6.7999999999999972</v>
      </c>
      <c r="E704" s="148">
        <f t="shared" ca="1" si="27"/>
        <v>0</v>
      </c>
    </row>
    <row r="705" spans="2:5" x14ac:dyDescent="0.25">
      <c r="B705" s="8">
        <v>38299</v>
      </c>
      <c r="C705" s="6">
        <f ca="1">IF(OR($C$7="",$B705&gt;NOW()),"",IF(INDEX(Data!$A:$G,MATCH($B705,Data!$A:$A,0),MATCH($C$7,Data!$4:$4,0))="","",INDEX(Data!$A:$G,MATCH($B705,Data!$A:$A,0),MATCH($C$7,Data!$4:$4,0))))</f>
        <v>52.2</v>
      </c>
      <c r="D705" s="148">
        <f t="shared" ca="1" si="26"/>
        <v>12.799999999999997</v>
      </c>
      <c r="E705" s="148">
        <f t="shared" ca="1" si="27"/>
        <v>0</v>
      </c>
    </row>
    <row r="706" spans="2:5" x14ac:dyDescent="0.25">
      <c r="B706" s="8">
        <v>38300</v>
      </c>
      <c r="C706" s="6">
        <f ca="1">IF(OR($C$7="",$B706&gt;NOW()),"",IF(INDEX(Data!$A:$G,MATCH($B706,Data!$A:$A,0),MATCH($C$7,Data!$4:$4,0))="","",INDEX(Data!$A:$G,MATCH($B706,Data!$A:$A,0),MATCH($C$7,Data!$4:$4,0))))</f>
        <v>39.700000000000003</v>
      </c>
      <c r="D706" s="148">
        <f t="shared" ca="1" si="26"/>
        <v>25.299999999999997</v>
      </c>
      <c r="E706" s="148">
        <f t="shared" ca="1" si="27"/>
        <v>0</v>
      </c>
    </row>
    <row r="707" spans="2:5" x14ac:dyDescent="0.25">
      <c r="B707" s="8">
        <v>38301</v>
      </c>
      <c r="C707" s="6">
        <f ca="1">IF(OR($C$7="",$B707&gt;NOW()),"",IF(INDEX(Data!$A:$G,MATCH($B707,Data!$A:$A,0),MATCH($C$7,Data!$4:$4,0))="","",INDEX(Data!$A:$G,MATCH($B707,Data!$A:$A,0),MATCH($C$7,Data!$4:$4,0))))</f>
        <v>36.799999999999997</v>
      </c>
      <c r="D707" s="148">
        <f t="shared" ca="1" si="26"/>
        <v>28.200000000000003</v>
      </c>
      <c r="E707" s="148">
        <f t="shared" ca="1" si="27"/>
        <v>0</v>
      </c>
    </row>
    <row r="708" spans="2:5" x14ac:dyDescent="0.25">
      <c r="B708" s="8">
        <v>38302</v>
      </c>
      <c r="C708" s="6">
        <f ca="1">IF(OR($C$7="",$B708&gt;NOW()),"",IF(INDEX(Data!$A:$G,MATCH($B708,Data!$A:$A,0),MATCH($C$7,Data!$4:$4,0))="","",INDEX(Data!$A:$G,MATCH($B708,Data!$A:$A,0),MATCH($C$7,Data!$4:$4,0))))</f>
        <v>48.1</v>
      </c>
      <c r="D708" s="148">
        <f t="shared" ca="1" si="26"/>
        <v>16.899999999999999</v>
      </c>
      <c r="E708" s="148">
        <f t="shared" ca="1" si="27"/>
        <v>0</v>
      </c>
    </row>
    <row r="709" spans="2:5" x14ac:dyDescent="0.25">
      <c r="B709" s="8">
        <v>38303</v>
      </c>
      <c r="C709" s="6">
        <f ca="1">IF(OR($C$7="",$B709&gt;NOW()),"",IF(INDEX(Data!$A:$G,MATCH($B709,Data!$A:$A,0),MATCH($C$7,Data!$4:$4,0))="","",INDEX(Data!$A:$G,MATCH($B709,Data!$A:$A,0),MATCH($C$7,Data!$4:$4,0))))</f>
        <v>44.8</v>
      </c>
      <c r="D709" s="148">
        <f t="shared" ca="1" si="26"/>
        <v>20.200000000000003</v>
      </c>
      <c r="E709" s="148">
        <f t="shared" ca="1" si="27"/>
        <v>0</v>
      </c>
    </row>
    <row r="710" spans="2:5" x14ac:dyDescent="0.25">
      <c r="B710" s="8">
        <v>38304</v>
      </c>
      <c r="C710" s="6">
        <f ca="1">IF(OR($C$7="",$B710&gt;NOW()),"",IF(INDEX(Data!$A:$G,MATCH($B710,Data!$A:$A,0),MATCH($C$7,Data!$4:$4,0))="","",INDEX(Data!$A:$G,MATCH($B710,Data!$A:$A,0),MATCH($C$7,Data!$4:$4,0))))</f>
        <v>38</v>
      </c>
      <c r="D710" s="148">
        <f t="shared" ca="1" si="26"/>
        <v>27</v>
      </c>
      <c r="E710" s="148">
        <f t="shared" ca="1" si="27"/>
        <v>0</v>
      </c>
    </row>
    <row r="711" spans="2:5" x14ac:dyDescent="0.25">
      <c r="B711" s="8">
        <v>38305</v>
      </c>
      <c r="C711" s="6">
        <f ca="1">IF(OR($C$7="",$B711&gt;NOW()),"",IF(INDEX(Data!$A:$G,MATCH($B711,Data!$A:$A,0),MATCH($C$7,Data!$4:$4,0))="","",INDEX(Data!$A:$G,MATCH($B711,Data!$A:$A,0),MATCH($C$7,Data!$4:$4,0))))</f>
        <v>38.4</v>
      </c>
      <c r="D711" s="148">
        <f t="shared" ca="1" si="26"/>
        <v>26.6</v>
      </c>
      <c r="E711" s="148">
        <f t="shared" ca="1" si="27"/>
        <v>0</v>
      </c>
    </row>
    <row r="712" spans="2:5" x14ac:dyDescent="0.25">
      <c r="B712" s="8">
        <v>38306</v>
      </c>
      <c r="C712" s="6">
        <f ca="1">IF(OR($C$7="",$B712&gt;NOW()),"",IF(INDEX(Data!$A:$G,MATCH($B712,Data!$A:$A,0),MATCH($C$7,Data!$4:$4,0))="","",INDEX(Data!$A:$G,MATCH($B712,Data!$A:$A,0),MATCH($C$7,Data!$4:$4,0))))</f>
        <v>47.9</v>
      </c>
      <c r="D712" s="148">
        <f t="shared" ca="1" si="26"/>
        <v>17.100000000000001</v>
      </c>
      <c r="E712" s="148">
        <f t="shared" ca="1" si="27"/>
        <v>0</v>
      </c>
    </row>
    <row r="713" spans="2:5" x14ac:dyDescent="0.25">
      <c r="B713" s="8">
        <v>38307</v>
      </c>
      <c r="C713" s="6">
        <f ca="1">IF(OR($C$7="",$B713&gt;NOW()),"",IF(INDEX(Data!$A:$G,MATCH($B713,Data!$A:$A,0),MATCH($C$7,Data!$4:$4,0))="","",INDEX(Data!$A:$G,MATCH($B713,Data!$A:$A,0),MATCH($C$7,Data!$4:$4,0))))</f>
        <v>51.5</v>
      </c>
      <c r="D713" s="148">
        <f t="shared" ca="1" si="26"/>
        <v>13.5</v>
      </c>
      <c r="E713" s="148">
        <f t="shared" ca="1" si="27"/>
        <v>0</v>
      </c>
    </row>
    <row r="714" spans="2:5" x14ac:dyDescent="0.25">
      <c r="B714" s="8">
        <v>38308</v>
      </c>
      <c r="C714" s="6">
        <f ca="1">IF(OR($C$7="",$B714&gt;NOW()),"",IF(INDEX(Data!$A:$G,MATCH($B714,Data!$A:$A,0),MATCH($C$7,Data!$4:$4,0))="","",INDEX(Data!$A:$G,MATCH($B714,Data!$A:$A,0),MATCH($C$7,Data!$4:$4,0))))</f>
        <v>50.4</v>
      </c>
      <c r="D714" s="148">
        <f t="shared" ca="1" si="26"/>
        <v>14.600000000000001</v>
      </c>
      <c r="E714" s="148">
        <f t="shared" ca="1" si="27"/>
        <v>0</v>
      </c>
    </row>
    <row r="715" spans="2:5" x14ac:dyDescent="0.25">
      <c r="B715" s="8">
        <v>38309</v>
      </c>
      <c r="C715" s="6">
        <f ca="1">IF(OR($C$7="",$B715&gt;NOW()),"",IF(INDEX(Data!$A:$G,MATCH($B715,Data!$A:$A,0),MATCH($C$7,Data!$4:$4,0))="","",INDEX(Data!$A:$G,MATCH($B715,Data!$A:$A,0),MATCH($C$7,Data!$4:$4,0))))</f>
        <v>51.9</v>
      </c>
      <c r="D715" s="148">
        <f t="shared" ca="1" si="26"/>
        <v>13.100000000000001</v>
      </c>
      <c r="E715" s="148">
        <f t="shared" ca="1" si="27"/>
        <v>0</v>
      </c>
    </row>
    <row r="716" spans="2:5" x14ac:dyDescent="0.25">
      <c r="B716" s="8">
        <v>38310</v>
      </c>
      <c r="C716" s="6">
        <f ca="1">IF(OR($C$7="",$B716&gt;NOW()),"",IF(INDEX(Data!$A:$G,MATCH($B716,Data!$A:$A,0),MATCH($C$7,Data!$4:$4,0))="","",INDEX(Data!$A:$G,MATCH($B716,Data!$A:$A,0),MATCH($C$7,Data!$4:$4,0))))</f>
        <v>57.7</v>
      </c>
      <c r="D716" s="148">
        <f t="shared" ca="1" si="26"/>
        <v>7.2999999999999972</v>
      </c>
      <c r="E716" s="148">
        <f t="shared" ca="1" si="27"/>
        <v>0</v>
      </c>
    </row>
    <row r="717" spans="2:5" x14ac:dyDescent="0.25">
      <c r="B717" s="8">
        <v>38311</v>
      </c>
      <c r="C717" s="6">
        <f ca="1">IF(OR($C$7="",$B717&gt;NOW()),"",IF(INDEX(Data!$A:$G,MATCH($B717,Data!$A:$A,0),MATCH($C$7,Data!$4:$4,0))="","",INDEX(Data!$A:$G,MATCH($B717,Data!$A:$A,0),MATCH($C$7,Data!$4:$4,0))))</f>
        <v>50.4</v>
      </c>
      <c r="D717" s="148">
        <f t="shared" ca="1" si="26"/>
        <v>14.600000000000001</v>
      </c>
      <c r="E717" s="148">
        <f t="shared" ca="1" si="27"/>
        <v>0</v>
      </c>
    </row>
    <row r="718" spans="2:5" x14ac:dyDescent="0.25">
      <c r="B718" s="8">
        <v>38312</v>
      </c>
      <c r="C718" s="6">
        <f ca="1">IF(OR($C$7="",$B718&gt;NOW()),"",IF(INDEX(Data!$A:$G,MATCH($B718,Data!$A:$A,0),MATCH($C$7,Data!$4:$4,0))="","",INDEX(Data!$A:$G,MATCH($B718,Data!$A:$A,0),MATCH($C$7,Data!$4:$4,0))))</f>
        <v>48.7</v>
      </c>
      <c r="D718" s="148">
        <f t="shared" ca="1" si="26"/>
        <v>16.299999999999997</v>
      </c>
      <c r="E718" s="148">
        <f t="shared" ca="1" si="27"/>
        <v>0</v>
      </c>
    </row>
    <row r="719" spans="2:5" x14ac:dyDescent="0.25">
      <c r="B719" s="8">
        <v>38313</v>
      </c>
      <c r="C719" s="6">
        <f ca="1">IF(OR($C$7="",$B719&gt;NOW()),"",IF(INDEX(Data!$A:$G,MATCH($B719,Data!$A:$A,0),MATCH($C$7,Data!$4:$4,0))="","",INDEX(Data!$A:$G,MATCH($B719,Data!$A:$A,0),MATCH($C$7,Data!$4:$4,0))))</f>
        <v>52.1</v>
      </c>
      <c r="D719" s="148">
        <f t="shared" ca="1" si="26"/>
        <v>12.899999999999999</v>
      </c>
      <c r="E719" s="148">
        <f t="shared" ca="1" si="27"/>
        <v>0</v>
      </c>
    </row>
    <row r="720" spans="2:5" x14ac:dyDescent="0.25">
      <c r="B720" s="8">
        <v>38314</v>
      </c>
      <c r="C720" s="6">
        <f ca="1">IF(OR($C$7="",$B720&gt;NOW()),"",IF(INDEX(Data!$A:$G,MATCH($B720,Data!$A:$A,0),MATCH($C$7,Data!$4:$4,0))="","",INDEX(Data!$A:$G,MATCH($B720,Data!$A:$A,0),MATCH($C$7,Data!$4:$4,0))))</f>
        <v>51.1</v>
      </c>
      <c r="D720" s="148">
        <f t="shared" ca="1" si="26"/>
        <v>13.899999999999999</v>
      </c>
      <c r="E720" s="148">
        <f t="shared" ca="1" si="27"/>
        <v>0</v>
      </c>
    </row>
    <row r="721" spans="2:5" x14ac:dyDescent="0.25">
      <c r="B721" s="8">
        <v>38315</v>
      </c>
      <c r="C721" s="6">
        <f ca="1">IF(OR($C$7="",$B721&gt;NOW()),"",IF(INDEX(Data!$A:$G,MATCH($B721,Data!$A:$A,0),MATCH($C$7,Data!$4:$4,0))="","",INDEX(Data!$A:$G,MATCH($B721,Data!$A:$A,0),MATCH($C$7,Data!$4:$4,0))))</f>
        <v>52.8</v>
      </c>
      <c r="D721" s="148">
        <f t="shared" ca="1" si="26"/>
        <v>12.200000000000003</v>
      </c>
      <c r="E721" s="148">
        <f t="shared" ca="1" si="27"/>
        <v>0</v>
      </c>
    </row>
    <row r="722" spans="2:5" x14ac:dyDescent="0.25">
      <c r="B722" s="8">
        <v>38316</v>
      </c>
      <c r="C722" s="6">
        <f ca="1">IF(OR($C$7="",$B722&gt;NOW()),"",IF(INDEX(Data!$A:$G,MATCH($B722,Data!$A:$A,0),MATCH($C$7,Data!$4:$4,0))="","",INDEX(Data!$A:$G,MATCH($B722,Data!$A:$A,0),MATCH($C$7,Data!$4:$4,0))))</f>
        <v>57.1</v>
      </c>
      <c r="D722" s="148">
        <f t="shared" ca="1" si="26"/>
        <v>7.8999999999999986</v>
      </c>
      <c r="E722" s="148">
        <f t="shared" ca="1" si="27"/>
        <v>0</v>
      </c>
    </row>
    <row r="723" spans="2:5" x14ac:dyDescent="0.25">
      <c r="B723" s="8">
        <v>38317</v>
      </c>
      <c r="C723" s="6">
        <f ca="1">IF(OR($C$7="",$B723&gt;NOW()),"",IF(INDEX(Data!$A:$G,MATCH($B723,Data!$A:$A,0),MATCH($C$7,Data!$4:$4,0))="","",INDEX(Data!$A:$G,MATCH($B723,Data!$A:$A,0),MATCH($C$7,Data!$4:$4,0))))</f>
        <v>39</v>
      </c>
      <c r="D723" s="148">
        <f t="shared" ca="1" si="26"/>
        <v>26</v>
      </c>
      <c r="E723" s="148">
        <f t="shared" ca="1" si="27"/>
        <v>0</v>
      </c>
    </row>
    <row r="724" spans="2:5" x14ac:dyDescent="0.25">
      <c r="B724" s="8">
        <v>38318</v>
      </c>
      <c r="C724" s="6">
        <f ca="1">IF(OR($C$7="",$B724&gt;NOW()),"",IF(INDEX(Data!$A:$G,MATCH($B724,Data!$A:$A,0),MATCH($C$7,Data!$4:$4,0))="","",INDEX(Data!$A:$G,MATCH($B724,Data!$A:$A,0),MATCH($C$7,Data!$4:$4,0))))</f>
        <v>45.2</v>
      </c>
      <c r="D724" s="148">
        <f t="shared" ca="1" si="26"/>
        <v>19.799999999999997</v>
      </c>
      <c r="E724" s="148">
        <f t="shared" ca="1" si="27"/>
        <v>0</v>
      </c>
    </row>
    <row r="725" spans="2:5" x14ac:dyDescent="0.25">
      <c r="B725" s="8">
        <v>38319</v>
      </c>
      <c r="C725" s="6">
        <f ca="1">IF(OR($C$7="",$B725&gt;NOW()),"",IF(INDEX(Data!$A:$G,MATCH($B725,Data!$A:$A,0),MATCH($C$7,Data!$4:$4,0))="","",INDEX(Data!$A:$G,MATCH($B725,Data!$A:$A,0),MATCH($C$7,Data!$4:$4,0))))</f>
        <v>54.5</v>
      </c>
      <c r="D725" s="148">
        <f t="shared" ca="1" si="26"/>
        <v>10.5</v>
      </c>
      <c r="E725" s="148">
        <f t="shared" ca="1" si="27"/>
        <v>0</v>
      </c>
    </row>
    <row r="726" spans="2:5" x14ac:dyDescent="0.25">
      <c r="B726" s="8">
        <v>38320</v>
      </c>
      <c r="C726" s="6">
        <f ca="1">IF(OR($C$7="",$B726&gt;NOW()),"",IF(INDEX(Data!$A:$G,MATCH($B726,Data!$A:$A,0),MATCH($C$7,Data!$4:$4,0))="","",INDEX(Data!$A:$G,MATCH($B726,Data!$A:$A,0),MATCH($C$7,Data!$4:$4,0))))</f>
        <v>46.7</v>
      </c>
      <c r="D726" s="148">
        <f t="shared" ca="1" si="26"/>
        <v>18.299999999999997</v>
      </c>
      <c r="E726" s="148">
        <f t="shared" ca="1" si="27"/>
        <v>0</v>
      </c>
    </row>
    <row r="727" spans="2:5" x14ac:dyDescent="0.25">
      <c r="B727" s="8">
        <v>38321</v>
      </c>
      <c r="C727" s="6">
        <f ca="1">IF(OR($C$7="",$B727&gt;NOW()),"",IF(INDEX(Data!$A:$G,MATCH($B727,Data!$A:$A,0),MATCH($C$7,Data!$4:$4,0))="","",INDEX(Data!$A:$G,MATCH($B727,Data!$A:$A,0),MATCH($C$7,Data!$4:$4,0))))</f>
        <v>43.8</v>
      </c>
      <c r="D727" s="148">
        <f t="shared" ca="1" si="26"/>
        <v>21.200000000000003</v>
      </c>
      <c r="E727" s="148">
        <f t="shared" ca="1" si="27"/>
        <v>0</v>
      </c>
    </row>
    <row r="728" spans="2:5" x14ac:dyDescent="0.25">
      <c r="B728" s="8">
        <v>38322</v>
      </c>
      <c r="C728" s="6">
        <f ca="1">IF(OR($C$7="",$B728&gt;NOW()),"",IF(INDEX(Data!$A:$G,MATCH($B728,Data!$A:$A,0),MATCH($C$7,Data!$4:$4,0))="","",INDEX(Data!$A:$G,MATCH($B728,Data!$A:$A,0),MATCH($C$7,Data!$4:$4,0))))</f>
        <v>51</v>
      </c>
      <c r="D728" s="148">
        <f t="shared" ca="1" si="26"/>
        <v>14</v>
      </c>
      <c r="E728" s="148">
        <f t="shared" ca="1" si="27"/>
        <v>0</v>
      </c>
    </row>
    <row r="729" spans="2:5" x14ac:dyDescent="0.25">
      <c r="B729" s="8">
        <v>38323</v>
      </c>
      <c r="C729" s="6">
        <f ca="1">IF(OR($C$7="",$B729&gt;NOW()),"",IF(INDEX(Data!$A:$G,MATCH($B729,Data!$A:$A,0),MATCH($C$7,Data!$4:$4,0))="","",INDEX(Data!$A:$G,MATCH($B729,Data!$A:$A,0),MATCH($C$7,Data!$4:$4,0))))</f>
        <v>44.5</v>
      </c>
      <c r="D729" s="148">
        <f t="shared" ca="1" si="26"/>
        <v>20.5</v>
      </c>
      <c r="E729" s="148">
        <f t="shared" ca="1" si="27"/>
        <v>0</v>
      </c>
    </row>
    <row r="730" spans="2:5" x14ac:dyDescent="0.25">
      <c r="B730" s="8">
        <v>38324</v>
      </c>
      <c r="C730" s="6">
        <f ca="1">IF(OR($C$7="",$B730&gt;NOW()),"",IF(INDEX(Data!$A:$G,MATCH($B730,Data!$A:$A,0),MATCH($C$7,Data!$4:$4,0))="","",INDEX(Data!$A:$G,MATCH($B730,Data!$A:$A,0),MATCH($C$7,Data!$4:$4,0))))</f>
        <v>43.1</v>
      </c>
      <c r="D730" s="148">
        <f t="shared" ca="1" si="26"/>
        <v>21.9</v>
      </c>
      <c r="E730" s="148">
        <f t="shared" ca="1" si="27"/>
        <v>0</v>
      </c>
    </row>
    <row r="731" spans="2:5" x14ac:dyDescent="0.25">
      <c r="B731" s="8">
        <v>38325</v>
      </c>
      <c r="C731" s="6">
        <f ca="1">IF(OR($C$7="",$B731&gt;NOW()),"",IF(INDEX(Data!$A:$G,MATCH($B731,Data!$A:$A,0),MATCH($C$7,Data!$4:$4,0))="","",INDEX(Data!$A:$G,MATCH($B731,Data!$A:$A,0),MATCH($C$7,Data!$4:$4,0))))</f>
        <v>37.4</v>
      </c>
      <c r="D731" s="148">
        <f t="shared" ca="1" si="26"/>
        <v>27.6</v>
      </c>
      <c r="E731" s="148">
        <f t="shared" ca="1" si="27"/>
        <v>0</v>
      </c>
    </row>
    <row r="732" spans="2:5" x14ac:dyDescent="0.25">
      <c r="B732" s="8">
        <v>38326</v>
      </c>
      <c r="C732" s="6">
        <f ca="1">IF(OR($C$7="",$B732&gt;NOW()),"",IF(INDEX(Data!$A:$G,MATCH($B732,Data!$A:$A,0),MATCH($C$7,Data!$4:$4,0))="","",INDEX(Data!$A:$G,MATCH($B732,Data!$A:$A,0),MATCH($C$7,Data!$4:$4,0))))</f>
        <v>47.2</v>
      </c>
      <c r="D732" s="148">
        <f t="shared" ca="1" si="26"/>
        <v>17.799999999999997</v>
      </c>
      <c r="E732" s="148">
        <f t="shared" ca="1" si="27"/>
        <v>0</v>
      </c>
    </row>
    <row r="733" spans="2:5" x14ac:dyDescent="0.25">
      <c r="B733" s="8">
        <v>38327</v>
      </c>
      <c r="C733" s="6">
        <f ca="1">IF(OR($C$7="",$B733&gt;NOW()),"",IF(INDEX(Data!$A:$G,MATCH($B733,Data!$A:$A,0),MATCH($C$7,Data!$4:$4,0))="","",INDEX(Data!$A:$G,MATCH($B733,Data!$A:$A,0),MATCH($C$7,Data!$4:$4,0))))</f>
        <v>39.799999999999997</v>
      </c>
      <c r="D733" s="148">
        <f t="shared" ref="D733:D796" ca="1" si="28">IF($C733="","",IF($C733&gt;$D$26,0,$D$26-$C733))</f>
        <v>25.200000000000003</v>
      </c>
      <c r="E733" s="148">
        <f t="shared" ref="E733:E796" ca="1" si="29">IF($C733="","",IF($C733&lt;$E$26,0,$C733-$E$26))</f>
        <v>0</v>
      </c>
    </row>
    <row r="734" spans="2:5" x14ac:dyDescent="0.25">
      <c r="B734" s="8">
        <v>38328</v>
      </c>
      <c r="C734" s="6">
        <f ca="1">IF(OR($C$7="",$B734&gt;NOW()),"",IF(INDEX(Data!$A:$G,MATCH($B734,Data!$A:$A,0),MATCH($C$7,Data!$4:$4,0))="","",INDEX(Data!$A:$G,MATCH($B734,Data!$A:$A,0),MATCH($C$7,Data!$4:$4,0))))</f>
        <v>40.6</v>
      </c>
      <c r="D734" s="148">
        <f t="shared" ca="1" si="28"/>
        <v>24.4</v>
      </c>
      <c r="E734" s="148">
        <f t="shared" ca="1" si="29"/>
        <v>0</v>
      </c>
    </row>
    <row r="735" spans="2:5" x14ac:dyDescent="0.25">
      <c r="B735" s="8">
        <v>38329</v>
      </c>
      <c r="C735" s="6">
        <f ca="1">IF(OR($C$7="",$B735&gt;NOW()),"",IF(INDEX(Data!$A:$G,MATCH($B735,Data!$A:$A,0),MATCH($C$7,Data!$4:$4,0))="","",INDEX(Data!$A:$G,MATCH($B735,Data!$A:$A,0),MATCH($C$7,Data!$4:$4,0))))</f>
        <v>50.9</v>
      </c>
      <c r="D735" s="148">
        <f t="shared" ca="1" si="28"/>
        <v>14.100000000000001</v>
      </c>
      <c r="E735" s="148">
        <f t="shared" ca="1" si="29"/>
        <v>0</v>
      </c>
    </row>
    <row r="736" spans="2:5" x14ac:dyDescent="0.25">
      <c r="B736" s="8">
        <v>38330</v>
      </c>
      <c r="C736" s="6">
        <f ca="1">IF(OR($C$7="",$B736&gt;NOW()),"",IF(INDEX(Data!$A:$G,MATCH($B736,Data!$A:$A,0),MATCH($C$7,Data!$4:$4,0))="","",INDEX(Data!$A:$G,MATCH($B736,Data!$A:$A,0),MATCH($C$7,Data!$4:$4,0))))</f>
        <v>46.3</v>
      </c>
      <c r="D736" s="148">
        <f t="shared" ca="1" si="28"/>
        <v>18.700000000000003</v>
      </c>
      <c r="E736" s="148">
        <f t="shared" ca="1" si="29"/>
        <v>0</v>
      </c>
    </row>
    <row r="737" spans="2:5" x14ac:dyDescent="0.25">
      <c r="B737" s="8">
        <v>38331</v>
      </c>
      <c r="C737" s="6">
        <f ca="1">IF(OR($C$7="",$B737&gt;NOW()),"",IF(INDEX(Data!$A:$G,MATCH($B737,Data!$A:$A,0),MATCH($C$7,Data!$4:$4,0))="","",INDEX(Data!$A:$G,MATCH($B737,Data!$A:$A,0),MATCH($C$7,Data!$4:$4,0))))</f>
        <v>45.6</v>
      </c>
      <c r="D737" s="148">
        <f t="shared" ca="1" si="28"/>
        <v>19.399999999999999</v>
      </c>
      <c r="E737" s="148">
        <f t="shared" ca="1" si="29"/>
        <v>0</v>
      </c>
    </row>
    <row r="738" spans="2:5" x14ac:dyDescent="0.25">
      <c r="B738" s="8">
        <v>38332</v>
      </c>
      <c r="C738" s="6">
        <f ca="1">IF(OR($C$7="",$B738&gt;NOW()),"",IF(INDEX(Data!$A:$G,MATCH($B738,Data!$A:$A,0),MATCH($C$7,Data!$4:$4,0))="","",INDEX(Data!$A:$G,MATCH($B738,Data!$A:$A,0),MATCH($C$7,Data!$4:$4,0))))</f>
        <v>48.3</v>
      </c>
      <c r="D738" s="148">
        <f t="shared" ca="1" si="28"/>
        <v>16.700000000000003</v>
      </c>
      <c r="E738" s="148">
        <f t="shared" ca="1" si="29"/>
        <v>0</v>
      </c>
    </row>
    <row r="739" spans="2:5" x14ac:dyDescent="0.25">
      <c r="B739" s="8">
        <v>38333</v>
      </c>
      <c r="C739" s="6">
        <f ca="1">IF(OR($C$7="",$B739&gt;NOW()),"",IF(INDEX(Data!$A:$G,MATCH($B739,Data!$A:$A,0),MATCH($C$7,Data!$4:$4,0))="","",INDEX(Data!$A:$G,MATCH($B739,Data!$A:$A,0),MATCH($C$7,Data!$4:$4,0))))</f>
        <v>44.4</v>
      </c>
      <c r="D739" s="148">
        <f t="shared" ca="1" si="28"/>
        <v>20.6</v>
      </c>
      <c r="E739" s="148">
        <f t="shared" ca="1" si="29"/>
        <v>0</v>
      </c>
    </row>
    <row r="740" spans="2:5" x14ac:dyDescent="0.25">
      <c r="B740" s="8">
        <v>38334</v>
      </c>
      <c r="C740" s="6">
        <f ca="1">IF(OR($C$7="",$B740&gt;NOW()),"",IF(INDEX(Data!$A:$G,MATCH($B740,Data!$A:$A,0),MATCH($C$7,Data!$4:$4,0))="","",INDEX(Data!$A:$G,MATCH($B740,Data!$A:$A,0),MATCH($C$7,Data!$4:$4,0))))</f>
        <v>44.5</v>
      </c>
      <c r="D740" s="148">
        <f t="shared" ca="1" si="28"/>
        <v>20.5</v>
      </c>
      <c r="E740" s="148">
        <f t="shared" ca="1" si="29"/>
        <v>0</v>
      </c>
    </row>
    <row r="741" spans="2:5" x14ac:dyDescent="0.25">
      <c r="B741" s="8">
        <v>38335</v>
      </c>
      <c r="C741" s="6">
        <f ca="1">IF(OR($C$7="",$B741&gt;NOW()),"",IF(INDEX(Data!$A:$G,MATCH($B741,Data!$A:$A,0),MATCH($C$7,Data!$4:$4,0))="","",INDEX(Data!$A:$G,MATCH($B741,Data!$A:$A,0),MATCH($C$7,Data!$4:$4,0))))</f>
        <v>36</v>
      </c>
      <c r="D741" s="148">
        <f t="shared" ca="1" si="28"/>
        <v>29</v>
      </c>
      <c r="E741" s="148">
        <f t="shared" ca="1" si="29"/>
        <v>0</v>
      </c>
    </row>
    <row r="742" spans="2:5" x14ac:dyDescent="0.25">
      <c r="B742" s="8">
        <v>38336</v>
      </c>
      <c r="C742" s="6">
        <f ca="1">IF(OR($C$7="",$B742&gt;NOW()),"",IF(INDEX(Data!$A:$G,MATCH($B742,Data!$A:$A,0),MATCH($C$7,Data!$4:$4,0))="","",INDEX(Data!$A:$G,MATCH($B742,Data!$A:$A,0),MATCH($C$7,Data!$4:$4,0))))</f>
        <v>27.7</v>
      </c>
      <c r="D742" s="148">
        <f t="shared" ca="1" si="28"/>
        <v>37.299999999999997</v>
      </c>
      <c r="E742" s="148">
        <f t="shared" ca="1" si="29"/>
        <v>0</v>
      </c>
    </row>
    <row r="743" spans="2:5" x14ac:dyDescent="0.25">
      <c r="B743" s="8">
        <v>38337</v>
      </c>
      <c r="C743" s="6">
        <f ca="1">IF(OR($C$7="",$B743&gt;NOW()),"",IF(INDEX(Data!$A:$G,MATCH($B743,Data!$A:$A,0),MATCH($C$7,Data!$4:$4,0))="","",INDEX(Data!$A:$G,MATCH($B743,Data!$A:$A,0),MATCH($C$7,Data!$4:$4,0))))</f>
        <v>34</v>
      </c>
      <c r="D743" s="148">
        <f t="shared" ca="1" si="28"/>
        <v>31</v>
      </c>
      <c r="E743" s="148">
        <f t="shared" ca="1" si="29"/>
        <v>0</v>
      </c>
    </row>
    <row r="744" spans="2:5" x14ac:dyDescent="0.25">
      <c r="B744" s="8">
        <v>38338</v>
      </c>
      <c r="C744" s="6">
        <f ca="1">IF(OR($C$7="",$B744&gt;NOW()),"",IF(INDEX(Data!$A:$G,MATCH($B744,Data!$A:$A,0),MATCH($C$7,Data!$4:$4,0))="","",INDEX(Data!$A:$G,MATCH($B744,Data!$A:$A,0),MATCH($C$7,Data!$4:$4,0))))</f>
        <v>40.1</v>
      </c>
      <c r="D744" s="148">
        <f t="shared" ca="1" si="28"/>
        <v>24.9</v>
      </c>
      <c r="E744" s="148">
        <f t="shared" ca="1" si="29"/>
        <v>0</v>
      </c>
    </row>
    <row r="745" spans="2:5" x14ac:dyDescent="0.25">
      <c r="B745" s="8">
        <v>38339</v>
      </c>
      <c r="C745" s="6">
        <f ca="1">IF(OR($C$7="",$B745&gt;NOW()),"",IF(INDEX(Data!$A:$G,MATCH($B745,Data!$A:$A,0),MATCH($C$7,Data!$4:$4,0))="","",INDEX(Data!$A:$G,MATCH($B745,Data!$A:$A,0),MATCH($C$7,Data!$4:$4,0))))</f>
        <v>33.799999999999997</v>
      </c>
      <c r="D745" s="148">
        <f t="shared" ca="1" si="28"/>
        <v>31.200000000000003</v>
      </c>
      <c r="E745" s="148">
        <f t="shared" ca="1" si="29"/>
        <v>0</v>
      </c>
    </row>
    <row r="746" spans="2:5" x14ac:dyDescent="0.25">
      <c r="B746" s="8">
        <v>38340</v>
      </c>
      <c r="C746" s="6">
        <f ca="1">IF(OR($C$7="",$B746&gt;NOW()),"",IF(INDEX(Data!$A:$G,MATCH($B746,Data!$A:$A,0),MATCH($C$7,Data!$4:$4,0))="","",INDEX(Data!$A:$G,MATCH($B746,Data!$A:$A,0),MATCH($C$7,Data!$4:$4,0))))</f>
        <v>39.799999999999997</v>
      </c>
      <c r="D746" s="148">
        <f t="shared" ca="1" si="28"/>
        <v>25.200000000000003</v>
      </c>
      <c r="E746" s="148">
        <f t="shared" ca="1" si="29"/>
        <v>0</v>
      </c>
    </row>
    <row r="747" spans="2:5" x14ac:dyDescent="0.25">
      <c r="B747" s="8">
        <v>38341</v>
      </c>
      <c r="C747" s="6">
        <f ca="1">IF(OR($C$7="",$B747&gt;NOW()),"",IF(INDEX(Data!$A:$G,MATCH($B747,Data!$A:$A,0),MATCH($C$7,Data!$4:$4,0))="","",INDEX(Data!$A:$G,MATCH($B747,Data!$A:$A,0),MATCH($C$7,Data!$4:$4,0))))</f>
        <v>19.2</v>
      </c>
      <c r="D747" s="148">
        <f t="shared" ca="1" si="28"/>
        <v>45.8</v>
      </c>
      <c r="E747" s="148">
        <f t="shared" ca="1" si="29"/>
        <v>0</v>
      </c>
    </row>
    <row r="748" spans="2:5" x14ac:dyDescent="0.25">
      <c r="B748" s="8">
        <v>38342</v>
      </c>
      <c r="C748" s="6">
        <f ca="1">IF(OR($C$7="",$B748&gt;NOW()),"",IF(INDEX(Data!$A:$G,MATCH($B748,Data!$A:$A,0),MATCH($C$7,Data!$4:$4,0))="","",INDEX(Data!$A:$G,MATCH($B748,Data!$A:$A,0),MATCH($C$7,Data!$4:$4,0))))</f>
        <v>21</v>
      </c>
      <c r="D748" s="148">
        <f t="shared" ca="1" si="28"/>
        <v>44</v>
      </c>
      <c r="E748" s="148">
        <f t="shared" ca="1" si="29"/>
        <v>0</v>
      </c>
    </row>
    <row r="749" spans="2:5" x14ac:dyDescent="0.25">
      <c r="B749" s="8">
        <v>38343</v>
      </c>
      <c r="C749" s="6">
        <f ca="1">IF(OR($C$7="",$B749&gt;NOW()),"",IF(INDEX(Data!$A:$G,MATCH($B749,Data!$A:$A,0),MATCH($C$7,Data!$4:$4,0))="","",INDEX(Data!$A:$G,MATCH($B749,Data!$A:$A,0),MATCH($C$7,Data!$4:$4,0))))</f>
        <v>39</v>
      </c>
      <c r="D749" s="148">
        <f t="shared" ca="1" si="28"/>
        <v>26</v>
      </c>
      <c r="E749" s="148">
        <f t="shared" ca="1" si="29"/>
        <v>0</v>
      </c>
    </row>
    <row r="750" spans="2:5" x14ac:dyDescent="0.25">
      <c r="B750" s="8">
        <v>38344</v>
      </c>
      <c r="C750" s="6">
        <f ca="1">IF(OR($C$7="",$B750&gt;NOW()),"",IF(INDEX(Data!$A:$G,MATCH($B750,Data!$A:$A,0),MATCH($C$7,Data!$4:$4,0))="","",INDEX(Data!$A:$G,MATCH($B750,Data!$A:$A,0),MATCH($C$7,Data!$4:$4,0))))</f>
        <v>52.2</v>
      </c>
      <c r="D750" s="148">
        <f t="shared" ca="1" si="28"/>
        <v>12.799999999999997</v>
      </c>
      <c r="E750" s="148">
        <f t="shared" ca="1" si="29"/>
        <v>0</v>
      </c>
    </row>
    <row r="751" spans="2:5" x14ac:dyDescent="0.25">
      <c r="B751" s="8">
        <v>38345</v>
      </c>
      <c r="C751" s="6">
        <f ca="1">IF(OR($C$7="",$B751&gt;NOW()),"",IF(INDEX(Data!$A:$G,MATCH($B751,Data!$A:$A,0),MATCH($C$7,Data!$4:$4,0))="","",INDEX(Data!$A:$G,MATCH($B751,Data!$A:$A,0),MATCH($C$7,Data!$4:$4,0))))</f>
        <v>37.299999999999997</v>
      </c>
      <c r="D751" s="148">
        <f t="shared" ca="1" si="28"/>
        <v>27.700000000000003</v>
      </c>
      <c r="E751" s="148">
        <f t="shared" ca="1" si="29"/>
        <v>0</v>
      </c>
    </row>
    <row r="752" spans="2:5" x14ac:dyDescent="0.25">
      <c r="B752" s="8">
        <v>38346</v>
      </c>
      <c r="C752" s="6">
        <f ca="1">IF(OR($C$7="",$B752&gt;NOW()),"",IF(INDEX(Data!$A:$G,MATCH($B752,Data!$A:$A,0),MATCH($C$7,Data!$4:$4,0))="","",INDEX(Data!$A:$G,MATCH($B752,Data!$A:$A,0),MATCH($C$7,Data!$4:$4,0))))</f>
        <v>29.7</v>
      </c>
      <c r="D752" s="148">
        <f t="shared" ca="1" si="28"/>
        <v>35.299999999999997</v>
      </c>
      <c r="E752" s="148">
        <f t="shared" ca="1" si="29"/>
        <v>0</v>
      </c>
    </row>
    <row r="753" spans="2:5" x14ac:dyDescent="0.25">
      <c r="B753" s="8">
        <v>38347</v>
      </c>
      <c r="C753" s="6">
        <f ca="1">IF(OR($C$7="",$B753&gt;NOW()),"",IF(INDEX(Data!$A:$G,MATCH($B753,Data!$A:$A,0),MATCH($C$7,Data!$4:$4,0))="","",INDEX(Data!$A:$G,MATCH($B753,Data!$A:$A,0),MATCH($C$7,Data!$4:$4,0))))</f>
        <v>27.7</v>
      </c>
      <c r="D753" s="148">
        <f t="shared" ca="1" si="28"/>
        <v>37.299999999999997</v>
      </c>
      <c r="E753" s="148">
        <f t="shared" ca="1" si="29"/>
        <v>0</v>
      </c>
    </row>
    <row r="754" spans="2:5" x14ac:dyDescent="0.25">
      <c r="B754" s="8">
        <v>38348</v>
      </c>
      <c r="C754" s="6">
        <f ca="1">IF(OR($C$7="",$B754&gt;NOW()),"",IF(INDEX(Data!$A:$G,MATCH($B754,Data!$A:$A,0),MATCH($C$7,Data!$4:$4,0))="","",INDEX(Data!$A:$G,MATCH($B754,Data!$A:$A,0),MATCH($C$7,Data!$4:$4,0))))</f>
        <v>25.5</v>
      </c>
      <c r="D754" s="148">
        <f t="shared" ca="1" si="28"/>
        <v>39.5</v>
      </c>
      <c r="E754" s="148">
        <f t="shared" ca="1" si="29"/>
        <v>0</v>
      </c>
    </row>
    <row r="755" spans="2:5" x14ac:dyDescent="0.25">
      <c r="B755" s="8">
        <v>38349</v>
      </c>
      <c r="C755" s="6">
        <f ca="1">IF(OR($C$7="",$B755&gt;NOW()),"",IF(INDEX(Data!$A:$G,MATCH($B755,Data!$A:$A,0),MATCH($C$7,Data!$4:$4,0))="","",INDEX(Data!$A:$G,MATCH($B755,Data!$A:$A,0),MATCH($C$7,Data!$4:$4,0))))</f>
        <v>21.9</v>
      </c>
      <c r="D755" s="148">
        <f t="shared" ca="1" si="28"/>
        <v>43.1</v>
      </c>
      <c r="E755" s="148">
        <f t="shared" ca="1" si="29"/>
        <v>0</v>
      </c>
    </row>
    <row r="756" spans="2:5" x14ac:dyDescent="0.25">
      <c r="B756" s="8">
        <v>38350</v>
      </c>
      <c r="C756" s="6">
        <f ca="1">IF(OR($C$7="",$B756&gt;NOW()),"",IF(INDEX(Data!$A:$G,MATCH($B756,Data!$A:$A,0),MATCH($C$7,Data!$4:$4,0))="","",INDEX(Data!$A:$G,MATCH($B756,Data!$A:$A,0),MATCH($C$7,Data!$4:$4,0))))</f>
        <v>36</v>
      </c>
      <c r="D756" s="148">
        <f t="shared" ca="1" si="28"/>
        <v>29</v>
      </c>
      <c r="E756" s="148">
        <f t="shared" ca="1" si="29"/>
        <v>0</v>
      </c>
    </row>
    <row r="757" spans="2:5" x14ac:dyDescent="0.25">
      <c r="B757" s="8">
        <v>38351</v>
      </c>
      <c r="C757" s="6">
        <f ca="1">IF(OR($C$7="",$B757&gt;NOW()),"",IF(INDEX(Data!$A:$G,MATCH($B757,Data!$A:$A,0),MATCH($C$7,Data!$4:$4,0))="","",INDEX(Data!$A:$G,MATCH($B757,Data!$A:$A,0),MATCH($C$7,Data!$4:$4,0))))</f>
        <v>42.2</v>
      </c>
      <c r="D757" s="148">
        <f t="shared" ca="1" si="28"/>
        <v>22.799999999999997</v>
      </c>
      <c r="E757" s="148">
        <f t="shared" ca="1" si="29"/>
        <v>0</v>
      </c>
    </row>
    <row r="758" spans="2:5" x14ac:dyDescent="0.25">
      <c r="B758" s="8">
        <v>38352</v>
      </c>
      <c r="C758" s="6">
        <f ca="1">IF(OR($C$7="",$B758&gt;NOW()),"",IF(INDEX(Data!$A:$G,MATCH($B758,Data!$A:$A,0),MATCH($C$7,Data!$4:$4,0))="","",INDEX(Data!$A:$G,MATCH($B758,Data!$A:$A,0),MATCH($C$7,Data!$4:$4,0))))</f>
        <v>43.5</v>
      </c>
      <c r="D758" s="148">
        <f t="shared" ca="1" si="28"/>
        <v>21.5</v>
      </c>
      <c r="E758" s="148">
        <f t="shared" ca="1" si="29"/>
        <v>0</v>
      </c>
    </row>
    <row r="759" spans="2:5" x14ac:dyDescent="0.25">
      <c r="B759" s="8">
        <v>38353</v>
      </c>
      <c r="C759" s="6">
        <f ca="1">IF(OR($C$7="",$B759&gt;NOW()),"",IF(INDEX(Data!$A:$G,MATCH($B759,Data!$A:$A,0),MATCH($C$7,Data!$4:$4,0))="","",INDEX(Data!$A:$G,MATCH($B759,Data!$A:$A,0),MATCH($C$7,Data!$4:$4,0))))</f>
        <v>51.6</v>
      </c>
      <c r="D759" s="148">
        <f t="shared" ca="1" si="28"/>
        <v>13.399999999999999</v>
      </c>
      <c r="E759" s="148">
        <f t="shared" ca="1" si="29"/>
        <v>0</v>
      </c>
    </row>
    <row r="760" spans="2:5" x14ac:dyDescent="0.25">
      <c r="B760" s="8">
        <v>38354</v>
      </c>
      <c r="C760" s="6">
        <f ca="1">IF(OR($C$7="",$B760&gt;NOW()),"",IF(INDEX(Data!$A:$G,MATCH($B760,Data!$A:$A,0),MATCH($C$7,Data!$4:$4,0))="","",INDEX(Data!$A:$G,MATCH($B760,Data!$A:$A,0),MATCH($C$7,Data!$4:$4,0))))</f>
        <v>40</v>
      </c>
      <c r="D760" s="148">
        <f t="shared" ca="1" si="28"/>
        <v>25</v>
      </c>
      <c r="E760" s="148">
        <f t="shared" ca="1" si="29"/>
        <v>0</v>
      </c>
    </row>
    <row r="761" spans="2:5" x14ac:dyDescent="0.25">
      <c r="B761" s="8">
        <v>38355</v>
      </c>
      <c r="C761" s="6">
        <f ca="1">IF(OR($C$7="",$B761&gt;NOW()),"",IF(INDEX(Data!$A:$G,MATCH($B761,Data!$A:$A,0),MATCH($C$7,Data!$4:$4,0))="","",INDEX(Data!$A:$G,MATCH($B761,Data!$A:$A,0),MATCH($C$7,Data!$4:$4,0))))</f>
        <v>50</v>
      </c>
      <c r="D761" s="148">
        <f t="shared" ca="1" si="28"/>
        <v>15</v>
      </c>
      <c r="E761" s="148">
        <f t="shared" ca="1" si="29"/>
        <v>0</v>
      </c>
    </row>
    <row r="762" spans="2:5" x14ac:dyDescent="0.25">
      <c r="B762" s="8">
        <v>38356</v>
      </c>
      <c r="C762" s="6">
        <f ca="1">IF(OR($C$7="",$B762&gt;NOW()),"",IF(INDEX(Data!$A:$G,MATCH($B762,Data!$A:$A,0),MATCH($C$7,Data!$4:$4,0))="","",INDEX(Data!$A:$G,MATCH($B762,Data!$A:$A,0),MATCH($C$7,Data!$4:$4,0))))</f>
        <v>46.8</v>
      </c>
      <c r="D762" s="148">
        <f t="shared" ca="1" si="28"/>
        <v>18.200000000000003</v>
      </c>
      <c r="E762" s="148">
        <f t="shared" ca="1" si="29"/>
        <v>0</v>
      </c>
    </row>
    <row r="763" spans="2:5" x14ac:dyDescent="0.25">
      <c r="B763" s="8">
        <v>38357</v>
      </c>
      <c r="C763" s="6">
        <f ca="1">IF(OR($C$7="",$B763&gt;NOW()),"",IF(INDEX(Data!$A:$G,MATCH($B763,Data!$A:$A,0),MATCH($C$7,Data!$4:$4,0))="","",INDEX(Data!$A:$G,MATCH($B763,Data!$A:$A,0),MATCH($C$7,Data!$4:$4,0))))</f>
        <v>41.2</v>
      </c>
      <c r="D763" s="148">
        <f t="shared" ca="1" si="28"/>
        <v>23.799999999999997</v>
      </c>
      <c r="E763" s="148">
        <f t="shared" ca="1" si="29"/>
        <v>0</v>
      </c>
    </row>
    <row r="764" spans="2:5" x14ac:dyDescent="0.25">
      <c r="B764" s="8">
        <v>38358</v>
      </c>
      <c r="C764" s="6">
        <f ca="1">IF(OR($C$7="",$B764&gt;NOW()),"",IF(INDEX(Data!$A:$G,MATCH($B764,Data!$A:$A,0),MATCH($C$7,Data!$4:$4,0))="","",INDEX(Data!$A:$G,MATCH($B764,Data!$A:$A,0),MATCH($C$7,Data!$4:$4,0))))</f>
        <v>35.299999999999997</v>
      </c>
      <c r="D764" s="148">
        <f t="shared" ca="1" si="28"/>
        <v>29.700000000000003</v>
      </c>
      <c r="E764" s="148">
        <f t="shared" ca="1" si="29"/>
        <v>0</v>
      </c>
    </row>
    <row r="765" spans="2:5" x14ac:dyDescent="0.25">
      <c r="B765" s="8">
        <v>38359</v>
      </c>
      <c r="C765" s="6">
        <f ca="1">IF(OR($C$7="",$B765&gt;NOW()),"",IF(INDEX(Data!$A:$G,MATCH($B765,Data!$A:$A,0),MATCH($C$7,Data!$4:$4,0))="","",INDEX(Data!$A:$G,MATCH($B765,Data!$A:$A,0),MATCH($C$7,Data!$4:$4,0))))</f>
        <v>37.9</v>
      </c>
      <c r="D765" s="148">
        <f t="shared" ca="1" si="28"/>
        <v>27.1</v>
      </c>
      <c r="E765" s="148">
        <f t="shared" ca="1" si="29"/>
        <v>0</v>
      </c>
    </row>
    <row r="766" spans="2:5" x14ac:dyDescent="0.25">
      <c r="B766" s="8">
        <v>38360</v>
      </c>
      <c r="C766" s="6">
        <f ca="1">IF(OR($C$7="",$B766&gt;NOW()),"",IF(INDEX(Data!$A:$G,MATCH($B766,Data!$A:$A,0),MATCH($C$7,Data!$4:$4,0))="","",INDEX(Data!$A:$G,MATCH($B766,Data!$A:$A,0),MATCH($C$7,Data!$4:$4,0))))</f>
        <v>36.700000000000003</v>
      </c>
      <c r="D766" s="148">
        <f t="shared" ca="1" si="28"/>
        <v>28.299999999999997</v>
      </c>
      <c r="E766" s="148">
        <f t="shared" ca="1" si="29"/>
        <v>0</v>
      </c>
    </row>
    <row r="767" spans="2:5" x14ac:dyDescent="0.25">
      <c r="B767" s="8">
        <v>38361</v>
      </c>
      <c r="C767" s="6">
        <f ca="1">IF(OR($C$7="",$B767&gt;NOW()),"",IF(INDEX(Data!$A:$G,MATCH($B767,Data!$A:$A,0),MATCH($C$7,Data!$4:$4,0))="","",INDEX(Data!$A:$G,MATCH($B767,Data!$A:$A,0),MATCH($C$7,Data!$4:$4,0))))</f>
        <v>35.700000000000003</v>
      </c>
      <c r="D767" s="148">
        <f t="shared" ca="1" si="28"/>
        <v>29.299999999999997</v>
      </c>
      <c r="E767" s="148">
        <f t="shared" ca="1" si="29"/>
        <v>0</v>
      </c>
    </row>
    <row r="768" spans="2:5" x14ac:dyDescent="0.25">
      <c r="B768" s="8">
        <v>38362</v>
      </c>
      <c r="C768" s="6">
        <f ca="1">IF(OR($C$7="",$B768&gt;NOW()),"",IF(INDEX(Data!$A:$G,MATCH($B768,Data!$A:$A,0),MATCH($C$7,Data!$4:$4,0))="","",INDEX(Data!$A:$G,MATCH($B768,Data!$A:$A,0),MATCH($C$7,Data!$4:$4,0))))</f>
        <v>40.6</v>
      </c>
      <c r="D768" s="148">
        <f t="shared" ca="1" si="28"/>
        <v>24.4</v>
      </c>
      <c r="E768" s="148">
        <f t="shared" ca="1" si="29"/>
        <v>0</v>
      </c>
    </row>
    <row r="769" spans="2:5" x14ac:dyDescent="0.25">
      <c r="B769" s="8">
        <v>38363</v>
      </c>
      <c r="C769" s="6">
        <f ca="1">IF(OR($C$7="",$B769&gt;NOW()),"",IF(INDEX(Data!$A:$G,MATCH($B769,Data!$A:$A,0),MATCH($C$7,Data!$4:$4,0))="","",INDEX(Data!$A:$G,MATCH($B769,Data!$A:$A,0),MATCH($C$7,Data!$4:$4,0))))</f>
        <v>38.299999999999997</v>
      </c>
      <c r="D769" s="148">
        <f t="shared" ca="1" si="28"/>
        <v>26.700000000000003</v>
      </c>
      <c r="E769" s="148">
        <f t="shared" ca="1" si="29"/>
        <v>0</v>
      </c>
    </row>
    <row r="770" spans="2:5" x14ac:dyDescent="0.25">
      <c r="B770" s="8">
        <v>38364</v>
      </c>
      <c r="C770" s="6">
        <f ca="1">IF(OR($C$7="",$B770&gt;NOW()),"",IF(INDEX(Data!$A:$G,MATCH($B770,Data!$A:$A,0),MATCH($C$7,Data!$4:$4,0))="","",INDEX(Data!$A:$G,MATCH($B770,Data!$A:$A,0),MATCH($C$7,Data!$4:$4,0))))</f>
        <v>37.1</v>
      </c>
      <c r="D770" s="148">
        <f t="shared" ca="1" si="28"/>
        <v>27.9</v>
      </c>
      <c r="E770" s="148">
        <f t="shared" ca="1" si="29"/>
        <v>0</v>
      </c>
    </row>
    <row r="771" spans="2:5" x14ac:dyDescent="0.25">
      <c r="B771" s="8">
        <v>38365</v>
      </c>
      <c r="C771" s="6">
        <f ca="1">IF(OR($C$7="",$B771&gt;NOW()),"",IF(INDEX(Data!$A:$G,MATCH($B771,Data!$A:$A,0),MATCH($C$7,Data!$4:$4,0))="","",INDEX(Data!$A:$G,MATCH($B771,Data!$A:$A,0),MATCH($C$7,Data!$4:$4,0))))</f>
        <v>40.6</v>
      </c>
      <c r="D771" s="148">
        <f t="shared" ca="1" si="28"/>
        <v>24.4</v>
      </c>
      <c r="E771" s="148">
        <f t="shared" ca="1" si="29"/>
        <v>0</v>
      </c>
    </row>
    <row r="772" spans="2:5" x14ac:dyDescent="0.25">
      <c r="B772" s="8">
        <v>38366</v>
      </c>
      <c r="C772" s="6">
        <f ca="1">IF(OR($C$7="",$B772&gt;NOW()),"",IF(INDEX(Data!$A:$G,MATCH($B772,Data!$A:$A,0),MATCH($C$7,Data!$4:$4,0))="","",INDEX(Data!$A:$G,MATCH($B772,Data!$A:$A,0),MATCH($C$7,Data!$4:$4,0))))</f>
        <v>49.4</v>
      </c>
      <c r="D772" s="148">
        <f t="shared" ca="1" si="28"/>
        <v>15.600000000000001</v>
      </c>
      <c r="E772" s="148">
        <f t="shared" ca="1" si="29"/>
        <v>0</v>
      </c>
    </row>
    <row r="773" spans="2:5" x14ac:dyDescent="0.25">
      <c r="B773" s="8">
        <v>38367</v>
      </c>
      <c r="C773" s="6">
        <f ca="1">IF(OR($C$7="",$B773&gt;NOW()),"",IF(INDEX(Data!$A:$G,MATCH($B773,Data!$A:$A,0),MATCH($C$7,Data!$4:$4,0))="","",INDEX(Data!$A:$G,MATCH($B773,Data!$A:$A,0),MATCH($C$7,Data!$4:$4,0))))</f>
        <v>31.1</v>
      </c>
      <c r="D773" s="148">
        <f t="shared" ca="1" si="28"/>
        <v>33.9</v>
      </c>
      <c r="E773" s="148">
        <f t="shared" ca="1" si="29"/>
        <v>0</v>
      </c>
    </row>
    <row r="774" spans="2:5" x14ac:dyDescent="0.25">
      <c r="B774" s="8">
        <v>38368</v>
      </c>
      <c r="C774" s="6">
        <f ca="1">IF(OR($C$7="",$B774&gt;NOW()),"",IF(INDEX(Data!$A:$G,MATCH($B774,Data!$A:$A,0),MATCH($C$7,Data!$4:$4,0))="","",INDEX(Data!$A:$G,MATCH($B774,Data!$A:$A,0),MATCH($C$7,Data!$4:$4,0))))</f>
        <v>28.8</v>
      </c>
      <c r="D774" s="148">
        <f t="shared" ca="1" si="28"/>
        <v>36.200000000000003</v>
      </c>
      <c r="E774" s="148">
        <f t="shared" ca="1" si="29"/>
        <v>0</v>
      </c>
    </row>
    <row r="775" spans="2:5" x14ac:dyDescent="0.25">
      <c r="B775" s="8">
        <v>38369</v>
      </c>
      <c r="C775" s="6">
        <f ca="1">IF(OR($C$7="",$B775&gt;NOW()),"",IF(INDEX(Data!$A:$G,MATCH($B775,Data!$A:$A,0),MATCH($C$7,Data!$4:$4,0))="","",INDEX(Data!$A:$G,MATCH($B775,Data!$A:$A,0),MATCH($C$7,Data!$4:$4,0))))</f>
        <v>26.1</v>
      </c>
      <c r="D775" s="148">
        <f t="shared" ca="1" si="28"/>
        <v>38.9</v>
      </c>
      <c r="E775" s="148">
        <f t="shared" ca="1" si="29"/>
        <v>0</v>
      </c>
    </row>
    <row r="776" spans="2:5" x14ac:dyDescent="0.25">
      <c r="B776" s="8">
        <v>38370</v>
      </c>
      <c r="C776" s="6">
        <f ca="1">IF(OR($C$7="",$B776&gt;NOW()),"",IF(INDEX(Data!$A:$G,MATCH($B776,Data!$A:$A,0),MATCH($C$7,Data!$4:$4,0))="","",INDEX(Data!$A:$G,MATCH($B776,Data!$A:$A,0),MATCH($C$7,Data!$4:$4,0))))</f>
        <v>16</v>
      </c>
      <c r="D776" s="148">
        <f t="shared" ca="1" si="28"/>
        <v>49</v>
      </c>
      <c r="E776" s="148">
        <f t="shared" ca="1" si="29"/>
        <v>0</v>
      </c>
    </row>
    <row r="777" spans="2:5" x14ac:dyDescent="0.25">
      <c r="B777" s="8">
        <v>38371</v>
      </c>
      <c r="C777" s="6">
        <f ca="1">IF(OR($C$7="",$B777&gt;NOW()),"",IF(INDEX(Data!$A:$G,MATCH($B777,Data!$A:$A,0),MATCH($C$7,Data!$4:$4,0))="","",INDEX(Data!$A:$G,MATCH($B777,Data!$A:$A,0),MATCH($C$7,Data!$4:$4,0))))</f>
        <v>14.8</v>
      </c>
      <c r="D777" s="148">
        <f t="shared" ca="1" si="28"/>
        <v>50.2</v>
      </c>
      <c r="E777" s="148">
        <f t="shared" ca="1" si="29"/>
        <v>0</v>
      </c>
    </row>
    <row r="778" spans="2:5" x14ac:dyDescent="0.25">
      <c r="B778" s="8">
        <v>38372</v>
      </c>
      <c r="C778" s="6">
        <f ca="1">IF(OR($C$7="",$B778&gt;NOW()),"",IF(INDEX(Data!$A:$G,MATCH($B778,Data!$A:$A,0),MATCH($C$7,Data!$4:$4,0))="","",INDEX(Data!$A:$G,MATCH($B778,Data!$A:$A,0),MATCH($C$7,Data!$4:$4,0))))</f>
        <v>26</v>
      </c>
      <c r="D778" s="148">
        <f t="shared" ca="1" si="28"/>
        <v>39</v>
      </c>
      <c r="E778" s="148">
        <f t="shared" ca="1" si="29"/>
        <v>0</v>
      </c>
    </row>
    <row r="779" spans="2:5" x14ac:dyDescent="0.25">
      <c r="B779" s="8">
        <v>38373</v>
      </c>
      <c r="C779" s="6">
        <f ca="1">IF(OR($C$7="",$B779&gt;NOW()),"",IF(INDEX(Data!$A:$G,MATCH($B779,Data!$A:$A,0),MATCH($C$7,Data!$4:$4,0))="","",INDEX(Data!$A:$G,MATCH($B779,Data!$A:$A,0),MATCH($C$7,Data!$4:$4,0))))</f>
        <v>17.5</v>
      </c>
      <c r="D779" s="148">
        <f t="shared" ca="1" si="28"/>
        <v>47.5</v>
      </c>
      <c r="E779" s="148">
        <f t="shared" ca="1" si="29"/>
        <v>0</v>
      </c>
    </row>
    <row r="780" spans="2:5" x14ac:dyDescent="0.25">
      <c r="B780" s="8">
        <v>38374</v>
      </c>
      <c r="C780" s="6">
        <f ca="1">IF(OR($C$7="",$B780&gt;NOW()),"",IF(INDEX(Data!$A:$G,MATCH($B780,Data!$A:$A,0),MATCH($C$7,Data!$4:$4,0))="","",INDEX(Data!$A:$G,MATCH($B780,Data!$A:$A,0),MATCH($C$7,Data!$4:$4,0))))</f>
        <v>12.3</v>
      </c>
      <c r="D780" s="148">
        <f t="shared" ca="1" si="28"/>
        <v>52.7</v>
      </c>
      <c r="E780" s="148">
        <f t="shared" ca="1" si="29"/>
        <v>0</v>
      </c>
    </row>
    <row r="781" spans="2:5" x14ac:dyDescent="0.25">
      <c r="B781" s="8">
        <v>38375</v>
      </c>
      <c r="C781" s="6">
        <f ca="1">IF(OR($C$7="",$B781&gt;NOW()),"",IF(INDEX(Data!$A:$G,MATCH($B781,Data!$A:$A,0),MATCH($C$7,Data!$4:$4,0))="","",INDEX(Data!$A:$G,MATCH($B781,Data!$A:$A,0),MATCH($C$7,Data!$4:$4,0))))</f>
        <v>20.9</v>
      </c>
      <c r="D781" s="148">
        <f t="shared" ca="1" si="28"/>
        <v>44.1</v>
      </c>
      <c r="E781" s="148">
        <f t="shared" ca="1" si="29"/>
        <v>0</v>
      </c>
    </row>
    <row r="782" spans="2:5" x14ac:dyDescent="0.25">
      <c r="B782" s="8">
        <v>38376</v>
      </c>
      <c r="C782" s="6">
        <f ca="1">IF(OR($C$7="",$B782&gt;NOW()),"",IF(INDEX(Data!$A:$G,MATCH($B782,Data!$A:$A,0),MATCH($C$7,Data!$4:$4,0))="","",INDEX(Data!$A:$G,MATCH($B782,Data!$A:$A,0),MATCH($C$7,Data!$4:$4,0))))</f>
        <v>14.6</v>
      </c>
      <c r="D782" s="148">
        <f t="shared" ca="1" si="28"/>
        <v>50.4</v>
      </c>
      <c r="E782" s="148">
        <f t="shared" ca="1" si="29"/>
        <v>0</v>
      </c>
    </row>
    <row r="783" spans="2:5" x14ac:dyDescent="0.25">
      <c r="B783" s="8">
        <v>38377</v>
      </c>
      <c r="C783" s="6">
        <f ca="1">IF(OR($C$7="",$B783&gt;NOW()),"",IF(INDEX(Data!$A:$G,MATCH($B783,Data!$A:$A,0),MATCH($C$7,Data!$4:$4,0))="","",INDEX(Data!$A:$G,MATCH($B783,Data!$A:$A,0),MATCH($C$7,Data!$4:$4,0))))</f>
        <v>25</v>
      </c>
      <c r="D783" s="148">
        <f t="shared" ca="1" si="28"/>
        <v>40</v>
      </c>
      <c r="E783" s="148">
        <f t="shared" ca="1" si="29"/>
        <v>0</v>
      </c>
    </row>
    <row r="784" spans="2:5" x14ac:dyDescent="0.25">
      <c r="B784" s="8">
        <v>38378</v>
      </c>
      <c r="C784" s="6">
        <f ca="1">IF(OR($C$7="",$B784&gt;NOW()),"",IF(INDEX(Data!$A:$G,MATCH($B784,Data!$A:$A,0),MATCH($C$7,Data!$4:$4,0))="","",INDEX(Data!$A:$G,MATCH($B784,Data!$A:$A,0),MATCH($C$7,Data!$4:$4,0))))</f>
        <v>32.5</v>
      </c>
      <c r="D784" s="148">
        <f t="shared" ca="1" si="28"/>
        <v>32.5</v>
      </c>
      <c r="E784" s="148">
        <f t="shared" ca="1" si="29"/>
        <v>0</v>
      </c>
    </row>
    <row r="785" spans="2:5" x14ac:dyDescent="0.25">
      <c r="B785" s="8">
        <v>38379</v>
      </c>
      <c r="C785" s="6">
        <f ca="1">IF(OR($C$7="",$B785&gt;NOW()),"",IF(INDEX(Data!$A:$G,MATCH($B785,Data!$A:$A,0),MATCH($C$7,Data!$4:$4,0))="","",INDEX(Data!$A:$G,MATCH($B785,Data!$A:$A,0),MATCH($C$7,Data!$4:$4,0))))</f>
        <v>15.7</v>
      </c>
      <c r="D785" s="148">
        <f t="shared" ca="1" si="28"/>
        <v>49.3</v>
      </c>
      <c r="E785" s="148">
        <f t="shared" ca="1" si="29"/>
        <v>0</v>
      </c>
    </row>
    <row r="786" spans="2:5" x14ac:dyDescent="0.25">
      <c r="B786" s="8">
        <v>38380</v>
      </c>
      <c r="C786" s="6">
        <f ca="1">IF(OR($C$7="",$B786&gt;NOW()),"",IF(INDEX(Data!$A:$G,MATCH($B786,Data!$A:$A,0),MATCH($C$7,Data!$4:$4,0))="","",INDEX(Data!$A:$G,MATCH($B786,Data!$A:$A,0),MATCH($C$7,Data!$4:$4,0))))</f>
        <v>13.4</v>
      </c>
      <c r="D786" s="148">
        <f t="shared" ca="1" si="28"/>
        <v>51.6</v>
      </c>
      <c r="E786" s="148">
        <f t="shared" ca="1" si="29"/>
        <v>0</v>
      </c>
    </row>
    <row r="787" spans="2:5" x14ac:dyDescent="0.25">
      <c r="B787" s="8">
        <v>38381</v>
      </c>
      <c r="C787" s="6">
        <f ca="1">IF(OR($C$7="",$B787&gt;NOW()),"",IF(INDEX(Data!$A:$G,MATCH($B787,Data!$A:$A,0),MATCH($C$7,Data!$4:$4,0))="","",INDEX(Data!$A:$G,MATCH($B787,Data!$A:$A,0),MATCH($C$7,Data!$4:$4,0))))</f>
        <v>24.2</v>
      </c>
      <c r="D787" s="148">
        <f t="shared" ca="1" si="28"/>
        <v>40.799999999999997</v>
      </c>
      <c r="E787" s="148">
        <f t="shared" ca="1" si="29"/>
        <v>0</v>
      </c>
    </row>
    <row r="788" spans="2:5" x14ac:dyDescent="0.25">
      <c r="B788" s="8">
        <v>38382</v>
      </c>
      <c r="C788" s="6">
        <f ca="1">IF(OR($C$7="",$B788&gt;NOW()),"",IF(INDEX(Data!$A:$G,MATCH($B788,Data!$A:$A,0),MATCH($C$7,Data!$4:$4,0))="","",INDEX(Data!$A:$G,MATCH($B788,Data!$A:$A,0),MATCH($C$7,Data!$4:$4,0))))</f>
        <v>30.7</v>
      </c>
      <c r="D788" s="148">
        <f t="shared" ca="1" si="28"/>
        <v>34.299999999999997</v>
      </c>
      <c r="E788" s="148">
        <f t="shared" ca="1" si="29"/>
        <v>0</v>
      </c>
    </row>
    <row r="789" spans="2:5" x14ac:dyDescent="0.25">
      <c r="B789" s="8">
        <v>38383</v>
      </c>
      <c r="C789" s="6">
        <f ca="1">IF(OR($C$7="",$B789&gt;NOW()),"",IF(INDEX(Data!$A:$G,MATCH($B789,Data!$A:$A,0),MATCH($C$7,Data!$4:$4,0))="","",INDEX(Data!$A:$G,MATCH($B789,Data!$A:$A,0),MATCH($C$7,Data!$4:$4,0))))</f>
        <v>30.3</v>
      </c>
      <c r="D789" s="148">
        <f t="shared" ca="1" si="28"/>
        <v>34.700000000000003</v>
      </c>
      <c r="E789" s="148">
        <f t="shared" ca="1" si="29"/>
        <v>0</v>
      </c>
    </row>
    <row r="790" spans="2:5" x14ac:dyDescent="0.25">
      <c r="B790" s="8">
        <v>38384</v>
      </c>
      <c r="C790" s="6">
        <f ca="1">IF(OR($C$7="",$B790&gt;NOW()),"",IF(INDEX(Data!$A:$G,MATCH($B790,Data!$A:$A,0),MATCH($C$7,Data!$4:$4,0))="","",INDEX(Data!$A:$G,MATCH($B790,Data!$A:$A,0),MATCH($C$7,Data!$4:$4,0))))</f>
        <v>30.5</v>
      </c>
      <c r="D790" s="148">
        <f t="shared" ca="1" si="28"/>
        <v>34.5</v>
      </c>
      <c r="E790" s="148">
        <f t="shared" ca="1" si="29"/>
        <v>0</v>
      </c>
    </row>
    <row r="791" spans="2:5" x14ac:dyDescent="0.25">
      <c r="B791" s="8">
        <v>38385</v>
      </c>
      <c r="C791" s="6">
        <f ca="1">IF(OR($C$7="",$B791&gt;NOW()),"",IF(INDEX(Data!$A:$G,MATCH($B791,Data!$A:$A,0),MATCH($C$7,Data!$4:$4,0))="","",INDEX(Data!$A:$G,MATCH($B791,Data!$A:$A,0),MATCH($C$7,Data!$4:$4,0))))</f>
        <v>31.9</v>
      </c>
      <c r="D791" s="148">
        <f t="shared" ca="1" si="28"/>
        <v>33.1</v>
      </c>
      <c r="E791" s="148">
        <f t="shared" ca="1" si="29"/>
        <v>0</v>
      </c>
    </row>
    <row r="792" spans="2:5" x14ac:dyDescent="0.25">
      <c r="B792" s="8">
        <v>38386</v>
      </c>
      <c r="C792" s="6">
        <f ca="1">IF(OR($C$7="",$B792&gt;NOW()),"",IF(INDEX(Data!$A:$G,MATCH($B792,Data!$A:$A,0),MATCH($C$7,Data!$4:$4,0))="","",INDEX(Data!$A:$G,MATCH($B792,Data!$A:$A,0),MATCH($C$7,Data!$4:$4,0))))</f>
        <v>33.200000000000003</v>
      </c>
      <c r="D792" s="148">
        <f t="shared" ca="1" si="28"/>
        <v>31.799999999999997</v>
      </c>
      <c r="E792" s="148">
        <f t="shared" ca="1" si="29"/>
        <v>0</v>
      </c>
    </row>
    <row r="793" spans="2:5" x14ac:dyDescent="0.25">
      <c r="B793" s="8">
        <v>38387</v>
      </c>
      <c r="C793" s="6">
        <f ca="1">IF(OR($C$7="",$B793&gt;NOW()),"",IF(INDEX(Data!$A:$G,MATCH($B793,Data!$A:$A,0),MATCH($C$7,Data!$4:$4,0))="","",INDEX(Data!$A:$G,MATCH($B793,Data!$A:$A,0),MATCH($C$7,Data!$4:$4,0))))</f>
        <v>37.5</v>
      </c>
      <c r="D793" s="148">
        <f t="shared" ca="1" si="28"/>
        <v>27.5</v>
      </c>
      <c r="E793" s="148">
        <f t="shared" ca="1" si="29"/>
        <v>0</v>
      </c>
    </row>
    <row r="794" spans="2:5" x14ac:dyDescent="0.25">
      <c r="B794" s="8">
        <v>38388</v>
      </c>
      <c r="C794" s="6">
        <f ca="1">IF(OR($C$7="",$B794&gt;NOW()),"",IF(INDEX(Data!$A:$G,MATCH($B794,Data!$A:$A,0),MATCH($C$7,Data!$4:$4,0))="","",INDEX(Data!$A:$G,MATCH($B794,Data!$A:$A,0),MATCH($C$7,Data!$4:$4,0))))</f>
        <v>43.1</v>
      </c>
      <c r="D794" s="148">
        <f t="shared" ca="1" si="28"/>
        <v>21.9</v>
      </c>
      <c r="E794" s="148">
        <f t="shared" ca="1" si="29"/>
        <v>0</v>
      </c>
    </row>
    <row r="795" spans="2:5" x14ac:dyDescent="0.25">
      <c r="B795" s="8">
        <v>38389</v>
      </c>
      <c r="C795" s="6">
        <f ca="1">IF(OR($C$7="",$B795&gt;NOW()),"",IF(INDEX(Data!$A:$G,MATCH($B795,Data!$A:$A,0),MATCH($C$7,Data!$4:$4,0))="","",INDEX(Data!$A:$G,MATCH($B795,Data!$A:$A,0),MATCH($C$7,Data!$4:$4,0))))</f>
        <v>42.5</v>
      </c>
      <c r="D795" s="148">
        <f t="shared" ca="1" si="28"/>
        <v>22.5</v>
      </c>
      <c r="E795" s="148">
        <f t="shared" ca="1" si="29"/>
        <v>0</v>
      </c>
    </row>
    <row r="796" spans="2:5" x14ac:dyDescent="0.25">
      <c r="B796" s="8">
        <v>38390</v>
      </c>
      <c r="C796" s="6">
        <f ca="1">IF(OR($C$7="",$B796&gt;NOW()),"",IF(INDEX(Data!$A:$G,MATCH($B796,Data!$A:$A,0),MATCH($C$7,Data!$4:$4,0))="","",INDEX(Data!$A:$G,MATCH($B796,Data!$A:$A,0),MATCH($C$7,Data!$4:$4,0))))</f>
        <v>40.200000000000003</v>
      </c>
      <c r="D796" s="148">
        <f t="shared" ca="1" si="28"/>
        <v>24.799999999999997</v>
      </c>
      <c r="E796" s="148">
        <f t="shared" ca="1" si="29"/>
        <v>0</v>
      </c>
    </row>
    <row r="797" spans="2:5" x14ac:dyDescent="0.25">
      <c r="B797" s="8">
        <v>38391</v>
      </c>
      <c r="C797" s="6">
        <f ca="1">IF(OR($C$7="",$B797&gt;NOW()),"",IF(INDEX(Data!$A:$G,MATCH($B797,Data!$A:$A,0),MATCH($C$7,Data!$4:$4,0))="","",INDEX(Data!$A:$G,MATCH($B797,Data!$A:$A,0),MATCH($C$7,Data!$4:$4,0))))</f>
        <v>42.2</v>
      </c>
      <c r="D797" s="148">
        <f t="shared" ref="D797:D860" ca="1" si="30">IF($C797="","",IF($C797&gt;$D$26,0,$D$26-$C797))</f>
        <v>22.799999999999997</v>
      </c>
      <c r="E797" s="148">
        <f t="shared" ref="E797:E860" ca="1" si="31">IF($C797="","",IF($C797&lt;$E$26,0,$C797-$E$26))</f>
        <v>0</v>
      </c>
    </row>
    <row r="798" spans="2:5" x14ac:dyDescent="0.25">
      <c r="B798" s="8">
        <v>38392</v>
      </c>
      <c r="C798" s="6">
        <f ca="1">IF(OR($C$7="",$B798&gt;NOW()),"",IF(INDEX(Data!$A:$G,MATCH($B798,Data!$A:$A,0),MATCH($C$7,Data!$4:$4,0))="","",INDEX(Data!$A:$G,MATCH($B798,Data!$A:$A,0),MATCH($C$7,Data!$4:$4,0))))</f>
        <v>47.8</v>
      </c>
      <c r="D798" s="148">
        <f t="shared" ca="1" si="30"/>
        <v>17.200000000000003</v>
      </c>
      <c r="E798" s="148">
        <f t="shared" ca="1" si="31"/>
        <v>0</v>
      </c>
    </row>
    <row r="799" spans="2:5" x14ac:dyDescent="0.25">
      <c r="B799" s="8">
        <v>38393</v>
      </c>
      <c r="C799" s="6">
        <f ca="1">IF(OR($C$7="",$B799&gt;NOW()),"",IF(INDEX(Data!$A:$G,MATCH($B799,Data!$A:$A,0),MATCH($C$7,Data!$4:$4,0))="","",INDEX(Data!$A:$G,MATCH($B799,Data!$A:$A,0),MATCH($C$7,Data!$4:$4,0))))</f>
        <v>40.700000000000003</v>
      </c>
      <c r="D799" s="148">
        <f t="shared" ca="1" si="30"/>
        <v>24.299999999999997</v>
      </c>
      <c r="E799" s="148">
        <f t="shared" ca="1" si="31"/>
        <v>0</v>
      </c>
    </row>
    <row r="800" spans="2:5" x14ac:dyDescent="0.25">
      <c r="B800" s="8">
        <v>38394</v>
      </c>
      <c r="C800" s="6">
        <f ca="1">IF(OR($C$7="",$B800&gt;NOW()),"",IF(INDEX(Data!$A:$G,MATCH($B800,Data!$A:$A,0),MATCH($C$7,Data!$4:$4,0))="","",INDEX(Data!$A:$G,MATCH($B800,Data!$A:$A,0),MATCH($C$7,Data!$4:$4,0))))</f>
        <v>33.200000000000003</v>
      </c>
      <c r="D800" s="148">
        <f t="shared" ca="1" si="30"/>
        <v>31.799999999999997</v>
      </c>
      <c r="E800" s="148">
        <f t="shared" ca="1" si="31"/>
        <v>0</v>
      </c>
    </row>
    <row r="801" spans="2:5" x14ac:dyDescent="0.25">
      <c r="B801" s="8">
        <v>38395</v>
      </c>
      <c r="C801" s="6">
        <f ca="1">IF(OR($C$7="",$B801&gt;NOW()),"",IF(INDEX(Data!$A:$G,MATCH($B801,Data!$A:$A,0),MATCH($C$7,Data!$4:$4,0))="","",INDEX(Data!$A:$G,MATCH($B801,Data!$A:$A,0),MATCH($C$7,Data!$4:$4,0))))</f>
        <v>35.5</v>
      </c>
      <c r="D801" s="148">
        <f t="shared" ca="1" si="30"/>
        <v>29.5</v>
      </c>
      <c r="E801" s="148">
        <f t="shared" ca="1" si="31"/>
        <v>0</v>
      </c>
    </row>
    <row r="802" spans="2:5" x14ac:dyDescent="0.25">
      <c r="B802" s="8">
        <v>38396</v>
      </c>
      <c r="C802" s="6">
        <f ca="1">IF(OR($C$7="",$B802&gt;NOW()),"",IF(INDEX(Data!$A:$G,MATCH($B802,Data!$A:$A,0),MATCH($C$7,Data!$4:$4,0))="","",INDEX(Data!$A:$G,MATCH($B802,Data!$A:$A,0),MATCH($C$7,Data!$4:$4,0))))</f>
        <v>36.700000000000003</v>
      </c>
      <c r="D802" s="148">
        <f t="shared" ca="1" si="30"/>
        <v>28.299999999999997</v>
      </c>
      <c r="E802" s="148">
        <f t="shared" ca="1" si="31"/>
        <v>0</v>
      </c>
    </row>
    <row r="803" spans="2:5" x14ac:dyDescent="0.25">
      <c r="B803" s="8">
        <v>38397</v>
      </c>
      <c r="C803" s="6">
        <f ca="1">IF(OR($C$7="",$B803&gt;NOW()),"",IF(INDEX(Data!$A:$G,MATCH($B803,Data!$A:$A,0),MATCH($C$7,Data!$4:$4,0))="","",INDEX(Data!$A:$G,MATCH($B803,Data!$A:$A,0),MATCH($C$7,Data!$4:$4,0))))</f>
        <v>36.4</v>
      </c>
      <c r="D803" s="148">
        <f t="shared" ca="1" si="30"/>
        <v>28.6</v>
      </c>
      <c r="E803" s="148">
        <f t="shared" ca="1" si="31"/>
        <v>0</v>
      </c>
    </row>
    <row r="804" spans="2:5" x14ac:dyDescent="0.25">
      <c r="B804" s="8">
        <v>38398</v>
      </c>
      <c r="C804" s="6">
        <f ca="1">IF(OR($C$7="",$B804&gt;NOW()),"",IF(INDEX(Data!$A:$G,MATCH($B804,Data!$A:$A,0),MATCH($C$7,Data!$4:$4,0))="","",INDEX(Data!$A:$G,MATCH($B804,Data!$A:$A,0),MATCH($C$7,Data!$4:$4,0))))</f>
        <v>49.2</v>
      </c>
      <c r="D804" s="148">
        <f t="shared" ca="1" si="30"/>
        <v>15.799999999999997</v>
      </c>
      <c r="E804" s="148">
        <f t="shared" ca="1" si="31"/>
        <v>0</v>
      </c>
    </row>
    <row r="805" spans="2:5" x14ac:dyDescent="0.25">
      <c r="B805" s="8">
        <v>38399</v>
      </c>
      <c r="C805" s="6">
        <f ca="1">IF(OR($C$7="",$B805&gt;NOW()),"",IF(INDEX(Data!$A:$G,MATCH($B805,Data!$A:$A,0),MATCH($C$7,Data!$4:$4,0))="","",INDEX(Data!$A:$G,MATCH($B805,Data!$A:$A,0),MATCH($C$7,Data!$4:$4,0))))</f>
        <v>46.5</v>
      </c>
      <c r="D805" s="148">
        <f t="shared" ca="1" si="30"/>
        <v>18.5</v>
      </c>
      <c r="E805" s="148">
        <f t="shared" ca="1" si="31"/>
        <v>0</v>
      </c>
    </row>
    <row r="806" spans="2:5" x14ac:dyDescent="0.25">
      <c r="B806" s="8">
        <v>38400</v>
      </c>
      <c r="C806" s="6">
        <f ca="1">IF(OR($C$7="",$B806&gt;NOW()),"",IF(INDEX(Data!$A:$G,MATCH($B806,Data!$A:$A,0),MATCH($C$7,Data!$4:$4,0))="","",INDEX(Data!$A:$G,MATCH($B806,Data!$A:$A,0),MATCH($C$7,Data!$4:$4,0))))</f>
        <v>35.1</v>
      </c>
      <c r="D806" s="148">
        <f t="shared" ca="1" si="30"/>
        <v>29.9</v>
      </c>
      <c r="E806" s="148">
        <f t="shared" ca="1" si="31"/>
        <v>0</v>
      </c>
    </row>
    <row r="807" spans="2:5" x14ac:dyDescent="0.25">
      <c r="B807" s="8">
        <v>38401</v>
      </c>
      <c r="C807" s="6">
        <f ca="1">IF(OR($C$7="",$B807&gt;NOW()),"",IF(INDEX(Data!$A:$G,MATCH($B807,Data!$A:$A,0),MATCH($C$7,Data!$4:$4,0))="","",INDEX(Data!$A:$G,MATCH($B807,Data!$A:$A,0),MATCH($C$7,Data!$4:$4,0))))</f>
        <v>29.7</v>
      </c>
      <c r="D807" s="148">
        <f t="shared" ca="1" si="30"/>
        <v>35.299999999999997</v>
      </c>
      <c r="E807" s="148">
        <f t="shared" ca="1" si="31"/>
        <v>0</v>
      </c>
    </row>
    <row r="808" spans="2:5" x14ac:dyDescent="0.25">
      <c r="B808" s="8">
        <v>38402</v>
      </c>
      <c r="C808" s="6">
        <f ca="1">IF(OR($C$7="",$B808&gt;NOW()),"",IF(INDEX(Data!$A:$G,MATCH($B808,Data!$A:$A,0),MATCH($C$7,Data!$4:$4,0))="","",INDEX(Data!$A:$G,MATCH($B808,Data!$A:$A,0),MATCH($C$7,Data!$4:$4,0))))</f>
        <v>22.5</v>
      </c>
      <c r="D808" s="148">
        <f t="shared" ca="1" si="30"/>
        <v>42.5</v>
      </c>
      <c r="E808" s="148">
        <f t="shared" ca="1" si="31"/>
        <v>0</v>
      </c>
    </row>
    <row r="809" spans="2:5" x14ac:dyDescent="0.25">
      <c r="B809" s="8">
        <v>38403</v>
      </c>
      <c r="C809" s="6">
        <f ca="1">IF(OR($C$7="",$B809&gt;NOW()),"",IF(INDEX(Data!$A:$G,MATCH($B809,Data!$A:$A,0),MATCH($C$7,Data!$4:$4,0))="","",INDEX(Data!$A:$G,MATCH($B809,Data!$A:$A,0),MATCH($C$7,Data!$4:$4,0))))</f>
        <v>31.5</v>
      </c>
      <c r="D809" s="148">
        <f t="shared" ca="1" si="30"/>
        <v>33.5</v>
      </c>
      <c r="E809" s="148">
        <f t="shared" ca="1" si="31"/>
        <v>0</v>
      </c>
    </row>
    <row r="810" spans="2:5" x14ac:dyDescent="0.25">
      <c r="B810" s="8">
        <v>38404</v>
      </c>
      <c r="C810" s="6">
        <f ca="1">IF(OR($C$7="",$B810&gt;NOW()),"",IF(INDEX(Data!$A:$G,MATCH($B810,Data!$A:$A,0),MATCH($C$7,Data!$4:$4,0))="","",INDEX(Data!$A:$G,MATCH($B810,Data!$A:$A,0),MATCH($C$7,Data!$4:$4,0))))</f>
        <v>32.200000000000003</v>
      </c>
      <c r="D810" s="148">
        <f t="shared" ca="1" si="30"/>
        <v>32.799999999999997</v>
      </c>
      <c r="E810" s="148">
        <f t="shared" ca="1" si="31"/>
        <v>0</v>
      </c>
    </row>
    <row r="811" spans="2:5" x14ac:dyDescent="0.25">
      <c r="B811" s="8">
        <v>38405</v>
      </c>
      <c r="C811" s="6">
        <f ca="1">IF(OR($C$7="",$B811&gt;NOW()),"",IF(INDEX(Data!$A:$G,MATCH($B811,Data!$A:$A,0),MATCH($C$7,Data!$4:$4,0))="","",INDEX(Data!$A:$G,MATCH($B811,Data!$A:$A,0),MATCH($C$7,Data!$4:$4,0))))</f>
        <v>35.299999999999997</v>
      </c>
      <c r="D811" s="148">
        <f t="shared" ca="1" si="30"/>
        <v>29.700000000000003</v>
      </c>
      <c r="E811" s="148">
        <f t="shared" ca="1" si="31"/>
        <v>0</v>
      </c>
    </row>
    <row r="812" spans="2:5" x14ac:dyDescent="0.25">
      <c r="B812" s="8">
        <v>38406</v>
      </c>
      <c r="C812" s="6">
        <f ca="1">IF(OR($C$7="",$B812&gt;NOW()),"",IF(INDEX(Data!$A:$G,MATCH($B812,Data!$A:$A,0),MATCH($C$7,Data!$4:$4,0))="","",INDEX(Data!$A:$G,MATCH($B812,Data!$A:$A,0),MATCH($C$7,Data!$4:$4,0))))</f>
        <v>37</v>
      </c>
      <c r="D812" s="148">
        <f t="shared" ca="1" si="30"/>
        <v>28</v>
      </c>
      <c r="E812" s="148">
        <f t="shared" ca="1" si="31"/>
        <v>0</v>
      </c>
    </row>
    <row r="813" spans="2:5" x14ac:dyDescent="0.25">
      <c r="B813" s="8">
        <v>38407</v>
      </c>
      <c r="C813" s="6">
        <f ca="1">IF(OR($C$7="",$B813&gt;NOW()),"",IF(INDEX(Data!$A:$G,MATCH($B813,Data!$A:$A,0),MATCH($C$7,Data!$4:$4,0))="","",INDEX(Data!$A:$G,MATCH($B813,Data!$A:$A,0),MATCH($C$7,Data!$4:$4,0))))</f>
        <v>28</v>
      </c>
      <c r="D813" s="148">
        <f t="shared" ca="1" si="30"/>
        <v>37</v>
      </c>
      <c r="E813" s="148">
        <f t="shared" ca="1" si="31"/>
        <v>0</v>
      </c>
    </row>
    <row r="814" spans="2:5" x14ac:dyDescent="0.25">
      <c r="B814" s="8">
        <v>38408</v>
      </c>
      <c r="C814" s="6">
        <f ca="1">IF(OR($C$7="",$B814&gt;NOW()),"",IF(INDEX(Data!$A:$G,MATCH($B814,Data!$A:$A,0),MATCH($C$7,Data!$4:$4,0))="","",INDEX(Data!$A:$G,MATCH($B814,Data!$A:$A,0),MATCH($C$7,Data!$4:$4,0))))</f>
        <v>27</v>
      </c>
      <c r="D814" s="148">
        <f t="shared" ca="1" si="30"/>
        <v>38</v>
      </c>
      <c r="E814" s="148">
        <f t="shared" ca="1" si="31"/>
        <v>0</v>
      </c>
    </row>
    <row r="815" spans="2:5" x14ac:dyDescent="0.25">
      <c r="B815" s="8">
        <v>38409</v>
      </c>
      <c r="C815" s="6">
        <f ca="1">IF(OR($C$7="",$B815&gt;NOW()),"",IF(INDEX(Data!$A:$G,MATCH($B815,Data!$A:$A,0),MATCH($C$7,Data!$4:$4,0))="","",INDEX(Data!$A:$G,MATCH($B815,Data!$A:$A,0),MATCH($C$7,Data!$4:$4,0))))</f>
        <v>31.6</v>
      </c>
      <c r="D815" s="148">
        <f t="shared" ca="1" si="30"/>
        <v>33.4</v>
      </c>
      <c r="E815" s="148">
        <f t="shared" ca="1" si="31"/>
        <v>0</v>
      </c>
    </row>
    <row r="816" spans="2:5" x14ac:dyDescent="0.25">
      <c r="B816" s="8">
        <v>38410</v>
      </c>
      <c r="C816" s="6">
        <f ca="1">IF(OR($C$7="",$B816&gt;NOW()),"",IF(INDEX(Data!$A:$G,MATCH($B816,Data!$A:$A,0),MATCH($C$7,Data!$4:$4,0))="","",INDEX(Data!$A:$G,MATCH($B816,Data!$A:$A,0),MATCH($C$7,Data!$4:$4,0))))</f>
        <v>30.6</v>
      </c>
      <c r="D816" s="148">
        <f t="shared" ca="1" si="30"/>
        <v>34.4</v>
      </c>
      <c r="E816" s="148">
        <f t="shared" ca="1" si="31"/>
        <v>0</v>
      </c>
    </row>
    <row r="817" spans="2:5" x14ac:dyDescent="0.25">
      <c r="B817" s="8">
        <v>38411</v>
      </c>
      <c r="C817" s="6">
        <f ca="1">IF(OR($C$7="",$B817&gt;NOW()),"",IF(INDEX(Data!$A:$G,MATCH($B817,Data!$A:$A,0),MATCH($C$7,Data!$4:$4,0))="","",INDEX(Data!$A:$G,MATCH($B817,Data!$A:$A,0),MATCH($C$7,Data!$4:$4,0))))</f>
        <v>32.4</v>
      </c>
      <c r="D817" s="148">
        <f t="shared" ca="1" si="30"/>
        <v>32.6</v>
      </c>
      <c r="E817" s="148">
        <f t="shared" ca="1" si="31"/>
        <v>0</v>
      </c>
    </row>
    <row r="818" spans="2:5" x14ac:dyDescent="0.25">
      <c r="B818" s="8">
        <v>38412</v>
      </c>
      <c r="C818" s="6">
        <f ca="1">IF(OR($C$7="",$B818&gt;NOW()),"",IF(INDEX(Data!$A:$G,MATCH($B818,Data!$A:$A,0),MATCH($C$7,Data!$4:$4,0))="","",INDEX(Data!$A:$G,MATCH($B818,Data!$A:$A,0),MATCH($C$7,Data!$4:$4,0))))</f>
        <v>31.5</v>
      </c>
      <c r="D818" s="148">
        <f t="shared" ca="1" si="30"/>
        <v>33.5</v>
      </c>
      <c r="E818" s="148">
        <f t="shared" ca="1" si="31"/>
        <v>0</v>
      </c>
    </row>
    <row r="819" spans="2:5" x14ac:dyDescent="0.25">
      <c r="B819" s="8">
        <v>38413</v>
      </c>
      <c r="C819" s="6">
        <f ca="1">IF(OR($C$7="",$B819&gt;NOW()),"",IF(INDEX(Data!$A:$G,MATCH($B819,Data!$A:$A,0),MATCH($C$7,Data!$4:$4,0))="","",INDEX(Data!$A:$G,MATCH($B819,Data!$A:$A,0),MATCH($C$7,Data!$4:$4,0))))</f>
        <v>34.1</v>
      </c>
      <c r="D819" s="148">
        <f t="shared" ca="1" si="30"/>
        <v>30.9</v>
      </c>
      <c r="E819" s="148">
        <f t="shared" ca="1" si="31"/>
        <v>0</v>
      </c>
    </row>
    <row r="820" spans="2:5" x14ac:dyDescent="0.25">
      <c r="B820" s="8">
        <v>38414</v>
      </c>
      <c r="C820" s="6">
        <f ca="1">IF(OR($C$7="",$B820&gt;NOW()),"",IF(INDEX(Data!$A:$G,MATCH($B820,Data!$A:$A,0),MATCH($C$7,Data!$4:$4,0))="","",INDEX(Data!$A:$G,MATCH($B820,Data!$A:$A,0),MATCH($C$7,Data!$4:$4,0))))</f>
        <v>28.9</v>
      </c>
      <c r="D820" s="148">
        <f t="shared" ca="1" si="30"/>
        <v>36.1</v>
      </c>
      <c r="E820" s="148">
        <f t="shared" ca="1" si="31"/>
        <v>0</v>
      </c>
    </row>
    <row r="821" spans="2:5" x14ac:dyDescent="0.25">
      <c r="B821" s="8">
        <v>38415</v>
      </c>
      <c r="C821" s="6">
        <f ca="1">IF(OR($C$7="",$B821&gt;NOW()),"",IF(INDEX(Data!$A:$G,MATCH($B821,Data!$A:$A,0),MATCH($C$7,Data!$4:$4,0))="","",INDEX(Data!$A:$G,MATCH($B821,Data!$A:$A,0),MATCH($C$7,Data!$4:$4,0))))</f>
        <v>29.4</v>
      </c>
      <c r="D821" s="148">
        <f t="shared" ca="1" si="30"/>
        <v>35.6</v>
      </c>
      <c r="E821" s="148">
        <f t="shared" ca="1" si="31"/>
        <v>0</v>
      </c>
    </row>
    <row r="822" spans="2:5" x14ac:dyDescent="0.25">
      <c r="B822" s="8">
        <v>38416</v>
      </c>
      <c r="C822" s="6">
        <f ca="1">IF(OR($C$7="",$B822&gt;NOW()),"",IF(INDEX(Data!$A:$G,MATCH($B822,Data!$A:$A,0),MATCH($C$7,Data!$4:$4,0))="","",INDEX(Data!$A:$G,MATCH($B822,Data!$A:$A,0),MATCH($C$7,Data!$4:$4,0))))</f>
        <v>33.9</v>
      </c>
      <c r="D822" s="148">
        <f t="shared" ca="1" si="30"/>
        <v>31.1</v>
      </c>
      <c r="E822" s="148">
        <f t="shared" ca="1" si="31"/>
        <v>0</v>
      </c>
    </row>
    <row r="823" spans="2:5" x14ac:dyDescent="0.25">
      <c r="B823" s="8">
        <v>38417</v>
      </c>
      <c r="C823" s="6">
        <f ca="1">IF(OR($C$7="",$B823&gt;NOW()),"",IF(INDEX(Data!$A:$G,MATCH($B823,Data!$A:$A,0),MATCH($C$7,Data!$4:$4,0))="","",INDEX(Data!$A:$G,MATCH($B823,Data!$A:$A,0),MATCH($C$7,Data!$4:$4,0))))</f>
        <v>37.9</v>
      </c>
      <c r="D823" s="148">
        <f t="shared" ca="1" si="30"/>
        <v>27.1</v>
      </c>
      <c r="E823" s="148">
        <f t="shared" ca="1" si="31"/>
        <v>0</v>
      </c>
    </row>
    <row r="824" spans="2:5" x14ac:dyDescent="0.25">
      <c r="B824" s="8">
        <v>38418</v>
      </c>
      <c r="C824" s="6">
        <f ca="1">IF(OR($C$7="",$B824&gt;NOW()),"",IF(INDEX(Data!$A:$G,MATCH($B824,Data!$A:$A,0),MATCH($C$7,Data!$4:$4,0))="","",INDEX(Data!$A:$G,MATCH($B824,Data!$A:$A,0),MATCH($C$7,Data!$4:$4,0))))</f>
        <v>48.5</v>
      </c>
      <c r="D824" s="148">
        <f t="shared" ca="1" si="30"/>
        <v>16.5</v>
      </c>
      <c r="E824" s="148">
        <f t="shared" ca="1" si="31"/>
        <v>0</v>
      </c>
    </row>
    <row r="825" spans="2:5" x14ac:dyDescent="0.25">
      <c r="B825" s="8">
        <v>38419</v>
      </c>
      <c r="C825" s="6">
        <f ca="1">IF(OR($C$7="",$B825&gt;NOW()),"",IF(INDEX(Data!$A:$G,MATCH($B825,Data!$A:$A,0),MATCH($C$7,Data!$4:$4,0))="","",INDEX(Data!$A:$G,MATCH($B825,Data!$A:$A,0),MATCH($C$7,Data!$4:$4,0))))</f>
        <v>40</v>
      </c>
      <c r="D825" s="148">
        <f t="shared" ca="1" si="30"/>
        <v>25</v>
      </c>
      <c r="E825" s="148">
        <f t="shared" ca="1" si="31"/>
        <v>0</v>
      </c>
    </row>
    <row r="826" spans="2:5" x14ac:dyDescent="0.25">
      <c r="B826" s="8">
        <v>38420</v>
      </c>
      <c r="C826" s="6">
        <f ca="1">IF(OR($C$7="",$B826&gt;NOW()),"",IF(INDEX(Data!$A:$G,MATCH($B826,Data!$A:$A,0),MATCH($C$7,Data!$4:$4,0))="","",INDEX(Data!$A:$G,MATCH($B826,Data!$A:$A,0),MATCH($C$7,Data!$4:$4,0))))</f>
        <v>22</v>
      </c>
      <c r="D826" s="148">
        <f t="shared" ca="1" si="30"/>
        <v>43</v>
      </c>
      <c r="E826" s="148">
        <f t="shared" ca="1" si="31"/>
        <v>0</v>
      </c>
    </row>
    <row r="827" spans="2:5" x14ac:dyDescent="0.25">
      <c r="B827" s="8">
        <v>38421</v>
      </c>
      <c r="C827" s="6">
        <f ca="1">IF(OR($C$7="",$B827&gt;NOW()),"",IF(INDEX(Data!$A:$G,MATCH($B827,Data!$A:$A,0),MATCH($C$7,Data!$4:$4,0))="","",INDEX(Data!$A:$G,MATCH($B827,Data!$A:$A,0),MATCH($C$7,Data!$4:$4,0))))</f>
        <v>26.7</v>
      </c>
      <c r="D827" s="148">
        <f t="shared" ca="1" si="30"/>
        <v>38.299999999999997</v>
      </c>
      <c r="E827" s="148">
        <f t="shared" ca="1" si="31"/>
        <v>0</v>
      </c>
    </row>
    <row r="828" spans="2:5" x14ac:dyDescent="0.25">
      <c r="B828" s="8">
        <v>38422</v>
      </c>
      <c r="C828" s="6">
        <f ca="1">IF(OR($C$7="",$B828&gt;NOW()),"",IF(INDEX(Data!$A:$G,MATCH($B828,Data!$A:$A,0),MATCH($C$7,Data!$4:$4,0))="","",INDEX(Data!$A:$G,MATCH($B828,Data!$A:$A,0),MATCH($C$7,Data!$4:$4,0))))</f>
        <v>31.7</v>
      </c>
      <c r="D828" s="148">
        <f t="shared" ca="1" si="30"/>
        <v>33.299999999999997</v>
      </c>
      <c r="E828" s="148">
        <f t="shared" ca="1" si="31"/>
        <v>0</v>
      </c>
    </row>
    <row r="829" spans="2:5" x14ac:dyDescent="0.25">
      <c r="B829" s="8">
        <v>38423</v>
      </c>
      <c r="C829" s="6">
        <f ca="1">IF(OR($C$7="",$B829&gt;NOW()),"",IF(INDEX(Data!$A:$G,MATCH($B829,Data!$A:$A,0),MATCH($C$7,Data!$4:$4,0))="","",INDEX(Data!$A:$G,MATCH($B829,Data!$A:$A,0),MATCH($C$7,Data!$4:$4,0))))</f>
        <v>35.4</v>
      </c>
      <c r="D829" s="148">
        <f t="shared" ca="1" si="30"/>
        <v>29.6</v>
      </c>
      <c r="E829" s="148">
        <f t="shared" ca="1" si="31"/>
        <v>0</v>
      </c>
    </row>
    <row r="830" spans="2:5" x14ac:dyDescent="0.25">
      <c r="B830" s="8">
        <v>38424</v>
      </c>
      <c r="C830" s="6">
        <f ca="1">IF(OR($C$7="",$B830&gt;NOW()),"",IF(INDEX(Data!$A:$G,MATCH($B830,Data!$A:$A,0),MATCH($C$7,Data!$4:$4,0))="","",INDEX(Data!$A:$G,MATCH($B830,Data!$A:$A,0),MATCH($C$7,Data!$4:$4,0))))</f>
        <v>39</v>
      </c>
      <c r="D830" s="148">
        <f t="shared" ca="1" si="30"/>
        <v>26</v>
      </c>
      <c r="E830" s="148">
        <f t="shared" ca="1" si="31"/>
        <v>0</v>
      </c>
    </row>
    <row r="831" spans="2:5" x14ac:dyDescent="0.25">
      <c r="B831" s="8">
        <v>38425</v>
      </c>
      <c r="C831" s="6">
        <f ca="1">IF(OR($C$7="",$B831&gt;NOW()),"",IF(INDEX(Data!$A:$G,MATCH($B831,Data!$A:$A,0),MATCH($C$7,Data!$4:$4,0))="","",INDEX(Data!$A:$G,MATCH($B831,Data!$A:$A,0),MATCH($C$7,Data!$4:$4,0))))</f>
        <v>35.200000000000003</v>
      </c>
      <c r="D831" s="148">
        <f t="shared" ca="1" si="30"/>
        <v>29.799999999999997</v>
      </c>
      <c r="E831" s="148">
        <f t="shared" ca="1" si="31"/>
        <v>0</v>
      </c>
    </row>
    <row r="832" spans="2:5" x14ac:dyDescent="0.25">
      <c r="B832" s="8">
        <v>38426</v>
      </c>
      <c r="C832" s="6">
        <f ca="1">IF(OR($C$7="",$B832&gt;NOW()),"",IF(INDEX(Data!$A:$G,MATCH($B832,Data!$A:$A,0),MATCH($C$7,Data!$4:$4,0))="","",INDEX(Data!$A:$G,MATCH($B832,Data!$A:$A,0),MATCH($C$7,Data!$4:$4,0))))</f>
        <v>35.6</v>
      </c>
      <c r="D832" s="148">
        <f t="shared" ca="1" si="30"/>
        <v>29.4</v>
      </c>
      <c r="E832" s="148">
        <f t="shared" ca="1" si="31"/>
        <v>0</v>
      </c>
    </row>
    <row r="833" spans="2:5" x14ac:dyDescent="0.25">
      <c r="B833" s="8">
        <v>38427</v>
      </c>
      <c r="C833" s="6">
        <f ca="1">IF(OR($C$7="",$B833&gt;NOW()),"",IF(INDEX(Data!$A:$G,MATCH($B833,Data!$A:$A,0),MATCH($C$7,Data!$4:$4,0))="","",INDEX(Data!$A:$G,MATCH($B833,Data!$A:$A,0),MATCH($C$7,Data!$4:$4,0))))</f>
        <v>37.799999999999997</v>
      </c>
      <c r="D833" s="148">
        <f t="shared" ca="1" si="30"/>
        <v>27.200000000000003</v>
      </c>
      <c r="E833" s="148">
        <f t="shared" ca="1" si="31"/>
        <v>0</v>
      </c>
    </row>
    <row r="834" spans="2:5" x14ac:dyDescent="0.25">
      <c r="B834" s="8">
        <v>38428</v>
      </c>
      <c r="C834" s="6">
        <f ca="1">IF(OR($C$7="",$B834&gt;NOW()),"",IF(INDEX(Data!$A:$G,MATCH($B834,Data!$A:$A,0),MATCH($C$7,Data!$4:$4,0))="","",INDEX(Data!$A:$G,MATCH($B834,Data!$A:$A,0),MATCH($C$7,Data!$4:$4,0))))</f>
        <v>38.4</v>
      </c>
      <c r="D834" s="148">
        <f t="shared" ca="1" si="30"/>
        <v>26.6</v>
      </c>
      <c r="E834" s="148">
        <f t="shared" ca="1" si="31"/>
        <v>0</v>
      </c>
    </row>
    <row r="835" spans="2:5" x14ac:dyDescent="0.25">
      <c r="B835" s="8">
        <v>38429</v>
      </c>
      <c r="C835" s="6">
        <f ca="1">IF(OR($C$7="",$B835&gt;NOW()),"",IF(INDEX(Data!$A:$G,MATCH($B835,Data!$A:$A,0),MATCH($C$7,Data!$4:$4,0))="","",INDEX(Data!$A:$G,MATCH($B835,Data!$A:$A,0),MATCH($C$7,Data!$4:$4,0))))</f>
        <v>42.1</v>
      </c>
      <c r="D835" s="148">
        <f t="shared" ca="1" si="30"/>
        <v>22.9</v>
      </c>
      <c r="E835" s="148">
        <f t="shared" ca="1" si="31"/>
        <v>0</v>
      </c>
    </row>
    <row r="836" spans="2:5" x14ac:dyDescent="0.25">
      <c r="B836" s="8">
        <v>38430</v>
      </c>
      <c r="C836" s="6">
        <f ca="1">IF(OR($C$7="",$B836&gt;NOW()),"",IF(INDEX(Data!$A:$G,MATCH($B836,Data!$A:$A,0),MATCH($C$7,Data!$4:$4,0))="","",INDEX(Data!$A:$G,MATCH($B836,Data!$A:$A,0),MATCH($C$7,Data!$4:$4,0))))</f>
        <v>41.6</v>
      </c>
      <c r="D836" s="148">
        <f t="shared" ca="1" si="30"/>
        <v>23.4</v>
      </c>
      <c r="E836" s="148">
        <f t="shared" ca="1" si="31"/>
        <v>0</v>
      </c>
    </row>
    <row r="837" spans="2:5" x14ac:dyDescent="0.25">
      <c r="B837" s="8">
        <v>38431</v>
      </c>
      <c r="C837" s="6">
        <f ca="1">IF(OR($C$7="",$B837&gt;NOW()),"",IF(INDEX(Data!$A:$G,MATCH($B837,Data!$A:$A,0),MATCH($C$7,Data!$4:$4,0))="","",INDEX(Data!$A:$G,MATCH($B837,Data!$A:$A,0),MATCH($C$7,Data!$4:$4,0))))</f>
        <v>40.1</v>
      </c>
      <c r="D837" s="148">
        <f t="shared" ca="1" si="30"/>
        <v>24.9</v>
      </c>
      <c r="E837" s="148">
        <f t="shared" ca="1" si="31"/>
        <v>0</v>
      </c>
    </row>
    <row r="838" spans="2:5" x14ac:dyDescent="0.25">
      <c r="B838" s="8">
        <v>38432</v>
      </c>
      <c r="C838" s="6">
        <f ca="1">IF(OR($C$7="",$B838&gt;NOW()),"",IF(INDEX(Data!$A:$G,MATCH($B838,Data!$A:$A,0),MATCH($C$7,Data!$4:$4,0))="","",INDEX(Data!$A:$G,MATCH($B838,Data!$A:$A,0),MATCH($C$7,Data!$4:$4,0))))</f>
        <v>40.1</v>
      </c>
      <c r="D838" s="148">
        <f t="shared" ca="1" si="30"/>
        <v>24.9</v>
      </c>
      <c r="E838" s="148">
        <f t="shared" ca="1" si="31"/>
        <v>0</v>
      </c>
    </row>
    <row r="839" spans="2:5" x14ac:dyDescent="0.25">
      <c r="B839" s="8">
        <v>38433</v>
      </c>
      <c r="C839" s="6">
        <f ca="1">IF(OR($C$7="",$B839&gt;NOW()),"",IF(INDEX(Data!$A:$G,MATCH($B839,Data!$A:$A,0),MATCH($C$7,Data!$4:$4,0))="","",INDEX(Data!$A:$G,MATCH($B839,Data!$A:$A,0),MATCH($C$7,Data!$4:$4,0))))</f>
        <v>43.4</v>
      </c>
      <c r="D839" s="148">
        <f t="shared" ca="1" si="30"/>
        <v>21.6</v>
      </c>
      <c r="E839" s="148">
        <f t="shared" ca="1" si="31"/>
        <v>0</v>
      </c>
    </row>
    <row r="840" spans="2:5" x14ac:dyDescent="0.25">
      <c r="B840" s="8">
        <v>38434</v>
      </c>
      <c r="C840" s="6">
        <f ca="1">IF(OR($C$7="",$B840&gt;NOW()),"",IF(INDEX(Data!$A:$G,MATCH($B840,Data!$A:$A,0),MATCH($C$7,Data!$4:$4,0))="","",INDEX(Data!$A:$G,MATCH($B840,Data!$A:$A,0),MATCH($C$7,Data!$4:$4,0))))</f>
        <v>41.1</v>
      </c>
      <c r="D840" s="148">
        <f t="shared" ca="1" si="30"/>
        <v>23.9</v>
      </c>
      <c r="E840" s="148">
        <f t="shared" ca="1" si="31"/>
        <v>0</v>
      </c>
    </row>
    <row r="841" spans="2:5" x14ac:dyDescent="0.25">
      <c r="B841" s="8">
        <v>38435</v>
      </c>
      <c r="C841" s="6">
        <f ca="1">IF(OR($C$7="",$B841&gt;NOW()),"",IF(INDEX(Data!$A:$G,MATCH($B841,Data!$A:$A,0),MATCH($C$7,Data!$4:$4,0))="","",INDEX(Data!$A:$G,MATCH($B841,Data!$A:$A,0),MATCH($C$7,Data!$4:$4,0))))</f>
        <v>36.4</v>
      </c>
      <c r="D841" s="148">
        <f t="shared" ca="1" si="30"/>
        <v>28.6</v>
      </c>
      <c r="E841" s="148">
        <f t="shared" ca="1" si="31"/>
        <v>0</v>
      </c>
    </row>
    <row r="842" spans="2:5" x14ac:dyDescent="0.25">
      <c r="B842" s="8">
        <v>38436</v>
      </c>
      <c r="C842" s="6">
        <f ca="1">IF(OR($C$7="",$B842&gt;NOW()),"",IF(INDEX(Data!$A:$G,MATCH($B842,Data!$A:$A,0),MATCH($C$7,Data!$4:$4,0))="","",INDEX(Data!$A:$G,MATCH($B842,Data!$A:$A,0),MATCH($C$7,Data!$4:$4,0))))</f>
        <v>42.8</v>
      </c>
      <c r="D842" s="148">
        <f t="shared" ca="1" si="30"/>
        <v>22.200000000000003</v>
      </c>
      <c r="E842" s="148">
        <f t="shared" ca="1" si="31"/>
        <v>0</v>
      </c>
    </row>
    <row r="843" spans="2:5" x14ac:dyDescent="0.25">
      <c r="B843" s="8">
        <v>38437</v>
      </c>
      <c r="C843" s="6">
        <f ca="1">IF(OR($C$7="",$B843&gt;NOW()),"",IF(INDEX(Data!$A:$G,MATCH($B843,Data!$A:$A,0),MATCH($C$7,Data!$4:$4,0))="","",INDEX(Data!$A:$G,MATCH($B843,Data!$A:$A,0),MATCH($C$7,Data!$4:$4,0))))</f>
        <v>40.700000000000003</v>
      </c>
      <c r="D843" s="148">
        <f t="shared" ca="1" si="30"/>
        <v>24.299999999999997</v>
      </c>
      <c r="E843" s="148">
        <f t="shared" ca="1" si="31"/>
        <v>0</v>
      </c>
    </row>
    <row r="844" spans="2:5" x14ac:dyDescent="0.25">
      <c r="B844" s="8">
        <v>38438</v>
      </c>
      <c r="C844" s="6">
        <f ca="1">IF(OR($C$7="",$B844&gt;NOW()),"",IF(INDEX(Data!$A:$G,MATCH($B844,Data!$A:$A,0),MATCH($C$7,Data!$4:$4,0))="","",INDEX(Data!$A:$G,MATCH($B844,Data!$A:$A,0),MATCH($C$7,Data!$4:$4,0))))</f>
        <v>41.4</v>
      </c>
      <c r="D844" s="148">
        <f t="shared" ca="1" si="30"/>
        <v>23.6</v>
      </c>
      <c r="E844" s="148">
        <f t="shared" ca="1" si="31"/>
        <v>0</v>
      </c>
    </row>
    <row r="845" spans="2:5" x14ac:dyDescent="0.25">
      <c r="B845" s="8">
        <v>38439</v>
      </c>
      <c r="C845" s="6">
        <f ca="1">IF(OR($C$7="",$B845&gt;NOW()),"",IF(INDEX(Data!$A:$G,MATCH($B845,Data!$A:$A,0),MATCH($C$7,Data!$4:$4,0))="","",INDEX(Data!$A:$G,MATCH($B845,Data!$A:$A,0),MATCH($C$7,Data!$4:$4,0))))</f>
        <v>40.1</v>
      </c>
      <c r="D845" s="148">
        <f t="shared" ca="1" si="30"/>
        <v>24.9</v>
      </c>
      <c r="E845" s="148">
        <f t="shared" ca="1" si="31"/>
        <v>0</v>
      </c>
    </row>
    <row r="846" spans="2:5" x14ac:dyDescent="0.25">
      <c r="B846" s="8">
        <v>38440</v>
      </c>
      <c r="C846" s="6">
        <f ca="1">IF(OR($C$7="",$B846&gt;NOW()),"",IF(INDEX(Data!$A:$G,MATCH($B846,Data!$A:$A,0),MATCH($C$7,Data!$4:$4,0))="","",INDEX(Data!$A:$G,MATCH($B846,Data!$A:$A,0),MATCH($C$7,Data!$4:$4,0))))</f>
        <v>46.8</v>
      </c>
      <c r="D846" s="148">
        <f t="shared" ca="1" si="30"/>
        <v>18.200000000000003</v>
      </c>
      <c r="E846" s="148">
        <f t="shared" ca="1" si="31"/>
        <v>0</v>
      </c>
    </row>
    <row r="847" spans="2:5" x14ac:dyDescent="0.25">
      <c r="B847" s="8">
        <v>38441</v>
      </c>
      <c r="C847" s="6">
        <f ca="1">IF(OR($C$7="",$B847&gt;NOW()),"",IF(INDEX(Data!$A:$G,MATCH($B847,Data!$A:$A,0),MATCH($C$7,Data!$4:$4,0))="","",INDEX(Data!$A:$G,MATCH($B847,Data!$A:$A,0),MATCH($C$7,Data!$4:$4,0))))</f>
        <v>51.4</v>
      </c>
      <c r="D847" s="148">
        <f t="shared" ca="1" si="30"/>
        <v>13.600000000000001</v>
      </c>
      <c r="E847" s="148">
        <f t="shared" ca="1" si="31"/>
        <v>0</v>
      </c>
    </row>
    <row r="848" spans="2:5" x14ac:dyDescent="0.25">
      <c r="B848" s="8">
        <v>38442</v>
      </c>
      <c r="C848" s="6">
        <f ca="1">IF(OR($C$7="",$B848&gt;NOW()),"",IF(INDEX(Data!$A:$G,MATCH($B848,Data!$A:$A,0),MATCH($C$7,Data!$4:$4,0))="","",INDEX(Data!$A:$G,MATCH($B848,Data!$A:$A,0),MATCH($C$7,Data!$4:$4,0))))</f>
        <v>45.7</v>
      </c>
      <c r="D848" s="148">
        <f t="shared" ca="1" si="30"/>
        <v>19.299999999999997</v>
      </c>
      <c r="E848" s="148">
        <f t="shared" ca="1" si="31"/>
        <v>0</v>
      </c>
    </row>
    <row r="849" spans="2:5" x14ac:dyDescent="0.25">
      <c r="B849" s="8">
        <v>38443</v>
      </c>
      <c r="C849" s="6">
        <f ca="1">IF(OR($C$7="",$B849&gt;NOW()),"",IF(INDEX(Data!$A:$G,MATCH($B849,Data!$A:$A,0),MATCH($C$7,Data!$4:$4,0))="","",INDEX(Data!$A:$G,MATCH($B849,Data!$A:$A,0),MATCH($C$7,Data!$4:$4,0))))</f>
        <v>43.3</v>
      </c>
      <c r="D849" s="148">
        <f t="shared" ca="1" si="30"/>
        <v>21.700000000000003</v>
      </c>
      <c r="E849" s="148">
        <f t="shared" ca="1" si="31"/>
        <v>0</v>
      </c>
    </row>
    <row r="850" spans="2:5" x14ac:dyDescent="0.25">
      <c r="B850" s="8">
        <v>38444</v>
      </c>
      <c r="C850" s="6">
        <f ca="1">IF(OR($C$7="",$B850&gt;NOW()),"",IF(INDEX(Data!$A:$G,MATCH($B850,Data!$A:$A,0),MATCH($C$7,Data!$4:$4,0))="","",INDEX(Data!$A:$G,MATCH($B850,Data!$A:$A,0),MATCH($C$7,Data!$4:$4,0))))</f>
        <v>46.8</v>
      </c>
      <c r="D850" s="148">
        <f t="shared" ca="1" si="30"/>
        <v>18.200000000000003</v>
      </c>
      <c r="E850" s="148">
        <f t="shared" ca="1" si="31"/>
        <v>0</v>
      </c>
    </row>
    <row r="851" spans="2:5" x14ac:dyDescent="0.25">
      <c r="B851" s="8">
        <v>38445</v>
      </c>
      <c r="C851" s="6">
        <f ca="1">IF(OR($C$7="",$B851&gt;NOW()),"",IF(INDEX(Data!$A:$G,MATCH($B851,Data!$A:$A,0),MATCH($C$7,Data!$4:$4,0))="","",INDEX(Data!$A:$G,MATCH($B851,Data!$A:$A,0),MATCH($C$7,Data!$4:$4,0))))</f>
        <v>46.3</v>
      </c>
      <c r="D851" s="148">
        <f t="shared" ca="1" si="30"/>
        <v>18.700000000000003</v>
      </c>
      <c r="E851" s="148">
        <f t="shared" ca="1" si="31"/>
        <v>0</v>
      </c>
    </row>
    <row r="852" spans="2:5" x14ac:dyDescent="0.25">
      <c r="B852" s="8">
        <v>38446</v>
      </c>
      <c r="C852" s="6">
        <f ca="1">IF(OR($C$7="",$B852&gt;NOW()),"",IF(INDEX(Data!$A:$G,MATCH($B852,Data!$A:$A,0),MATCH($C$7,Data!$4:$4,0))="","",INDEX(Data!$A:$G,MATCH($B852,Data!$A:$A,0),MATCH($C$7,Data!$4:$4,0))))</f>
        <v>46.1</v>
      </c>
      <c r="D852" s="148">
        <f t="shared" ca="1" si="30"/>
        <v>18.899999999999999</v>
      </c>
      <c r="E852" s="148">
        <f t="shared" ca="1" si="31"/>
        <v>0</v>
      </c>
    </row>
    <row r="853" spans="2:5" x14ac:dyDescent="0.25">
      <c r="B853" s="8">
        <v>38447</v>
      </c>
      <c r="C853" s="6">
        <f ca="1">IF(OR($C$7="",$B853&gt;NOW()),"",IF(INDEX(Data!$A:$G,MATCH($B853,Data!$A:$A,0),MATCH($C$7,Data!$4:$4,0))="","",INDEX(Data!$A:$G,MATCH($B853,Data!$A:$A,0),MATCH($C$7,Data!$4:$4,0))))</f>
        <v>52.7</v>
      </c>
      <c r="D853" s="148">
        <f t="shared" ca="1" si="30"/>
        <v>12.299999999999997</v>
      </c>
      <c r="E853" s="148">
        <f t="shared" ca="1" si="31"/>
        <v>0</v>
      </c>
    </row>
    <row r="854" spans="2:5" x14ac:dyDescent="0.25">
      <c r="B854" s="8">
        <v>38448</v>
      </c>
      <c r="C854" s="6">
        <f ca="1">IF(OR($C$7="",$B854&gt;NOW()),"",IF(INDEX(Data!$A:$G,MATCH($B854,Data!$A:$A,0),MATCH($C$7,Data!$4:$4,0))="","",INDEX(Data!$A:$G,MATCH($B854,Data!$A:$A,0),MATCH($C$7,Data!$4:$4,0))))</f>
        <v>60.4</v>
      </c>
      <c r="D854" s="148">
        <f t="shared" ca="1" si="30"/>
        <v>4.6000000000000014</v>
      </c>
      <c r="E854" s="148">
        <f t="shared" ca="1" si="31"/>
        <v>0</v>
      </c>
    </row>
    <row r="855" spans="2:5" x14ac:dyDescent="0.25">
      <c r="B855" s="8">
        <v>38449</v>
      </c>
      <c r="C855" s="6">
        <f ca="1">IF(OR($C$7="",$B855&gt;NOW()),"",IF(INDEX(Data!$A:$G,MATCH($B855,Data!$A:$A,0),MATCH($C$7,Data!$4:$4,0))="","",INDEX(Data!$A:$G,MATCH($B855,Data!$A:$A,0),MATCH($C$7,Data!$4:$4,0))))</f>
        <v>56.5</v>
      </c>
      <c r="D855" s="148">
        <f t="shared" ca="1" si="30"/>
        <v>8.5</v>
      </c>
      <c r="E855" s="148">
        <f t="shared" ca="1" si="31"/>
        <v>0</v>
      </c>
    </row>
    <row r="856" spans="2:5" x14ac:dyDescent="0.25">
      <c r="B856" s="8">
        <v>38450</v>
      </c>
      <c r="C856" s="6">
        <f ca="1">IF(OR($C$7="",$B856&gt;NOW()),"",IF(INDEX(Data!$A:$G,MATCH($B856,Data!$A:$A,0),MATCH($C$7,Data!$4:$4,0))="","",INDEX(Data!$A:$G,MATCH($B856,Data!$A:$A,0),MATCH($C$7,Data!$4:$4,0))))</f>
        <v>57</v>
      </c>
      <c r="D856" s="148">
        <f t="shared" ca="1" si="30"/>
        <v>8</v>
      </c>
      <c r="E856" s="148">
        <f t="shared" ca="1" si="31"/>
        <v>0</v>
      </c>
    </row>
    <row r="857" spans="2:5" x14ac:dyDescent="0.25">
      <c r="B857" s="8">
        <v>38451</v>
      </c>
      <c r="C857" s="6">
        <f ca="1">IF(OR($C$7="",$B857&gt;NOW()),"",IF(INDEX(Data!$A:$G,MATCH($B857,Data!$A:$A,0),MATCH($C$7,Data!$4:$4,0))="","",INDEX(Data!$A:$G,MATCH($B857,Data!$A:$A,0),MATCH($C$7,Data!$4:$4,0))))</f>
        <v>51.1</v>
      </c>
      <c r="D857" s="148">
        <f t="shared" ca="1" si="30"/>
        <v>13.899999999999999</v>
      </c>
      <c r="E857" s="148">
        <f t="shared" ca="1" si="31"/>
        <v>0</v>
      </c>
    </row>
    <row r="858" spans="2:5" x14ac:dyDescent="0.25">
      <c r="B858" s="8">
        <v>38452</v>
      </c>
      <c r="C858" s="6">
        <f ca="1">IF(OR($C$7="",$B858&gt;NOW()),"",IF(INDEX(Data!$A:$G,MATCH($B858,Data!$A:$A,0),MATCH($C$7,Data!$4:$4,0))="","",INDEX(Data!$A:$G,MATCH($B858,Data!$A:$A,0),MATCH($C$7,Data!$4:$4,0))))</f>
        <v>54.9</v>
      </c>
      <c r="D858" s="148">
        <f t="shared" ca="1" si="30"/>
        <v>10.100000000000001</v>
      </c>
      <c r="E858" s="148">
        <f t="shared" ca="1" si="31"/>
        <v>0</v>
      </c>
    </row>
    <row r="859" spans="2:5" x14ac:dyDescent="0.25">
      <c r="B859" s="8">
        <v>38453</v>
      </c>
      <c r="C859" s="6">
        <f ca="1">IF(OR($C$7="",$B859&gt;NOW()),"",IF(INDEX(Data!$A:$G,MATCH($B859,Data!$A:$A,0),MATCH($C$7,Data!$4:$4,0))="","",INDEX(Data!$A:$G,MATCH($B859,Data!$A:$A,0),MATCH($C$7,Data!$4:$4,0))))</f>
        <v>53.4</v>
      </c>
      <c r="D859" s="148">
        <f t="shared" ca="1" si="30"/>
        <v>11.600000000000001</v>
      </c>
      <c r="E859" s="148">
        <f t="shared" ca="1" si="31"/>
        <v>0</v>
      </c>
    </row>
    <row r="860" spans="2:5" x14ac:dyDescent="0.25">
      <c r="B860" s="8">
        <v>38454</v>
      </c>
      <c r="C860" s="6">
        <f ca="1">IF(OR($C$7="",$B860&gt;NOW()),"",IF(INDEX(Data!$A:$G,MATCH($B860,Data!$A:$A,0),MATCH($C$7,Data!$4:$4,0))="","",INDEX(Data!$A:$G,MATCH($B860,Data!$A:$A,0),MATCH($C$7,Data!$4:$4,0))))</f>
        <v>45.6</v>
      </c>
      <c r="D860" s="148">
        <f t="shared" ca="1" si="30"/>
        <v>19.399999999999999</v>
      </c>
      <c r="E860" s="148">
        <f t="shared" ca="1" si="31"/>
        <v>0</v>
      </c>
    </row>
    <row r="861" spans="2:5" x14ac:dyDescent="0.25">
      <c r="B861" s="8">
        <v>38455</v>
      </c>
      <c r="C861" s="6">
        <f ca="1">IF(OR($C$7="",$B861&gt;NOW()),"",IF(INDEX(Data!$A:$G,MATCH($B861,Data!$A:$A,0),MATCH($C$7,Data!$4:$4,0))="","",INDEX(Data!$A:$G,MATCH($B861,Data!$A:$A,0),MATCH($C$7,Data!$4:$4,0))))</f>
        <v>47.6</v>
      </c>
      <c r="D861" s="148">
        <f t="shared" ref="D861:D924" ca="1" si="32">IF($C861="","",IF($C861&gt;$D$26,0,$D$26-$C861))</f>
        <v>17.399999999999999</v>
      </c>
      <c r="E861" s="148">
        <f t="shared" ref="E861:E924" ca="1" si="33">IF($C861="","",IF($C861&lt;$E$26,0,$C861-$E$26))</f>
        <v>0</v>
      </c>
    </row>
    <row r="862" spans="2:5" x14ac:dyDescent="0.25">
      <c r="B862" s="8">
        <v>38456</v>
      </c>
      <c r="C862" s="6">
        <f ca="1">IF(OR($C$7="",$B862&gt;NOW()),"",IF(INDEX(Data!$A:$G,MATCH($B862,Data!$A:$A,0),MATCH($C$7,Data!$4:$4,0))="","",INDEX(Data!$A:$G,MATCH($B862,Data!$A:$A,0),MATCH($C$7,Data!$4:$4,0))))</f>
        <v>50.8</v>
      </c>
      <c r="D862" s="148">
        <f t="shared" ca="1" si="32"/>
        <v>14.200000000000003</v>
      </c>
      <c r="E862" s="148">
        <f t="shared" ca="1" si="33"/>
        <v>0</v>
      </c>
    </row>
    <row r="863" spans="2:5" x14ac:dyDescent="0.25">
      <c r="B863" s="8">
        <v>38457</v>
      </c>
      <c r="C863" s="6">
        <f ca="1">IF(OR($C$7="",$B863&gt;NOW()),"",IF(INDEX(Data!$A:$G,MATCH($B863,Data!$A:$A,0),MATCH($C$7,Data!$4:$4,0))="","",INDEX(Data!$A:$G,MATCH($B863,Data!$A:$A,0),MATCH($C$7,Data!$4:$4,0))))</f>
        <v>47.7</v>
      </c>
      <c r="D863" s="148">
        <f t="shared" ca="1" si="32"/>
        <v>17.299999999999997</v>
      </c>
      <c r="E863" s="148">
        <f t="shared" ca="1" si="33"/>
        <v>0</v>
      </c>
    </row>
    <row r="864" spans="2:5" x14ac:dyDescent="0.25">
      <c r="B864" s="8">
        <v>38458</v>
      </c>
      <c r="C864" s="6">
        <f ca="1">IF(OR($C$7="",$B864&gt;NOW()),"",IF(INDEX(Data!$A:$G,MATCH($B864,Data!$A:$A,0),MATCH($C$7,Data!$4:$4,0))="","",INDEX(Data!$A:$G,MATCH($B864,Data!$A:$A,0),MATCH($C$7,Data!$4:$4,0))))</f>
        <v>48.1</v>
      </c>
      <c r="D864" s="148">
        <f t="shared" ca="1" si="32"/>
        <v>16.899999999999999</v>
      </c>
      <c r="E864" s="148">
        <f t="shared" ca="1" si="33"/>
        <v>0</v>
      </c>
    </row>
    <row r="865" spans="2:5" x14ac:dyDescent="0.25">
      <c r="B865" s="8">
        <v>38459</v>
      </c>
      <c r="C865" s="6">
        <f ca="1">IF(OR($C$7="",$B865&gt;NOW()),"",IF(INDEX(Data!$A:$G,MATCH($B865,Data!$A:$A,0),MATCH($C$7,Data!$4:$4,0))="","",INDEX(Data!$A:$G,MATCH($B865,Data!$A:$A,0),MATCH($C$7,Data!$4:$4,0))))</f>
        <v>54</v>
      </c>
      <c r="D865" s="148">
        <f t="shared" ca="1" si="32"/>
        <v>11</v>
      </c>
      <c r="E865" s="148">
        <f t="shared" ca="1" si="33"/>
        <v>0</v>
      </c>
    </row>
    <row r="866" spans="2:5" x14ac:dyDescent="0.25">
      <c r="B866" s="8">
        <v>38460</v>
      </c>
      <c r="C866" s="6">
        <f ca="1">IF(OR($C$7="",$B866&gt;NOW()),"",IF(INDEX(Data!$A:$G,MATCH($B866,Data!$A:$A,0),MATCH($C$7,Data!$4:$4,0))="","",INDEX(Data!$A:$G,MATCH($B866,Data!$A:$A,0),MATCH($C$7,Data!$4:$4,0))))</f>
        <v>64.3</v>
      </c>
      <c r="D866" s="148">
        <f t="shared" ca="1" si="32"/>
        <v>0.70000000000000284</v>
      </c>
      <c r="E866" s="148">
        <f t="shared" ca="1" si="33"/>
        <v>0</v>
      </c>
    </row>
    <row r="867" spans="2:5" x14ac:dyDescent="0.25">
      <c r="B867" s="8">
        <v>38461</v>
      </c>
      <c r="C867" s="6">
        <f ca="1">IF(OR($C$7="",$B867&gt;NOW()),"",IF(INDEX(Data!$A:$G,MATCH($B867,Data!$A:$A,0),MATCH($C$7,Data!$4:$4,0))="","",INDEX(Data!$A:$G,MATCH($B867,Data!$A:$A,0),MATCH($C$7,Data!$4:$4,0))))</f>
        <v>58.7</v>
      </c>
      <c r="D867" s="148">
        <f t="shared" ca="1" si="32"/>
        <v>6.2999999999999972</v>
      </c>
      <c r="E867" s="148">
        <f t="shared" ca="1" si="33"/>
        <v>0</v>
      </c>
    </row>
    <row r="868" spans="2:5" x14ac:dyDescent="0.25">
      <c r="B868" s="8">
        <v>38462</v>
      </c>
      <c r="C868" s="6">
        <f ca="1">IF(OR($C$7="",$B868&gt;NOW()),"",IF(INDEX(Data!$A:$G,MATCH($B868,Data!$A:$A,0),MATCH($C$7,Data!$4:$4,0))="","",INDEX(Data!$A:$G,MATCH($B868,Data!$A:$A,0),MATCH($C$7,Data!$4:$4,0))))</f>
        <v>70.900000000000006</v>
      </c>
      <c r="D868" s="148">
        <f t="shared" ca="1" si="32"/>
        <v>0</v>
      </c>
      <c r="E868" s="148">
        <f t="shared" ca="1" si="33"/>
        <v>5.9000000000000057</v>
      </c>
    </row>
    <row r="869" spans="2:5" x14ac:dyDescent="0.25">
      <c r="B869" s="8">
        <v>38463</v>
      </c>
      <c r="C869" s="6">
        <f ca="1">IF(OR($C$7="",$B869&gt;NOW()),"",IF(INDEX(Data!$A:$G,MATCH($B869,Data!$A:$A,0),MATCH($C$7,Data!$4:$4,0))="","",INDEX(Data!$A:$G,MATCH($B869,Data!$A:$A,0),MATCH($C$7,Data!$4:$4,0))))</f>
        <v>62.3</v>
      </c>
      <c r="D869" s="148">
        <f t="shared" ca="1" si="32"/>
        <v>2.7000000000000028</v>
      </c>
      <c r="E869" s="148">
        <f t="shared" ca="1" si="33"/>
        <v>0</v>
      </c>
    </row>
    <row r="870" spans="2:5" x14ac:dyDescent="0.25">
      <c r="B870" s="8">
        <v>38464</v>
      </c>
      <c r="C870" s="6">
        <f ca="1">IF(OR($C$7="",$B870&gt;NOW()),"",IF(INDEX(Data!$A:$G,MATCH($B870,Data!$A:$A,0),MATCH($C$7,Data!$4:$4,0))="","",INDEX(Data!$A:$G,MATCH($B870,Data!$A:$A,0),MATCH($C$7,Data!$4:$4,0))))</f>
        <v>51.4</v>
      </c>
      <c r="D870" s="148">
        <f t="shared" ca="1" si="32"/>
        <v>13.600000000000001</v>
      </c>
      <c r="E870" s="148">
        <f t="shared" ca="1" si="33"/>
        <v>0</v>
      </c>
    </row>
    <row r="871" spans="2:5" x14ac:dyDescent="0.25">
      <c r="B871" s="8">
        <v>38465</v>
      </c>
      <c r="C871" s="6">
        <f ca="1">IF(OR($C$7="",$B871&gt;NOW()),"",IF(INDEX(Data!$A:$G,MATCH($B871,Data!$A:$A,0),MATCH($C$7,Data!$4:$4,0))="","",INDEX(Data!$A:$G,MATCH($B871,Data!$A:$A,0),MATCH($C$7,Data!$4:$4,0))))</f>
        <v>52</v>
      </c>
      <c r="D871" s="148">
        <f t="shared" ca="1" si="32"/>
        <v>13</v>
      </c>
      <c r="E871" s="148">
        <f t="shared" ca="1" si="33"/>
        <v>0</v>
      </c>
    </row>
    <row r="872" spans="2:5" x14ac:dyDescent="0.25">
      <c r="B872" s="8">
        <v>38466</v>
      </c>
      <c r="C872" s="6">
        <f ca="1">IF(OR($C$7="",$B872&gt;NOW()),"",IF(INDEX(Data!$A:$G,MATCH($B872,Data!$A:$A,0),MATCH($C$7,Data!$4:$4,0))="","",INDEX(Data!$A:$G,MATCH($B872,Data!$A:$A,0),MATCH($C$7,Data!$4:$4,0))))</f>
        <v>53.1</v>
      </c>
      <c r="D872" s="148">
        <f t="shared" ca="1" si="32"/>
        <v>11.899999999999999</v>
      </c>
      <c r="E872" s="148">
        <f t="shared" ca="1" si="33"/>
        <v>0</v>
      </c>
    </row>
    <row r="873" spans="2:5" x14ac:dyDescent="0.25">
      <c r="B873" s="8">
        <v>38467</v>
      </c>
      <c r="C873" s="6">
        <f ca="1">IF(OR($C$7="",$B873&gt;NOW()),"",IF(INDEX(Data!$A:$G,MATCH($B873,Data!$A:$A,0),MATCH($C$7,Data!$4:$4,0))="","",INDEX(Data!$A:$G,MATCH($B873,Data!$A:$A,0),MATCH($C$7,Data!$4:$4,0))))</f>
        <v>47.8</v>
      </c>
      <c r="D873" s="148">
        <f t="shared" ca="1" si="32"/>
        <v>17.200000000000003</v>
      </c>
      <c r="E873" s="148">
        <f t="shared" ca="1" si="33"/>
        <v>0</v>
      </c>
    </row>
    <row r="874" spans="2:5" x14ac:dyDescent="0.25">
      <c r="B874" s="8">
        <v>38468</v>
      </c>
      <c r="C874" s="6">
        <f ca="1">IF(OR($C$7="",$B874&gt;NOW()),"",IF(INDEX(Data!$A:$G,MATCH($B874,Data!$A:$A,0),MATCH($C$7,Data!$4:$4,0))="","",INDEX(Data!$A:$G,MATCH($B874,Data!$A:$A,0),MATCH($C$7,Data!$4:$4,0))))</f>
        <v>55.9</v>
      </c>
      <c r="D874" s="148">
        <f t="shared" ca="1" si="32"/>
        <v>9.1000000000000014</v>
      </c>
      <c r="E874" s="148">
        <f t="shared" ca="1" si="33"/>
        <v>0</v>
      </c>
    </row>
    <row r="875" spans="2:5" x14ac:dyDescent="0.25">
      <c r="B875" s="8">
        <v>38469</v>
      </c>
      <c r="C875" s="6">
        <f ca="1">IF(OR($C$7="",$B875&gt;NOW()),"",IF(INDEX(Data!$A:$G,MATCH($B875,Data!$A:$A,0),MATCH($C$7,Data!$4:$4,0))="","",INDEX(Data!$A:$G,MATCH($B875,Data!$A:$A,0),MATCH($C$7,Data!$4:$4,0))))</f>
        <v>55.8</v>
      </c>
      <c r="D875" s="148">
        <f t="shared" ca="1" si="32"/>
        <v>9.2000000000000028</v>
      </c>
      <c r="E875" s="148">
        <f t="shared" ca="1" si="33"/>
        <v>0</v>
      </c>
    </row>
    <row r="876" spans="2:5" x14ac:dyDescent="0.25">
      <c r="B876" s="8">
        <v>38470</v>
      </c>
      <c r="C876" s="6">
        <f ca="1">IF(OR($C$7="",$B876&gt;NOW()),"",IF(INDEX(Data!$A:$G,MATCH($B876,Data!$A:$A,0),MATCH($C$7,Data!$4:$4,0))="","",INDEX(Data!$A:$G,MATCH($B876,Data!$A:$A,0),MATCH($C$7,Data!$4:$4,0))))</f>
        <v>56.1</v>
      </c>
      <c r="D876" s="148">
        <f t="shared" ca="1" si="32"/>
        <v>8.8999999999999986</v>
      </c>
      <c r="E876" s="148">
        <f t="shared" ca="1" si="33"/>
        <v>0</v>
      </c>
    </row>
    <row r="877" spans="2:5" x14ac:dyDescent="0.25">
      <c r="B877" s="8">
        <v>38471</v>
      </c>
      <c r="C877" s="6">
        <f ca="1">IF(OR($C$7="",$B877&gt;NOW()),"",IF(INDEX(Data!$A:$G,MATCH($B877,Data!$A:$A,0),MATCH($C$7,Data!$4:$4,0))="","",INDEX(Data!$A:$G,MATCH($B877,Data!$A:$A,0),MATCH($C$7,Data!$4:$4,0))))</f>
        <v>53.3</v>
      </c>
      <c r="D877" s="148">
        <f t="shared" ca="1" si="32"/>
        <v>11.700000000000003</v>
      </c>
      <c r="E877" s="148">
        <f t="shared" ca="1" si="33"/>
        <v>0</v>
      </c>
    </row>
    <row r="878" spans="2:5" x14ac:dyDescent="0.25">
      <c r="B878" s="8">
        <v>38472</v>
      </c>
      <c r="C878" s="6">
        <f ca="1">IF(OR($C$7="",$B878&gt;NOW()),"",IF(INDEX(Data!$A:$G,MATCH($B878,Data!$A:$A,0),MATCH($C$7,Data!$4:$4,0))="","",INDEX(Data!$A:$G,MATCH($B878,Data!$A:$A,0),MATCH($C$7,Data!$4:$4,0))))</f>
        <v>52.7</v>
      </c>
      <c r="D878" s="148">
        <f t="shared" ca="1" si="32"/>
        <v>12.299999999999997</v>
      </c>
      <c r="E878" s="148">
        <f t="shared" ca="1" si="33"/>
        <v>0</v>
      </c>
    </row>
    <row r="879" spans="2:5" x14ac:dyDescent="0.25">
      <c r="B879" s="8">
        <v>38473</v>
      </c>
      <c r="C879" s="6">
        <f ca="1">IF(OR($C$7="",$B879&gt;NOW()),"",IF(INDEX(Data!$A:$G,MATCH($B879,Data!$A:$A,0),MATCH($C$7,Data!$4:$4,0))="","",INDEX(Data!$A:$G,MATCH($B879,Data!$A:$A,0),MATCH($C$7,Data!$4:$4,0))))</f>
        <v>57</v>
      </c>
      <c r="D879" s="148">
        <f t="shared" ca="1" si="32"/>
        <v>8</v>
      </c>
      <c r="E879" s="148">
        <f t="shared" ca="1" si="33"/>
        <v>0</v>
      </c>
    </row>
    <row r="880" spans="2:5" x14ac:dyDescent="0.25">
      <c r="B880" s="8">
        <v>38474</v>
      </c>
      <c r="C880" s="6">
        <f ca="1">IF(OR($C$7="",$B880&gt;NOW()),"",IF(INDEX(Data!$A:$G,MATCH($B880,Data!$A:$A,0),MATCH($C$7,Data!$4:$4,0))="","",INDEX(Data!$A:$G,MATCH($B880,Data!$A:$A,0),MATCH($C$7,Data!$4:$4,0))))</f>
        <v>55.7</v>
      </c>
      <c r="D880" s="148">
        <f t="shared" ca="1" si="32"/>
        <v>9.2999999999999972</v>
      </c>
      <c r="E880" s="148">
        <f t="shared" ca="1" si="33"/>
        <v>0</v>
      </c>
    </row>
    <row r="881" spans="2:5" x14ac:dyDescent="0.25">
      <c r="B881" s="8">
        <v>38475</v>
      </c>
      <c r="C881" s="6">
        <f ca="1">IF(OR($C$7="",$B881&gt;NOW()),"",IF(INDEX(Data!$A:$G,MATCH($B881,Data!$A:$A,0),MATCH($C$7,Data!$4:$4,0))="","",INDEX(Data!$A:$G,MATCH($B881,Data!$A:$A,0),MATCH($C$7,Data!$4:$4,0))))</f>
        <v>50.3</v>
      </c>
      <c r="D881" s="148">
        <f t="shared" ca="1" si="32"/>
        <v>14.700000000000003</v>
      </c>
      <c r="E881" s="148">
        <f t="shared" ca="1" si="33"/>
        <v>0</v>
      </c>
    </row>
    <row r="882" spans="2:5" x14ac:dyDescent="0.25">
      <c r="B882" s="8">
        <v>38476</v>
      </c>
      <c r="C882" s="6">
        <f ca="1">IF(OR($C$7="",$B882&gt;NOW()),"",IF(INDEX(Data!$A:$G,MATCH($B882,Data!$A:$A,0),MATCH($C$7,Data!$4:$4,0))="","",INDEX(Data!$A:$G,MATCH($B882,Data!$A:$A,0),MATCH($C$7,Data!$4:$4,0))))</f>
        <v>53.3</v>
      </c>
      <c r="D882" s="148">
        <f t="shared" ca="1" si="32"/>
        <v>11.700000000000003</v>
      </c>
      <c r="E882" s="148">
        <f t="shared" ca="1" si="33"/>
        <v>0</v>
      </c>
    </row>
    <row r="883" spans="2:5" x14ac:dyDescent="0.25">
      <c r="B883" s="8">
        <v>38477</v>
      </c>
      <c r="C883" s="6">
        <f ca="1">IF(OR($C$7="",$B883&gt;NOW()),"",IF(INDEX(Data!$A:$G,MATCH($B883,Data!$A:$A,0),MATCH($C$7,Data!$4:$4,0))="","",INDEX(Data!$A:$G,MATCH($B883,Data!$A:$A,0),MATCH($C$7,Data!$4:$4,0))))</f>
        <v>53.6</v>
      </c>
      <c r="D883" s="148">
        <f t="shared" ca="1" si="32"/>
        <v>11.399999999999999</v>
      </c>
      <c r="E883" s="148">
        <f t="shared" ca="1" si="33"/>
        <v>0</v>
      </c>
    </row>
    <row r="884" spans="2:5" x14ac:dyDescent="0.25">
      <c r="B884" s="8">
        <v>38478</v>
      </c>
      <c r="C884" s="6">
        <f ca="1">IF(OR($C$7="",$B884&gt;NOW()),"",IF(INDEX(Data!$A:$G,MATCH($B884,Data!$A:$A,0),MATCH($C$7,Data!$4:$4,0))="","",INDEX(Data!$A:$G,MATCH($B884,Data!$A:$A,0),MATCH($C$7,Data!$4:$4,0))))</f>
        <v>50.5</v>
      </c>
      <c r="D884" s="148">
        <f t="shared" ca="1" si="32"/>
        <v>14.5</v>
      </c>
      <c r="E884" s="148">
        <f t="shared" ca="1" si="33"/>
        <v>0</v>
      </c>
    </row>
    <row r="885" spans="2:5" x14ac:dyDescent="0.25">
      <c r="B885" s="8">
        <v>38479</v>
      </c>
      <c r="C885" s="6">
        <f ca="1">IF(OR($C$7="",$B885&gt;NOW()),"",IF(INDEX(Data!$A:$G,MATCH($B885,Data!$A:$A,0),MATCH($C$7,Data!$4:$4,0))="","",INDEX(Data!$A:$G,MATCH($B885,Data!$A:$A,0),MATCH($C$7,Data!$4:$4,0))))</f>
        <v>51.4</v>
      </c>
      <c r="D885" s="148">
        <f t="shared" ca="1" si="32"/>
        <v>13.600000000000001</v>
      </c>
      <c r="E885" s="148">
        <f t="shared" ca="1" si="33"/>
        <v>0</v>
      </c>
    </row>
    <row r="886" spans="2:5" x14ac:dyDescent="0.25">
      <c r="B886" s="8">
        <v>38480</v>
      </c>
      <c r="C886" s="6">
        <f ca="1">IF(OR($C$7="",$B886&gt;NOW()),"",IF(INDEX(Data!$A:$G,MATCH($B886,Data!$A:$A,0),MATCH($C$7,Data!$4:$4,0))="","",INDEX(Data!$A:$G,MATCH($B886,Data!$A:$A,0),MATCH($C$7,Data!$4:$4,0))))</f>
        <v>54.4</v>
      </c>
      <c r="D886" s="148">
        <f t="shared" ca="1" si="32"/>
        <v>10.600000000000001</v>
      </c>
      <c r="E886" s="148">
        <f t="shared" ca="1" si="33"/>
        <v>0</v>
      </c>
    </row>
    <row r="887" spans="2:5" x14ac:dyDescent="0.25">
      <c r="B887" s="8">
        <v>38481</v>
      </c>
      <c r="C887" s="6">
        <f ca="1">IF(OR($C$7="",$B887&gt;NOW()),"",IF(INDEX(Data!$A:$G,MATCH($B887,Data!$A:$A,0),MATCH($C$7,Data!$4:$4,0))="","",INDEX(Data!$A:$G,MATCH($B887,Data!$A:$A,0),MATCH($C$7,Data!$4:$4,0))))</f>
        <v>58</v>
      </c>
      <c r="D887" s="148">
        <f t="shared" ca="1" si="32"/>
        <v>7</v>
      </c>
      <c r="E887" s="148">
        <f t="shared" ca="1" si="33"/>
        <v>0</v>
      </c>
    </row>
    <row r="888" spans="2:5" x14ac:dyDescent="0.25">
      <c r="B888" s="8">
        <v>38482</v>
      </c>
      <c r="C888" s="6">
        <f ca="1">IF(OR($C$7="",$B888&gt;NOW()),"",IF(INDEX(Data!$A:$G,MATCH($B888,Data!$A:$A,0),MATCH($C$7,Data!$4:$4,0))="","",INDEX(Data!$A:$G,MATCH($B888,Data!$A:$A,0),MATCH($C$7,Data!$4:$4,0))))</f>
        <v>56.8</v>
      </c>
      <c r="D888" s="148">
        <f t="shared" ca="1" si="32"/>
        <v>8.2000000000000028</v>
      </c>
      <c r="E888" s="148">
        <f t="shared" ca="1" si="33"/>
        <v>0</v>
      </c>
    </row>
    <row r="889" spans="2:5" x14ac:dyDescent="0.25">
      <c r="B889" s="8">
        <v>38483</v>
      </c>
      <c r="C889" s="6">
        <f ca="1">IF(OR($C$7="",$B889&gt;NOW()),"",IF(INDEX(Data!$A:$G,MATCH($B889,Data!$A:$A,0),MATCH($C$7,Data!$4:$4,0))="","",INDEX(Data!$A:$G,MATCH($B889,Data!$A:$A,0),MATCH($C$7,Data!$4:$4,0))))</f>
        <v>57.3</v>
      </c>
      <c r="D889" s="148">
        <f t="shared" ca="1" si="32"/>
        <v>7.7000000000000028</v>
      </c>
      <c r="E889" s="148">
        <f t="shared" ca="1" si="33"/>
        <v>0</v>
      </c>
    </row>
    <row r="890" spans="2:5" x14ac:dyDescent="0.25">
      <c r="B890" s="8">
        <v>38484</v>
      </c>
      <c r="C890" s="6">
        <f ca="1">IF(OR($C$7="",$B890&gt;NOW()),"",IF(INDEX(Data!$A:$G,MATCH($B890,Data!$A:$A,0),MATCH($C$7,Data!$4:$4,0))="","",INDEX(Data!$A:$G,MATCH($B890,Data!$A:$A,0),MATCH($C$7,Data!$4:$4,0))))</f>
        <v>62.2</v>
      </c>
      <c r="D890" s="148">
        <f t="shared" ca="1" si="32"/>
        <v>2.7999999999999972</v>
      </c>
      <c r="E890" s="148">
        <f t="shared" ca="1" si="33"/>
        <v>0</v>
      </c>
    </row>
    <row r="891" spans="2:5" x14ac:dyDescent="0.25">
      <c r="B891" s="8">
        <v>38485</v>
      </c>
      <c r="C891" s="6">
        <f ca="1">IF(OR($C$7="",$B891&gt;NOW()),"",IF(INDEX(Data!$A:$G,MATCH($B891,Data!$A:$A,0),MATCH($C$7,Data!$4:$4,0))="","",INDEX(Data!$A:$G,MATCH($B891,Data!$A:$A,0),MATCH($C$7,Data!$4:$4,0))))</f>
        <v>53.9</v>
      </c>
      <c r="D891" s="148">
        <f t="shared" ca="1" si="32"/>
        <v>11.100000000000001</v>
      </c>
      <c r="E891" s="148">
        <f t="shared" ca="1" si="33"/>
        <v>0</v>
      </c>
    </row>
    <row r="892" spans="2:5" x14ac:dyDescent="0.25">
      <c r="B892" s="8">
        <v>38486</v>
      </c>
      <c r="C892" s="6">
        <f ca="1">IF(OR($C$7="",$B892&gt;NOW()),"",IF(INDEX(Data!$A:$G,MATCH($B892,Data!$A:$A,0),MATCH($C$7,Data!$4:$4,0))="","",INDEX(Data!$A:$G,MATCH($B892,Data!$A:$A,0),MATCH($C$7,Data!$4:$4,0))))</f>
        <v>60.1</v>
      </c>
      <c r="D892" s="148">
        <f t="shared" ca="1" si="32"/>
        <v>4.8999999999999986</v>
      </c>
      <c r="E892" s="148">
        <f t="shared" ca="1" si="33"/>
        <v>0</v>
      </c>
    </row>
    <row r="893" spans="2:5" x14ac:dyDescent="0.25">
      <c r="B893" s="8">
        <v>38487</v>
      </c>
      <c r="C893" s="6">
        <f ca="1">IF(OR($C$7="",$B893&gt;NOW()),"",IF(INDEX(Data!$A:$G,MATCH($B893,Data!$A:$A,0),MATCH($C$7,Data!$4:$4,0))="","",INDEX(Data!$A:$G,MATCH($B893,Data!$A:$A,0),MATCH($C$7,Data!$4:$4,0))))</f>
        <v>64.400000000000006</v>
      </c>
      <c r="D893" s="148">
        <f t="shared" ca="1" si="32"/>
        <v>0.59999999999999432</v>
      </c>
      <c r="E893" s="148">
        <f t="shared" ca="1" si="33"/>
        <v>0</v>
      </c>
    </row>
    <row r="894" spans="2:5" x14ac:dyDescent="0.25">
      <c r="B894" s="8">
        <v>38488</v>
      </c>
      <c r="C894" s="6">
        <f ca="1">IF(OR($C$7="",$B894&gt;NOW()),"",IF(INDEX(Data!$A:$G,MATCH($B894,Data!$A:$A,0),MATCH($C$7,Data!$4:$4,0))="","",INDEX(Data!$A:$G,MATCH($B894,Data!$A:$A,0),MATCH($C$7,Data!$4:$4,0))))</f>
        <v>63.5</v>
      </c>
      <c r="D894" s="148">
        <f t="shared" ca="1" si="32"/>
        <v>1.5</v>
      </c>
      <c r="E894" s="148">
        <f t="shared" ca="1" si="33"/>
        <v>0</v>
      </c>
    </row>
    <row r="895" spans="2:5" x14ac:dyDescent="0.25">
      <c r="B895" s="8">
        <v>38489</v>
      </c>
      <c r="C895" s="6">
        <f ca="1">IF(OR($C$7="",$B895&gt;NOW()),"",IF(INDEX(Data!$A:$G,MATCH($B895,Data!$A:$A,0),MATCH($C$7,Data!$4:$4,0))="","",INDEX(Data!$A:$G,MATCH($B895,Data!$A:$A,0),MATCH($C$7,Data!$4:$4,0))))</f>
        <v>60.1</v>
      </c>
      <c r="D895" s="148">
        <f t="shared" ca="1" si="32"/>
        <v>4.8999999999999986</v>
      </c>
      <c r="E895" s="148">
        <f t="shared" ca="1" si="33"/>
        <v>0</v>
      </c>
    </row>
    <row r="896" spans="2:5" x14ac:dyDescent="0.25">
      <c r="B896" s="8">
        <v>38490</v>
      </c>
      <c r="C896" s="6">
        <f ca="1">IF(OR($C$7="",$B896&gt;NOW()),"",IF(INDEX(Data!$A:$G,MATCH($B896,Data!$A:$A,0),MATCH($C$7,Data!$4:$4,0))="","",INDEX(Data!$A:$G,MATCH($B896,Data!$A:$A,0),MATCH($C$7,Data!$4:$4,0))))</f>
        <v>61</v>
      </c>
      <c r="D896" s="148">
        <f t="shared" ca="1" si="32"/>
        <v>4</v>
      </c>
      <c r="E896" s="148">
        <f t="shared" ca="1" si="33"/>
        <v>0</v>
      </c>
    </row>
    <row r="897" spans="2:5" x14ac:dyDescent="0.25">
      <c r="B897" s="8">
        <v>38491</v>
      </c>
      <c r="C897" s="6">
        <f ca="1">IF(OR($C$7="",$B897&gt;NOW()),"",IF(INDEX(Data!$A:$G,MATCH($B897,Data!$A:$A,0),MATCH($C$7,Data!$4:$4,0))="","",INDEX(Data!$A:$G,MATCH($B897,Data!$A:$A,0),MATCH($C$7,Data!$4:$4,0))))</f>
        <v>60</v>
      </c>
      <c r="D897" s="148">
        <f t="shared" ca="1" si="32"/>
        <v>5</v>
      </c>
      <c r="E897" s="148">
        <f t="shared" ca="1" si="33"/>
        <v>0</v>
      </c>
    </row>
    <row r="898" spans="2:5" x14ac:dyDescent="0.25">
      <c r="B898" s="8">
        <v>38492</v>
      </c>
      <c r="C898" s="6">
        <f ca="1">IF(OR($C$7="",$B898&gt;NOW()),"",IF(INDEX(Data!$A:$G,MATCH($B898,Data!$A:$A,0),MATCH($C$7,Data!$4:$4,0))="","",INDEX(Data!$A:$G,MATCH($B898,Data!$A:$A,0),MATCH($C$7,Data!$4:$4,0))))</f>
        <v>54.8</v>
      </c>
      <c r="D898" s="148">
        <f t="shared" ca="1" si="32"/>
        <v>10.200000000000003</v>
      </c>
      <c r="E898" s="148">
        <f t="shared" ca="1" si="33"/>
        <v>0</v>
      </c>
    </row>
    <row r="899" spans="2:5" x14ac:dyDescent="0.25">
      <c r="B899" s="8">
        <v>38493</v>
      </c>
      <c r="C899" s="6">
        <f ca="1">IF(OR($C$7="",$B899&gt;NOW()),"",IF(INDEX(Data!$A:$G,MATCH($B899,Data!$A:$A,0),MATCH($C$7,Data!$4:$4,0))="","",INDEX(Data!$A:$G,MATCH($B899,Data!$A:$A,0),MATCH($C$7,Data!$4:$4,0))))</f>
        <v>57.8</v>
      </c>
      <c r="D899" s="148">
        <f t="shared" ca="1" si="32"/>
        <v>7.2000000000000028</v>
      </c>
      <c r="E899" s="148">
        <f t="shared" ca="1" si="33"/>
        <v>0</v>
      </c>
    </row>
    <row r="900" spans="2:5" x14ac:dyDescent="0.25">
      <c r="B900" s="8">
        <v>38494</v>
      </c>
      <c r="C900" s="6">
        <f ca="1">IF(OR($C$7="",$B900&gt;NOW()),"",IF(INDEX(Data!$A:$G,MATCH($B900,Data!$A:$A,0),MATCH($C$7,Data!$4:$4,0))="","",INDEX(Data!$A:$G,MATCH($B900,Data!$A:$A,0),MATCH($C$7,Data!$4:$4,0))))</f>
        <v>55</v>
      </c>
      <c r="D900" s="148">
        <f t="shared" ca="1" si="32"/>
        <v>10</v>
      </c>
      <c r="E900" s="148">
        <f t="shared" ca="1" si="33"/>
        <v>0</v>
      </c>
    </row>
    <row r="901" spans="2:5" x14ac:dyDescent="0.25">
      <c r="B901" s="8">
        <v>38495</v>
      </c>
      <c r="C901" s="6">
        <f ca="1">IF(OR($C$7="",$B901&gt;NOW()),"",IF(INDEX(Data!$A:$G,MATCH($B901,Data!$A:$A,0),MATCH($C$7,Data!$4:$4,0))="","",INDEX(Data!$A:$G,MATCH($B901,Data!$A:$A,0),MATCH($C$7,Data!$4:$4,0))))</f>
        <v>55.9</v>
      </c>
      <c r="D901" s="148">
        <f t="shared" ca="1" si="32"/>
        <v>9.1000000000000014</v>
      </c>
      <c r="E901" s="148">
        <f t="shared" ca="1" si="33"/>
        <v>0</v>
      </c>
    </row>
    <row r="902" spans="2:5" x14ac:dyDescent="0.25">
      <c r="B902" s="8">
        <v>38496</v>
      </c>
      <c r="C902" s="6">
        <f ca="1">IF(OR($C$7="",$B902&gt;NOW()),"",IF(INDEX(Data!$A:$G,MATCH($B902,Data!$A:$A,0),MATCH($C$7,Data!$4:$4,0))="","",INDEX(Data!$A:$G,MATCH($B902,Data!$A:$A,0),MATCH($C$7,Data!$4:$4,0))))</f>
        <v>54.8</v>
      </c>
      <c r="D902" s="148">
        <f t="shared" ca="1" si="32"/>
        <v>10.200000000000003</v>
      </c>
      <c r="E902" s="148">
        <f t="shared" ca="1" si="33"/>
        <v>0</v>
      </c>
    </row>
    <row r="903" spans="2:5" x14ac:dyDescent="0.25">
      <c r="B903" s="8">
        <v>38497</v>
      </c>
      <c r="C903" s="6">
        <f ca="1">IF(OR($C$7="",$B903&gt;NOW()),"",IF(INDEX(Data!$A:$G,MATCH($B903,Data!$A:$A,0),MATCH($C$7,Data!$4:$4,0))="","",INDEX(Data!$A:$G,MATCH($B903,Data!$A:$A,0),MATCH($C$7,Data!$4:$4,0))))</f>
        <v>50.6</v>
      </c>
      <c r="D903" s="148">
        <f t="shared" ca="1" si="32"/>
        <v>14.399999999999999</v>
      </c>
      <c r="E903" s="148">
        <f t="shared" ca="1" si="33"/>
        <v>0</v>
      </c>
    </row>
    <row r="904" spans="2:5" x14ac:dyDescent="0.25">
      <c r="B904" s="8">
        <v>38498</v>
      </c>
      <c r="C904" s="6">
        <f ca="1">IF(OR($C$7="",$B904&gt;NOW()),"",IF(INDEX(Data!$A:$G,MATCH($B904,Data!$A:$A,0),MATCH($C$7,Data!$4:$4,0))="","",INDEX(Data!$A:$G,MATCH($B904,Data!$A:$A,0),MATCH($C$7,Data!$4:$4,0))))</f>
        <v>55.3</v>
      </c>
      <c r="D904" s="148">
        <f t="shared" ca="1" si="32"/>
        <v>9.7000000000000028</v>
      </c>
      <c r="E904" s="148">
        <f t="shared" ca="1" si="33"/>
        <v>0</v>
      </c>
    </row>
    <row r="905" spans="2:5" x14ac:dyDescent="0.25">
      <c r="B905" s="8">
        <v>38499</v>
      </c>
      <c r="C905" s="6">
        <f ca="1">IF(OR($C$7="",$B905&gt;NOW()),"",IF(INDEX(Data!$A:$G,MATCH($B905,Data!$A:$A,0),MATCH($C$7,Data!$4:$4,0))="","",INDEX(Data!$A:$G,MATCH($B905,Data!$A:$A,0),MATCH($C$7,Data!$4:$4,0))))</f>
        <v>63.3</v>
      </c>
      <c r="D905" s="148">
        <f t="shared" ca="1" si="32"/>
        <v>1.7000000000000028</v>
      </c>
      <c r="E905" s="148">
        <f t="shared" ca="1" si="33"/>
        <v>0</v>
      </c>
    </row>
    <row r="906" spans="2:5" x14ac:dyDescent="0.25">
      <c r="B906" s="8">
        <v>38500</v>
      </c>
      <c r="C906" s="6">
        <f ca="1">IF(OR($C$7="",$B906&gt;NOW()),"",IF(INDEX(Data!$A:$G,MATCH($B906,Data!$A:$A,0),MATCH($C$7,Data!$4:$4,0))="","",INDEX(Data!$A:$G,MATCH($B906,Data!$A:$A,0),MATCH($C$7,Data!$4:$4,0))))</f>
        <v>67.3</v>
      </c>
      <c r="D906" s="148">
        <f t="shared" ca="1" si="32"/>
        <v>0</v>
      </c>
      <c r="E906" s="148">
        <f t="shared" ca="1" si="33"/>
        <v>2.2999999999999972</v>
      </c>
    </row>
    <row r="907" spans="2:5" x14ac:dyDescent="0.25">
      <c r="B907" s="8">
        <v>38501</v>
      </c>
      <c r="C907" s="6">
        <f ca="1">IF(OR($C$7="",$B907&gt;NOW()),"",IF(INDEX(Data!$A:$G,MATCH($B907,Data!$A:$A,0),MATCH($C$7,Data!$4:$4,0))="","",INDEX(Data!$A:$G,MATCH($B907,Data!$A:$A,0),MATCH($C$7,Data!$4:$4,0))))</f>
        <v>64.599999999999994</v>
      </c>
      <c r="D907" s="148">
        <f t="shared" ca="1" si="32"/>
        <v>0.40000000000000568</v>
      </c>
      <c r="E907" s="148">
        <f t="shared" ca="1" si="33"/>
        <v>0</v>
      </c>
    </row>
    <row r="908" spans="2:5" x14ac:dyDescent="0.25">
      <c r="B908" s="8">
        <v>38502</v>
      </c>
      <c r="C908" s="6">
        <f ca="1">IF(OR($C$7="",$B908&gt;NOW()),"",IF(INDEX(Data!$A:$G,MATCH($B908,Data!$A:$A,0),MATCH($C$7,Data!$4:$4,0))="","",INDEX(Data!$A:$G,MATCH($B908,Data!$A:$A,0),MATCH($C$7,Data!$4:$4,0))))</f>
        <v>67.7</v>
      </c>
      <c r="D908" s="148">
        <f t="shared" ca="1" si="32"/>
        <v>0</v>
      </c>
      <c r="E908" s="148">
        <f t="shared" ca="1" si="33"/>
        <v>2.7000000000000028</v>
      </c>
    </row>
    <row r="909" spans="2:5" x14ac:dyDescent="0.25">
      <c r="B909" s="8">
        <v>38503</v>
      </c>
      <c r="C909" s="6">
        <f ca="1">IF(OR($C$7="",$B909&gt;NOW()),"",IF(INDEX(Data!$A:$G,MATCH($B909,Data!$A:$A,0),MATCH($C$7,Data!$4:$4,0))="","",INDEX(Data!$A:$G,MATCH($B909,Data!$A:$A,0),MATCH($C$7,Data!$4:$4,0))))</f>
        <v>67.5</v>
      </c>
      <c r="D909" s="148">
        <f t="shared" ca="1" si="32"/>
        <v>0</v>
      </c>
      <c r="E909" s="148">
        <f t="shared" ca="1" si="33"/>
        <v>2.5</v>
      </c>
    </row>
    <row r="910" spans="2:5" x14ac:dyDescent="0.25">
      <c r="B910" s="8">
        <v>38504</v>
      </c>
      <c r="C910" s="6">
        <f ca="1">IF(OR($C$7="",$B910&gt;NOW()),"",IF(INDEX(Data!$A:$G,MATCH($B910,Data!$A:$A,0),MATCH($C$7,Data!$4:$4,0))="","",INDEX(Data!$A:$G,MATCH($B910,Data!$A:$A,0),MATCH($C$7,Data!$4:$4,0))))</f>
        <v>61</v>
      </c>
      <c r="D910" s="148">
        <f t="shared" ca="1" si="32"/>
        <v>4</v>
      </c>
      <c r="E910" s="148">
        <f t="shared" ca="1" si="33"/>
        <v>0</v>
      </c>
    </row>
    <row r="911" spans="2:5" x14ac:dyDescent="0.25">
      <c r="B911" s="8">
        <v>38505</v>
      </c>
      <c r="C911" s="6">
        <f ca="1">IF(OR($C$7="",$B911&gt;NOW()),"",IF(INDEX(Data!$A:$G,MATCH($B911,Data!$A:$A,0),MATCH($C$7,Data!$4:$4,0))="","",INDEX(Data!$A:$G,MATCH($B911,Data!$A:$A,0),MATCH($C$7,Data!$4:$4,0))))</f>
        <v>58.2</v>
      </c>
      <c r="D911" s="148">
        <f t="shared" ca="1" si="32"/>
        <v>6.7999999999999972</v>
      </c>
      <c r="E911" s="148">
        <f t="shared" ca="1" si="33"/>
        <v>0</v>
      </c>
    </row>
    <row r="912" spans="2:5" x14ac:dyDescent="0.25">
      <c r="B912" s="8">
        <v>38506</v>
      </c>
      <c r="C912" s="6">
        <f ca="1">IF(OR($C$7="",$B912&gt;NOW()),"",IF(INDEX(Data!$A:$G,MATCH($B912,Data!$A:$A,0),MATCH($C$7,Data!$4:$4,0))="","",INDEX(Data!$A:$G,MATCH($B912,Data!$A:$A,0),MATCH($C$7,Data!$4:$4,0))))</f>
        <v>60.9</v>
      </c>
      <c r="D912" s="148">
        <f t="shared" ca="1" si="32"/>
        <v>4.1000000000000014</v>
      </c>
      <c r="E912" s="148">
        <f t="shared" ca="1" si="33"/>
        <v>0</v>
      </c>
    </row>
    <row r="913" spans="2:5" x14ac:dyDescent="0.25">
      <c r="B913" s="8">
        <v>38507</v>
      </c>
      <c r="C913" s="6">
        <f ca="1">IF(OR($C$7="",$B913&gt;NOW()),"",IF(INDEX(Data!$A:$G,MATCH($B913,Data!$A:$A,0),MATCH($C$7,Data!$4:$4,0))="","",INDEX(Data!$A:$G,MATCH($B913,Data!$A:$A,0),MATCH($C$7,Data!$4:$4,0))))</f>
        <v>68</v>
      </c>
      <c r="D913" s="148">
        <f t="shared" ca="1" si="32"/>
        <v>0</v>
      </c>
      <c r="E913" s="148">
        <f t="shared" ca="1" si="33"/>
        <v>3</v>
      </c>
    </row>
    <row r="914" spans="2:5" x14ac:dyDescent="0.25">
      <c r="B914" s="8">
        <v>38508</v>
      </c>
      <c r="C914" s="6">
        <f ca="1">IF(OR($C$7="",$B914&gt;NOW()),"",IF(INDEX(Data!$A:$G,MATCH($B914,Data!$A:$A,0),MATCH($C$7,Data!$4:$4,0))="","",INDEX(Data!$A:$G,MATCH($B914,Data!$A:$A,0),MATCH($C$7,Data!$4:$4,0))))</f>
        <v>78</v>
      </c>
      <c r="D914" s="148">
        <f t="shared" ca="1" si="32"/>
        <v>0</v>
      </c>
      <c r="E914" s="148">
        <f t="shared" ca="1" si="33"/>
        <v>13</v>
      </c>
    </row>
    <row r="915" spans="2:5" x14ac:dyDescent="0.25">
      <c r="B915" s="8">
        <v>38509</v>
      </c>
      <c r="C915" s="6">
        <f ca="1">IF(OR($C$7="",$B915&gt;NOW()),"",IF(INDEX(Data!$A:$G,MATCH($B915,Data!$A:$A,0),MATCH($C$7,Data!$4:$4,0))="","",INDEX(Data!$A:$G,MATCH($B915,Data!$A:$A,0),MATCH($C$7,Data!$4:$4,0))))</f>
        <v>74.2</v>
      </c>
      <c r="D915" s="148">
        <f t="shared" ca="1" si="32"/>
        <v>0</v>
      </c>
      <c r="E915" s="148">
        <f t="shared" ca="1" si="33"/>
        <v>9.2000000000000028</v>
      </c>
    </row>
    <row r="916" spans="2:5" x14ac:dyDescent="0.25">
      <c r="B916" s="8">
        <v>38510</v>
      </c>
      <c r="C916" s="6">
        <f ca="1">IF(OR($C$7="",$B916&gt;NOW()),"",IF(INDEX(Data!$A:$G,MATCH($B916,Data!$A:$A,0),MATCH($C$7,Data!$4:$4,0))="","",INDEX(Data!$A:$G,MATCH($B916,Data!$A:$A,0),MATCH($C$7,Data!$4:$4,0))))</f>
        <v>76.2</v>
      </c>
      <c r="D916" s="148">
        <f t="shared" ca="1" si="32"/>
        <v>0</v>
      </c>
      <c r="E916" s="148">
        <f t="shared" ca="1" si="33"/>
        <v>11.200000000000003</v>
      </c>
    </row>
    <row r="917" spans="2:5" x14ac:dyDescent="0.25">
      <c r="B917" s="8">
        <v>38511</v>
      </c>
      <c r="C917" s="6">
        <f ca="1">IF(OR($C$7="",$B917&gt;NOW()),"",IF(INDEX(Data!$A:$G,MATCH($B917,Data!$A:$A,0),MATCH($C$7,Data!$4:$4,0))="","",INDEX(Data!$A:$G,MATCH($B917,Data!$A:$A,0),MATCH($C$7,Data!$4:$4,0))))</f>
        <v>83.5</v>
      </c>
      <c r="D917" s="148">
        <f t="shared" ca="1" si="32"/>
        <v>0</v>
      </c>
      <c r="E917" s="148">
        <f t="shared" ca="1" si="33"/>
        <v>18.5</v>
      </c>
    </row>
    <row r="918" spans="2:5" x14ac:dyDescent="0.25">
      <c r="B918" s="8">
        <v>38512</v>
      </c>
      <c r="C918" s="6">
        <f ca="1">IF(OR($C$7="",$B918&gt;NOW()),"",IF(INDEX(Data!$A:$G,MATCH($B918,Data!$A:$A,0),MATCH($C$7,Data!$4:$4,0))="","",INDEX(Data!$A:$G,MATCH($B918,Data!$A:$A,0),MATCH($C$7,Data!$4:$4,0))))</f>
        <v>82.2</v>
      </c>
      <c r="D918" s="148">
        <f t="shared" ca="1" si="32"/>
        <v>0</v>
      </c>
      <c r="E918" s="148">
        <f t="shared" ca="1" si="33"/>
        <v>17.200000000000003</v>
      </c>
    </row>
    <row r="919" spans="2:5" x14ac:dyDescent="0.25">
      <c r="B919" s="8">
        <v>38513</v>
      </c>
      <c r="C919" s="6">
        <f ca="1">IF(OR($C$7="",$B919&gt;NOW()),"",IF(INDEX(Data!$A:$G,MATCH($B919,Data!$A:$A,0),MATCH($C$7,Data!$4:$4,0))="","",INDEX(Data!$A:$G,MATCH($B919,Data!$A:$A,0),MATCH($C$7,Data!$4:$4,0))))</f>
        <v>73.900000000000006</v>
      </c>
      <c r="D919" s="148">
        <f t="shared" ca="1" si="32"/>
        <v>0</v>
      </c>
      <c r="E919" s="148">
        <f t="shared" ca="1" si="33"/>
        <v>8.9000000000000057</v>
      </c>
    </row>
    <row r="920" spans="2:5" x14ac:dyDescent="0.25">
      <c r="B920" s="8">
        <v>38514</v>
      </c>
      <c r="C920" s="6">
        <f ca="1">IF(OR($C$7="",$B920&gt;NOW()),"",IF(INDEX(Data!$A:$G,MATCH($B920,Data!$A:$A,0),MATCH($C$7,Data!$4:$4,0))="","",INDEX(Data!$A:$G,MATCH($B920,Data!$A:$A,0),MATCH($C$7,Data!$4:$4,0))))</f>
        <v>76.5</v>
      </c>
      <c r="D920" s="148">
        <f t="shared" ca="1" si="32"/>
        <v>0</v>
      </c>
      <c r="E920" s="148">
        <f t="shared" ca="1" si="33"/>
        <v>11.5</v>
      </c>
    </row>
    <row r="921" spans="2:5" x14ac:dyDescent="0.25">
      <c r="B921" s="8">
        <v>38515</v>
      </c>
      <c r="C921" s="6">
        <f ca="1">IF(OR($C$7="",$B921&gt;NOW()),"",IF(INDEX(Data!$A:$G,MATCH($B921,Data!$A:$A,0),MATCH($C$7,Data!$4:$4,0))="","",INDEX(Data!$A:$G,MATCH($B921,Data!$A:$A,0),MATCH($C$7,Data!$4:$4,0))))</f>
        <v>80.400000000000006</v>
      </c>
      <c r="D921" s="148">
        <f t="shared" ca="1" si="32"/>
        <v>0</v>
      </c>
      <c r="E921" s="148">
        <f t="shared" ca="1" si="33"/>
        <v>15.400000000000006</v>
      </c>
    </row>
    <row r="922" spans="2:5" x14ac:dyDescent="0.25">
      <c r="B922" s="8">
        <v>38516</v>
      </c>
      <c r="C922" s="6">
        <f ca="1">IF(OR($C$7="",$B922&gt;NOW()),"",IF(INDEX(Data!$A:$G,MATCH($B922,Data!$A:$A,0),MATCH($C$7,Data!$4:$4,0))="","",INDEX(Data!$A:$G,MATCH($B922,Data!$A:$A,0),MATCH($C$7,Data!$4:$4,0))))</f>
        <v>82.9</v>
      </c>
      <c r="D922" s="148">
        <f t="shared" ca="1" si="32"/>
        <v>0</v>
      </c>
      <c r="E922" s="148">
        <f t="shared" ca="1" si="33"/>
        <v>17.900000000000006</v>
      </c>
    </row>
    <row r="923" spans="2:5" x14ac:dyDescent="0.25">
      <c r="B923" s="8">
        <v>38517</v>
      </c>
      <c r="C923" s="6">
        <f ca="1">IF(OR($C$7="",$B923&gt;NOW()),"",IF(INDEX(Data!$A:$G,MATCH($B923,Data!$A:$A,0),MATCH($C$7,Data!$4:$4,0))="","",INDEX(Data!$A:$G,MATCH($B923,Data!$A:$A,0),MATCH($C$7,Data!$4:$4,0))))</f>
        <v>85.3</v>
      </c>
      <c r="D923" s="148">
        <f t="shared" ca="1" si="32"/>
        <v>0</v>
      </c>
      <c r="E923" s="148">
        <f t="shared" ca="1" si="33"/>
        <v>20.299999999999997</v>
      </c>
    </row>
    <row r="924" spans="2:5" x14ac:dyDescent="0.25">
      <c r="B924" s="8">
        <v>38518</v>
      </c>
      <c r="C924" s="6">
        <f ca="1">IF(OR($C$7="",$B924&gt;NOW()),"",IF(INDEX(Data!$A:$G,MATCH($B924,Data!$A:$A,0),MATCH($C$7,Data!$4:$4,0))="","",INDEX(Data!$A:$G,MATCH($B924,Data!$A:$A,0),MATCH($C$7,Data!$4:$4,0))))</f>
        <v>76.8</v>
      </c>
      <c r="D924" s="148">
        <f t="shared" ca="1" si="32"/>
        <v>0</v>
      </c>
      <c r="E924" s="148">
        <f t="shared" ca="1" si="33"/>
        <v>11.799999999999997</v>
      </c>
    </row>
    <row r="925" spans="2:5" x14ac:dyDescent="0.25">
      <c r="B925" s="8">
        <v>38519</v>
      </c>
      <c r="C925" s="6">
        <f ca="1">IF(OR($C$7="",$B925&gt;NOW()),"",IF(INDEX(Data!$A:$G,MATCH($B925,Data!$A:$A,0),MATCH($C$7,Data!$4:$4,0))="","",INDEX(Data!$A:$G,MATCH($B925,Data!$A:$A,0),MATCH($C$7,Data!$4:$4,0))))</f>
        <v>66.2</v>
      </c>
      <c r="D925" s="148">
        <f t="shared" ref="D925:D988" ca="1" si="34">IF($C925="","",IF($C925&gt;$D$26,0,$D$26-$C925))</f>
        <v>0</v>
      </c>
      <c r="E925" s="148">
        <f t="shared" ref="E925:E988" ca="1" si="35">IF($C925="","",IF($C925&lt;$E$26,0,$C925-$E$26))</f>
        <v>1.2000000000000028</v>
      </c>
    </row>
    <row r="926" spans="2:5" x14ac:dyDescent="0.25">
      <c r="B926" s="8">
        <v>38520</v>
      </c>
      <c r="C926" s="6">
        <f ca="1">IF(OR($C$7="",$B926&gt;NOW()),"",IF(INDEX(Data!$A:$G,MATCH($B926,Data!$A:$A,0),MATCH($C$7,Data!$4:$4,0))="","",INDEX(Data!$A:$G,MATCH($B926,Data!$A:$A,0),MATCH($C$7,Data!$4:$4,0))))</f>
        <v>67.599999999999994</v>
      </c>
      <c r="D926" s="148">
        <f t="shared" ca="1" si="34"/>
        <v>0</v>
      </c>
      <c r="E926" s="148">
        <f t="shared" ca="1" si="35"/>
        <v>2.5999999999999943</v>
      </c>
    </row>
    <row r="927" spans="2:5" x14ac:dyDescent="0.25">
      <c r="B927" s="8">
        <v>38521</v>
      </c>
      <c r="C927" s="6">
        <f ca="1">IF(OR($C$7="",$B927&gt;NOW()),"",IF(INDEX(Data!$A:$G,MATCH($B927,Data!$A:$A,0),MATCH($C$7,Data!$4:$4,0))="","",INDEX(Data!$A:$G,MATCH($B927,Data!$A:$A,0),MATCH($C$7,Data!$4:$4,0))))</f>
        <v>69.3</v>
      </c>
      <c r="D927" s="148">
        <f t="shared" ca="1" si="34"/>
        <v>0</v>
      </c>
      <c r="E927" s="148">
        <f t="shared" ca="1" si="35"/>
        <v>4.2999999999999972</v>
      </c>
    </row>
    <row r="928" spans="2:5" x14ac:dyDescent="0.25">
      <c r="B928" s="8">
        <v>38522</v>
      </c>
      <c r="C928" s="6">
        <f ca="1">IF(OR($C$7="",$B928&gt;NOW()),"",IF(INDEX(Data!$A:$G,MATCH($B928,Data!$A:$A,0),MATCH($C$7,Data!$4:$4,0))="","",INDEX(Data!$A:$G,MATCH($B928,Data!$A:$A,0),MATCH($C$7,Data!$4:$4,0))))</f>
        <v>66.8</v>
      </c>
      <c r="D928" s="148">
        <f t="shared" ca="1" si="34"/>
        <v>0</v>
      </c>
      <c r="E928" s="148">
        <f t="shared" ca="1" si="35"/>
        <v>1.7999999999999972</v>
      </c>
    </row>
    <row r="929" spans="2:5" x14ac:dyDescent="0.25">
      <c r="B929" s="8">
        <v>38523</v>
      </c>
      <c r="C929" s="6">
        <f ca="1">IF(OR($C$7="",$B929&gt;NOW()),"",IF(INDEX(Data!$A:$G,MATCH($B929,Data!$A:$A,0),MATCH($C$7,Data!$4:$4,0))="","",INDEX(Data!$A:$G,MATCH($B929,Data!$A:$A,0),MATCH($C$7,Data!$4:$4,0))))</f>
        <v>65.8</v>
      </c>
      <c r="D929" s="148">
        <f t="shared" ca="1" si="34"/>
        <v>0</v>
      </c>
      <c r="E929" s="148">
        <f t="shared" ca="1" si="35"/>
        <v>0.79999999999999716</v>
      </c>
    </row>
    <row r="930" spans="2:5" x14ac:dyDescent="0.25">
      <c r="B930" s="8">
        <v>38524</v>
      </c>
      <c r="C930" s="6">
        <f ca="1">IF(OR($C$7="",$B930&gt;NOW()),"",IF(INDEX(Data!$A:$G,MATCH($B930,Data!$A:$A,0),MATCH($C$7,Data!$4:$4,0))="","",INDEX(Data!$A:$G,MATCH($B930,Data!$A:$A,0),MATCH($C$7,Data!$4:$4,0))))</f>
        <v>70.400000000000006</v>
      </c>
      <c r="D930" s="148">
        <f t="shared" ca="1" si="34"/>
        <v>0</v>
      </c>
      <c r="E930" s="148">
        <f t="shared" ca="1" si="35"/>
        <v>5.4000000000000057</v>
      </c>
    </row>
    <row r="931" spans="2:5" x14ac:dyDescent="0.25">
      <c r="B931" s="8">
        <v>38525</v>
      </c>
      <c r="C931" s="6">
        <f ca="1">IF(OR($C$7="",$B931&gt;NOW()),"",IF(INDEX(Data!$A:$G,MATCH($B931,Data!$A:$A,0),MATCH($C$7,Data!$4:$4,0))="","",INDEX(Data!$A:$G,MATCH($B931,Data!$A:$A,0),MATCH($C$7,Data!$4:$4,0))))</f>
        <v>73.900000000000006</v>
      </c>
      <c r="D931" s="148">
        <f t="shared" ca="1" si="34"/>
        <v>0</v>
      </c>
      <c r="E931" s="148">
        <f t="shared" ca="1" si="35"/>
        <v>8.9000000000000057</v>
      </c>
    </row>
    <row r="932" spans="2:5" x14ac:dyDescent="0.25">
      <c r="B932" s="8">
        <v>38526</v>
      </c>
      <c r="C932" s="6">
        <f ca="1">IF(OR($C$7="",$B932&gt;NOW()),"",IF(INDEX(Data!$A:$G,MATCH($B932,Data!$A:$A,0),MATCH($C$7,Data!$4:$4,0))="","",INDEX(Data!$A:$G,MATCH($B932,Data!$A:$A,0),MATCH($C$7,Data!$4:$4,0))))</f>
        <v>69.3</v>
      </c>
      <c r="D932" s="148">
        <f t="shared" ca="1" si="34"/>
        <v>0</v>
      </c>
      <c r="E932" s="148">
        <f t="shared" ca="1" si="35"/>
        <v>4.2999999999999972</v>
      </c>
    </row>
    <row r="933" spans="2:5" x14ac:dyDescent="0.25">
      <c r="B933" s="8">
        <v>38527</v>
      </c>
      <c r="C933" s="6">
        <f ca="1">IF(OR($C$7="",$B933&gt;NOW()),"",IF(INDEX(Data!$A:$G,MATCH($B933,Data!$A:$A,0),MATCH($C$7,Data!$4:$4,0))="","",INDEX(Data!$A:$G,MATCH($B933,Data!$A:$A,0),MATCH($C$7,Data!$4:$4,0))))</f>
        <v>72.900000000000006</v>
      </c>
      <c r="D933" s="148">
        <f t="shared" ca="1" si="34"/>
        <v>0</v>
      </c>
      <c r="E933" s="148">
        <f t="shared" ca="1" si="35"/>
        <v>7.9000000000000057</v>
      </c>
    </row>
    <row r="934" spans="2:5" x14ac:dyDescent="0.25">
      <c r="B934" s="8">
        <v>38528</v>
      </c>
      <c r="C934" s="6">
        <f ca="1">IF(OR($C$7="",$B934&gt;NOW()),"",IF(INDEX(Data!$A:$G,MATCH($B934,Data!$A:$A,0),MATCH($C$7,Data!$4:$4,0))="","",INDEX(Data!$A:$G,MATCH($B934,Data!$A:$A,0),MATCH($C$7,Data!$4:$4,0))))</f>
        <v>79.099999999999994</v>
      </c>
      <c r="D934" s="148">
        <f t="shared" ca="1" si="34"/>
        <v>0</v>
      </c>
      <c r="E934" s="148">
        <f t="shared" ca="1" si="35"/>
        <v>14.099999999999994</v>
      </c>
    </row>
    <row r="935" spans="2:5" x14ac:dyDescent="0.25">
      <c r="B935" s="8">
        <v>38529</v>
      </c>
      <c r="C935" s="6">
        <f ca="1">IF(OR($C$7="",$B935&gt;NOW()),"",IF(INDEX(Data!$A:$G,MATCH($B935,Data!$A:$A,0),MATCH($C$7,Data!$4:$4,0))="","",INDEX(Data!$A:$G,MATCH($B935,Data!$A:$A,0),MATCH($C$7,Data!$4:$4,0))))</f>
        <v>82</v>
      </c>
      <c r="D935" s="148">
        <f t="shared" ca="1" si="34"/>
        <v>0</v>
      </c>
      <c r="E935" s="148">
        <f t="shared" ca="1" si="35"/>
        <v>17</v>
      </c>
    </row>
    <row r="936" spans="2:5" x14ac:dyDescent="0.25">
      <c r="B936" s="8">
        <v>38530</v>
      </c>
      <c r="C936" s="6">
        <f ca="1">IF(OR($C$7="",$B936&gt;NOW()),"",IF(INDEX(Data!$A:$G,MATCH($B936,Data!$A:$A,0),MATCH($C$7,Data!$4:$4,0))="","",INDEX(Data!$A:$G,MATCH($B936,Data!$A:$A,0),MATCH($C$7,Data!$4:$4,0))))</f>
        <v>73.8</v>
      </c>
      <c r="D936" s="148">
        <f t="shared" ca="1" si="34"/>
        <v>0</v>
      </c>
      <c r="E936" s="148">
        <f t="shared" ca="1" si="35"/>
        <v>8.7999999999999972</v>
      </c>
    </row>
    <row r="937" spans="2:5" x14ac:dyDescent="0.25">
      <c r="B937" s="8">
        <v>38531</v>
      </c>
      <c r="C937" s="6">
        <f ca="1">IF(OR($C$7="",$B937&gt;NOW()),"",IF(INDEX(Data!$A:$G,MATCH($B937,Data!$A:$A,0),MATCH($C$7,Data!$4:$4,0))="","",INDEX(Data!$A:$G,MATCH($B937,Data!$A:$A,0),MATCH($C$7,Data!$4:$4,0))))</f>
        <v>76</v>
      </c>
      <c r="D937" s="148">
        <f t="shared" ca="1" si="34"/>
        <v>0</v>
      </c>
      <c r="E937" s="148">
        <f t="shared" ca="1" si="35"/>
        <v>11</v>
      </c>
    </row>
    <row r="938" spans="2:5" x14ac:dyDescent="0.25">
      <c r="B938" s="8">
        <v>38532</v>
      </c>
      <c r="C938" s="6">
        <f ca="1">IF(OR($C$7="",$B938&gt;NOW()),"",IF(INDEX(Data!$A:$G,MATCH($B938,Data!$A:$A,0),MATCH($C$7,Data!$4:$4,0))="","",INDEX(Data!$A:$G,MATCH($B938,Data!$A:$A,0),MATCH($C$7,Data!$4:$4,0))))</f>
        <v>80.2</v>
      </c>
      <c r="D938" s="148">
        <f t="shared" ca="1" si="34"/>
        <v>0</v>
      </c>
      <c r="E938" s="148">
        <f t="shared" ca="1" si="35"/>
        <v>15.200000000000003</v>
      </c>
    </row>
    <row r="939" spans="2:5" x14ac:dyDescent="0.25">
      <c r="B939" s="8">
        <v>38533</v>
      </c>
      <c r="C939" s="6">
        <f ca="1">IF(OR($C$7="",$B939&gt;NOW()),"",IF(INDEX(Data!$A:$G,MATCH($B939,Data!$A:$A,0),MATCH($C$7,Data!$4:$4,0))="","",INDEX(Data!$A:$G,MATCH($B939,Data!$A:$A,0),MATCH($C$7,Data!$4:$4,0))))</f>
        <v>74.8</v>
      </c>
      <c r="D939" s="148">
        <f t="shared" ca="1" si="34"/>
        <v>0</v>
      </c>
      <c r="E939" s="148">
        <f t="shared" ca="1" si="35"/>
        <v>9.7999999999999972</v>
      </c>
    </row>
    <row r="940" spans="2:5" x14ac:dyDescent="0.25">
      <c r="B940" s="8">
        <v>38534</v>
      </c>
      <c r="C940" s="6">
        <f ca="1">IF(OR($C$7="",$B940&gt;NOW()),"",IF(INDEX(Data!$A:$G,MATCH($B940,Data!$A:$A,0),MATCH($C$7,Data!$4:$4,0))="","",INDEX(Data!$A:$G,MATCH($B940,Data!$A:$A,0),MATCH($C$7,Data!$4:$4,0))))</f>
        <v>73.8</v>
      </c>
      <c r="D940" s="148">
        <f t="shared" ca="1" si="34"/>
        <v>0</v>
      </c>
      <c r="E940" s="148">
        <f t="shared" ca="1" si="35"/>
        <v>8.7999999999999972</v>
      </c>
    </row>
    <row r="941" spans="2:5" x14ac:dyDescent="0.25">
      <c r="B941" s="8">
        <v>38535</v>
      </c>
      <c r="C941" s="6">
        <f ca="1">IF(OR($C$7="",$B941&gt;NOW()),"",IF(INDEX(Data!$A:$G,MATCH($B941,Data!$A:$A,0),MATCH($C$7,Data!$4:$4,0))="","",INDEX(Data!$A:$G,MATCH($B941,Data!$A:$A,0),MATCH($C$7,Data!$4:$4,0))))</f>
        <v>76.3</v>
      </c>
      <c r="D941" s="148">
        <f t="shared" ca="1" si="34"/>
        <v>0</v>
      </c>
      <c r="E941" s="148">
        <f t="shared" ca="1" si="35"/>
        <v>11.299999999999997</v>
      </c>
    </row>
    <row r="942" spans="2:5" x14ac:dyDescent="0.25">
      <c r="B942" s="8">
        <v>38536</v>
      </c>
      <c r="C942" s="6">
        <f ca="1">IF(OR($C$7="",$B942&gt;NOW()),"",IF(INDEX(Data!$A:$G,MATCH($B942,Data!$A:$A,0),MATCH($C$7,Data!$4:$4,0))="","",INDEX(Data!$A:$G,MATCH($B942,Data!$A:$A,0),MATCH($C$7,Data!$4:$4,0))))</f>
        <v>71.900000000000006</v>
      </c>
      <c r="D942" s="148">
        <f t="shared" ca="1" si="34"/>
        <v>0</v>
      </c>
      <c r="E942" s="148">
        <f t="shared" ca="1" si="35"/>
        <v>6.9000000000000057</v>
      </c>
    </row>
    <row r="943" spans="2:5" x14ac:dyDescent="0.25">
      <c r="B943" s="8">
        <v>38537</v>
      </c>
      <c r="C943" s="6">
        <f ca="1">IF(OR($C$7="",$B943&gt;NOW()),"",IF(INDEX(Data!$A:$G,MATCH($B943,Data!$A:$A,0),MATCH($C$7,Data!$4:$4,0))="","",INDEX(Data!$A:$G,MATCH($B943,Data!$A:$A,0),MATCH($C$7,Data!$4:$4,0))))</f>
        <v>71.5</v>
      </c>
      <c r="D943" s="148">
        <f t="shared" ca="1" si="34"/>
        <v>0</v>
      </c>
      <c r="E943" s="148">
        <f t="shared" ca="1" si="35"/>
        <v>6.5</v>
      </c>
    </row>
    <row r="944" spans="2:5" x14ac:dyDescent="0.25">
      <c r="B944" s="8">
        <v>38538</v>
      </c>
      <c r="C944" s="6">
        <f ca="1">IF(OR($C$7="",$B944&gt;NOW()),"",IF(INDEX(Data!$A:$G,MATCH($B944,Data!$A:$A,0),MATCH($C$7,Data!$4:$4,0))="","",INDEX(Data!$A:$G,MATCH($B944,Data!$A:$A,0),MATCH($C$7,Data!$4:$4,0))))</f>
        <v>73.8</v>
      </c>
      <c r="D944" s="148">
        <f t="shared" ca="1" si="34"/>
        <v>0</v>
      </c>
      <c r="E944" s="148">
        <f t="shared" ca="1" si="35"/>
        <v>8.7999999999999972</v>
      </c>
    </row>
    <row r="945" spans="2:5" x14ac:dyDescent="0.25">
      <c r="B945" s="8">
        <v>38539</v>
      </c>
      <c r="C945" s="6">
        <f ca="1">IF(OR($C$7="",$B945&gt;NOW()),"",IF(INDEX(Data!$A:$G,MATCH($B945,Data!$A:$A,0),MATCH($C$7,Data!$4:$4,0))="","",INDEX(Data!$A:$G,MATCH($B945,Data!$A:$A,0),MATCH($C$7,Data!$4:$4,0))))</f>
        <v>75.2</v>
      </c>
      <c r="D945" s="148">
        <f t="shared" ca="1" si="34"/>
        <v>0</v>
      </c>
      <c r="E945" s="148">
        <f t="shared" ca="1" si="35"/>
        <v>10.200000000000003</v>
      </c>
    </row>
    <row r="946" spans="2:5" x14ac:dyDescent="0.25">
      <c r="B946" s="8">
        <v>38540</v>
      </c>
      <c r="C946" s="6">
        <f ca="1">IF(OR($C$7="",$B946&gt;NOW()),"",IF(INDEX(Data!$A:$G,MATCH($B946,Data!$A:$A,0),MATCH($C$7,Data!$4:$4,0))="","",INDEX(Data!$A:$G,MATCH($B946,Data!$A:$A,0),MATCH($C$7,Data!$4:$4,0))))</f>
        <v>70.599999999999994</v>
      </c>
      <c r="D946" s="148">
        <f t="shared" ca="1" si="34"/>
        <v>0</v>
      </c>
      <c r="E946" s="148">
        <f t="shared" ca="1" si="35"/>
        <v>5.5999999999999943</v>
      </c>
    </row>
    <row r="947" spans="2:5" x14ac:dyDescent="0.25">
      <c r="B947" s="8">
        <v>38541</v>
      </c>
      <c r="C947" s="6">
        <f ca="1">IF(OR($C$7="",$B947&gt;NOW()),"",IF(INDEX(Data!$A:$G,MATCH($B947,Data!$A:$A,0),MATCH($C$7,Data!$4:$4,0))="","",INDEX(Data!$A:$G,MATCH($B947,Data!$A:$A,0),MATCH($C$7,Data!$4:$4,0))))</f>
        <v>65.7</v>
      </c>
      <c r="D947" s="148">
        <f t="shared" ca="1" si="34"/>
        <v>0</v>
      </c>
      <c r="E947" s="148">
        <f t="shared" ca="1" si="35"/>
        <v>0.70000000000000284</v>
      </c>
    </row>
    <row r="948" spans="2:5" x14ac:dyDescent="0.25">
      <c r="B948" s="8">
        <v>38542</v>
      </c>
      <c r="C948" s="6">
        <f ca="1">IF(OR($C$7="",$B948&gt;NOW()),"",IF(INDEX(Data!$A:$G,MATCH($B948,Data!$A:$A,0),MATCH($C$7,Data!$4:$4,0))="","",INDEX(Data!$A:$G,MATCH($B948,Data!$A:$A,0),MATCH($C$7,Data!$4:$4,0))))</f>
        <v>70</v>
      </c>
      <c r="D948" s="148">
        <f t="shared" ca="1" si="34"/>
        <v>0</v>
      </c>
      <c r="E948" s="148">
        <f t="shared" ca="1" si="35"/>
        <v>5</v>
      </c>
    </row>
    <row r="949" spans="2:5" x14ac:dyDescent="0.25">
      <c r="B949" s="8">
        <v>38543</v>
      </c>
      <c r="C949" s="6">
        <f ca="1">IF(OR($C$7="",$B949&gt;NOW()),"",IF(INDEX(Data!$A:$G,MATCH($B949,Data!$A:$A,0),MATCH($C$7,Data!$4:$4,0))="","",INDEX(Data!$A:$G,MATCH($B949,Data!$A:$A,0),MATCH($C$7,Data!$4:$4,0))))</f>
        <v>78.8</v>
      </c>
      <c r="D949" s="148">
        <f t="shared" ca="1" si="34"/>
        <v>0</v>
      </c>
      <c r="E949" s="148">
        <f t="shared" ca="1" si="35"/>
        <v>13.799999999999997</v>
      </c>
    </row>
    <row r="950" spans="2:5" x14ac:dyDescent="0.25">
      <c r="B950" s="8">
        <v>38544</v>
      </c>
      <c r="C950" s="6">
        <f ca="1">IF(OR($C$7="",$B950&gt;NOW()),"",IF(INDEX(Data!$A:$G,MATCH($B950,Data!$A:$A,0),MATCH($C$7,Data!$4:$4,0))="","",INDEX(Data!$A:$G,MATCH($B950,Data!$A:$A,0),MATCH($C$7,Data!$4:$4,0))))</f>
        <v>83.2</v>
      </c>
      <c r="D950" s="148">
        <f t="shared" ca="1" si="34"/>
        <v>0</v>
      </c>
      <c r="E950" s="148">
        <f t="shared" ca="1" si="35"/>
        <v>18.200000000000003</v>
      </c>
    </row>
    <row r="951" spans="2:5" x14ac:dyDescent="0.25">
      <c r="B951" s="8">
        <v>38545</v>
      </c>
      <c r="C951" s="6">
        <f ca="1">IF(OR($C$7="",$B951&gt;NOW()),"",IF(INDEX(Data!$A:$G,MATCH($B951,Data!$A:$A,0),MATCH($C$7,Data!$4:$4,0))="","",INDEX(Data!$A:$G,MATCH($B951,Data!$A:$A,0),MATCH($C$7,Data!$4:$4,0))))</f>
        <v>79.900000000000006</v>
      </c>
      <c r="D951" s="148">
        <f t="shared" ca="1" si="34"/>
        <v>0</v>
      </c>
      <c r="E951" s="148">
        <f t="shared" ca="1" si="35"/>
        <v>14.900000000000006</v>
      </c>
    </row>
    <row r="952" spans="2:5" x14ac:dyDescent="0.25">
      <c r="B952" s="8">
        <v>38546</v>
      </c>
      <c r="C952" s="6">
        <f ca="1">IF(OR($C$7="",$B952&gt;NOW()),"",IF(INDEX(Data!$A:$G,MATCH($B952,Data!$A:$A,0),MATCH($C$7,Data!$4:$4,0))="","",INDEX(Data!$A:$G,MATCH($B952,Data!$A:$A,0),MATCH($C$7,Data!$4:$4,0))))</f>
        <v>72</v>
      </c>
      <c r="D952" s="148">
        <f t="shared" ca="1" si="34"/>
        <v>0</v>
      </c>
      <c r="E952" s="148">
        <f t="shared" ca="1" si="35"/>
        <v>7</v>
      </c>
    </row>
    <row r="953" spans="2:5" x14ac:dyDescent="0.25">
      <c r="B953" s="8">
        <v>38547</v>
      </c>
      <c r="C953" s="6">
        <f ca="1">IF(OR($C$7="",$B953&gt;NOW()),"",IF(INDEX(Data!$A:$G,MATCH($B953,Data!$A:$A,0),MATCH($C$7,Data!$4:$4,0))="","",INDEX(Data!$A:$G,MATCH($B953,Data!$A:$A,0),MATCH($C$7,Data!$4:$4,0))))</f>
        <v>76.5</v>
      </c>
      <c r="D953" s="148">
        <f t="shared" ca="1" si="34"/>
        <v>0</v>
      </c>
      <c r="E953" s="148">
        <f t="shared" ca="1" si="35"/>
        <v>11.5</v>
      </c>
    </row>
    <row r="954" spans="2:5" x14ac:dyDescent="0.25">
      <c r="B954" s="8">
        <v>38548</v>
      </c>
      <c r="C954" s="6">
        <f ca="1">IF(OR($C$7="",$B954&gt;NOW()),"",IF(INDEX(Data!$A:$G,MATCH($B954,Data!$A:$A,0),MATCH($C$7,Data!$4:$4,0))="","",INDEX(Data!$A:$G,MATCH($B954,Data!$A:$A,0),MATCH($C$7,Data!$4:$4,0))))</f>
        <v>78.3</v>
      </c>
      <c r="D954" s="148">
        <f t="shared" ca="1" si="34"/>
        <v>0</v>
      </c>
      <c r="E954" s="148">
        <f t="shared" ca="1" si="35"/>
        <v>13.299999999999997</v>
      </c>
    </row>
    <row r="955" spans="2:5" x14ac:dyDescent="0.25">
      <c r="B955" s="8">
        <v>38549</v>
      </c>
      <c r="C955" s="6">
        <f ca="1">IF(OR($C$7="",$B955&gt;NOW()),"",IF(INDEX(Data!$A:$G,MATCH($B955,Data!$A:$A,0),MATCH($C$7,Data!$4:$4,0))="","",INDEX(Data!$A:$G,MATCH($B955,Data!$A:$A,0),MATCH($C$7,Data!$4:$4,0))))</f>
        <v>76.7</v>
      </c>
      <c r="D955" s="148">
        <f t="shared" ca="1" si="34"/>
        <v>0</v>
      </c>
      <c r="E955" s="148">
        <f t="shared" ca="1" si="35"/>
        <v>11.700000000000003</v>
      </c>
    </row>
    <row r="956" spans="2:5" x14ac:dyDescent="0.25">
      <c r="B956" s="8">
        <v>38550</v>
      </c>
      <c r="C956" s="6">
        <f ca="1">IF(OR($C$7="",$B956&gt;NOW()),"",IF(INDEX(Data!$A:$G,MATCH($B956,Data!$A:$A,0),MATCH($C$7,Data!$4:$4,0))="","",INDEX(Data!$A:$G,MATCH($B956,Data!$A:$A,0),MATCH($C$7,Data!$4:$4,0))))</f>
        <v>77</v>
      </c>
      <c r="D956" s="148">
        <f t="shared" ca="1" si="34"/>
        <v>0</v>
      </c>
      <c r="E956" s="148">
        <f t="shared" ca="1" si="35"/>
        <v>12</v>
      </c>
    </row>
    <row r="957" spans="2:5" x14ac:dyDescent="0.25">
      <c r="B957" s="8">
        <v>38551</v>
      </c>
      <c r="C957" s="6">
        <f ca="1">IF(OR($C$7="",$B957&gt;NOW()),"",IF(INDEX(Data!$A:$G,MATCH($B957,Data!$A:$A,0),MATCH($C$7,Data!$4:$4,0))="","",INDEX(Data!$A:$G,MATCH($B957,Data!$A:$A,0),MATCH($C$7,Data!$4:$4,0))))</f>
        <v>80.599999999999994</v>
      </c>
      <c r="D957" s="148">
        <f t="shared" ca="1" si="34"/>
        <v>0</v>
      </c>
      <c r="E957" s="148">
        <f t="shared" ca="1" si="35"/>
        <v>15.599999999999994</v>
      </c>
    </row>
    <row r="958" spans="2:5" x14ac:dyDescent="0.25">
      <c r="B958" s="8">
        <v>38552</v>
      </c>
      <c r="C958" s="6">
        <f ca="1">IF(OR($C$7="",$B958&gt;NOW()),"",IF(INDEX(Data!$A:$G,MATCH($B958,Data!$A:$A,0),MATCH($C$7,Data!$4:$4,0))="","",INDEX(Data!$A:$G,MATCH($B958,Data!$A:$A,0),MATCH($C$7,Data!$4:$4,0))))</f>
        <v>84.8</v>
      </c>
      <c r="D958" s="148">
        <f t="shared" ca="1" si="34"/>
        <v>0</v>
      </c>
      <c r="E958" s="148">
        <f t="shared" ca="1" si="35"/>
        <v>19.799999999999997</v>
      </c>
    </row>
    <row r="959" spans="2:5" x14ac:dyDescent="0.25">
      <c r="B959" s="8">
        <v>38553</v>
      </c>
      <c r="C959" s="6">
        <f ca="1">IF(OR($C$7="",$B959&gt;NOW()),"",IF(INDEX(Data!$A:$G,MATCH($B959,Data!$A:$A,0),MATCH($C$7,Data!$4:$4,0))="","",INDEX(Data!$A:$G,MATCH($B959,Data!$A:$A,0),MATCH($C$7,Data!$4:$4,0))))</f>
        <v>84.9</v>
      </c>
      <c r="D959" s="148">
        <f t="shared" ca="1" si="34"/>
        <v>0</v>
      </c>
      <c r="E959" s="148">
        <f t="shared" ca="1" si="35"/>
        <v>19.900000000000006</v>
      </c>
    </row>
    <row r="960" spans="2:5" x14ac:dyDescent="0.25">
      <c r="B960" s="8">
        <v>38554</v>
      </c>
      <c r="C960" s="6">
        <f ca="1">IF(OR($C$7="",$B960&gt;NOW()),"",IF(INDEX(Data!$A:$G,MATCH($B960,Data!$A:$A,0),MATCH($C$7,Data!$4:$4,0))="","",INDEX(Data!$A:$G,MATCH($B960,Data!$A:$A,0),MATCH($C$7,Data!$4:$4,0))))</f>
        <v>83.6</v>
      </c>
      <c r="D960" s="148">
        <f t="shared" ca="1" si="34"/>
        <v>0</v>
      </c>
      <c r="E960" s="148">
        <f t="shared" ca="1" si="35"/>
        <v>18.599999999999994</v>
      </c>
    </row>
    <row r="961" spans="2:5" x14ac:dyDescent="0.25">
      <c r="B961" s="8">
        <v>38555</v>
      </c>
      <c r="C961" s="6">
        <f ca="1">IF(OR($C$7="",$B961&gt;NOW()),"",IF(INDEX(Data!$A:$G,MATCH($B961,Data!$A:$A,0),MATCH($C$7,Data!$4:$4,0))="","",INDEX(Data!$A:$G,MATCH($B961,Data!$A:$A,0),MATCH($C$7,Data!$4:$4,0))))</f>
        <v>84.8</v>
      </c>
      <c r="D961" s="148">
        <f t="shared" ca="1" si="34"/>
        <v>0</v>
      </c>
      <c r="E961" s="148">
        <f t="shared" ca="1" si="35"/>
        <v>19.799999999999997</v>
      </c>
    </row>
    <row r="962" spans="2:5" x14ac:dyDescent="0.25">
      <c r="B962" s="8">
        <v>38556</v>
      </c>
      <c r="C962" s="6">
        <f ca="1">IF(OR($C$7="",$B962&gt;NOW()),"",IF(INDEX(Data!$A:$G,MATCH($B962,Data!$A:$A,0),MATCH($C$7,Data!$4:$4,0))="","",INDEX(Data!$A:$G,MATCH($B962,Data!$A:$A,0),MATCH($C$7,Data!$4:$4,0))))</f>
        <v>80.5</v>
      </c>
      <c r="D962" s="148">
        <f t="shared" ca="1" si="34"/>
        <v>0</v>
      </c>
      <c r="E962" s="148">
        <f t="shared" ca="1" si="35"/>
        <v>15.5</v>
      </c>
    </row>
    <row r="963" spans="2:5" x14ac:dyDescent="0.25">
      <c r="B963" s="8">
        <v>38557</v>
      </c>
      <c r="C963" s="6">
        <f ca="1">IF(OR($C$7="",$B963&gt;NOW()),"",IF(INDEX(Data!$A:$G,MATCH($B963,Data!$A:$A,0),MATCH($C$7,Data!$4:$4,0))="","",INDEX(Data!$A:$G,MATCH($B963,Data!$A:$A,0),MATCH($C$7,Data!$4:$4,0))))</f>
        <v>80.5</v>
      </c>
      <c r="D963" s="148">
        <f t="shared" ca="1" si="34"/>
        <v>0</v>
      </c>
      <c r="E963" s="148">
        <f t="shared" ca="1" si="35"/>
        <v>15.5</v>
      </c>
    </row>
    <row r="964" spans="2:5" x14ac:dyDescent="0.25">
      <c r="B964" s="8">
        <v>38558</v>
      </c>
      <c r="C964" s="6">
        <f ca="1">IF(OR($C$7="",$B964&gt;NOW()),"",IF(INDEX(Data!$A:$G,MATCH($B964,Data!$A:$A,0),MATCH($C$7,Data!$4:$4,0))="","",INDEX(Data!$A:$G,MATCH($B964,Data!$A:$A,0),MATCH($C$7,Data!$4:$4,0))))</f>
        <v>81.099999999999994</v>
      </c>
      <c r="D964" s="148">
        <f t="shared" ca="1" si="34"/>
        <v>0</v>
      </c>
      <c r="E964" s="148">
        <f t="shared" ca="1" si="35"/>
        <v>16.099999999999994</v>
      </c>
    </row>
    <row r="965" spans="2:5" x14ac:dyDescent="0.25">
      <c r="B965" s="8">
        <v>38559</v>
      </c>
      <c r="C965" s="6">
        <f ca="1">IF(OR($C$7="",$B965&gt;NOW()),"",IF(INDEX(Data!$A:$G,MATCH($B965,Data!$A:$A,0),MATCH($C$7,Data!$4:$4,0))="","",INDEX(Data!$A:$G,MATCH($B965,Data!$A:$A,0),MATCH($C$7,Data!$4:$4,0))))</f>
        <v>86.1</v>
      </c>
      <c r="D965" s="148">
        <f t="shared" ca="1" si="34"/>
        <v>0</v>
      </c>
      <c r="E965" s="148">
        <f t="shared" ca="1" si="35"/>
        <v>21.099999999999994</v>
      </c>
    </row>
    <row r="966" spans="2:5" x14ac:dyDescent="0.25">
      <c r="B966" s="8">
        <v>38560</v>
      </c>
      <c r="C966" s="6">
        <f ca="1">IF(OR($C$7="",$B966&gt;NOW()),"",IF(INDEX(Data!$A:$G,MATCH($B966,Data!$A:$A,0),MATCH($C$7,Data!$4:$4,0))="","",INDEX(Data!$A:$G,MATCH($B966,Data!$A:$A,0),MATCH($C$7,Data!$4:$4,0))))</f>
        <v>88.8</v>
      </c>
      <c r="D966" s="148">
        <f t="shared" ca="1" si="34"/>
        <v>0</v>
      </c>
      <c r="E966" s="148">
        <f t="shared" ca="1" si="35"/>
        <v>23.799999999999997</v>
      </c>
    </row>
    <row r="967" spans="2:5" x14ac:dyDescent="0.25">
      <c r="B967" s="8">
        <v>38561</v>
      </c>
      <c r="C967" s="6">
        <f ca="1">IF(OR($C$7="",$B967&gt;NOW()),"",IF(INDEX(Data!$A:$G,MATCH($B967,Data!$A:$A,0),MATCH($C$7,Data!$4:$4,0))="","",INDEX(Data!$A:$G,MATCH($B967,Data!$A:$A,0),MATCH($C$7,Data!$4:$4,0))))</f>
        <v>75.3</v>
      </c>
      <c r="D967" s="148">
        <f t="shared" ca="1" si="34"/>
        <v>0</v>
      </c>
      <c r="E967" s="148">
        <f t="shared" ca="1" si="35"/>
        <v>10.299999999999997</v>
      </c>
    </row>
    <row r="968" spans="2:5" x14ac:dyDescent="0.25">
      <c r="B968" s="8">
        <v>38562</v>
      </c>
      <c r="C968" s="6">
        <f ca="1">IF(OR($C$7="",$B968&gt;NOW()),"",IF(INDEX(Data!$A:$G,MATCH($B968,Data!$A:$A,0),MATCH($C$7,Data!$4:$4,0))="","",INDEX(Data!$A:$G,MATCH($B968,Data!$A:$A,0),MATCH($C$7,Data!$4:$4,0))))</f>
        <v>76.900000000000006</v>
      </c>
      <c r="D968" s="148">
        <f t="shared" ca="1" si="34"/>
        <v>0</v>
      </c>
      <c r="E968" s="148">
        <f t="shared" ca="1" si="35"/>
        <v>11.900000000000006</v>
      </c>
    </row>
    <row r="969" spans="2:5" x14ac:dyDescent="0.25">
      <c r="B969" s="8">
        <v>38563</v>
      </c>
      <c r="C969" s="6">
        <f ca="1">IF(OR($C$7="",$B969&gt;NOW()),"",IF(INDEX(Data!$A:$G,MATCH($B969,Data!$A:$A,0),MATCH($C$7,Data!$4:$4,0))="","",INDEX(Data!$A:$G,MATCH($B969,Data!$A:$A,0),MATCH($C$7,Data!$4:$4,0))))</f>
        <v>77.900000000000006</v>
      </c>
      <c r="D969" s="148">
        <f t="shared" ca="1" si="34"/>
        <v>0</v>
      </c>
      <c r="E969" s="148">
        <f t="shared" ca="1" si="35"/>
        <v>12.900000000000006</v>
      </c>
    </row>
    <row r="970" spans="2:5" x14ac:dyDescent="0.25">
      <c r="B970" s="8">
        <v>38564</v>
      </c>
      <c r="C970" s="6">
        <f ca="1">IF(OR($C$7="",$B970&gt;NOW()),"",IF(INDEX(Data!$A:$G,MATCH($B970,Data!$A:$A,0),MATCH($C$7,Data!$4:$4,0))="","",INDEX(Data!$A:$G,MATCH($B970,Data!$A:$A,0),MATCH($C$7,Data!$4:$4,0))))</f>
        <v>76.3</v>
      </c>
      <c r="D970" s="148">
        <f t="shared" ca="1" si="34"/>
        <v>0</v>
      </c>
      <c r="E970" s="148">
        <f t="shared" ca="1" si="35"/>
        <v>11.299999999999997</v>
      </c>
    </row>
    <row r="971" spans="2:5" x14ac:dyDescent="0.25">
      <c r="B971" s="8">
        <v>38565</v>
      </c>
      <c r="C971" s="6">
        <f ca="1">IF(OR($C$7="",$B971&gt;NOW()),"",IF(INDEX(Data!$A:$G,MATCH($B971,Data!$A:$A,0),MATCH($C$7,Data!$4:$4,0))="","",INDEX(Data!$A:$G,MATCH($B971,Data!$A:$A,0),MATCH($C$7,Data!$4:$4,0))))</f>
        <v>76.3</v>
      </c>
      <c r="D971" s="148">
        <f t="shared" ca="1" si="34"/>
        <v>0</v>
      </c>
      <c r="E971" s="148">
        <f t="shared" ca="1" si="35"/>
        <v>11.299999999999997</v>
      </c>
    </row>
    <row r="972" spans="2:5" x14ac:dyDescent="0.25">
      <c r="B972" s="8">
        <v>38566</v>
      </c>
      <c r="C972" s="6">
        <f ca="1">IF(OR($C$7="",$B972&gt;NOW()),"",IF(INDEX(Data!$A:$G,MATCH($B972,Data!$A:$A,0),MATCH($C$7,Data!$4:$4,0))="","",INDEX(Data!$A:$G,MATCH($B972,Data!$A:$A,0),MATCH($C$7,Data!$4:$4,0))))</f>
        <v>83.1</v>
      </c>
      <c r="D972" s="148">
        <f t="shared" ca="1" si="34"/>
        <v>0</v>
      </c>
      <c r="E972" s="148">
        <f t="shared" ca="1" si="35"/>
        <v>18.099999999999994</v>
      </c>
    </row>
    <row r="973" spans="2:5" x14ac:dyDescent="0.25">
      <c r="B973" s="8">
        <v>38567</v>
      </c>
      <c r="C973" s="6">
        <f ca="1">IF(OR($C$7="",$B973&gt;NOW()),"",IF(INDEX(Data!$A:$G,MATCH($B973,Data!$A:$A,0),MATCH($C$7,Data!$4:$4,0))="","",INDEX(Data!$A:$G,MATCH($B973,Data!$A:$A,0),MATCH($C$7,Data!$4:$4,0))))</f>
        <v>85.7</v>
      </c>
      <c r="D973" s="148">
        <f t="shared" ca="1" si="34"/>
        <v>0</v>
      </c>
      <c r="E973" s="148">
        <f t="shared" ca="1" si="35"/>
        <v>20.700000000000003</v>
      </c>
    </row>
    <row r="974" spans="2:5" x14ac:dyDescent="0.25">
      <c r="B974" s="8">
        <v>38568</v>
      </c>
      <c r="C974" s="6">
        <f ca="1">IF(OR($C$7="",$B974&gt;NOW()),"",IF(INDEX(Data!$A:$G,MATCH($B974,Data!$A:$A,0),MATCH($C$7,Data!$4:$4,0))="","",INDEX(Data!$A:$G,MATCH($B974,Data!$A:$A,0),MATCH($C$7,Data!$4:$4,0))))</f>
        <v>83.7</v>
      </c>
      <c r="D974" s="148">
        <f t="shared" ca="1" si="34"/>
        <v>0</v>
      </c>
      <c r="E974" s="148">
        <f t="shared" ca="1" si="35"/>
        <v>18.700000000000003</v>
      </c>
    </row>
    <row r="975" spans="2:5" x14ac:dyDescent="0.25">
      <c r="B975" s="8">
        <v>38569</v>
      </c>
      <c r="C975" s="6">
        <f ca="1">IF(OR($C$7="",$B975&gt;NOW()),"",IF(INDEX(Data!$A:$G,MATCH($B975,Data!$A:$A,0),MATCH($C$7,Data!$4:$4,0))="","",INDEX(Data!$A:$G,MATCH($B975,Data!$A:$A,0),MATCH($C$7,Data!$4:$4,0))))</f>
        <v>87</v>
      </c>
      <c r="D975" s="148">
        <f t="shared" ca="1" si="34"/>
        <v>0</v>
      </c>
      <c r="E975" s="148">
        <f t="shared" ca="1" si="35"/>
        <v>22</v>
      </c>
    </row>
    <row r="976" spans="2:5" x14ac:dyDescent="0.25">
      <c r="B976" s="8">
        <v>38570</v>
      </c>
      <c r="C976" s="6">
        <f ca="1">IF(OR($C$7="",$B976&gt;NOW()),"",IF(INDEX(Data!$A:$G,MATCH($B976,Data!$A:$A,0),MATCH($C$7,Data!$4:$4,0))="","",INDEX(Data!$A:$G,MATCH($B976,Data!$A:$A,0),MATCH($C$7,Data!$4:$4,0))))</f>
        <v>80.099999999999994</v>
      </c>
      <c r="D976" s="148">
        <f t="shared" ca="1" si="34"/>
        <v>0</v>
      </c>
      <c r="E976" s="148">
        <f t="shared" ca="1" si="35"/>
        <v>15.099999999999994</v>
      </c>
    </row>
    <row r="977" spans="2:5" x14ac:dyDescent="0.25">
      <c r="B977" s="8">
        <v>38571</v>
      </c>
      <c r="C977" s="6">
        <f ca="1">IF(OR($C$7="",$B977&gt;NOW()),"",IF(INDEX(Data!$A:$G,MATCH($B977,Data!$A:$A,0),MATCH($C$7,Data!$4:$4,0))="","",INDEX(Data!$A:$G,MATCH($B977,Data!$A:$A,0),MATCH($C$7,Data!$4:$4,0))))</f>
        <v>79.5</v>
      </c>
      <c r="D977" s="148">
        <f t="shared" ca="1" si="34"/>
        <v>0</v>
      </c>
      <c r="E977" s="148">
        <f t="shared" ca="1" si="35"/>
        <v>14.5</v>
      </c>
    </row>
    <row r="978" spans="2:5" x14ac:dyDescent="0.25">
      <c r="B978" s="8">
        <v>38572</v>
      </c>
      <c r="C978" s="6">
        <f ca="1">IF(OR($C$7="",$B978&gt;NOW()),"",IF(INDEX(Data!$A:$G,MATCH($B978,Data!$A:$A,0),MATCH($C$7,Data!$4:$4,0))="","",INDEX(Data!$A:$G,MATCH($B978,Data!$A:$A,0),MATCH($C$7,Data!$4:$4,0))))</f>
        <v>79.7</v>
      </c>
      <c r="D978" s="148">
        <f t="shared" ca="1" si="34"/>
        <v>0</v>
      </c>
      <c r="E978" s="148">
        <f t="shared" ca="1" si="35"/>
        <v>14.700000000000003</v>
      </c>
    </row>
    <row r="979" spans="2:5" x14ac:dyDescent="0.25">
      <c r="B979" s="8">
        <v>38573</v>
      </c>
      <c r="C979" s="6">
        <f ca="1">IF(OR($C$7="",$B979&gt;NOW()),"",IF(INDEX(Data!$A:$G,MATCH($B979,Data!$A:$A,0),MATCH($C$7,Data!$4:$4,0))="","",INDEX(Data!$A:$G,MATCH($B979,Data!$A:$A,0),MATCH($C$7,Data!$4:$4,0))))</f>
        <v>79.099999999999994</v>
      </c>
      <c r="D979" s="148">
        <f t="shared" ca="1" si="34"/>
        <v>0</v>
      </c>
      <c r="E979" s="148">
        <f t="shared" ca="1" si="35"/>
        <v>14.099999999999994</v>
      </c>
    </row>
    <row r="980" spans="2:5" x14ac:dyDescent="0.25">
      <c r="B980" s="8">
        <v>38574</v>
      </c>
      <c r="C980" s="6">
        <f ca="1">IF(OR($C$7="",$B980&gt;NOW()),"",IF(INDEX(Data!$A:$G,MATCH($B980,Data!$A:$A,0),MATCH($C$7,Data!$4:$4,0))="","",INDEX(Data!$A:$G,MATCH($B980,Data!$A:$A,0),MATCH($C$7,Data!$4:$4,0))))</f>
        <v>80.900000000000006</v>
      </c>
      <c r="D980" s="148">
        <f t="shared" ca="1" si="34"/>
        <v>0</v>
      </c>
      <c r="E980" s="148">
        <f t="shared" ca="1" si="35"/>
        <v>15.900000000000006</v>
      </c>
    </row>
    <row r="981" spans="2:5" x14ac:dyDescent="0.25">
      <c r="B981" s="8">
        <v>38575</v>
      </c>
      <c r="C981" s="6">
        <f ca="1">IF(OR($C$7="",$B981&gt;NOW()),"",IF(INDEX(Data!$A:$G,MATCH($B981,Data!$A:$A,0),MATCH($C$7,Data!$4:$4,0))="","",INDEX(Data!$A:$G,MATCH($B981,Data!$A:$A,0),MATCH($C$7,Data!$4:$4,0))))</f>
        <v>84.6</v>
      </c>
      <c r="D981" s="148">
        <f t="shared" ca="1" si="34"/>
        <v>0</v>
      </c>
      <c r="E981" s="148">
        <f t="shared" ca="1" si="35"/>
        <v>19.599999999999994</v>
      </c>
    </row>
    <row r="982" spans="2:5" x14ac:dyDescent="0.25">
      <c r="B982" s="8">
        <v>38576</v>
      </c>
      <c r="C982" s="6">
        <f ca="1">IF(OR($C$7="",$B982&gt;NOW()),"",IF(INDEX(Data!$A:$G,MATCH($B982,Data!$A:$A,0),MATCH($C$7,Data!$4:$4,0))="","",INDEX(Data!$A:$G,MATCH($B982,Data!$A:$A,0),MATCH($C$7,Data!$4:$4,0))))</f>
        <v>85.5</v>
      </c>
      <c r="D982" s="148">
        <f t="shared" ca="1" si="34"/>
        <v>0</v>
      </c>
      <c r="E982" s="148">
        <f t="shared" ca="1" si="35"/>
        <v>20.5</v>
      </c>
    </row>
    <row r="983" spans="2:5" x14ac:dyDescent="0.25">
      <c r="B983" s="8">
        <v>38577</v>
      </c>
      <c r="C983" s="6">
        <f ca="1">IF(OR($C$7="",$B983&gt;NOW()),"",IF(INDEX(Data!$A:$G,MATCH($B983,Data!$A:$A,0),MATCH($C$7,Data!$4:$4,0))="","",INDEX(Data!$A:$G,MATCH($B983,Data!$A:$A,0),MATCH($C$7,Data!$4:$4,0))))</f>
        <v>88.1</v>
      </c>
      <c r="D983" s="148">
        <f t="shared" ca="1" si="34"/>
        <v>0</v>
      </c>
      <c r="E983" s="148">
        <f t="shared" ca="1" si="35"/>
        <v>23.099999999999994</v>
      </c>
    </row>
    <row r="984" spans="2:5" x14ac:dyDescent="0.25">
      <c r="B984" s="8">
        <v>38578</v>
      </c>
      <c r="C984" s="6">
        <f ca="1">IF(OR($C$7="",$B984&gt;NOW()),"",IF(INDEX(Data!$A:$G,MATCH($B984,Data!$A:$A,0),MATCH($C$7,Data!$4:$4,0))="","",INDEX(Data!$A:$G,MATCH($B984,Data!$A:$A,0),MATCH($C$7,Data!$4:$4,0))))</f>
        <v>87.1</v>
      </c>
      <c r="D984" s="148">
        <f t="shared" ca="1" si="34"/>
        <v>0</v>
      </c>
      <c r="E984" s="148">
        <f t="shared" ca="1" si="35"/>
        <v>22.099999999999994</v>
      </c>
    </row>
    <row r="985" spans="2:5" x14ac:dyDescent="0.25">
      <c r="B985" s="8">
        <v>38579</v>
      </c>
      <c r="C985" s="6">
        <f ca="1">IF(OR($C$7="",$B985&gt;NOW()),"",IF(INDEX(Data!$A:$G,MATCH($B985,Data!$A:$A,0),MATCH($C$7,Data!$4:$4,0))="","",INDEX(Data!$A:$G,MATCH($B985,Data!$A:$A,0),MATCH($C$7,Data!$4:$4,0))))</f>
        <v>75.8</v>
      </c>
      <c r="D985" s="148">
        <f t="shared" ca="1" si="34"/>
        <v>0</v>
      </c>
      <c r="E985" s="148">
        <f t="shared" ca="1" si="35"/>
        <v>10.799999999999997</v>
      </c>
    </row>
    <row r="986" spans="2:5" x14ac:dyDescent="0.25">
      <c r="B986" s="8">
        <v>38580</v>
      </c>
      <c r="C986" s="6">
        <f ca="1">IF(OR($C$7="",$B986&gt;NOW()),"",IF(INDEX(Data!$A:$G,MATCH($B986,Data!$A:$A,0),MATCH($C$7,Data!$4:$4,0))="","",INDEX(Data!$A:$G,MATCH($B986,Data!$A:$A,0),MATCH($C$7,Data!$4:$4,0))))</f>
        <v>73.2</v>
      </c>
      <c r="D986" s="148">
        <f t="shared" ca="1" si="34"/>
        <v>0</v>
      </c>
      <c r="E986" s="148">
        <f t="shared" ca="1" si="35"/>
        <v>8.2000000000000028</v>
      </c>
    </row>
    <row r="987" spans="2:5" x14ac:dyDescent="0.25">
      <c r="B987" s="8">
        <v>38581</v>
      </c>
      <c r="C987" s="6">
        <f ca="1">IF(OR($C$7="",$B987&gt;NOW()),"",IF(INDEX(Data!$A:$G,MATCH($B987,Data!$A:$A,0),MATCH($C$7,Data!$4:$4,0))="","",INDEX(Data!$A:$G,MATCH($B987,Data!$A:$A,0),MATCH($C$7,Data!$4:$4,0))))</f>
        <v>78</v>
      </c>
      <c r="D987" s="148">
        <f t="shared" ca="1" si="34"/>
        <v>0</v>
      </c>
      <c r="E987" s="148">
        <f t="shared" ca="1" si="35"/>
        <v>13</v>
      </c>
    </row>
    <row r="988" spans="2:5" x14ac:dyDescent="0.25">
      <c r="B988" s="8">
        <v>38582</v>
      </c>
      <c r="C988" s="6">
        <f ca="1">IF(OR($C$7="",$B988&gt;NOW()),"",IF(INDEX(Data!$A:$G,MATCH($B988,Data!$A:$A,0),MATCH($C$7,Data!$4:$4,0))="","",INDEX(Data!$A:$G,MATCH($B988,Data!$A:$A,0),MATCH($C$7,Data!$4:$4,0))))</f>
        <v>76.2</v>
      </c>
      <c r="D988" s="148">
        <f t="shared" ca="1" si="34"/>
        <v>0</v>
      </c>
      <c r="E988" s="148">
        <f t="shared" ca="1" si="35"/>
        <v>11.200000000000003</v>
      </c>
    </row>
    <row r="989" spans="2:5" x14ac:dyDescent="0.25">
      <c r="B989" s="8">
        <v>38583</v>
      </c>
      <c r="C989" s="6">
        <f ca="1">IF(OR($C$7="",$B989&gt;NOW()),"",IF(INDEX(Data!$A:$G,MATCH($B989,Data!$A:$A,0),MATCH($C$7,Data!$4:$4,0))="","",INDEX(Data!$A:$G,MATCH($B989,Data!$A:$A,0),MATCH($C$7,Data!$4:$4,0))))</f>
        <v>74.7</v>
      </c>
      <c r="D989" s="148">
        <f t="shared" ref="D989:D1052" ca="1" si="36">IF($C989="","",IF($C989&gt;$D$26,0,$D$26-$C989))</f>
        <v>0</v>
      </c>
      <c r="E989" s="148">
        <f t="shared" ref="E989:E1052" ca="1" si="37">IF($C989="","",IF($C989&lt;$E$26,0,$C989-$E$26))</f>
        <v>9.7000000000000028</v>
      </c>
    </row>
    <row r="990" spans="2:5" x14ac:dyDescent="0.25">
      <c r="B990" s="8">
        <v>38584</v>
      </c>
      <c r="C990" s="6">
        <f ca="1">IF(OR($C$7="",$B990&gt;NOW()),"",IF(INDEX(Data!$A:$G,MATCH($B990,Data!$A:$A,0),MATCH($C$7,Data!$4:$4,0))="","",INDEX(Data!$A:$G,MATCH($B990,Data!$A:$A,0),MATCH($C$7,Data!$4:$4,0))))</f>
        <v>77.400000000000006</v>
      </c>
      <c r="D990" s="148">
        <f t="shared" ca="1" si="36"/>
        <v>0</v>
      </c>
      <c r="E990" s="148">
        <f t="shared" ca="1" si="37"/>
        <v>12.400000000000006</v>
      </c>
    </row>
    <row r="991" spans="2:5" x14ac:dyDescent="0.25">
      <c r="B991" s="8">
        <v>38585</v>
      </c>
      <c r="C991" s="6">
        <f ca="1">IF(OR($C$7="",$B991&gt;NOW()),"",IF(INDEX(Data!$A:$G,MATCH($B991,Data!$A:$A,0),MATCH($C$7,Data!$4:$4,0))="","",INDEX(Data!$A:$G,MATCH($B991,Data!$A:$A,0),MATCH($C$7,Data!$4:$4,0))))</f>
        <v>83.8</v>
      </c>
      <c r="D991" s="148">
        <f t="shared" ca="1" si="36"/>
        <v>0</v>
      </c>
      <c r="E991" s="148">
        <f t="shared" ca="1" si="37"/>
        <v>18.799999999999997</v>
      </c>
    </row>
    <row r="992" spans="2:5" x14ac:dyDescent="0.25">
      <c r="B992" s="8">
        <v>38586</v>
      </c>
      <c r="C992" s="6">
        <f ca="1">IF(OR($C$7="",$B992&gt;NOW()),"",IF(INDEX(Data!$A:$G,MATCH($B992,Data!$A:$A,0),MATCH($C$7,Data!$4:$4,0))="","",INDEX(Data!$A:$G,MATCH($B992,Data!$A:$A,0),MATCH($C$7,Data!$4:$4,0))))</f>
        <v>83.6</v>
      </c>
      <c r="D992" s="148">
        <f t="shared" ca="1" si="36"/>
        <v>0</v>
      </c>
      <c r="E992" s="148">
        <f t="shared" ca="1" si="37"/>
        <v>18.599999999999994</v>
      </c>
    </row>
    <row r="993" spans="2:5" x14ac:dyDescent="0.25">
      <c r="B993" s="8">
        <v>38587</v>
      </c>
      <c r="C993" s="6">
        <f ca="1">IF(OR($C$7="",$B993&gt;NOW()),"",IF(INDEX(Data!$A:$G,MATCH($B993,Data!$A:$A,0),MATCH($C$7,Data!$4:$4,0))="","",INDEX(Data!$A:$G,MATCH($B993,Data!$A:$A,0),MATCH($C$7,Data!$4:$4,0))))</f>
        <v>76.099999999999994</v>
      </c>
      <c r="D993" s="148">
        <f t="shared" ca="1" si="36"/>
        <v>0</v>
      </c>
      <c r="E993" s="148">
        <f t="shared" ca="1" si="37"/>
        <v>11.099999999999994</v>
      </c>
    </row>
    <row r="994" spans="2:5" x14ac:dyDescent="0.25">
      <c r="B994" s="8">
        <v>38588</v>
      </c>
      <c r="C994" s="6">
        <f ca="1">IF(OR($C$7="",$B994&gt;NOW()),"",IF(INDEX(Data!$A:$G,MATCH($B994,Data!$A:$A,0),MATCH($C$7,Data!$4:$4,0))="","",INDEX(Data!$A:$G,MATCH($B994,Data!$A:$A,0),MATCH($C$7,Data!$4:$4,0))))</f>
        <v>75.099999999999994</v>
      </c>
      <c r="D994" s="148">
        <f t="shared" ca="1" si="36"/>
        <v>0</v>
      </c>
      <c r="E994" s="148">
        <f t="shared" ca="1" si="37"/>
        <v>10.099999999999994</v>
      </c>
    </row>
    <row r="995" spans="2:5" x14ac:dyDescent="0.25">
      <c r="B995" s="8">
        <v>38589</v>
      </c>
      <c r="C995" s="6">
        <f ca="1">IF(OR($C$7="",$B995&gt;NOW()),"",IF(INDEX(Data!$A:$G,MATCH($B995,Data!$A:$A,0),MATCH($C$7,Data!$4:$4,0))="","",INDEX(Data!$A:$G,MATCH($B995,Data!$A:$A,0),MATCH($C$7,Data!$4:$4,0))))</f>
        <v>74</v>
      </c>
      <c r="D995" s="148">
        <f t="shared" ca="1" si="36"/>
        <v>0</v>
      </c>
      <c r="E995" s="148">
        <f t="shared" ca="1" si="37"/>
        <v>9</v>
      </c>
    </row>
    <row r="996" spans="2:5" x14ac:dyDescent="0.25">
      <c r="B996" s="8">
        <v>38590</v>
      </c>
      <c r="C996" s="6">
        <f ca="1">IF(OR($C$7="",$B996&gt;NOW()),"",IF(INDEX(Data!$A:$G,MATCH($B996,Data!$A:$A,0),MATCH($C$7,Data!$4:$4,0))="","",INDEX(Data!$A:$G,MATCH($B996,Data!$A:$A,0),MATCH($C$7,Data!$4:$4,0))))</f>
        <v>76.2</v>
      </c>
      <c r="D996" s="148">
        <f t="shared" ca="1" si="36"/>
        <v>0</v>
      </c>
      <c r="E996" s="148">
        <f t="shared" ca="1" si="37"/>
        <v>11.200000000000003</v>
      </c>
    </row>
    <row r="997" spans="2:5" x14ac:dyDescent="0.25">
      <c r="B997" s="8">
        <v>38591</v>
      </c>
      <c r="C997" s="6">
        <f ca="1">IF(OR($C$7="",$B997&gt;NOW()),"",IF(INDEX(Data!$A:$G,MATCH($B997,Data!$A:$A,0),MATCH($C$7,Data!$4:$4,0))="","",INDEX(Data!$A:$G,MATCH($B997,Data!$A:$A,0),MATCH($C$7,Data!$4:$4,0))))</f>
        <v>76.8</v>
      </c>
      <c r="D997" s="148">
        <f t="shared" ca="1" si="36"/>
        <v>0</v>
      </c>
      <c r="E997" s="148">
        <f t="shared" ca="1" si="37"/>
        <v>11.799999999999997</v>
      </c>
    </row>
    <row r="998" spans="2:5" x14ac:dyDescent="0.25">
      <c r="B998" s="8">
        <v>38592</v>
      </c>
      <c r="C998" s="6">
        <f ca="1">IF(OR($C$7="",$B998&gt;NOW()),"",IF(INDEX(Data!$A:$G,MATCH($B998,Data!$A:$A,0),MATCH($C$7,Data!$4:$4,0))="","",INDEX(Data!$A:$G,MATCH($B998,Data!$A:$A,0),MATCH($C$7,Data!$4:$4,0))))</f>
        <v>77.8</v>
      </c>
      <c r="D998" s="148">
        <f t="shared" ca="1" si="36"/>
        <v>0</v>
      </c>
      <c r="E998" s="148">
        <f t="shared" ca="1" si="37"/>
        <v>12.799999999999997</v>
      </c>
    </row>
    <row r="999" spans="2:5" x14ac:dyDescent="0.25">
      <c r="B999" s="8">
        <v>38593</v>
      </c>
      <c r="C999" s="6">
        <f ca="1">IF(OR($C$7="",$B999&gt;NOW()),"",IF(INDEX(Data!$A:$G,MATCH($B999,Data!$A:$A,0),MATCH($C$7,Data!$4:$4,0))="","",INDEX(Data!$A:$G,MATCH($B999,Data!$A:$A,0),MATCH($C$7,Data!$4:$4,0))))</f>
        <v>79.900000000000006</v>
      </c>
      <c r="D999" s="148">
        <f t="shared" ca="1" si="36"/>
        <v>0</v>
      </c>
      <c r="E999" s="148">
        <f t="shared" ca="1" si="37"/>
        <v>14.900000000000006</v>
      </c>
    </row>
    <row r="1000" spans="2:5" x14ac:dyDescent="0.25">
      <c r="B1000" s="8">
        <v>38594</v>
      </c>
      <c r="C1000" s="6">
        <f ca="1">IF(OR($C$7="",$B1000&gt;NOW()),"",IF(INDEX(Data!$A:$G,MATCH($B1000,Data!$A:$A,0),MATCH($C$7,Data!$4:$4,0))="","",INDEX(Data!$A:$G,MATCH($B1000,Data!$A:$A,0),MATCH($C$7,Data!$4:$4,0))))</f>
        <v>80.3</v>
      </c>
      <c r="D1000" s="148">
        <f t="shared" ca="1" si="36"/>
        <v>0</v>
      </c>
      <c r="E1000" s="148">
        <f t="shared" ca="1" si="37"/>
        <v>15.299999999999997</v>
      </c>
    </row>
    <row r="1001" spans="2:5" x14ac:dyDescent="0.25">
      <c r="B1001" s="8">
        <v>38595</v>
      </c>
      <c r="C1001" s="6">
        <f ca="1">IF(OR($C$7="",$B1001&gt;NOW()),"",IF(INDEX(Data!$A:$G,MATCH($B1001,Data!$A:$A,0),MATCH($C$7,Data!$4:$4,0))="","",INDEX(Data!$A:$G,MATCH($B1001,Data!$A:$A,0),MATCH($C$7,Data!$4:$4,0))))</f>
        <v>81.5</v>
      </c>
      <c r="D1001" s="148">
        <f t="shared" ca="1" si="36"/>
        <v>0</v>
      </c>
      <c r="E1001" s="148">
        <f t="shared" ca="1" si="37"/>
        <v>16.5</v>
      </c>
    </row>
    <row r="1002" spans="2:5" x14ac:dyDescent="0.25">
      <c r="B1002" s="8">
        <v>38596</v>
      </c>
      <c r="C1002" s="6">
        <f ca="1">IF(OR($C$7="",$B1002&gt;NOW()),"",IF(INDEX(Data!$A:$G,MATCH($B1002,Data!$A:$A,0),MATCH($C$7,Data!$4:$4,0))="","",INDEX(Data!$A:$G,MATCH($B1002,Data!$A:$A,0),MATCH($C$7,Data!$4:$4,0))))</f>
        <v>78.2</v>
      </c>
      <c r="D1002" s="148">
        <f t="shared" ca="1" si="36"/>
        <v>0</v>
      </c>
      <c r="E1002" s="148">
        <f t="shared" ca="1" si="37"/>
        <v>13.200000000000003</v>
      </c>
    </row>
    <row r="1003" spans="2:5" x14ac:dyDescent="0.25">
      <c r="B1003" s="8">
        <v>38597</v>
      </c>
      <c r="C1003" s="6">
        <f ca="1">IF(OR($C$7="",$B1003&gt;NOW()),"",IF(INDEX(Data!$A:$G,MATCH($B1003,Data!$A:$A,0),MATCH($C$7,Data!$4:$4,0))="","",INDEX(Data!$A:$G,MATCH($B1003,Data!$A:$A,0),MATCH($C$7,Data!$4:$4,0))))</f>
        <v>80.3</v>
      </c>
      <c r="D1003" s="148">
        <f t="shared" ca="1" si="36"/>
        <v>0</v>
      </c>
      <c r="E1003" s="148">
        <f t="shared" ca="1" si="37"/>
        <v>15.299999999999997</v>
      </c>
    </row>
    <row r="1004" spans="2:5" x14ac:dyDescent="0.25">
      <c r="B1004" s="8">
        <v>38598</v>
      </c>
      <c r="C1004" s="6">
        <f ca="1">IF(OR($C$7="",$B1004&gt;NOW()),"",IF(INDEX(Data!$A:$G,MATCH($B1004,Data!$A:$A,0),MATCH($C$7,Data!$4:$4,0))="","",INDEX(Data!$A:$G,MATCH($B1004,Data!$A:$A,0),MATCH($C$7,Data!$4:$4,0))))</f>
        <v>77.599999999999994</v>
      </c>
      <c r="D1004" s="148">
        <f t="shared" ca="1" si="36"/>
        <v>0</v>
      </c>
      <c r="E1004" s="148">
        <f t="shared" ca="1" si="37"/>
        <v>12.599999999999994</v>
      </c>
    </row>
    <row r="1005" spans="2:5" x14ac:dyDescent="0.25">
      <c r="B1005" s="8">
        <v>38599</v>
      </c>
      <c r="C1005" s="6">
        <f ca="1">IF(OR($C$7="",$B1005&gt;NOW()),"",IF(INDEX(Data!$A:$G,MATCH($B1005,Data!$A:$A,0),MATCH($C$7,Data!$4:$4,0))="","",INDEX(Data!$A:$G,MATCH($B1005,Data!$A:$A,0),MATCH($C$7,Data!$4:$4,0))))</f>
        <v>76.099999999999994</v>
      </c>
      <c r="D1005" s="148">
        <f t="shared" ca="1" si="36"/>
        <v>0</v>
      </c>
      <c r="E1005" s="148">
        <f t="shared" ca="1" si="37"/>
        <v>11.099999999999994</v>
      </c>
    </row>
    <row r="1006" spans="2:5" x14ac:dyDescent="0.25">
      <c r="B1006" s="8">
        <v>38600</v>
      </c>
      <c r="C1006" s="6">
        <f ca="1">IF(OR($C$7="",$B1006&gt;NOW()),"",IF(INDEX(Data!$A:$G,MATCH($B1006,Data!$A:$A,0),MATCH($C$7,Data!$4:$4,0))="","",INDEX(Data!$A:$G,MATCH($B1006,Data!$A:$A,0),MATCH($C$7,Data!$4:$4,0))))</f>
        <v>73.3</v>
      </c>
      <c r="D1006" s="148">
        <f t="shared" ca="1" si="36"/>
        <v>0</v>
      </c>
      <c r="E1006" s="148">
        <f t="shared" ca="1" si="37"/>
        <v>8.2999999999999972</v>
      </c>
    </row>
    <row r="1007" spans="2:5" x14ac:dyDescent="0.25">
      <c r="B1007" s="8">
        <v>38601</v>
      </c>
      <c r="C1007" s="6">
        <f ca="1">IF(OR($C$7="",$B1007&gt;NOW()),"",IF(INDEX(Data!$A:$G,MATCH($B1007,Data!$A:$A,0),MATCH($C$7,Data!$4:$4,0))="","",INDEX(Data!$A:$G,MATCH($B1007,Data!$A:$A,0),MATCH($C$7,Data!$4:$4,0))))</f>
        <v>72.900000000000006</v>
      </c>
      <c r="D1007" s="148">
        <f t="shared" ca="1" si="36"/>
        <v>0</v>
      </c>
      <c r="E1007" s="148">
        <f t="shared" ca="1" si="37"/>
        <v>7.9000000000000057</v>
      </c>
    </row>
    <row r="1008" spans="2:5" x14ac:dyDescent="0.25">
      <c r="B1008" s="8">
        <v>38602</v>
      </c>
      <c r="C1008" s="6">
        <f ca="1">IF(OR($C$7="",$B1008&gt;NOW()),"",IF(INDEX(Data!$A:$G,MATCH($B1008,Data!$A:$A,0),MATCH($C$7,Data!$4:$4,0))="","",INDEX(Data!$A:$G,MATCH($B1008,Data!$A:$A,0),MATCH($C$7,Data!$4:$4,0))))</f>
        <v>72</v>
      </c>
      <c r="D1008" s="148">
        <f t="shared" ca="1" si="36"/>
        <v>0</v>
      </c>
      <c r="E1008" s="148">
        <f t="shared" ca="1" si="37"/>
        <v>7</v>
      </c>
    </row>
    <row r="1009" spans="2:5" x14ac:dyDescent="0.25">
      <c r="B1009" s="8">
        <v>38603</v>
      </c>
      <c r="C1009" s="6">
        <f ca="1">IF(OR($C$7="",$B1009&gt;NOW()),"",IF(INDEX(Data!$A:$G,MATCH($B1009,Data!$A:$A,0),MATCH($C$7,Data!$4:$4,0))="","",INDEX(Data!$A:$G,MATCH($B1009,Data!$A:$A,0),MATCH($C$7,Data!$4:$4,0))))</f>
        <v>75</v>
      </c>
      <c r="D1009" s="148">
        <f t="shared" ca="1" si="36"/>
        <v>0</v>
      </c>
      <c r="E1009" s="148">
        <f t="shared" ca="1" si="37"/>
        <v>10</v>
      </c>
    </row>
    <row r="1010" spans="2:5" x14ac:dyDescent="0.25">
      <c r="B1010" s="8">
        <v>38604</v>
      </c>
      <c r="C1010" s="6">
        <f ca="1">IF(OR($C$7="",$B1010&gt;NOW()),"",IF(INDEX(Data!$A:$G,MATCH($B1010,Data!$A:$A,0),MATCH($C$7,Data!$4:$4,0))="","",INDEX(Data!$A:$G,MATCH($B1010,Data!$A:$A,0),MATCH($C$7,Data!$4:$4,0))))</f>
        <v>75.599999999999994</v>
      </c>
      <c r="D1010" s="148">
        <f t="shared" ca="1" si="36"/>
        <v>0</v>
      </c>
      <c r="E1010" s="148">
        <f t="shared" ca="1" si="37"/>
        <v>10.599999999999994</v>
      </c>
    </row>
    <row r="1011" spans="2:5" x14ac:dyDescent="0.25">
      <c r="B1011" s="8">
        <v>38605</v>
      </c>
      <c r="C1011" s="6">
        <f ca="1">IF(OR($C$7="",$B1011&gt;NOW()),"",IF(INDEX(Data!$A:$G,MATCH($B1011,Data!$A:$A,0),MATCH($C$7,Data!$4:$4,0))="","",INDEX(Data!$A:$G,MATCH($B1011,Data!$A:$A,0),MATCH($C$7,Data!$4:$4,0))))</f>
        <v>74</v>
      </c>
      <c r="D1011" s="148">
        <f t="shared" ca="1" si="36"/>
        <v>0</v>
      </c>
      <c r="E1011" s="148">
        <f t="shared" ca="1" si="37"/>
        <v>9</v>
      </c>
    </row>
    <row r="1012" spans="2:5" x14ac:dyDescent="0.25">
      <c r="B1012" s="8">
        <v>38606</v>
      </c>
      <c r="C1012" s="6">
        <f ca="1">IF(OR($C$7="",$B1012&gt;NOW()),"",IF(INDEX(Data!$A:$G,MATCH($B1012,Data!$A:$A,0),MATCH($C$7,Data!$4:$4,0))="","",INDEX(Data!$A:$G,MATCH($B1012,Data!$A:$A,0),MATCH($C$7,Data!$4:$4,0))))</f>
        <v>70.2</v>
      </c>
      <c r="D1012" s="148">
        <f t="shared" ca="1" si="36"/>
        <v>0</v>
      </c>
      <c r="E1012" s="148">
        <f t="shared" ca="1" si="37"/>
        <v>5.2000000000000028</v>
      </c>
    </row>
    <row r="1013" spans="2:5" x14ac:dyDescent="0.25">
      <c r="B1013" s="8">
        <v>38607</v>
      </c>
      <c r="C1013" s="6">
        <f ca="1">IF(OR($C$7="",$B1013&gt;NOW()),"",IF(INDEX(Data!$A:$G,MATCH($B1013,Data!$A:$A,0),MATCH($C$7,Data!$4:$4,0))="","",INDEX(Data!$A:$G,MATCH($B1013,Data!$A:$A,0),MATCH($C$7,Data!$4:$4,0))))</f>
        <v>77.099999999999994</v>
      </c>
      <c r="D1013" s="148">
        <f t="shared" ca="1" si="36"/>
        <v>0</v>
      </c>
      <c r="E1013" s="148">
        <f t="shared" ca="1" si="37"/>
        <v>12.099999999999994</v>
      </c>
    </row>
    <row r="1014" spans="2:5" x14ac:dyDescent="0.25">
      <c r="B1014" s="8">
        <v>38608</v>
      </c>
      <c r="C1014" s="6">
        <f ca="1">IF(OR($C$7="",$B1014&gt;NOW()),"",IF(INDEX(Data!$A:$G,MATCH($B1014,Data!$A:$A,0),MATCH($C$7,Data!$4:$4,0))="","",INDEX(Data!$A:$G,MATCH($B1014,Data!$A:$A,0),MATCH($C$7,Data!$4:$4,0))))</f>
        <v>83.1</v>
      </c>
      <c r="D1014" s="148">
        <f t="shared" ca="1" si="36"/>
        <v>0</v>
      </c>
      <c r="E1014" s="148">
        <f t="shared" ca="1" si="37"/>
        <v>18.099999999999994</v>
      </c>
    </row>
    <row r="1015" spans="2:5" x14ac:dyDescent="0.25">
      <c r="B1015" s="8">
        <v>38609</v>
      </c>
      <c r="C1015" s="6">
        <f ca="1">IF(OR($C$7="",$B1015&gt;NOW()),"",IF(INDEX(Data!$A:$G,MATCH($B1015,Data!$A:$A,0),MATCH($C$7,Data!$4:$4,0))="","",INDEX(Data!$A:$G,MATCH($B1015,Data!$A:$A,0),MATCH($C$7,Data!$4:$4,0))))</f>
        <v>77.900000000000006</v>
      </c>
      <c r="D1015" s="148">
        <f t="shared" ca="1" si="36"/>
        <v>0</v>
      </c>
      <c r="E1015" s="148">
        <f t="shared" ca="1" si="37"/>
        <v>12.900000000000006</v>
      </c>
    </row>
    <row r="1016" spans="2:5" x14ac:dyDescent="0.25">
      <c r="B1016" s="8">
        <v>38610</v>
      </c>
      <c r="C1016" s="6">
        <f ca="1">IF(OR($C$7="",$B1016&gt;NOW()),"",IF(INDEX(Data!$A:$G,MATCH($B1016,Data!$A:$A,0),MATCH($C$7,Data!$4:$4,0))="","",INDEX(Data!$A:$G,MATCH($B1016,Data!$A:$A,0),MATCH($C$7,Data!$4:$4,0))))</f>
        <v>79.400000000000006</v>
      </c>
      <c r="D1016" s="148">
        <f t="shared" ca="1" si="36"/>
        <v>0</v>
      </c>
      <c r="E1016" s="148">
        <f t="shared" ca="1" si="37"/>
        <v>14.400000000000006</v>
      </c>
    </row>
    <row r="1017" spans="2:5" x14ac:dyDescent="0.25">
      <c r="B1017" s="8">
        <v>38611</v>
      </c>
      <c r="C1017" s="6">
        <f ca="1">IF(OR($C$7="",$B1017&gt;NOW()),"",IF(INDEX(Data!$A:$G,MATCH($B1017,Data!$A:$A,0),MATCH($C$7,Data!$4:$4,0))="","",INDEX(Data!$A:$G,MATCH($B1017,Data!$A:$A,0),MATCH($C$7,Data!$4:$4,0))))</f>
        <v>76.8</v>
      </c>
      <c r="D1017" s="148">
        <f t="shared" ca="1" si="36"/>
        <v>0</v>
      </c>
      <c r="E1017" s="148">
        <f t="shared" ca="1" si="37"/>
        <v>11.799999999999997</v>
      </c>
    </row>
    <row r="1018" spans="2:5" x14ac:dyDescent="0.25">
      <c r="B1018" s="8">
        <v>38612</v>
      </c>
      <c r="C1018" s="6">
        <f ca="1">IF(OR($C$7="",$B1018&gt;NOW()),"",IF(INDEX(Data!$A:$G,MATCH($B1018,Data!$A:$A,0),MATCH($C$7,Data!$4:$4,0))="","",INDEX(Data!$A:$G,MATCH($B1018,Data!$A:$A,0),MATCH($C$7,Data!$4:$4,0))))</f>
        <v>77.2</v>
      </c>
      <c r="D1018" s="148">
        <f t="shared" ca="1" si="36"/>
        <v>0</v>
      </c>
      <c r="E1018" s="148">
        <f t="shared" ca="1" si="37"/>
        <v>12.200000000000003</v>
      </c>
    </row>
    <row r="1019" spans="2:5" x14ac:dyDescent="0.25">
      <c r="B1019" s="8">
        <v>38613</v>
      </c>
      <c r="C1019" s="6">
        <f ca="1">IF(OR($C$7="",$B1019&gt;NOW()),"",IF(INDEX(Data!$A:$G,MATCH($B1019,Data!$A:$A,0),MATCH($C$7,Data!$4:$4,0))="","",INDEX(Data!$A:$G,MATCH($B1019,Data!$A:$A,0),MATCH($C$7,Data!$4:$4,0))))</f>
        <v>75</v>
      </c>
      <c r="D1019" s="148">
        <f t="shared" ca="1" si="36"/>
        <v>0</v>
      </c>
      <c r="E1019" s="148">
        <f t="shared" ca="1" si="37"/>
        <v>10</v>
      </c>
    </row>
    <row r="1020" spans="2:5" x14ac:dyDescent="0.25">
      <c r="B1020" s="8">
        <v>38614</v>
      </c>
      <c r="C1020" s="6">
        <f ca="1">IF(OR($C$7="",$B1020&gt;NOW()),"",IF(INDEX(Data!$A:$G,MATCH($B1020,Data!$A:$A,0),MATCH($C$7,Data!$4:$4,0))="","",INDEX(Data!$A:$G,MATCH($B1020,Data!$A:$A,0),MATCH($C$7,Data!$4:$4,0))))</f>
        <v>77.400000000000006</v>
      </c>
      <c r="D1020" s="148">
        <f t="shared" ca="1" si="36"/>
        <v>0</v>
      </c>
      <c r="E1020" s="148">
        <f t="shared" ca="1" si="37"/>
        <v>12.400000000000006</v>
      </c>
    </row>
    <row r="1021" spans="2:5" x14ac:dyDescent="0.25">
      <c r="B1021" s="8">
        <v>38615</v>
      </c>
      <c r="C1021" s="6">
        <f ca="1">IF(OR($C$7="",$B1021&gt;NOW()),"",IF(INDEX(Data!$A:$G,MATCH($B1021,Data!$A:$A,0),MATCH($C$7,Data!$4:$4,0))="","",INDEX(Data!$A:$G,MATCH($B1021,Data!$A:$A,0),MATCH($C$7,Data!$4:$4,0))))</f>
        <v>78.2</v>
      </c>
      <c r="D1021" s="148">
        <f t="shared" ca="1" si="36"/>
        <v>0</v>
      </c>
      <c r="E1021" s="148">
        <f t="shared" ca="1" si="37"/>
        <v>13.200000000000003</v>
      </c>
    </row>
    <row r="1022" spans="2:5" x14ac:dyDescent="0.25">
      <c r="B1022" s="8">
        <v>38616</v>
      </c>
      <c r="C1022" s="6">
        <f ca="1">IF(OR($C$7="",$B1022&gt;NOW()),"",IF(INDEX(Data!$A:$G,MATCH($B1022,Data!$A:$A,0),MATCH($C$7,Data!$4:$4,0))="","",INDEX(Data!$A:$G,MATCH($B1022,Data!$A:$A,0),MATCH($C$7,Data!$4:$4,0))))</f>
        <v>76.599999999999994</v>
      </c>
      <c r="D1022" s="148">
        <f t="shared" ca="1" si="36"/>
        <v>0</v>
      </c>
      <c r="E1022" s="148">
        <f t="shared" ca="1" si="37"/>
        <v>11.599999999999994</v>
      </c>
    </row>
    <row r="1023" spans="2:5" x14ac:dyDescent="0.25">
      <c r="B1023" s="8">
        <v>38617</v>
      </c>
      <c r="C1023" s="6">
        <f ca="1">IF(OR($C$7="",$B1023&gt;NOW()),"",IF(INDEX(Data!$A:$G,MATCH($B1023,Data!$A:$A,0),MATCH($C$7,Data!$4:$4,0))="","",INDEX(Data!$A:$G,MATCH($B1023,Data!$A:$A,0),MATCH($C$7,Data!$4:$4,0))))</f>
        <v>77.2</v>
      </c>
      <c r="D1023" s="148">
        <f t="shared" ca="1" si="36"/>
        <v>0</v>
      </c>
      <c r="E1023" s="148">
        <f t="shared" ca="1" si="37"/>
        <v>12.200000000000003</v>
      </c>
    </row>
    <row r="1024" spans="2:5" x14ac:dyDescent="0.25">
      <c r="B1024" s="8">
        <v>38618</v>
      </c>
      <c r="C1024" s="6">
        <f ca="1">IF(OR($C$7="",$B1024&gt;NOW()),"",IF(INDEX(Data!$A:$G,MATCH($B1024,Data!$A:$A,0),MATCH($C$7,Data!$4:$4,0))="","",INDEX(Data!$A:$G,MATCH($B1024,Data!$A:$A,0),MATCH($C$7,Data!$4:$4,0))))</f>
        <v>77.5</v>
      </c>
      <c r="D1024" s="148">
        <f t="shared" ca="1" si="36"/>
        <v>0</v>
      </c>
      <c r="E1024" s="148">
        <f t="shared" ca="1" si="37"/>
        <v>12.5</v>
      </c>
    </row>
    <row r="1025" spans="2:5" x14ac:dyDescent="0.25">
      <c r="B1025" s="8">
        <v>38619</v>
      </c>
      <c r="C1025" s="6">
        <f ca="1">IF(OR($C$7="",$B1025&gt;NOW()),"",IF(INDEX(Data!$A:$G,MATCH($B1025,Data!$A:$A,0),MATCH($C$7,Data!$4:$4,0))="","",INDEX(Data!$A:$G,MATCH($B1025,Data!$A:$A,0),MATCH($C$7,Data!$4:$4,0))))</f>
        <v>68.5</v>
      </c>
      <c r="D1025" s="148">
        <f t="shared" ca="1" si="36"/>
        <v>0</v>
      </c>
      <c r="E1025" s="148">
        <f t="shared" ca="1" si="37"/>
        <v>3.5</v>
      </c>
    </row>
    <row r="1026" spans="2:5" x14ac:dyDescent="0.25">
      <c r="B1026" s="8">
        <v>38620</v>
      </c>
      <c r="C1026" s="6">
        <f ca="1">IF(OR($C$7="",$B1026&gt;NOW()),"",IF(INDEX(Data!$A:$G,MATCH($B1026,Data!$A:$A,0),MATCH($C$7,Data!$4:$4,0))="","",INDEX(Data!$A:$G,MATCH($B1026,Data!$A:$A,0),MATCH($C$7,Data!$4:$4,0))))</f>
        <v>66.900000000000006</v>
      </c>
      <c r="D1026" s="148">
        <f t="shared" ca="1" si="36"/>
        <v>0</v>
      </c>
      <c r="E1026" s="148">
        <f t="shared" ca="1" si="37"/>
        <v>1.9000000000000057</v>
      </c>
    </row>
    <row r="1027" spans="2:5" x14ac:dyDescent="0.25">
      <c r="B1027" s="8">
        <v>38621</v>
      </c>
      <c r="C1027" s="6">
        <f ca="1">IF(OR($C$7="",$B1027&gt;NOW()),"",IF(INDEX(Data!$A:$G,MATCH($B1027,Data!$A:$A,0),MATCH($C$7,Data!$4:$4,0))="","",INDEX(Data!$A:$G,MATCH($B1027,Data!$A:$A,0),MATCH($C$7,Data!$4:$4,0))))</f>
        <v>72.3</v>
      </c>
      <c r="D1027" s="148">
        <f t="shared" ca="1" si="36"/>
        <v>0</v>
      </c>
      <c r="E1027" s="148">
        <f t="shared" ca="1" si="37"/>
        <v>7.2999999999999972</v>
      </c>
    </row>
    <row r="1028" spans="2:5" x14ac:dyDescent="0.25">
      <c r="B1028" s="8">
        <v>38622</v>
      </c>
      <c r="C1028" s="6">
        <f ca="1">IF(OR($C$7="",$B1028&gt;NOW()),"",IF(INDEX(Data!$A:$G,MATCH($B1028,Data!$A:$A,0),MATCH($C$7,Data!$4:$4,0))="","",INDEX(Data!$A:$G,MATCH($B1028,Data!$A:$A,0),MATCH($C$7,Data!$4:$4,0))))</f>
        <v>72.3</v>
      </c>
      <c r="D1028" s="148">
        <f t="shared" ca="1" si="36"/>
        <v>0</v>
      </c>
      <c r="E1028" s="148">
        <f t="shared" ca="1" si="37"/>
        <v>7.2999999999999972</v>
      </c>
    </row>
    <row r="1029" spans="2:5" x14ac:dyDescent="0.25">
      <c r="B1029" s="8">
        <v>38623</v>
      </c>
      <c r="C1029" s="6">
        <f ca="1">IF(OR($C$7="",$B1029&gt;NOW()),"",IF(INDEX(Data!$A:$G,MATCH($B1029,Data!$A:$A,0),MATCH($C$7,Data!$4:$4,0))="","",INDEX(Data!$A:$G,MATCH($B1029,Data!$A:$A,0),MATCH($C$7,Data!$4:$4,0))))</f>
        <v>66.900000000000006</v>
      </c>
      <c r="D1029" s="148">
        <f t="shared" ca="1" si="36"/>
        <v>0</v>
      </c>
      <c r="E1029" s="148">
        <f t="shared" ca="1" si="37"/>
        <v>1.9000000000000057</v>
      </c>
    </row>
    <row r="1030" spans="2:5" x14ac:dyDescent="0.25">
      <c r="B1030" s="8">
        <v>38624</v>
      </c>
      <c r="C1030" s="6">
        <f ca="1">IF(OR($C$7="",$B1030&gt;NOW()),"",IF(INDEX(Data!$A:$G,MATCH($B1030,Data!$A:$A,0),MATCH($C$7,Data!$4:$4,0))="","",INDEX(Data!$A:$G,MATCH($B1030,Data!$A:$A,0),MATCH($C$7,Data!$4:$4,0))))</f>
        <v>69.8</v>
      </c>
      <c r="D1030" s="148">
        <f t="shared" ca="1" si="36"/>
        <v>0</v>
      </c>
      <c r="E1030" s="148">
        <f t="shared" ca="1" si="37"/>
        <v>4.7999999999999972</v>
      </c>
    </row>
    <row r="1031" spans="2:5" x14ac:dyDescent="0.25">
      <c r="B1031" s="8">
        <v>38625</v>
      </c>
      <c r="C1031" s="6">
        <f ca="1">IF(OR($C$7="",$B1031&gt;NOW()),"",IF(INDEX(Data!$A:$G,MATCH($B1031,Data!$A:$A,0),MATCH($C$7,Data!$4:$4,0))="","",INDEX(Data!$A:$G,MATCH($B1031,Data!$A:$A,0),MATCH($C$7,Data!$4:$4,0))))</f>
        <v>59.8</v>
      </c>
      <c r="D1031" s="148">
        <f t="shared" ca="1" si="36"/>
        <v>5.2000000000000028</v>
      </c>
      <c r="E1031" s="148">
        <f t="shared" ca="1" si="37"/>
        <v>0</v>
      </c>
    </row>
    <row r="1032" spans="2:5" x14ac:dyDescent="0.25">
      <c r="B1032" s="8">
        <v>38626</v>
      </c>
      <c r="C1032" s="6">
        <f ca="1">IF(OR($C$7="",$B1032&gt;NOW()),"",IF(INDEX(Data!$A:$G,MATCH($B1032,Data!$A:$A,0),MATCH($C$7,Data!$4:$4,0))="","",INDEX(Data!$A:$G,MATCH($B1032,Data!$A:$A,0),MATCH($C$7,Data!$4:$4,0))))</f>
        <v>63.7</v>
      </c>
      <c r="D1032" s="148">
        <f t="shared" ca="1" si="36"/>
        <v>1.2999999999999972</v>
      </c>
      <c r="E1032" s="148">
        <f t="shared" ca="1" si="37"/>
        <v>0</v>
      </c>
    </row>
    <row r="1033" spans="2:5" x14ac:dyDescent="0.25">
      <c r="B1033" s="8">
        <v>38627</v>
      </c>
      <c r="C1033" s="6">
        <f ca="1">IF(OR($C$7="",$B1033&gt;NOW()),"",IF(INDEX(Data!$A:$G,MATCH($B1033,Data!$A:$A,0),MATCH($C$7,Data!$4:$4,0))="","",INDEX(Data!$A:$G,MATCH($B1033,Data!$A:$A,0),MATCH($C$7,Data!$4:$4,0))))</f>
        <v>67.900000000000006</v>
      </c>
      <c r="D1033" s="148">
        <f t="shared" ca="1" si="36"/>
        <v>0</v>
      </c>
      <c r="E1033" s="148">
        <f t="shared" ca="1" si="37"/>
        <v>2.9000000000000057</v>
      </c>
    </row>
    <row r="1034" spans="2:5" x14ac:dyDescent="0.25">
      <c r="B1034" s="8">
        <v>38628</v>
      </c>
      <c r="C1034" s="6">
        <f ca="1">IF(OR($C$7="",$B1034&gt;NOW()),"",IF(INDEX(Data!$A:$G,MATCH($B1034,Data!$A:$A,0),MATCH($C$7,Data!$4:$4,0))="","",INDEX(Data!$A:$G,MATCH($B1034,Data!$A:$A,0),MATCH($C$7,Data!$4:$4,0))))</f>
        <v>67.7</v>
      </c>
      <c r="D1034" s="148">
        <f t="shared" ca="1" si="36"/>
        <v>0</v>
      </c>
      <c r="E1034" s="148">
        <f t="shared" ca="1" si="37"/>
        <v>2.7000000000000028</v>
      </c>
    </row>
    <row r="1035" spans="2:5" x14ac:dyDescent="0.25">
      <c r="B1035" s="8">
        <v>38629</v>
      </c>
      <c r="C1035" s="6">
        <f ca="1">IF(OR($C$7="",$B1035&gt;NOW()),"",IF(INDEX(Data!$A:$G,MATCH($B1035,Data!$A:$A,0),MATCH($C$7,Data!$4:$4,0))="","",INDEX(Data!$A:$G,MATCH($B1035,Data!$A:$A,0),MATCH($C$7,Data!$4:$4,0))))</f>
        <v>69.2</v>
      </c>
      <c r="D1035" s="148">
        <f t="shared" ca="1" si="36"/>
        <v>0</v>
      </c>
      <c r="E1035" s="148">
        <f t="shared" ca="1" si="37"/>
        <v>4.2000000000000028</v>
      </c>
    </row>
    <row r="1036" spans="2:5" x14ac:dyDescent="0.25">
      <c r="B1036" s="8">
        <v>38630</v>
      </c>
      <c r="C1036" s="6">
        <f ca="1">IF(OR($C$7="",$B1036&gt;NOW()),"",IF(INDEX(Data!$A:$G,MATCH($B1036,Data!$A:$A,0),MATCH($C$7,Data!$4:$4,0))="","",INDEX(Data!$A:$G,MATCH($B1036,Data!$A:$A,0),MATCH($C$7,Data!$4:$4,0))))</f>
        <v>69.400000000000006</v>
      </c>
      <c r="D1036" s="148">
        <f t="shared" ca="1" si="36"/>
        <v>0</v>
      </c>
      <c r="E1036" s="148">
        <f t="shared" ca="1" si="37"/>
        <v>4.4000000000000057</v>
      </c>
    </row>
    <row r="1037" spans="2:5" x14ac:dyDescent="0.25">
      <c r="B1037" s="8">
        <v>38631</v>
      </c>
      <c r="C1037" s="6">
        <f ca="1">IF(OR($C$7="",$B1037&gt;NOW()),"",IF(INDEX(Data!$A:$G,MATCH($B1037,Data!$A:$A,0),MATCH($C$7,Data!$4:$4,0))="","",INDEX(Data!$A:$G,MATCH($B1037,Data!$A:$A,0),MATCH($C$7,Data!$4:$4,0))))</f>
        <v>69.599999999999994</v>
      </c>
      <c r="D1037" s="148">
        <f t="shared" ca="1" si="36"/>
        <v>0</v>
      </c>
      <c r="E1037" s="148">
        <f t="shared" ca="1" si="37"/>
        <v>4.5999999999999943</v>
      </c>
    </row>
    <row r="1038" spans="2:5" x14ac:dyDescent="0.25">
      <c r="B1038" s="8">
        <v>38632</v>
      </c>
      <c r="C1038" s="6">
        <f ca="1">IF(OR($C$7="",$B1038&gt;NOW()),"",IF(INDEX(Data!$A:$G,MATCH($B1038,Data!$A:$A,0),MATCH($C$7,Data!$4:$4,0))="","",INDEX(Data!$A:$G,MATCH($B1038,Data!$A:$A,0),MATCH($C$7,Data!$4:$4,0))))</f>
        <v>73.599999999999994</v>
      </c>
      <c r="D1038" s="148">
        <f t="shared" ca="1" si="36"/>
        <v>0</v>
      </c>
      <c r="E1038" s="148">
        <f t="shared" ca="1" si="37"/>
        <v>8.5999999999999943</v>
      </c>
    </row>
    <row r="1039" spans="2:5" x14ac:dyDescent="0.25">
      <c r="B1039" s="8">
        <v>38633</v>
      </c>
      <c r="C1039" s="6">
        <f ca="1">IF(OR($C$7="",$B1039&gt;NOW()),"",IF(INDEX(Data!$A:$G,MATCH($B1039,Data!$A:$A,0),MATCH($C$7,Data!$4:$4,0))="","",INDEX(Data!$A:$G,MATCH($B1039,Data!$A:$A,0),MATCH($C$7,Data!$4:$4,0))))</f>
        <v>73.900000000000006</v>
      </c>
      <c r="D1039" s="148">
        <f t="shared" ca="1" si="36"/>
        <v>0</v>
      </c>
      <c r="E1039" s="148">
        <f t="shared" ca="1" si="37"/>
        <v>8.9000000000000057</v>
      </c>
    </row>
    <row r="1040" spans="2:5" x14ac:dyDescent="0.25">
      <c r="B1040" s="8">
        <v>38634</v>
      </c>
      <c r="C1040" s="6">
        <f ca="1">IF(OR($C$7="",$B1040&gt;NOW()),"",IF(INDEX(Data!$A:$G,MATCH($B1040,Data!$A:$A,0),MATCH($C$7,Data!$4:$4,0))="","",INDEX(Data!$A:$G,MATCH($B1040,Data!$A:$A,0),MATCH($C$7,Data!$4:$4,0))))</f>
        <v>59.4</v>
      </c>
      <c r="D1040" s="148">
        <f t="shared" ca="1" si="36"/>
        <v>5.6000000000000014</v>
      </c>
      <c r="E1040" s="148">
        <f t="shared" ca="1" si="37"/>
        <v>0</v>
      </c>
    </row>
    <row r="1041" spans="2:5" x14ac:dyDescent="0.25">
      <c r="B1041" s="8">
        <v>38635</v>
      </c>
      <c r="C1041" s="6">
        <f ca="1">IF(OR($C$7="",$B1041&gt;NOW()),"",IF(INDEX(Data!$A:$G,MATCH($B1041,Data!$A:$A,0),MATCH($C$7,Data!$4:$4,0))="","",INDEX(Data!$A:$G,MATCH($B1041,Data!$A:$A,0),MATCH($C$7,Data!$4:$4,0))))</f>
        <v>59.8</v>
      </c>
      <c r="D1041" s="148">
        <f t="shared" ca="1" si="36"/>
        <v>5.2000000000000028</v>
      </c>
      <c r="E1041" s="148">
        <f t="shared" ca="1" si="37"/>
        <v>0</v>
      </c>
    </row>
    <row r="1042" spans="2:5" x14ac:dyDescent="0.25">
      <c r="B1042" s="8">
        <v>38636</v>
      </c>
      <c r="C1042" s="6">
        <f ca="1">IF(OR($C$7="",$B1042&gt;NOW()),"",IF(INDEX(Data!$A:$G,MATCH($B1042,Data!$A:$A,0),MATCH($C$7,Data!$4:$4,0))="","",INDEX(Data!$A:$G,MATCH($B1042,Data!$A:$A,0),MATCH($C$7,Data!$4:$4,0))))</f>
        <v>61.9</v>
      </c>
      <c r="D1042" s="148">
        <f t="shared" ca="1" si="36"/>
        <v>3.1000000000000014</v>
      </c>
      <c r="E1042" s="148">
        <f t="shared" ca="1" si="37"/>
        <v>0</v>
      </c>
    </row>
    <row r="1043" spans="2:5" x14ac:dyDescent="0.25">
      <c r="B1043" s="8">
        <v>38637</v>
      </c>
      <c r="C1043" s="6">
        <f ca="1">IF(OR($C$7="",$B1043&gt;NOW()),"",IF(INDEX(Data!$A:$G,MATCH($B1043,Data!$A:$A,0),MATCH($C$7,Data!$4:$4,0))="","",INDEX(Data!$A:$G,MATCH($B1043,Data!$A:$A,0),MATCH($C$7,Data!$4:$4,0))))</f>
        <v>56.9</v>
      </c>
      <c r="D1043" s="148">
        <f t="shared" ca="1" si="36"/>
        <v>8.1000000000000014</v>
      </c>
      <c r="E1043" s="148">
        <f t="shared" ca="1" si="37"/>
        <v>0</v>
      </c>
    </row>
    <row r="1044" spans="2:5" x14ac:dyDescent="0.25">
      <c r="B1044" s="8">
        <v>38638</v>
      </c>
      <c r="C1044" s="6">
        <f ca="1">IF(OR($C$7="",$B1044&gt;NOW()),"",IF(INDEX(Data!$A:$G,MATCH($B1044,Data!$A:$A,0),MATCH($C$7,Data!$4:$4,0))="","",INDEX(Data!$A:$G,MATCH($B1044,Data!$A:$A,0),MATCH($C$7,Data!$4:$4,0))))</f>
        <v>60.6</v>
      </c>
      <c r="D1044" s="148">
        <f t="shared" ca="1" si="36"/>
        <v>4.3999999999999986</v>
      </c>
      <c r="E1044" s="148">
        <f t="shared" ca="1" si="37"/>
        <v>0</v>
      </c>
    </row>
    <row r="1045" spans="2:5" x14ac:dyDescent="0.25">
      <c r="B1045" s="8">
        <v>38639</v>
      </c>
      <c r="C1045" s="6">
        <f ca="1">IF(OR($C$7="",$B1045&gt;NOW()),"",IF(INDEX(Data!$A:$G,MATCH($B1045,Data!$A:$A,0),MATCH($C$7,Data!$4:$4,0))="","",INDEX(Data!$A:$G,MATCH($B1045,Data!$A:$A,0),MATCH($C$7,Data!$4:$4,0))))</f>
        <v>62.2</v>
      </c>
      <c r="D1045" s="148">
        <f t="shared" ca="1" si="36"/>
        <v>2.7999999999999972</v>
      </c>
      <c r="E1045" s="148">
        <f t="shared" ca="1" si="37"/>
        <v>0</v>
      </c>
    </row>
    <row r="1046" spans="2:5" x14ac:dyDescent="0.25">
      <c r="B1046" s="8">
        <v>38640</v>
      </c>
      <c r="C1046" s="6">
        <f ca="1">IF(OR($C$7="",$B1046&gt;NOW()),"",IF(INDEX(Data!$A:$G,MATCH($B1046,Data!$A:$A,0),MATCH($C$7,Data!$4:$4,0))="","",INDEX(Data!$A:$G,MATCH($B1046,Data!$A:$A,0),MATCH($C$7,Data!$4:$4,0))))</f>
        <v>65.2</v>
      </c>
      <c r="D1046" s="148">
        <f t="shared" ca="1" si="36"/>
        <v>0</v>
      </c>
      <c r="E1046" s="148">
        <f t="shared" ca="1" si="37"/>
        <v>0.20000000000000284</v>
      </c>
    </row>
    <row r="1047" spans="2:5" x14ac:dyDescent="0.25">
      <c r="B1047" s="8">
        <v>38641</v>
      </c>
      <c r="C1047" s="6">
        <f ca="1">IF(OR($C$7="",$B1047&gt;NOW()),"",IF(INDEX(Data!$A:$G,MATCH($B1047,Data!$A:$A,0),MATCH($C$7,Data!$4:$4,0))="","",INDEX(Data!$A:$G,MATCH($B1047,Data!$A:$A,0),MATCH($C$7,Data!$4:$4,0))))</f>
        <v>60.7</v>
      </c>
      <c r="D1047" s="148">
        <f t="shared" ca="1" si="36"/>
        <v>4.2999999999999972</v>
      </c>
      <c r="E1047" s="148">
        <f t="shared" ca="1" si="37"/>
        <v>0</v>
      </c>
    </row>
    <row r="1048" spans="2:5" x14ac:dyDescent="0.25">
      <c r="B1048" s="8">
        <v>38642</v>
      </c>
      <c r="C1048" s="6">
        <f ca="1">IF(OR($C$7="",$B1048&gt;NOW()),"",IF(INDEX(Data!$A:$G,MATCH($B1048,Data!$A:$A,0),MATCH($C$7,Data!$4:$4,0))="","",INDEX(Data!$A:$G,MATCH($B1048,Data!$A:$A,0),MATCH($C$7,Data!$4:$4,0))))</f>
        <v>59.4</v>
      </c>
      <c r="D1048" s="148">
        <f t="shared" ca="1" si="36"/>
        <v>5.6000000000000014</v>
      </c>
      <c r="E1048" s="148">
        <f t="shared" ca="1" si="37"/>
        <v>0</v>
      </c>
    </row>
    <row r="1049" spans="2:5" x14ac:dyDescent="0.25">
      <c r="B1049" s="8">
        <v>38643</v>
      </c>
      <c r="C1049" s="6">
        <f ca="1">IF(OR($C$7="",$B1049&gt;NOW()),"",IF(INDEX(Data!$A:$G,MATCH($B1049,Data!$A:$A,0),MATCH($C$7,Data!$4:$4,0))="","",INDEX(Data!$A:$G,MATCH($B1049,Data!$A:$A,0),MATCH($C$7,Data!$4:$4,0))))</f>
        <v>62.1</v>
      </c>
      <c r="D1049" s="148">
        <f t="shared" ca="1" si="36"/>
        <v>2.8999999999999986</v>
      </c>
      <c r="E1049" s="148">
        <f t="shared" ca="1" si="37"/>
        <v>0</v>
      </c>
    </row>
    <row r="1050" spans="2:5" x14ac:dyDescent="0.25">
      <c r="B1050" s="8">
        <v>38644</v>
      </c>
      <c r="C1050" s="6">
        <f ca="1">IF(OR($C$7="",$B1050&gt;NOW()),"",IF(INDEX(Data!$A:$G,MATCH($B1050,Data!$A:$A,0),MATCH($C$7,Data!$4:$4,0))="","",INDEX(Data!$A:$G,MATCH($B1050,Data!$A:$A,0),MATCH($C$7,Data!$4:$4,0))))</f>
        <v>62.9</v>
      </c>
      <c r="D1050" s="148">
        <f t="shared" ca="1" si="36"/>
        <v>2.1000000000000014</v>
      </c>
      <c r="E1050" s="148">
        <f t="shared" ca="1" si="37"/>
        <v>0</v>
      </c>
    </row>
    <row r="1051" spans="2:5" x14ac:dyDescent="0.25">
      <c r="B1051" s="8">
        <v>38645</v>
      </c>
      <c r="C1051" s="6">
        <f ca="1">IF(OR($C$7="",$B1051&gt;NOW()),"",IF(INDEX(Data!$A:$G,MATCH($B1051,Data!$A:$A,0),MATCH($C$7,Data!$4:$4,0))="","",INDEX(Data!$A:$G,MATCH($B1051,Data!$A:$A,0),MATCH($C$7,Data!$4:$4,0))))</f>
        <v>58.7</v>
      </c>
      <c r="D1051" s="148">
        <f t="shared" ca="1" si="36"/>
        <v>6.2999999999999972</v>
      </c>
      <c r="E1051" s="148">
        <f t="shared" ca="1" si="37"/>
        <v>0</v>
      </c>
    </row>
    <row r="1052" spans="2:5" x14ac:dyDescent="0.25">
      <c r="B1052" s="8">
        <v>38646</v>
      </c>
      <c r="C1052" s="6">
        <f ca="1">IF(OR($C$7="",$B1052&gt;NOW()),"",IF(INDEX(Data!$A:$G,MATCH($B1052,Data!$A:$A,0),MATCH($C$7,Data!$4:$4,0))="","",INDEX(Data!$A:$G,MATCH($B1052,Data!$A:$A,0),MATCH($C$7,Data!$4:$4,0))))</f>
        <v>55.9</v>
      </c>
      <c r="D1052" s="148">
        <f t="shared" ca="1" si="36"/>
        <v>9.1000000000000014</v>
      </c>
      <c r="E1052" s="148">
        <f t="shared" ca="1" si="37"/>
        <v>0</v>
      </c>
    </row>
    <row r="1053" spans="2:5" x14ac:dyDescent="0.25">
      <c r="B1053" s="8">
        <v>38647</v>
      </c>
      <c r="C1053" s="6">
        <f ca="1">IF(OR($C$7="",$B1053&gt;NOW()),"",IF(INDEX(Data!$A:$G,MATCH($B1053,Data!$A:$A,0),MATCH($C$7,Data!$4:$4,0))="","",INDEX(Data!$A:$G,MATCH($B1053,Data!$A:$A,0),MATCH($C$7,Data!$4:$4,0))))</f>
        <v>53.7</v>
      </c>
      <c r="D1053" s="148">
        <f t="shared" ref="D1053:D1116" ca="1" si="38">IF($C1053="","",IF($C1053&gt;$D$26,0,$D$26-$C1053))</f>
        <v>11.299999999999997</v>
      </c>
      <c r="E1053" s="148">
        <f t="shared" ref="E1053:E1116" ca="1" si="39">IF($C1053="","",IF($C1053&lt;$E$26,0,$C1053-$E$26))</f>
        <v>0</v>
      </c>
    </row>
    <row r="1054" spans="2:5" x14ac:dyDescent="0.25">
      <c r="B1054" s="8">
        <v>38648</v>
      </c>
      <c r="C1054" s="6">
        <f ca="1">IF(OR($C$7="",$B1054&gt;NOW()),"",IF(INDEX(Data!$A:$G,MATCH($B1054,Data!$A:$A,0),MATCH($C$7,Data!$4:$4,0))="","",INDEX(Data!$A:$G,MATCH($B1054,Data!$A:$A,0),MATCH($C$7,Data!$4:$4,0))))</f>
        <v>51.8</v>
      </c>
      <c r="D1054" s="148">
        <f t="shared" ca="1" si="38"/>
        <v>13.200000000000003</v>
      </c>
      <c r="E1054" s="148">
        <f t="shared" ca="1" si="39"/>
        <v>0</v>
      </c>
    </row>
    <row r="1055" spans="2:5" x14ac:dyDescent="0.25">
      <c r="B1055" s="8">
        <v>38649</v>
      </c>
      <c r="C1055" s="6">
        <f ca="1">IF(OR($C$7="",$B1055&gt;NOW()),"",IF(INDEX(Data!$A:$G,MATCH($B1055,Data!$A:$A,0),MATCH($C$7,Data!$4:$4,0))="","",INDEX(Data!$A:$G,MATCH($B1055,Data!$A:$A,0),MATCH($C$7,Data!$4:$4,0))))</f>
        <v>50.3</v>
      </c>
      <c r="D1055" s="148">
        <f t="shared" ca="1" si="38"/>
        <v>14.700000000000003</v>
      </c>
      <c r="E1055" s="148">
        <f t="shared" ca="1" si="39"/>
        <v>0</v>
      </c>
    </row>
    <row r="1056" spans="2:5" x14ac:dyDescent="0.25">
      <c r="B1056" s="8">
        <v>38650</v>
      </c>
      <c r="C1056" s="6">
        <f ca="1">IF(OR($C$7="",$B1056&gt;NOW()),"",IF(INDEX(Data!$A:$G,MATCH($B1056,Data!$A:$A,0),MATCH($C$7,Data!$4:$4,0))="","",INDEX(Data!$A:$G,MATCH($B1056,Data!$A:$A,0),MATCH($C$7,Data!$4:$4,0))))</f>
        <v>50.4</v>
      </c>
      <c r="D1056" s="148">
        <f t="shared" ca="1" si="38"/>
        <v>14.600000000000001</v>
      </c>
      <c r="E1056" s="148">
        <f t="shared" ca="1" si="39"/>
        <v>0</v>
      </c>
    </row>
    <row r="1057" spans="2:5" x14ac:dyDescent="0.25">
      <c r="B1057" s="8">
        <v>38651</v>
      </c>
      <c r="C1057" s="6">
        <f ca="1">IF(OR($C$7="",$B1057&gt;NOW()),"",IF(INDEX(Data!$A:$G,MATCH($B1057,Data!$A:$A,0),MATCH($C$7,Data!$4:$4,0))="","",INDEX(Data!$A:$G,MATCH($B1057,Data!$A:$A,0),MATCH($C$7,Data!$4:$4,0))))</f>
        <v>45.7</v>
      </c>
      <c r="D1057" s="148">
        <f t="shared" ca="1" si="38"/>
        <v>19.299999999999997</v>
      </c>
      <c r="E1057" s="148">
        <f t="shared" ca="1" si="39"/>
        <v>0</v>
      </c>
    </row>
    <row r="1058" spans="2:5" x14ac:dyDescent="0.25">
      <c r="B1058" s="8">
        <v>38652</v>
      </c>
      <c r="C1058" s="6">
        <f ca="1">IF(OR($C$7="",$B1058&gt;NOW()),"",IF(INDEX(Data!$A:$G,MATCH($B1058,Data!$A:$A,0),MATCH($C$7,Data!$4:$4,0))="","",INDEX(Data!$A:$G,MATCH($B1058,Data!$A:$A,0),MATCH($C$7,Data!$4:$4,0))))</f>
        <v>46.6</v>
      </c>
      <c r="D1058" s="148">
        <f t="shared" ca="1" si="38"/>
        <v>18.399999999999999</v>
      </c>
      <c r="E1058" s="148">
        <f t="shared" ca="1" si="39"/>
        <v>0</v>
      </c>
    </row>
    <row r="1059" spans="2:5" x14ac:dyDescent="0.25">
      <c r="B1059" s="8">
        <v>38653</v>
      </c>
      <c r="C1059" s="6">
        <f ca="1">IF(OR($C$7="",$B1059&gt;NOW()),"",IF(INDEX(Data!$A:$G,MATCH($B1059,Data!$A:$A,0),MATCH($C$7,Data!$4:$4,0))="","",INDEX(Data!$A:$G,MATCH($B1059,Data!$A:$A,0),MATCH($C$7,Data!$4:$4,0))))</f>
        <v>46.7</v>
      </c>
      <c r="D1059" s="148">
        <f t="shared" ca="1" si="38"/>
        <v>18.299999999999997</v>
      </c>
      <c r="E1059" s="148">
        <f t="shared" ca="1" si="39"/>
        <v>0</v>
      </c>
    </row>
    <row r="1060" spans="2:5" x14ac:dyDescent="0.25">
      <c r="B1060" s="8">
        <v>38654</v>
      </c>
      <c r="C1060" s="6">
        <f ca="1">IF(OR($C$7="",$B1060&gt;NOW()),"",IF(INDEX(Data!$A:$G,MATCH($B1060,Data!$A:$A,0),MATCH($C$7,Data!$4:$4,0))="","",INDEX(Data!$A:$G,MATCH($B1060,Data!$A:$A,0),MATCH($C$7,Data!$4:$4,0))))</f>
        <v>45.1</v>
      </c>
      <c r="D1060" s="148">
        <f t="shared" ca="1" si="38"/>
        <v>19.899999999999999</v>
      </c>
      <c r="E1060" s="148">
        <f t="shared" ca="1" si="39"/>
        <v>0</v>
      </c>
    </row>
    <row r="1061" spans="2:5" x14ac:dyDescent="0.25">
      <c r="B1061" s="8">
        <v>38655</v>
      </c>
      <c r="C1061" s="6">
        <f ca="1">IF(OR($C$7="",$B1061&gt;NOW()),"",IF(INDEX(Data!$A:$G,MATCH($B1061,Data!$A:$A,0),MATCH($C$7,Data!$4:$4,0))="","",INDEX(Data!$A:$G,MATCH($B1061,Data!$A:$A,0),MATCH($C$7,Data!$4:$4,0))))</f>
        <v>54.9</v>
      </c>
      <c r="D1061" s="148">
        <f t="shared" ca="1" si="38"/>
        <v>10.100000000000001</v>
      </c>
      <c r="E1061" s="148">
        <f t="shared" ca="1" si="39"/>
        <v>0</v>
      </c>
    </row>
    <row r="1062" spans="2:5" x14ac:dyDescent="0.25">
      <c r="B1062" s="8">
        <v>38656</v>
      </c>
      <c r="C1062" s="6">
        <f ca="1">IF(OR($C$7="",$B1062&gt;NOW()),"",IF(INDEX(Data!$A:$G,MATCH($B1062,Data!$A:$A,0),MATCH($C$7,Data!$4:$4,0))="","",INDEX(Data!$A:$G,MATCH($B1062,Data!$A:$A,0),MATCH($C$7,Data!$4:$4,0))))</f>
        <v>59.6</v>
      </c>
      <c r="D1062" s="148">
        <f t="shared" ca="1" si="38"/>
        <v>5.3999999999999986</v>
      </c>
      <c r="E1062" s="148">
        <f t="shared" ca="1" si="39"/>
        <v>0</v>
      </c>
    </row>
    <row r="1063" spans="2:5" x14ac:dyDescent="0.25">
      <c r="B1063" s="8">
        <v>38657</v>
      </c>
      <c r="C1063" s="6">
        <f ca="1">IF(OR($C$7="",$B1063&gt;NOW()),"",IF(INDEX(Data!$A:$G,MATCH($B1063,Data!$A:$A,0),MATCH($C$7,Data!$4:$4,0))="","",INDEX(Data!$A:$G,MATCH($B1063,Data!$A:$A,0),MATCH($C$7,Data!$4:$4,0))))</f>
        <v>60.4</v>
      </c>
      <c r="D1063" s="148">
        <f t="shared" ca="1" si="38"/>
        <v>4.6000000000000014</v>
      </c>
      <c r="E1063" s="148">
        <f t="shared" ca="1" si="39"/>
        <v>0</v>
      </c>
    </row>
    <row r="1064" spans="2:5" x14ac:dyDescent="0.25">
      <c r="B1064" s="8">
        <v>38658</v>
      </c>
      <c r="C1064" s="6">
        <f ca="1">IF(OR($C$7="",$B1064&gt;NOW()),"",IF(INDEX(Data!$A:$G,MATCH($B1064,Data!$A:$A,0),MATCH($C$7,Data!$4:$4,0))="","",INDEX(Data!$A:$G,MATCH($B1064,Data!$A:$A,0),MATCH($C$7,Data!$4:$4,0))))</f>
        <v>56.4</v>
      </c>
      <c r="D1064" s="148">
        <f t="shared" ca="1" si="38"/>
        <v>8.6000000000000014</v>
      </c>
      <c r="E1064" s="148">
        <f t="shared" ca="1" si="39"/>
        <v>0</v>
      </c>
    </row>
    <row r="1065" spans="2:5" x14ac:dyDescent="0.25">
      <c r="B1065" s="8">
        <v>38659</v>
      </c>
      <c r="C1065" s="6">
        <f ca="1">IF(OR($C$7="",$B1065&gt;NOW()),"",IF(INDEX(Data!$A:$G,MATCH($B1065,Data!$A:$A,0),MATCH($C$7,Data!$4:$4,0))="","",INDEX(Data!$A:$G,MATCH($B1065,Data!$A:$A,0),MATCH($C$7,Data!$4:$4,0))))</f>
        <v>55.6</v>
      </c>
      <c r="D1065" s="148">
        <f t="shared" ca="1" si="38"/>
        <v>9.3999999999999986</v>
      </c>
      <c r="E1065" s="148">
        <f t="shared" ca="1" si="39"/>
        <v>0</v>
      </c>
    </row>
    <row r="1066" spans="2:5" x14ac:dyDescent="0.25">
      <c r="B1066" s="8">
        <v>38660</v>
      </c>
      <c r="C1066" s="6">
        <f ca="1">IF(OR($C$7="",$B1066&gt;NOW()),"",IF(INDEX(Data!$A:$G,MATCH($B1066,Data!$A:$A,0),MATCH($C$7,Data!$4:$4,0))="","",INDEX(Data!$A:$G,MATCH($B1066,Data!$A:$A,0),MATCH($C$7,Data!$4:$4,0))))</f>
        <v>60.6</v>
      </c>
      <c r="D1066" s="148">
        <f t="shared" ca="1" si="38"/>
        <v>4.3999999999999986</v>
      </c>
      <c r="E1066" s="148">
        <f t="shared" ca="1" si="39"/>
        <v>0</v>
      </c>
    </row>
    <row r="1067" spans="2:5" x14ac:dyDescent="0.25">
      <c r="B1067" s="8">
        <v>38661</v>
      </c>
      <c r="C1067" s="6">
        <f ca="1">IF(OR($C$7="",$B1067&gt;NOW()),"",IF(INDEX(Data!$A:$G,MATCH($B1067,Data!$A:$A,0),MATCH($C$7,Data!$4:$4,0))="","",INDEX(Data!$A:$G,MATCH($B1067,Data!$A:$A,0),MATCH($C$7,Data!$4:$4,0))))</f>
        <v>62.9</v>
      </c>
      <c r="D1067" s="148">
        <f t="shared" ca="1" si="38"/>
        <v>2.1000000000000014</v>
      </c>
      <c r="E1067" s="148">
        <f t="shared" ca="1" si="39"/>
        <v>0</v>
      </c>
    </row>
    <row r="1068" spans="2:5" x14ac:dyDescent="0.25">
      <c r="B1068" s="8">
        <v>38662</v>
      </c>
      <c r="C1068" s="6">
        <f ca="1">IF(OR($C$7="",$B1068&gt;NOW()),"",IF(INDEX(Data!$A:$G,MATCH($B1068,Data!$A:$A,0),MATCH($C$7,Data!$4:$4,0))="","",INDEX(Data!$A:$G,MATCH($B1068,Data!$A:$A,0),MATCH($C$7,Data!$4:$4,0))))</f>
        <v>59</v>
      </c>
      <c r="D1068" s="148">
        <f t="shared" ca="1" si="38"/>
        <v>6</v>
      </c>
      <c r="E1068" s="148">
        <f t="shared" ca="1" si="39"/>
        <v>0</v>
      </c>
    </row>
    <row r="1069" spans="2:5" x14ac:dyDescent="0.25">
      <c r="B1069" s="8">
        <v>38663</v>
      </c>
      <c r="C1069" s="6">
        <f ca="1">IF(OR($C$7="",$B1069&gt;NOW()),"",IF(INDEX(Data!$A:$G,MATCH($B1069,Data!$A:$A,0),MATCH($C$7,Data!$4:$4,0))="","",INDEX(Data!$A:$G,MATCH($B1069,Data!$A:$A,0),MATCH($C$7,Data!$4:$4,0))))</f>
        <v>61.1</v>
      </c>
      <c r="D1069" s="148">
        <f t="shared" ca="1" si="38"/>
        <v>3.8999999999999986</v>
      </c>
      <c r="E1069" s="148">
        <f t="shared" ca="1" si="39"/>
        <v>0</v>
      </c>
    </row>
    <row r="1070" spans="2:5" x14ac:dyDescent="0.25">
      <c r="B1070" s="8">
        <v>38664</v>
      </c>
      <c r="C1070" s="6">
        <f ca="1">IF(OR($C$7="",$B1070&gt;NOW()),"",IF(INDEX(Data!$A:$G,MATCH($B1070,Data!$A:$A,0),MATCH($C$7,Data!$4:$4,0))="","",INDEX(Data!$A:$G,MATCH($B1070,Data!$A:$A,0),MATCH($C$7,Data!$4:$4,0))))</f>
        <v>58.1</v>
      </c>
      <c r="D1070" s="148">
        <f t="shared" ca="1" si="38"/>
        <v>6.8999999999999986</v>
      </c>
      <c r="E1070" s="148">
        <f t="shared" ca="1" si="39"/>
        <v>0</v>
      </c>
    </row>
    <row r="1071" spans="2:5" x14ac:dyDescent="0.25">
      <c r="B1071" s="8">
        <v>38665</v>
      </c>
      <c r="C1071" s="6">
        <f ca="1">IF(OR($C$7="",$B1071&gt;NOW()),"",IF(INDEX(Data!$A:$G,MATCH($B1071,Data!$A:$A,0),MATCH($C$7,Data!$4:$4,0))="","",INDEX(Data!$A:$G,MATCH($B1071,Data!$A:$A,0),MATCH($C$7,Data!$4:$4,0))))</f>
        <v>54.2</v>
      </c>
      <c r="D1071" s="148">
        <f t="shared" ca="1" si="38"/>
        <v>10.799999999999997</v>
      </c>
      <c r="E1071" s="148">
        <f t="shared" ca="1" si="39"/>
        <v>0</v>
      </c>
    </row>
    <row r="1072" spans="2:5" x14ac:dyDescent="0.25">
      <c r="B1072" s="8">
        <v>38666</v>
      </c>
      <c r="C1072" s="6">
        <f ca="1">IF(OR($C$7="",$B1072&gt;NOW()),"",IF(INDEX(Data!$A:$G,MATCH($B1072,Data!$A:$A,0),MATCH($C$7,Data!$4:$4,0))="","",INDEX(Data!$A:$G,MATCH($B1072,Data!$A:$A,0),MATCH($C$7,Data!$4:$4,0))))</f>
        <v>56.8</v>
      </c>
      <c r="D1072" s="148">
        <f t="shared" ca="1" si="38"/>
        <v>8.2000000000000028</v>
      </c>
      <c r="E1072" s="148">
        <f t="shared" ca="1" si="39"/>
        <v>0</v>
      </c>
    </row>
    <row r="1073" spans="2:5" x14ac:dyDescent="0.25">
      <c r="B1073" s="8">
        <v>38667</v>
      </c>
      <c r="C1073" s="6">
        <f ca="1">IF(OR($C$7="",$B1073&gt;NOW()),"",IF(INDEX(Data!$A:$G,MATCH($B1073,Data!$A:$A,0),MATCH($C$7,Data!$4:$4,0))="","",INDEX(Data!$A:$G,MATCH($B1073,Data!$A:$A,0),MATCH($C$7,Data!$4:$4,0))))</f>
        <v>44.9</v>
      </c>
      <c r="D1073" s="148">
        <f t="shared" ca="1" si="38"/>
        <v>20.100000000000001</v>
      </c>
      <c r="E1073" s="148">
        <f t="shared" ca="1" si="39"/>
        <v>0</v>
      </c>
    </row>
    <row r="1074" spans="2:5" x14ac:dyDescent="0.25">
      <c r="B1074" s="8">
        <v>38668</v>
      </c>
      <c r="C1074" s="6">
        <f ca="1">IF(OR($C$7="",$B1074&gt;NOW()),"",IF(INDEX(Data!$A:$G,MATCH($B1074,Data!$A:$A,0),MATCH($C$7,Data!$4:$4,0))="","",INDEX(Data!$A:$G,MATCH($B1074,Data!$A:$A,0),MATCH($C$7,Data!$4:$4,0))))</f>
        <v>48.2</v>
      </c>
      <c r="D1074" s="148">
        <f t="shared" ca="1" si="38"/>
        <v>16.799999999999997</v>
      </c>
      <c r="E1074" s="148">
        <f t="shared" ca="1" si="39"/>
        <v>0</v>
      </c>
    </row>
    <row r="1075" spans="2:5" x14ac:dyDescent="0.25">
      <c r="B1075" s="8">
        <v>38669</v>
      </c>
      <c r="C1075" s="6">
        <f ca="1">IF(OR($C$7="",$B1075&gt;NOW()),"",IF(INDEX(Data!$A:$G,MATCH($B1075,Data!$A:$A,0),MATCH($C$7,Data!$4:$4,0))="","",INDEX(Data!$A:$G,MATCH($B1075,Data!$A:$A,0),MATCH($C$7,Data!$4:$4,0))))</f>
        <v>54.7</v>
      </c>
      <c r="D1075" s="148">
        <f t="shared" ca="1" si="38"/>
        <v>10.299999999999997</v>
      </c>
      <c r="E1075" s="148">
        <f t="shared" ca="1" si="39"/>
        <v>0</v>
      </c>
    </row>
    <row r="1076" spans="2:5" x14ac:dyDescent="0.25">
      <c r="B1076" s="8">
        <v>38670</v>
      </c>
      <c r="C1076" s="6">
        <f ca="1">IF(OR($C$7="",$B1076&gt;NOW()),"",IF(INDEX(Data!$A:$G,MATCH($B1076,Data!$A:$A,0),MATCH($C$7,Data!$4:$4,0))="","",INDEX(Data!$A:$G,MATCH($B1076,Data!$A:$A,0),MATCH($C$7,Data!$4:$4,0))))</f>
        <v>61.3</v>
      </c>
      <c r="D1076" s="148">
        <f t="shared" ca="1" si="38"/>
        <v>3.7000000000000028</v>
      </c>
      <c r="E1076" s="148">
        <f t="shared" ca="1" si="39"/>
        <v>0</v>
      </c>
    </row>
    <row r="1077" spans="2:5" x14ac:dyDescent="0.25">
      <c r="B1077" s="8">
        <v>38671</v>
      </c>
      <c r="C1077" s="6">
        <f ca="1">IF(OR($C$7="",$B1077&gt;NOW()),"",IF(INDEX(Data!$A:$G,MATCH($B1077,Data!$A:$A,0),MATCH($C$7,Data!$4:$4,0))="","",INDEX(Data!$A:$G,MATCH($B1077,Data!$A:$A,0),MATCH($C$7,Data!$4:$4,0))))</f>
        <v>55.3</v>
      </c>
      <c r="D1077" s="148">
        <f t="shared" ca="1" si="38"/>
        <v>9.7000000000000028</v>
      </c>
      <c r="E1077" s="148">
        <f t="shared" ca="1" si="39"/>
        <v>0</v>
      </c>
    </row>
    <row r="1078" spans="2:5" x14ac:dyDescent="0.25">
      <c r="B1078" s="8">
        <v>38672</v>
      </c>
      <c r="C1078" s="6">
        <f ca="1">IF(OR($C$7="",$B1078&gt;NOW()),"",IF(INDEX(Data!$A:$G,MATCH($B1078,Data!$A:$A,0),MATCH($C$7,Data!$4:$4,0))="","",INDEX(Data!$A:$G,MATCH($B1078,Data!$A:$A,0),MATCH($C$7,Data!$4:$4,0))))</f>
        <v>63.3</v>
      </c>
      <c r="D1078" s="148">
        <f t="shared" ca="1" si="38"/>
        <v>1.7000000000000028</v>
      </c>
      <c r="E1078" s="148">
        <f t="shared" ca="1" si="39"/>
        <v>0</v>
      </c>
    </row>
    <row r="1079" spans="2:5" x14ac:dyDescent="0.25">
      <c r="B1079" s="8">
        <v>38673</v>
      </c>
      <c r="C1079" s="6">
        <f ca="1">IF(OR($C$7="",$B1079&gt;NOW()),"",IF(INDEX(Data!$A:$G,MATCH($B1079,Data!$A:$A,0),MATCH($C$7,Data!$4:$4,0))="","",INDEX(Data!$A:$G,MATCH($B1079,Data!$A:$A,0),MATCH($C$7,Data!$4:$4,0))))</f>
        <v>46.8</v>
      </c>
      <c r="D1079" s="148">
        <f t="shared" ca="1" si="38"/>
        <v>18.200000000000003</v>
      </c>
      <c r="E1079" s="148">
        <f t="shared" ca="1" si="39"/>
        <v>0</v>
      </c>
    </row>
    <row r="1080" spans="2:5" x14ac:dyDescent="0.25">
      <c r="B1080" s="8">
        <v>38674</v>
      </c>
      <c r="C1080" s="6">
        <f ca="1">IF(OR($C$7="",$B1080&gt;NOW()),"",IF(INDEX(Data!$A:$G,MATCH($B1080,Data!$A:$A,0),MATCH($C$7,Data!$4:$4,0))="","",INDEX(Data!$A:$G,MATCH($B1080,Data!$A:$A,0),MATCH($C$7,Data!$4:$4,0))))</f>
        <v>38.700000000000003</v>
      </c>
      <c r="D1080" s="148">
        <f t="shared" ca="1" si="38"/>
        <v>26.299999999999997</v>
      </c>
      <c r="E1080" s="148">
        <f t="shared" ca="1" si="39"/>
        <v>0</v>
      </c>
    </row>
    <row r="1081" spans="2:5" x14ac:dyDescent="0.25">
      <c r="B1081" s="8">
        <v>38675</v>
      </c>
      <c r="C1081" s="6">
        <f ca="1">IF(OR($C$7="",$B1081&gt;NOW()),"",IF(INDEX(Data!$A:$G,MATCH($B1081,Data!$A:$A,0),MATCH($C$7,Data!$4:$4,0))="","",INDEX(Data!$A:$G,MATCH($B1081,Data!$A:$A,0),MATCH($C$7,Data!$4:$4,0))))</f>
        <v>40.5</v>
      </c>
      <c r="D1081" s="148">
        <f t="shared" ca="1" si="38"/>
        <v>24.5</v>
      </c>
      <c r="E1081" s="148">
        <f t="shared" ca="1" si="39"/>
        <v>0</v>
      </c>
    </row>
    <row r="1082" spans="2:5" x14ac:dyDescent="0.25">
      <c r="B1082" s="8">
        <v>38676</v>
      </c>
      <c r="C1082" s="6">
        <f ca="1">IF(OR($C$7="",$B1082&gt;NOW()),"",IF(INDEX(Data!$A:$G,MATCH($B1082,Data!$A:$A,0),MATCH($C$7,Data!$4:$4,0))="","",INDEX(Data!$A:$G,MATCH($B1082,Data!$A:$A,0),MATCH($C$7,Data!$4:$4,0))))</f>
        <v>48.1</v>
      </c>
      <c r="D1082" s="148">
        <f t="shared" ca="1" si="38"/>
        <v>16.899999999999999</v>
      </c>
      <c r="E1082" s="148">
        <f t="shared" ca="1" si="39"/>
        <v>0</v>
      </c>
    </row>
    <row r="1083" spans="2:5" x14ac:dyDescent="0.25">
      <c r="B1083" s="8">
        <v>38677</v>
      </c>
      <c r="C1083" s="6">
        <f ca="1">IF(OR($C$7="",$B1083&gt;NOW()),"",IF(INDEX(Data!$A:$G,MATCH($B1083,Data!$A:$A,0),MATCH($C$7,Data!$4:$4,0))="","",INDEX(Data!$A:$G,MATCH($B1083,Data!$A:$A,0),MATCH($C$7,Data!$4:$4,0))))</f>
        <v>50.8</v>
      </c>
      <c r="D1083" s="148">
        <f t="shared" ca="1" si="38"/>
        <v>14.200000000000003</v>
      </c>
      <c r="E1083" s="148">
        <f t="shared" ca="1" si="39"/>
        <v>0</v>
      </c>
    </row>
    <row r="1084" spans="2:5" x14ac:dyDescent="0.25">
      <c r="B1084" s="8">
        <v>38678</v>
      </c>
      <c r="C1084" s="6">
        <f ca="1">IF(OR($C$7="",$B1084&gt;NOW()),"",IF(INDEX(Data!$A:$G,MATCH($B1084,Data!$A:$A,0),MATCH($C$7,Data!$4:$4,0))="","",INDEX(Data!$A:$G,MATCH($B1084,Data!$A:$A,0),MATCH($C$7,Data!$4:$4,0))))</f>
        <v>47</v>
      </c>
      <c r="D1084" s="148">
        <f t="shared" ca="1" si="38"/>
        <v>18</v>
      </c>
      <c r="E1084" s="148">
        <f t="shared" ca="1" si="39"/>
        <v>0</v>
      </c>
    </row>
    <row r="1085" spans="2:5" x14ac:dyDescent="0.25">
      <c r="B1085" s="8">
        <v>38679</v>
      </c>
      <c r="C1085" s="6">
        <f ca="1">IF(OR($C$7="",$B1085&gt;NOW()),"",IF(INDEX(Data!$A:$G,MATCH($B1085,Data!$A:$A,0),MATCH($C$7,Data!$4:$4,0))="","",INDEX(Data!$A:$G,MATCH($B1085,Data!$A:$A,0),MATCH($C$7,Data!$4:$4,0))))</f>
        <v>34.799999999999997</v>
      </c>
      <c r="D1085" s="148">
        <f t="shared" ca="1" si="38"/>
        <v>30.200000000000003</v>
      </c>
      <c r="E1085" s="148">
        <f t="shared" ca="1" si="39"/>
        <v>0</v>
      </c>
    </row>
    <row r="1086" spans="2:5" x14ac:dyDescent="0.25">
      <c r="B1086" s="8">
        <v>38680</v>
      </c>
      <c r="C1086" s="6">
        <f ca="1">IF(OR($C$7="",$B1086&gt;NOW()),"",IF(INDEX(Data!$A:$G,MATCH($B1086,Data!$A:$A,0),MATCH($C$7,Data!$4:$4,0))="","",INDEX(Data!$A:$G,MATCH($B1086,Data!$A:$A,0),MATCH($C$7,Data!$4:$4,0))))</f>
        <v>41.1</v>
      </c>
      <c r="D1086" s="148">
        <f t="shared" ca="1" si="38"/>
        <v>23.9</v>
      </c>
      <c r="E1086" s="148">
        <f t="shared" ca="1" si="39"/>
        <v>0</v>
      </c>
    </row>
    <row r="1087" spans="2:5" x14ac:dyDescent="0.25">
      <c r="B1087" s="8">
        <v>38681</v>
      </c>
      <c r="C1087" s="6">
        <f ca="1">IF(OR($C$7="",$B1087&gt;NOW()),"",IF(INDEX(Data!$A:$G,MATCH($B1087,Data!$A:$A,0),MATCH($C$7,Data!$4:$4,0))="","",INDEX(Data!$A:$G,MATCH($B1087,Data!$A:$A,0),MATCH($C$7,Data!$4:$4,0))))</f>
        <v>29</v>
      </c>
      <c r="D1087" s="148">
        <f t="shared" ca="1" si="38"/>
        <v>36</v>
      </c>
      <c r="E1087" s="148">
        <f t="shared" ca="1" si="39"/>
        <v>0</v>
      </c>
    </row>
    <row r="1088" spans="2:5" x14ac:dyDescent="0.25">
      <c r="B1088" s="8">
        <v>38682</v>
      </c>
      <c r="C1088" s="6">
        <f ca="1">IF(OR($C$7="",$B1088&gt;NOW()),"",IF(INDEX(Data!$A:$G,MATCH($B1088,Data!$A:$A,0),MATCH($C$7,Data!$4:$4,0))="","",INDEX(Data!$A:$G,MATCH($B1088,Data!$A:$A,0),MATCH($C$7,Data!$4:$4,0))))</f>
        <v>34.799999999999997</v>
      </c>
      <c r="D1088" s="148">
        <f t="shared" ca="1" si="38"/>
        <v>30.200000000000003</v>
      </c>
      <c r="E1088" s="148">
        <f t="shared" ca="1" si="39"/>
        <v>0</v>
      </c>
    </row>
    <row r="1089" spans="2:5" x14ac:dyDescent="0.25">
      <c r="B1089" s="8">
        <v>38683</v>
      </c>
      <c r="C1089" s="6">
        <f ca="1">IF(OR($C$7="",$B1089&gt;NOW()),"",IF(INDEX(Data!$A:$G,MATCH($B1089,Data!$A:$A,0),MATCH($C$7,Data!$4:$4,0))="","",INDEX(Data!$A:$G,MATCH($B1089,Data!$A:$A,0),MATCH($C$7,Data!$4:$4,0))))</f>
        <v>45.1</v>
      </c>
      <c r="D1089" s="148">
        <f t="shared" ca="1" si="38"/>
        <v>19.899999999999999</v>
      </c>
      <c r="E1089" s="148">
        <f t="shared" ca="1" si="39"/>
        <v>0</v>
      </c>
    </row>
    <row r="1090" spans="2:5" x14ac:dyDescent="0.25">
      <c r="B1090" s="8">
        <v>38684</v>
      </c>
      <c r="C1090" s="6">
        <f ca="1">IF(OR($C$7="",$B1090&gt;NOW()),"",IF(INDEX(Data!$A:$G,MATCH($B1090,Data!$A:$A,0),MATCH($C$7,Data!$4:$4,0))="","",INDEX(Data!$A:$G,MATCH($B1090,Data!$A:$A,0),MATCH($C$7,Data!$4:$4,0))))</f>
        <v>52.2</v>
      </c>
      <c r="D1090" s="148">
        <f t="shared" ca="1" si="38"/>
        <v>12.799999999999997</v>
      </c>
      <c r="E1090" s="148">
        <f t="shared" ca="1" si="39"/>
        <v>0</v>
      </c>
    </row>
    <row r="1091" spans="2:5" x14ac:dyDescent="0.25">
      <c r="B1091" s="8">
        <v>38685</v>
      </c>
      <c r="C1091" s="6">
        <f ca="1">IF(OR($C$7="",$B1091&gt;NOW()),"",IF(INDEX(Data!$A:$G,MATCH($B1091,Data!$A:$A,0),MATCH($C$7,Data!$4:$4,0))="","",INDEX(Data!$A:$G,MATCH($B1091,Data!$A:$A,0),MATCH($C$7,Data!$4:$4,0))))</f>
        <v>62.2</v>
      </c>
      <c r="D1091" s="148">
        <f t="shared" ca="1" si="38"/>
        <v>2.7999999999999972</v>
      </c>
      <c r="E1091" s="148">
        <f t="shared" ca="1" si="39"/>
        <v>0</v>
      </c>
    </row>
    <row r="1092" spans="2:5" x14ac:dyDescent="0.25">
      <c r="B1092" s="8">
        <v>38686</v>
      </c>
      <c r="C1092" s="6">
        <f ca="1">IF(OR($C$7="",$B1092&gt;NOW()),"",IF(INDEX(Data!$A:$G,MATCH($B1092,Data!$A:$A,0),MATCH($C$7,Data!$4:$4,0))="","",INDEX(Data!$A:$G,MATCH($B1092,Data!$A:$A,0),MATCH($C$7,Data!$4:$4,0))))</f>
        <v>60</v>
      </c>
      <c r="D1092" s="148">
        <f t="shared" ca="1" si="38"/>
        <v>5</v>
      </c>
      <c r="E1092" s="148">
        <f t="shared" ca="1" si="39"/>
        <v>0</v>
      </c>
    </row>
    <row r="1093" spans="2:5" x14ac:dyDescent="0.25">
      <c r="B1093" s="8">
        <v>38687</v>
      </c>
      <c r="C1093" s="6">
        <f ca="1">IF(OR($C$7="",$B1093&gt;NOW()),"",IF(INDEX(Data!$A:$G,MATCH($B1093,Data!$A:$A,0),MATCH($C$7,Data!$4:$4,0))="","",INDEX(Data!$A:$G,MATCH($B1093,Data!$A:$A,0),MATCH($C$7,Data!$4:$4,0))))</f>
        <v>45.4</v>
      </c>
      <c r="D1093" s="148">
        <f t="shared" ca="1" si="38"/>
        <v>19.600000000000001</v>
      </c>
      <c r="E1093" s="148">
        <f t="shared" ca="1" si="39"/>
        <v>0</v>
      </c>
    </row>
    <row r="1094" spans="2:5" x14ac:dyDescent="0.25">
      <c r="B1094" s="8">
        <v>38688</v>
      </c>
      <c r="C1094" s="6">
        <f ca="1">IF(OR($C$7="",$B1094&gt;NOW()),"",IF(INDEX(Data!$A:$G,MATCH($B1094,Data!$A:$A,0),MATCH($C$7,Data!$4:$4,0))="","",INDEX(Data!$A:$G,MATCH($B1094,Data!$A:$A,0),MATCH($C$7,Data!$4:$4,0))))</f>
        <v>41.7</v>
      </c>
      <c r="D1094" s="148">
        <f t="shared" ca="1" si="38"/>
        <v>23.299999999999997</v>
      </c>
      <c r="E1094" s="148">
        <f t="shared" ca="1" si="39"/>
        <v>0</v>
      </c>
    </row>
    <row r="1095" spans="2:5" x14ac:dyDescent="0.25">
      <c r="B1095" s="8">
        <v>38689</v>
      </c>
      <c r="C1095" s="6">
        <f ca="1">IF(OR($C$7="",$B1095&gt;NOW()),"",IF(INDEX(Data!$A:$G,MATCH($B1095,Data!$A:$A,0),MATCH($C$7,Data!$4:$4,0))="","",INDEX(Data!$A:$G,MATCH($B1095,Data!$A:$A,0),MATCH($C$7,Data!$4:$4,0))))</f>
        <v>34.6</v>
      </c>
      <c r="D1095" s="148">
        <f t="shared" ca="1" si="38"/>
        <v>30.4</v>
      </c>
      <c r="E1095" s="148">
        <f t="shared" ca="1" si="39"/>
        <v>0</v>
      </c>
    </row>
    <row r="1096" spans="2:5" x14ac:dyDescent="0.25">
      <c r="B1096" s="8">
        <v>38690</v>
      </c>
      <c r="C1096" s="6">
        <f ca="1">IF(OR($C$7="",$B1096&gt;NOW()),"",IF(INDEX(Data!$A:$G,MATCH($B1096,Data!$A:$A,0),MATCH($C$7,Data!$4:$4,0))="","",INDEX(Data!$A:$G,MATCH($B1096,Data!$A:$A,0),MATCH($C$7,Data!$4:$4,0))))</f>
        <v>32.9</v>
      </c>
      <c r="D1096" s="148">
        <f t="shared" ca="1" si="38"/>
        <v>32.1</v>
      </c>
      <c r="E1096" s="148">
        <f t="shared" ca="1" si="39"/>
        <v>0</v>
      </c>
    </row>
    <row r="1097" spans="2:5" x14ac:dyDescent="0.25">
      <c r="B1097" s="8">
        <v>38691</v>
      </c>
      <c r="C1097" s="6">
        <f ca="1">IF(OR($C$7="",$B1097&gt;NOW()),"",IF(INDEX(Data!$A:$G,MATCH($B1097,Data!$A:$A,0),MATCH($C$7,Data!$4:$4,0))="","",INDEX(Data!$A:$G,MATCH($B1097,Data!$A:$A,0),MATCH($C$7,Data!$4:$4,0))))</f>
        <v>35</v>
      </c>
      <c r="D1097" s="148">
        <f t="shared" ca="1" si="38"/>
        <v>30</v>
      </c>
      <c r="E1097" s="148">
        <f t="shared" ca="1" si="39"/>
        <v>0</v>
      </c>
    </row>
    <row r="1098" spans="2:5" x14ac:dyDescent="0.25">
      <c r="B1098" s="8">
        <v>38692</v>
      </c>
      <c r="C1098" s="6">
        <f ca="1">IF(OR($C$7="",$B1098&gt;NOW()),"",IF(INDEX(Data!$A:$G,MATCH($B1098,Data!$A:$A,0),MATCH($C$7,Data!$4:$4,0))="","",INDEX(Data!$A:$G,MATCH($B1098,Data!$A:$A,0),MATCH($C$7,Data!$4:$4,0))))</f>
        <v>34.799999999999997</v>
      </c>
      <c r="D1098" s="148">
        <f t="shared" ca="1" si="38"/>
        <v>30.200000000000003</v>
      </c>
      <c r="E1098" s="148">
        <f t="shared" ca="1" si="39"/>
        <v>0</v>
      </c>
    </row>
    <row r="1099" spans="2:5" x14ac:dyDescent="0.25">
      <c r="B1099" s="8">
        <v>38693</v>
      </c>
      <c r="C1099" s="6">
        <f ca="1">IF(OR($C$7="",$B1099&gt;NOW()),"",IF(INDEX(Data!$A:$G,MATCH($B1099,Data!$A:$A,0),MATCH($C$7,Data!$4:$4,0))="","",INDEX(Data!$A:$G,MATCH($B1099,Data!$A:$A,0),MATCH($C$7,Data!$4:$4,0))))</f>
        <v>31</v>
      </c>
      <c r="D1099" s="148">
        <f t="shared" ca="1" si="38"/>
        <v>34</v>
      </c>
      <c r="E1099" s="148">
        <f t="shared" ca="1" si="39"/>
        <v>0</v>
      </c>
    </row>
    <row r="1100" spans="2:5" x14ac:dyDescent="0.25">
      <c r="B1100" s="8">
        <v>38694</v>
      </c>
      <c r="C1100" s="6">
        <f ca="1">IF(OR($C$7="",$B1100&gt;NOW()),"",IF(INDEX(Data!$A:$G,MATCH($B1100,Data!$A:$A,0),MATCH($C$7,Data!$4:$4,0))="","",INDEX(Data!$A:$G,MATCH($B1100,Data!$A:$A,0),MATCH($C$7,Data!$4:$4,0))))</f>
        <v>28.7</v>
      </c>
      <c r="D1100" s="148">
        <f t="shared" ca="1" si="38"/>
        <v>36.299999999999997</v>
      </c>
      <c r="E1100" s="148">
        <f t="shared" ca="1" si="39"/>
        <v>0</v>
      </c>
    </row>
    <row r="1101" spans="2:5" x14ac:dyDescent="0.25">
      <c r="B1101" s="8">
        <v>38695</v>
      </c>
      <c r="C1101" s="6">
        <f ca="1">IF(OR($C$7="",$B1101&gt;NOW()),"",IF(INDEX(Data!$A:$G,MATCH($B1101,Data!$A:$A,0),MATCH($C$7,Data!$4:$4,0))="","",INDEX(Data!$A:$G,MATCH($B1101,Data!$A:$A,0),MATCH($C$7,Data!$4:$4,0))))</f>
        <v>33.799999999999997</v>
      </c>
      <c r="D1101" s="148">
        <f t="shared" ca="1" si="38"/>
        <v>31.200000000000003</v>
      </c>
      <c r="E1101" s="148">
        <f t="shared" ca="1" si="39"/>
        <v>0</v>
      </c>
    </row>
    <row r="1102" spans="2:5" x14ac:dyDescent="0.25">
      <c r="B1102" s="8">
        <v>38696</v>
      </c>
      <c r="C1102" s="6">
        <f ca="1">IF(OR($C$7="",$B1102&gt;NOW()),"",IF(INDEX(Data!$A:$G,MATCH($B1102,Data!$A:$A,0),MATCH($C$7,Data!$4:$4,0))="","",INDEX(Data!$A:$G,MATCH($B1102,Data!$A:$A,0),MATCH($C$7,Data!$4:$4,0))))</f>
        <v>33.4</v>
      </c>
      <c r="D1102" s="148">
        <f t="shared" ca="1" si="38"/>
        <v>31.6</v>
      </c>
      <c r="E1102" s="148">
        <f t="shared" ca="1" si="39"/>
        <v>0</v>
      </c>
    </row>
    <row r="1103" spans="2:5" x14ac:dyDescent="0.25">
      <c r="B1103" s="8">
        <v>38697</v>
      </c>
      <c r="C1103" s="6">
        <f ca="1">IF(OR($C$7="",$B1103&gt;NOW()),"",IF(INDEX(Data!$A:$G,MATCH($B1103,Data!$A:$A,0),MATCH($C$7,Data!$4:$4,0))="","",INDEX(Data!$A:$G,MATCH($B1103,Data!$A:$A,0),MATCH($C$7,Data!$4:$4,0))))</f>
        <v>36.5</v>
      </c>
      <c r="D1103" s="148">
        <f t="shared" ca="1" si="38"/>
        <v>28.5</v>
      </c>
      <c r="E1103" s="148">
        <f t="shared" ca="1" si="39"/>
        <v>0</v>
      </c>
    </row>
    <row r="1104" spans="2:5" x14ac:dyDescent="0.25">
      <c r="B1104" s="8">
        <v>38698</v>
      </c>
      <c r="C1104" s="6">
        <f ca="1">IF(OR($C$7="",$B1104&gt;NOW()),"",IF(INDEX(Data!$A:$G,MATCH($B1104,Data!$A:$A,0),MATCH($C$7,Data!$4:$4,0))="","",INDEX(Data!$A:$G,MATCH($B1104,Data!$A:$A,0),MATCH($C$7,Data!$4:$4,0))))</f>
        <v>36.9</v>
      </c>
      <c r="D1104" s="148">
        <f t="shared" ca="1" si="38"/>
        <v>28.1</v>
      </c>
      <c r="E1104" s="148">
        <f t="shared" ca="1" si="39"/>
        <v>0</v>
      </c>
    </row>
    <row r="1105" spans="2:5" x14ac:dyDescent="0.25">
      <c r="B1105" s="8">
        <v>38699</v>
      </c>
      <c r="C1105" s="6">
        <f ca="1">IF(OR($C$7="",$B1105&gt;NOW()),"",IF(INDEX(Data!$A:$G,MATCH($B1105,Data!$A:$A,0),MATCH($C$7,Data!$4:$4,0))="","",INDEX(Data!$A:$G,MATCH($B1105,Data!$A:$A,0),MATCH($C$7,Data!$4:$4,0))))</f>
        <v>24.3</v>
      </c>
      <c r="D1105" s="148">
        <f t="shared" ca="1" si="38"/>
        <v>40.700000000000003</v>
      </c>
      <c r="E1105" s="148">
        <f t="shared" ca="1" si="39"/>
        <v>0</v>
      </c>
    </row>
    <row r="1106" spans="2:5" x14ac:dyDescent="0.25">
      <c r="B1106" s="8">
        <v>38700</v>
      </c>
      <c r="C1106" s="6">
        <f ca="1">IF(OR($C$7="",$B1106&gt;NOW()),"",IF(INDEX(Data!$A:$G,MATCH($B1106,Data!$A:$A,0),MATCH($C$7,Data!$4:$4,0))="","",INDEX(Data!$A:$G,MATCH($B1106,Data!$A:$A,0),MATCH($C$7,Data!$4:$4,0))))</f>
        <v>20.2</v>
      </c>
      <c r="D1106" s="148">
        <f t="shared" ca="1" si="38"/>
        <v>44.8</v>
      </c>
      <c r="E1106" s="148">
        <f t="shared" ca="1" si="39"/>
        <v>0</v>
      </c>
    </row>
    <row r="1107" spans="2:5" x14ac:dyDescent="0.25">
      <c r="B1107" s="8">
        <v>38701</v>
      </c>
      <c r="C1107" s="6">
        <f ca="1">IF(OR($C$7="",$B1107&gt;NOW()),"",IF(INDEX(Data!$A:$G,MATCH($B1107,Data!$A:$A,0),MATCH($C$7,Data!$4:$4,0))="","",INDEX(Data!$A:$G,MATCH($B1107,Data!$A:$A,0),MATCH($C$7,Data!$4:$4,0))))</f>
        <v>23.4</v>
      </c>
      <c r="D1107" s="148">
        <f t="shared" ca="1" si="38"/>
        <v>41.6</v>
      </c>
      <c r="E1107" s="148">
        <f t="shared" ca="1" si="39"/>
        <v>0</v>
      </c>
    </row>
    <row r="1108" spans="2:5" x14ac:dyDescent="0.25">
      <c r="B1108" s="8">
        <v>38702</v>
      </c>
      <c r="C1108" s="6">
        <f ca="1">IF(OR($C$7="",$B1108&gt;NOW()),"",IF(INDEX(Data!$A:$G,MATCH($B1108,Data!$A:$A,0),MATCH($C$7,Data!$4:$4,0))="","",INDEX(Data!$A:$G,MATCH($B1108,Data!$A:$A,0),MATCH($C$7,Data!$4:$4,0))))</f>
        <v>44.7</v>
      </c>
      <c r="D1108" s="148">
        <f t="shared" ca="1" si="38"/>
        <v>20.299999999999997</v>
      </c>
      <c r="E1108" s="148">
        <f t="shared" ca="1" si="39"/>
        <v>0</v>
      </c>
    </row>
    <row r="1109" spans="2:5" x14ac:dyDescent="0.25">
      <c r="B1109" s="8">
        <v>38703</v>
      </c>
      <c r="C1109" s="6">
        <f ca="1">IF(OR($C$7="",$B1109&gt;NOW()),"",IF(INDEX(Data!$A:$G,MATCH($B1109,Data!$A:$A,0),MATCH($C$7,Data!$4:$4,0))="","",INDEX(Data!$A:$G,MATCH($B1109,Data!$A:$A,0),MATCH($C$7,Data!$4:$4,0))))</f>
        <v>38.700000000000003</v>
      </c>
      <c r="D1109" s="148">
        <f t="shared" ca="1" si="38"/>
        <v>26.299999999999997</v>
      </c>
      <c r="E1109" s="148">
        <f t="shared" ca="1" si="39"/>
        <v>0</v>
      </c>
    </row>
    <row r="1110" spans="2:5" x14ac:dyDescent="0.25">
      <c r="B1110" s="8">
        <v>38704</v>
      </c>
      <c r="C1110" s="6">
        <f ca="1">IF(OR($C$7="",$B1110&gt;NOW()),"",IF(INDEX(Data!$A:$G,MATCH($B1110,Data!$A:$A,0),MATCH($C$7,Data!$4:$4,0))="","",INDEX(Data!$A:$G,MATCH($B1110,Data!$A:$A,0),MATCH($C$7,Data!$4:$4,0))))</f>
        <v>36.5</v>
      </c>
      <c r="D1110" s="148">
        <f t="shared" ca="1" si="38"/>
        <v>28.5</v>
      </c>
      <c r="E1110" s="148">
        <f t="shared" ca="1" si="39"/>
        <v>0</v>
      </c>
    </row>
    <row r="1111" spans="2:5" x14ac:dyDescent="0.25">
      <c r="B1111" s="8">
        <v>38705</v>
      </c>
      <c r="C1111" s="6">
        <f ca="1">IF(OR($C$7="",$B1111&gt;NOW()),"",IF(INDEX(Data!$A:$G,MATCH($B1111,Data!$A:$A,0),MATCH($C$7,Data!$4:$4,0))="","",INDEX(Data!$A:$G,MATCH($B1111,Data!$A:$A,0),MATCH($C$7,Data!$4:$4,0))))</f>
        <v>36.4</v>
      </c>
      <c r="D1111" s="148">
        <f t="shared" ca="1" si="38"/>
        <v>28.6</v>
      </c>
      <c r="E1111" s="148">
        <f t="shared" ca="1" si="39"/>
        <v>0</v>
      </c>
    </row>
    <row r="1112" spans="2:5" x14ac:dyDescent="0.25">
      <c r="B1112" s="8">
        <v>38706</v>
      </c>
      <c r="C1112" s="6">
        <f ca="1">IF(OR($C$7="",$B1112&gt;NOW()),"",IF(INDEX(Data!$A:$G,MATCH($B1112,Data!$A:$A,0),MATCH($C$7,Data!$4:$4,0))="","",INDEX(Data!$A:$G,MATCH($B1112,Data!$A:$A,0),MATCH($C$7,Data!$4:$4,0))))</f>
        <v>28.8</v>
      </c>
      <c r="D1112" s="148">
        <f t="shared" ca="1" si="38"/>
        <v>36.200000000000003</v>
      </c>
      <c r="E1112" s="148">
        <f t="shared" ca="1" si="39"/>
        <v>0</v>
      </c>
    </row>
    <row r="1113" spans="2:5" x14ac:dyDescent="0.25">
      <c r="B1113" s="8">
        <v>38707</v>
      </c>
      <c r="C1113" s="6">
        <f ca="1">IF(OR($C$7="",$B1113&gt;NOW()),"",IF(INDEX(Data!$A:$G,MATCH($B1113,Data!$A:$A,0),MATCH($C$7,Data!$4:$4,0))="","",INDEX(Data!$A:$G,MATCH($B1113,Data!$A:$A,0),MATCH($C$7,Data!$4:$4,0))))</f>
        <v>29.9</v>
      </c>
      <c r="D1113" s="148">
        <f t="shared" ca="1" si="38"/>
        <v>35.1</v>
      </c>
      <c r="E1113" s="148">
        <f t="shared" ca="1" si="39"/>
        <v>0</v>
      </c>
    </row>
    <row r="1114" spans="2:5" x14ac:dyDescent="0.25">
      <c r="B1114" s="8">
        <v>38708</v>
      </c>
      <c r="C1114" s="6">
        <f ca="1">IF(OR($C$7="",$B1114&gt;NOW()),"",IF(INDEX(Data!$A:$G,MATCH($B1114,Data!$A:$A,0),MATCH($C$7,Data!$4:$4,0))="","",INDEX(Data!$A:$G,MATCH($B1114,Data!$A:$A,0),MATCH($C$7,Data!$4:$4,0))))</f>
        <v>33</v>
      </c>
      <c r="D1114" s="148">
        <f t="shared" ca="1" si="38"/>
        <v>32</v>
      </c>
      <c r="E1114" s="148">
        <f t="shared" ca="1" si="39"/>
        <v>0</v>
      </c>
    </row>
    <row r="1115" spans="2:5" x14ac:dyDescent="0.25">
      <c r="B1115" s="8">
        <v>38709</v>
      </c>
      <c r="C1115" s="6">
        <f ca="1">IF(OR($C$7="",$B1115&gt;NOW()),"",IF(INDEX(Data!$A:$G,MATCH($B1115,Data!$A:$A,0),MATCH($C$7,Data!$4:$4,0))="","",INDEX(Data!$A:$G,MATCH($B1115,Data!$A:$A,0),MATCH($C$7,Data!$4:$4,0))))</f>
        <v>40.700000000000003</v>
      </c>
      <c r="D1115" s="148">
        <f t="shared" ca="1" si="38"/>
        <v>24.299999999999997</v>
      </c>
      <c r="E1115" s="148">
        <f t="shared" ca="1" si="39"/>
        <v>0</v>
      </c>
    </row>
    <row r="1116" spans="2:5" x14ac:dyDescent="0.25">
      <c r="B1116" s="8">
        <v>38710</v>
      </c>
      <c r="C1116" s="6">
        <f ca="1">IF(OR($C$7="",$B1116&gt;NOW()),"",IF(INDEX(Data!$A:$G,MATCH($B1116,Data!$A:$A,0),MATCH($C$7,Data!$4:$4,0))="","",INDEX(Data!$A:$G,MATCH($B1116,Data!$A:$A,0),MATCH($C$7,Data!$4:$4,0))))</f>
        <v>47.4</v>
      </c>
      <c r="D1116" s="148">
        <f t="shared" ca="1" si="38"/>
        <v>17.600000000000001</v>
      </c>
      <c r="E1116" s="148">
        <f t="shared" ca="1" si="39"/>
        <v>0</v>
      </c>
    </row>
    <row r="1117" spans="2:5" x14ac:dyDescent="0.25">
      <c r="B1117" s="8">
        <v>38711</v>
      </c>
      <c r="C1117" s="6">
        <f ca="1">IF(OR($C$7="",$B1117&gt;NOW()),"",IF(INDEX(Data!$A:$G,MATCH($B1117,Data!$A:$A,0),MATCH($C$7,Data!$4:$4,0))="","",INDEX(Data!$A:$G,MATCH($B1117,Data!$A:$A,0),MATCH($C$7,Data!$4:$4,0))))</f>
        <v>41.3</v>
      </c>
      <c r="D1117" s="148">
        <f t="shared" ref="D1117:D1180" ca="1" si="40">IF($C1117="","",IF($C1117&gt;$D$26,0,$D$26-$C1117))</f>
        <v>23.700000000000003</v>
      </c>
      <c r="E1117" s="148">
        <f t="shared" ref="E1117:E1180" ca="1" si="41">IF($C1117="","",IF($C1117&lt;$E$26,0,$C1117-$E$26))</f>
        <v>0</v>
      </c>
    </row>
    <row r="1118" spans="2:5" x14ac:dyDescent="0.25">
      <c r="B1118" s="8">
        <v>38712</v>
      </c>
      <c r="C1118" s="6">
        <f ca="1">IF(OR($C$7="",$B1118&gt;NOW()),"",IF(INDEX(Data!$A:$G,MATCH($B1118,Data!$A:$A,0),MATCH($C$7,Data!$4:$4,0))="","",INDEX(Data!$A:$G,MATCH($B1118,Data!$A:$A,0),MATCH($C$7,Data!$4:$4,0))))</f>
        <v>48.6</v>
      </c>
      <c r="D1118" s="148">
        <f t="shared" ca="1" si="40"/>
        <v>16.399999999999999</v>
      </c>
      <c r="E1118" s="148">
        <f t="shared" ca="1" si="41"/>
        <v>0</v>
      </c>
    </row>
    <row r="1119" spans="2:5" x14ac:dyDescent="0.25">
      <c r="B1119" s="8">
        <v>38713</v>
      </c>
      <c r="C1119" s="6">
        <f ca="1">IF(OR($C$7="",$B1119&gt;NOW()),"",IF(INDEX(Data!$A:$G,MATCH($B1119,Data!$A:$A,0),MATCH($C$7,Data!$4:$4,0))="","",INDEX(Data!$A:$G,MATCH($B1119,Data!$A:$A,0),MATCH($C$7,Data!$4:$4,0))))</f>
        <v>41.2</v>
      </c>
      <c r="D1119" s="148">
        <f t="shared" ca="1" si="40"/>
        <v>23.799999999999997</v>
      </c>
      <c r="E1119" s="148">
        <f t="shared" ca="1" si="41"/>
        <v>0</v>
      </c>
    </row>
    <row r="1120" spans="2:5" x14ac:dyDescent="0.25">
      <c r="B1120" s="8">
        <v>38714</v>
      </c>
      <c r="C1120" s="6">
        <f ca="1">IF(OR($C$7="",$B1120&gt;NOW()),"",IF(INDEX(Data!$A:$G,MATCH($B1120,Data!$A:$A,0),MATCH($C$7,Data!$4:$4,0))="","",INDEX(Data!$A:$G,MATCH($B1120,Data!$A:$A,0),MATCH($C$7,Data!$4:$4,0))))</f>
        <v>41.2</v>
      </c>
      <c r="D1120" s="148">
        <f t="shared" ca="1" si="40"/>
        <v>23.799999999999997</v>
      </c>
      <c r="E1120" s="148">
        <f t="shared" ca="1" si="41"/>
        <v>0</v>
      </c>
    </row>
    <row r="1121" spans="2:5" x14ac:dyDescent="0.25">
      <c r="B1121" s="8">
        <v>38715</v>
      </c>
      <c r="C1121" s="6">
        <f ca="1">IF(OR($C$7="",$B1121&gt;NOW()),"",IF(INDEX(Data!$A:$G,MATCH($B1121,Data!$A:$A,0),MATCH($C$7,Data!$4:$4,0))="","",INDEX(Data!$A:$G,MATCH($B1121,Data!$A:$A,0),MATCH($C$7,Data!$4:$4,0))))</f>
        <v>48.1</v>
      </c>
      <c r="D1121" s="148">
        <f t="shared" ca="1" si="40"/>
        <v>16.899999999999999</v>
      </c>
      <c r="E1121" s="148">
        <f t="shared" ca="1" si="41"/>
        <v>0</v>
      </c>
    </row>
    <row r="1122" spans="2:5" x14ac:dyDescent="0.25">
      <c r="B1122" s="8">
        <v>38716</v>
      </c>
      <c r="C1122" s="6">
        <f ca="1">IF(OR($C$7="",$B1122&gt;NOW()),"",IF(INDEX(Data!$A:$G,MATCH($B1122,Data!$A:$A,0),MATCH($C$7,Data!$4:$4,0))="","",INDEX(Data!$A:$G,MATCH($B1122,Data!$A:$A,0),MATCH($C$7,Data!$4:$4,0))))</f>
        <v>44.1</v>
      </c>
      <c r="D1122" s="148">
        <f t="shared" ca="1" si="40"/>
        <v>20.9</v>
      </c>
      <c r="E1122" s="148">
        <f t="shared" ca="1" si="41"/>
        <v>0</v>
      </c>
    </row>
    <row r="1123" spans="2:5" x14ac:dyDescent="0.25">
      <c r="B1123" s="8">
        <v>38717</v>
      </c>
      <c r="C1123" s="6">
        <f ca="1">IF(OR($C$7="",$B1123&gt;NOW()),"",IF(INDEX(Data!$A:$G,MATCH($B1123,Data!$A:$A,0),MATCH($C$7,Data!$4:$4,0))="","",INDEX(Data!$A:$G,MATCH($B1123,Data!$A:$A,0),MATCH($C$7,Data!$4:$4,0))))</f>
        <v>34.200000000000003</v>
      </c>
      <c r="D1123" s="148">
        <f t="shared" ca="1" si="40"/>
        <v>30.799999999999997</v>
      </c>
      <c r="E1123" s="148">
        <f t="shared" ca="1" si="41"/>
        <v>0</v>
      </c>
    </row>
    <row r="1124" spans="2:5" x14ac:dyDescent="0.25">
      <c r="B1124" s="8">
        <v>38718</v>
      </c>
      <c r="C1124" s="6">
        <f ca="1">IF(OR($C$7="",$B1124&gt;NOW()),"",IF(INDEX(Data!$A:$G,MATCH($B1124,Data!$A:$A,0),MATCH($C$7,Data!$4:$4,0))="","",INDEX(Data!$A:$G,MATCH($B1124,Data!$A:$A,0),MATCH($C$7,Data!$4:$4,0))))</f>
        <v>35.9</v>
      </c>
      <c r="D1124" s="148">
        <f t="shared" ca="1" si="40"/>
        <v>29.1</v>
      </c>
      <c r="E1124" s="148">
        <f t="shared" ca="1" si="41"/>
        <v>0</v>
      </c>
    </row>
    <row r="1125" spans="2:5" x14ac:dyDescent="0.25">
      <c r="B1125" s="8">
        <v>38719</v>
      </c>
      <c r="C1125" s="6">
        <f ca="1">IF(OR($C$7="",$B1125&gt;NOW()),"",IF(INDEX(Data!$A:$G,MATCH($B1125,Data!$A:$A,0),MATCH($C$7,Data!$4:$4,0))="","",INDEX(Data!$A:$G,MATCH($B1125,Data!$A:$A,0),MATCH($C$7,Data!$4:$4,0))))</f>
        <v>42.6</v>
      </c>
      <c r="D1125" s="148">
        <f t="shared" ca="1" si="40"/>
        <v>22.4</v>
      </c>
      <c r="E1125" s="148">
        <f t="shared" ca="1" si="41"/>
        <v>0</v>
      </c>
    </row>
    <row r="1126" spans="2:5" x14ac:dyDescent="0.25">
      <c r="B1126" s="8">
        <v>38720</v>
      </c>
      <c r="C1126" s="6">
        <f ca="1">IF(OR($C$7="",$B1126&gt;NOW()),"",IF(INDEX(Data!$A:$G,MATCH($B1126,Data!$A:$A,0),MATCH($C$7,Data!$4:$4,0))="","",INDEX(Data!$A:$G,MATCH($B1126,Data!$A:$A,0),MATCH($C$7,Data!$4:$4,0))))</f>
        <v>39.200000000000003</v>
      </c>
      <c r="D1126" s="148">
        <f t="shared" ca="1" si="40"/>
        <v>25.799999999999997</v>
      </c>
      <c r="E1126" s="148">
        <f t="shared" ca="1" si="41"/>
        <v>0</v>
      </c>
    </row>
    <row r="1127" spans="2:5" x14ac:dyDescent="0.25">
      <c r="B1127" s="8">
        <v>38721</v>
      </c>
      <c r="C1127" s="6">
        <f ca="1">IF(OR($C$7="",$B1127&gt;NOW()),"",IF(INDEX(Data!$A:$G,MATCH($B1127,Data!$A:$A,0),MATCH($C$7,Data!$4:$4,0))="","",INDEX(Data!$A:$G,MATCH($B1127,Data!$A:$A,0),MATCH($C$7,Data!$4:$4,0))))</f>
        <v>33.799999999999997</v>
      </c>
      <c r="D1127" s="148">
        <f t="shared" ca="1" si="40"/>
        <v>31.200000000000003</v>
      </c>
      <c r="E1127" s="148">
        <f t="shared" ca="1" si="41"/>
        <v>0</v>
      </c>
    </row>
    <row r="1128" spans="2:5" x14ac:dyDescent="0.25">
      <c r="B1128" s="8">
        <v>38722</v>
      </c>
      <c r="C1128" s="6">
        <f ca="1">IF(OR($C$7="",$B1128&gt;NOW()),"",IF(INDEX(Data!$A:$G,MATCH($B1128,Data!$A:$A,0),MATCH($C$7,Data!$4:$4,0))="","",INDEX(Data!$A:$G,MATCH($B1128,Data!$A:$A,0),MATCH($C$7,Data!$4:$4,0))))</f>
        <v>41.6</v>
      </c>
      <c r="D1128" s="148">
        <f t="shared" ca="1" si="40"/>
        <v>23.4</v>
      </c>
      <c r="E1128" s="148">
        <f t="shared" ca="1" si="41"/>
        <v>0</v>
      </c>
    </row>
    <row r="1129" spans="2:5" x14ac:dyDescent="0.25">
      <c r="B1129" s="8">
        <v>38723</v>
      </c>
      <c r="C1129" s="6">
        <f ca="1">IF(OR($C$7="",$B1129&gt;NOW()),"",IF(INDEX(Data!$A:$G,MATCH($B1129,Data!$A:$A,0),MATCH($C$7,Data!$4:$4,0))="","",INDEX(Data!$A:$G,MATCH($B1129,Data!$A:$A,0),MATCH($C$7,Data!$4:$4,0))))</f>
        <v>40.6</v>
      </c>
      <c r="D1129" s="148">
        <f t="shared" ca="1" si="40"/>
        <v>24.4</v>
      </c>
      <c r="E1129" s="148">
        <f t="shared" ca="1" si="41"/>
        <v>0</v>
      </c>
    </row>
    <row r="1130" spans="2:5" x14ac:dyDescent="0.25">
      <c r="B1130" s="8">
        <v>38724</v>
      </c>
      <c r="C1130" s="6">
        <f ca="1">IF(OR($C$7="",$B1130&gt;NOW()),"",IF(INDEX(Data!$A:$G,MATCH($B1130,Data!$A:$A,0),MATCH($C$7,Data!$4:$4,0))="","",INDEX(Data!$A:$G,MATCH($B1130,Data!$A:$A,0),MATCH($C$7,Data!$4:$4,0))))</f>
        <v>30.5</v>
      </c>
      <c r="D1130" s="148">
        <f t="shared" ca="1" si="40"/>
        <v>34.5</v>
      </c>
      <c r="E1130" s="148">
        <f t="shared" ca="1" si="41"/>
        <v>0</v>
      </c>
    </row>
    <row r="1131" spans="2:5" x14ac:dyDescent="0.25">
      <c r="B1131" s="8">
        <v>38725</v>
      </c>
      <c r="C1131" s="6">
        <f ca="1">IF(OR($C$7="",$B1131&gt;NOW()),"",IF(INDEX(Data!$A:$G,MATCH($B1131,Data!$A:$A,0),MATCH($C$7,Data!$4:$4,0))="","",INDEX(Data!$A:$G,MATCH($B1131,Data!$A:$A,0),MATCH($C$7,Data!$4:$4,0))))</f>
        <v>38.6</v>
      </c>
      <c r="D1131" s="148">
        <f t="shared" ca="1" si="40"/>
        <v>26.4</v>
      </c>
      <c r="E1131" s="148">
        <f t="shared" ca="1" si="41"/>
        <v>0</v>
      </c>
    </row>
    <row r="1132" spans="2:5" x14ac:dyDescent="0.25">
      <c r="B1132" s="8">
        <v>38726</v>
      </c>
      <c r="C1132" s="6">
        <f ca="1">IF(OR($C$7="",$B1132&gt;NOW()),"",IF(INDEX(Data!$A:$G,MATCH($B1132,Data!$A:$A,0),MATCH($C$7,Data!$4:$4,0))="","",INDEX(Data!$A:$G,MATCH($B1132,Data!$A:$A,0),MATCH($C$7,Data!$4:$4,0))))</f>
        <v>48.2</v>
      </c>
      <c r="D1132" s="148">
        <f t="shared" ca="1" si="40"/>
        <v>16.799999999999997</v>
      </c>
      <c r="E1132" s="148">
        <f t="shared" ca="1" si="41"/>
        <v>0</v>
      </c>
    </row>
    <row r="1133" spans="2:5" x14ac:dyDescent="0.25">
      <c r="B1133" s="8">
        <v>38727</v>
      </c>
      <c r="C1133" s="6">
        <f ca="1">IF(OR($C$7="",$B1133&gt;NOW()),"",IF(INDEX(Data!$A:$G,MATCH($B1133,Data!$A:$A,0),MATCH($C$7,Data!$4:$4,0))="","",INDEX(Data!$A:$G,MATCH($B1133,Data!$A:$A,0),MATCH($C$7,Data!$4:$4,0))))</f>
        <v>46.3</v>
      </c>
      <c r="D1133" s="148">
        <f t="shared" ca="1" si="40"/>
        <v>18.700000000000003</v>
      </c>
      <c r="E1133" s="148">
        <f t="shared" ca="1" si="41"/>
        <v>0</v>
      </c>
    </row>
    <row r="1134" spans="2:5" x14ac:dyDescent="0.25">
      <c r="B1134" s="8">
        <v>38728</v>
      </c>
      <c r="C1134" s="6">
        <f ca="1">IF(OR($C$7="",$B1134&gt;NOW()),"",IF(INDEX(Data!$A:$G,MATCH($B1134,Data!$A:$A,0),MATCH($C$7,Data!$4:$4,0))="","",INDEX(Data!$A:$G,MATCH($B1134,Data!$A:$A,0),MATCH($C$7,Data!$4:$4,0))))</f>
        <v>42.9</v>
      </c>
      <c r="D1134" s="148">
        <f t="shared" ca="1" si="40"/>
        <v>22.1</v>
      </c>
      <c r="E1134" s="148">
        <f t="shared" ca="1" si="41"/>
        <v>0</v>
      </c>
    </row>
    <row r="1135" spans="2:5" x14ac:dyDescent="0.25">
      <c r="B1135" s="8">
        <v>38729</v>
      </c>
      <c r="C1135" s="6">
        <f ca="1">IF(OR($C$7="",$B1135&gt;NOW()),"",IF(INDEX(Data!$A:$G,MATCH($B1135,Data!$A:$A,0),MATCH($C$7,Data!$4:$4,0))="","",INDEX(Data!$A:$G,MATCH($B1135,Data!$A:$A,0),MATCH($C$7,Data!$4:$4,0))))</f>
        <v>51.6</v>
      </c>
      <c r="D1135" s="148">
        <f t="shared" ca="1" si="40"/>
        <v>13.399999999999999</v>
      </c>
      <c r="E1135" s="148">
        <f t="shared" ca="1" si="41"/>
        <v>0</v>
      </c>
    </row>
    <row r="1136" spans="2:5" x14ac:dyDescent="0.25">
      <c r="B1136" s="8">
        <v>38730</v>
      </c>
      <c r="C1136" s="6">
        <f ca="1">IF(OR($C$7="",$B1136&gt;NOW()),"",IF(INDEX(Data!$A:$G,MATCH($B1136,Data!$A:$A,0),MATCH($C$7,Data!$4:$4,0))="","",INDEX(Data!$A:$G,MATCH($B1136,Data!$A:$A,0),MATCH($C$7,Data!$4:$4,0))))</f>
        <v>47.5</v>
      </c>
      <c r="D1136" s="148">
        <f t="shared" ca="1" si="40"/>
        <v>17.5</v>
      </c>
      <c r="E1136" s="148">
        <f t="shared" ca="1" si="41"/>
        <v>0</v>
      </c>
    </row>
    <row r="1137" spans="2:5" x14ac:dyDescent="0.25">
      <c r="B1137" s="8">
        <v>38731</v>
      </c>
      <c r="C1137" s="6">
        <f ca="1">IF(OR($C$7="",$B1137&gt;NOW()),"",IF(INDEX(Data!$A:$G,MATCH($B1137,Data!$A:$A,0),MATCH($C$7,Data!$4:$4,0))="","",INDEX(Data!$A:$G,MATCH($B1137,Data!$A:$A,0),MATCH($C$7,Data!$4:$4,0))))</f>
        <v>52.3</v>
      </c>
      <c r="D1137" s="148">
        <f t="shared" ca="1" si="40"/>
        <v>12.700000000000003</v>
      </c>
      <c r="E1137" s="148">
        <f t="shared" ca="1" si="41"/>
        <v>0</v>
      </c>
    </row>
    <row r="1138" spans="2:5" x14ac:dyDescent="0.25">
      <c r="B1138" s="8">
        <v>38732</v>
      </c>
      <c r="C1138" s="6">
        <f ca="1">IF(OR($C$7="",$B1138&gt;NOW()),"",IF(INDEX(Data!$A:$G,MATCH($B1138,Data!$A:$A,0),MATCH($C$7,Data!$4:$4,0))="","",INDEX(Data!$A:$G,MATCH($B1138,Data!$A:$A,0),MATCH($C$7,Data!$4:$4,0))))</f>
        <v>29.7</v>
      </c>
      <c r="D1138" s="148">
        <f t="shared" ca="1" si="40"/>
        <v>35.299999999999997</v>
      </c>
      <c r="E1138" s="148">
        <f t="shared" ca="1" si="41"/>
        <v>0</v>
      </c>
    </row>
    <row r="1139" spans="2:5" x14ac:dyDescent="0.25">
      <c r="B1139" s="8">
        <v>38733</v>
      </c>
      <c r="C1139" s="6">
        <f ca="1">IF(OR($C$7="",$B1139&gt;NOW()),"",IF(INDEX(Data!$A:$G,MATCH($B1139,Data!$A:$A,0),MATCH($C$7,Data!$4:$4,0))="","",INDEX(Data!$A:$G,MATCH($B1139,Data!$A:$A,0),MATCH($C$7,Data!$4:$4,0))))</f>
        <v>21.9</v>
      </c>
      <c r="D1139" s="148">
        <f t="shared" ca="1" si="40"/>
        <v>43.1</v>
      </c>
      <c r="E1139" s="148">
        <f t="shared" ca="1" si="41"/>
        <v>0</v>
      </c>
    </row>
    <row r="1140" spans="2:5" x14ac:dyDescent="0.25">
      <c r="B1140" s="8">
        <v>38734</v>
      </c>
      <c r="C1140" s="6">
        <f ca="1">IF(OR($C$7="",$B1140&gt;NOW()),"",IF(INDEX(Data!$A:$G,MATCH($B1140,Data!$A:$A,0),MATCH($C$7,Data!$4:$4,0))="","",INDEX(Data!$A:$G,MATCH($B1140,Data!$A:$A,0),MATCH($C$7,Data!$4:$4,0))))</f>
        <v>32.1</v>
      </c>
      <c r="D1140" s="148">
        <f t="shared" ca="1" si="40"/>
        <v>32.9</v>
      </c>
      <c r="E1140" s="148">
        <f t="shared" ca="1" si="41"/>
        <v>0</v>
      </c>
    </row>
    <row r="1141" spans="2:5" x14ac:dyDescent="0.25">
      <c r="B1141" s="8">
        <v>38735</v>
      </c>
      <c r="C1141" s="6">
        <f ca="1">IF(OR($C$7="",$B1141&gt;NOW()),"",IF(INDEX(Data!$A:$G,MATCH($B1141,Data!$A:$A,0),MATCH($C$7,Data!$4:$4,0))="","",INDEX(Data!$A:$G,MATCH($B1141,Data!$A:$A,0),MATCH($C$7,Data!$4:$4,0))))</f>
        <v>49.4</v>
      </c>
      <c r="D1141" s="148">
        <f t="shared" ca="1" si="40"/>
        <v>15.600000000000001</v>
      </c>
      <c r="E1141" s="148">
        <f t="shared" ca="1" si="41"/>
        <v>0</v>
      </c>
    </row>
    <row r="1142" spans="2:5" x14ac:dyDescent="0.25">
      <c r="B1142" s="8">
        <v>38736</v>
      </c>
      <c r="C1142" s="6">
        <f ca="1">IF(OR($C$7="",$B1142&gt;NOW()),"",IF(INDEX(Data!$A:$G,MATCH($B1142,Data!$A:$A,0),MATCH($C$7,Data!$4:$4,0))="","",INDEX(Data!$A:$G,MATCH($B1142,Data!$A:$A,0),MATCH($C$7,Data!$4:$4,0))))</f>
        <v>39.799999999999997</v>
      </c>
      <c r="D1142" s="148">
        <f t="shared" ca="1" si="40"/>
        <v>25.200000000000003</v>
      </c>
      <c r="E1142" s="148">
        <f t="shared" ca="1" si="41"/>
        <v>0</v>
      </c>
    </row>
    <row r="1143" spans="2:5" x14ac:dyDescent="0.25">
      <c r="B1143" s="8">
        <v>38737</v>
      </c>
      <c r="C1143" s="6">
        <f ca="1">IF(OR($C$7="",$B1143&gt;NOW()),"",IF(INDEX(Data!$A:$G,MATCH($B1143,Data!$A:$A,0),MATCH($C$7,Data!$4:$4,0))="","",INDEX(Data!$A:$G,MATCH($B1143,Data!$A:$A,0),MATCH($C$7,Data!$4:$4,0))))</f>
        <v>48.3</v>
      </c>
      <c r="D1143" s="148">
        <f t="shared" ca="1" si="40"/>
        <v>16.700000000000003</v>
      </c>
      <c r="E1143" s="148">
        <f t="shared" ca="1" si="41"/>
        <v>0</v>
      </c>
    </row>
    <row r="1144" spans="2:5" x14ac:dyDescent="0.25">
      <c r="B1144" s="8">
        <v>38738</v>
      </c>
      <c r="C1144" s="6">
        <f ca="1">IF(OR($C$7="",$B1144&gt;NOW()),"",IF(INDEX(Data!$A:$G,MATCH($B1144,Data!$A:$A,0),MATCH($C$7,Data!$4:$4,0))="","",INDEX(Data!$A:$G,MATCH($B1144,Data!$A:$A,0),MATCH($C$7,Data!$4:$4,0))))</f>
        <v>51.8</v>
      </c>
      <c r="D1144" s="148">
        <f t="shared" ca="1" si="40"/>
        <v>13.200000000000003</v>
      </c>
      <c r="E1144" s="148">
        <f t="shared" ca="1" si="41"/>
        <v>0</v>
      </c>
    </row>
    <row r="1145" spans="2:5" x14ac:dyDescent="0.25">
      <c r="B1145" s="8">
        <v>38739</v>
      </c>
      <c r="C1145" s="6">
        <f ca="1">IF(OR($C$7="",$B1145&gt;NOW()),"",IF(INDEX(Data!$A:$G,MATCH($B1145,Data!$A:$A,0),MATCH($C$7,Data!$4:$4,0))="","",INDEX(Data!$A:$G,MATCH($B1145,Data!$A:$A,0),MATCH($C$7,Data!$4:$4,0))))</f>
        <v>39</v>
      </c>
      <c r="D1145" s="148">
        <f t="shared" ca="1" si="40"/>
        <v>26</v>
      </c>
      <c r="E1145" s="148">
        <f t="shared" ca="1" si="41"/>
        <v>0</v>
      </c>
    </row>
    <row r="1146" spans="2:5" x14ac:dyDescent="0.25">
      <c r="B1146" s="8">
        <v>38740</v>
      </c>
      <c r="C1146" s="6">
        <f ca="1">IF(OR($C$7="",$B1146&gt;NOW()),"",IF(INDEX(Data!$A:$G,MATCH($B1146,Data!$A:$A,0),MATCH($C$7,Data!$4:$4,0))="","",INDEX(Data!$A:$G,MATCH($B1146,Data!$A:$A,0),MATCH($C$7,Data!$4:$4,0))))</f>
        <v>39.200000000000003</v>
      </c>
      <c r="D1146" s="148">
        <f t="shared" ca="1" si="40"/>
        <v>25.799999999999997</v>
      </c>
      <c r="E1146" s="148">
        <f t="shared" ca="1" si="41"/>
        <v>0</v>
      </c>
    </row>
    <row r="1147" spans="2:5" x14ac:dyDescent="0.25">
      <c r="B1147" s="8">
        <v>38741</v>
      </c>
      <c r="C1147" s="6">
        <f ca="1">IF(OR($C$7="",$B1147&gt;NOW()),"",IF(INDEX(Data!$A:$G,MATCH($B1147,Data!$A:$A,0),MATCH($C$7,Data!$4:$4,0))="","",INDEX(Data!$A:$G,MATCH($B1147,Data!$A:$A,0),MATCH($C$7,Data!$4:$4,0))))</f>
        <v>40.9</v>
      </c>
      <c r="D1147" s="148">
        <f t="shared" ca="1" si="40"/>
        <v>24.1</v>
      </c>
      <c r="E1147" s="148">
        <f t="shared" ca="1" si="41"/>
        <v>0</v>
      </c>
    </row>
    <row r="1148" spans="2:5" x14ac:dyDescent="0.25">
      <c r="B1148" s="8">
        <v>38742</v>
      </c>
      <c r="C1148" s="6">
        <f ca="1">IF(OR($C$7="",$B1148&gt;NOW()),"",IF(INDEX(Data!$A:$G,MATCH($B1148,Data!$A:$A,0),MATCH($C$7,Data!$4:$4,0))="","",INDEX(Data!$A:$G,MATCH($B1148,Data!$A:$A,0),MATCH($C$7,Data!$4:$4,0))))</f>
        <v>41.3</v>
      </c>
      <c r="D1148" s="148">
        <f t="shared" ca="1" si="40"/>
        <v>23.700000000000003</v>
      </c>
      <c r="E1148" s="148">
        <f t="shared" ca="1" si="41"/>
        <v>0</v>
      </c>
    </row>
    <row r="1149" spans="2:5" x14ac:dyDescent="0.25">
      <c r="B1149" s="8">
        <v>38743</v>
      </c>
      <c r="C1149" s="6">
        <f ca="1">IF(OR($C$7="",$B1149&gt;NOW()),"",IF(INDEX(Data!$A:$G,MATCH($B1149,Data!$A:$A,0),MATCH($C$7,Data!$4:$4,0))="","",INDEX(Data!$A:$G,MATCH($B1149,Data!$A:$A,0),MATCH($C$7,Data!$4:$4,0))))</f>
        <v>34.299999999999997</v>
      </c>
      <c r="D1149" s="148">
        <f t="shared" ca="1" si="40"/>
        <v>30.700000000000003</v>
      </c>
      <c r="E1149" s="148">
        <f t="shared" ca="1" si="41"/>
        <v>0</v>
      </c>
    </row>
    <row r="1150" spans="2:5" x14ac:dyDescent="0.25">
      <c r="B1150" s="8">
        <v>38744</v>
      </c>
      <c r="C1150" s="6">
        <f ca="1">IF(OR($C$7="",$B1150&gt;NOW()),"",IF(INDEX(Data!$A:$G,MATCH($B1150,Data!$A:$A,0),MATCH($C$7,Data!$4:$4,0))="","",INDEX(Data!$A:$G,MATCH($B1150,Data!$A:$A,0),MATCH($C$7,Data!$4:$4,0))))</f>
        <v>31</v>
      </c>
      <c r="D1150" s="148">
        <f t="shared" ca="1" si="40"/>
        <v>34</v>
      </c>
      <c r="E1150" s="148">
        <f t="shared" ca="1" si="41"/>
        <v>0</v>
      </c>
    </row>
    <row r="1151" spans="2:5" x14ac:dyDescent="0.25">
      <c r="B1151" s="8">
        <v>38745</v>
      </c>
      <c r="C1151" s="6">
        <f ca="1">IF(OR($C$7="",$B1151&gt;NOW()),"",IF(INDEX(Data!$A:$G,MATCH($B1151,Data!$A:$A,0),MATCH($C$7,Data!$4:$4,0))="","",INDEX(Data!$A:$G,MATCH($B1151,Data!$A:$A,0),MATCH($C$7,Data!$4:$4,0))))</f>
        <v>45.2</v>
      </c>
      <c r="D1151" s="148">
        <f t="shared" ca="1" si="40"/>
        <v>19.799999999999997</v>
      </c>
      <c r="E1151" s="148">
        <f t="shared" ca="1" si="41"/>
        <v>0</v>
      </c>
    </row>
    <row r="1152" spans="2:5" x14ac:dyDescent="0.25">
      <c r="B1152" s="8">
        <v>38746</v>
      </c>
      <c r="C1152" s="6">
        <f ca="1">IF(OR($C$7="",$B1152&gt;NOW()),"",IF(INDEX(Data!$A:$G,MATCH($B1152,Data!$A:$A,0),MATCH($C$7,Data!$4:$4,0))="","",INDEX(Data!$A:$G,MATCH($B1152,Data!$A:$A,0),MATCH($C$7,Data!$4:$4,0))))</f>
        <v>46.7</v>
      </c>
      <c r="D1152" s="148">
        <f t="shared" ca="1" si="40"/>
        <v>18.299999999999997</v>
      </c>
      <c r="E1152" s="148">
        <f t="shared" ca="1" si="41"/>
        <v>0</v>
      </c>
    </row>
    <row r="1153" spans="2:5" x14ac:dyDescent="0.25">
      <c r="B1153" s="8">
        <v>38747</v>
      </c>
      <c r="C1153" s="6">
        <f ca="1">IF(OR($C$7="",$B1153&gt;NOW()),"",IF(INDEX(Data!$A:$G,MATCH($B1153,Data!$A:$A,0),MATCH($C$7,Data!$4:$4,0))="","",INDEX(Data!$A:$G,MATCH($B1153,Data!$A:$A,0),MATCH($C$7,Data!$4:$4,0))))</f>
        <v>51.1</v>
      </c>
      <c r="D1153" s="148">
        <f t="shared" ca="1" si="40"/>
        <v>13.899999999999999</v>
      </c>
      <c r="E1153" s="148">
        <f t="shared" ca="1" si="41"/>
        <v>0</v>
      </c>
    </row>
    <row r="1154" spans="2:5" x14ac:dyDescent="0.25">
      <c r="B1154" s="8">
        <v>38748</v>
      </c>
      <c r="C1154" s="6">
        <f ca="1">IF(OR($C$7="",$B1154&gt;NOW()),"",IF(INDEX(Data!$A:$G,MATCH($B1154,Data!$A:$A,0),MATCH($C$7,Data!$4:$4,0))="","",INDEX(Data!$A:$G,MATCH($B1154,Data!$A:$A,0),MATCH($C$7,Data!$4:$4,0))))</f>
        <v>41.2</v>
      </c>
      <c r="D1154" s="148">
        <f t="shared" ca="1" si="40"/>
        <v>23.799999999999997</v>
      </c>
      <c r="E1154" s="148">
        <f t="shared" ca="1" si="41"/>
        <v>0</v>
      </c>
    </row>
    <row r="1155" spans="2:5" x14ac:dyDescent="0.25">
      <c r="B1155" s="8">
        <v>38749</v>
      </c>
      <c r="C1155" s="6">
        <f ca="1">IF(OR($C$7="",$B1155&gt;NOW()),"",IF(INDEX(Data!$A:$G,MATCH($B1155,Data!$A:$A,0),MATCH($C$7,Data!$4:$4,0))="","",INDEX(Data!$A:$G,MATCH($B1155,Data!$A:$A,0),MATCH($C$7,Data!$4:$4,0))))</f>
        <v>39.799999999999997</v>
      </c>
      <c r="D1155" s="148">
        <f t="shared" ca="1" si="40"/>
        <v>25.200000000000003</v>
      </c>
      <c r="E1155" s="148">
        <f t="shared" ca="1" si="41"/>
        <v>0</v>
      </c>
    </row>
    <row r="1156" spans="2:5" x14ac:dyDescent="0.25">
      <c r="B1156" s="8">
        <v>38750</v>
      </c>
      <c r="C1156" s="6">
        <f ca="1">IF(OR($C$7="",$B1156&gt;NOW()),"",IF(INDEX(Data!$A:$G,MATCH($B1156,Data!$A:$A,0),MATCH($C$7,Data!$4:$4,0))="","",INDEX(Data!$A:$G,MATCH($B1156,Data!$A:$A,0),MATCH($C$7,Data!$4:$4,0))))</f>
        <v>42.9</v>
      </c>
      <c r="D1156" s="148">
        <f t="shared" ca="1" si="40"/>
        <v>22.1</v>
      </c>
      <c r="E1156" s="148">
        <f t="shared" ca="1" si="41"/>
        <v>0</v>
      </c>
    </row>
    <row r="1157" spans="2:5" x14ac:dyDescent="0.25">
      <c r="B1157" s="8">
        <v>38751</v>
      </c>
      <c r="C1157" s="6">
        <f ca="1">IF(OR($C$7="",$B1157&gt;NOW()),"",IF(INDEX(Data!$A:$G,MATCH($B1157,Data!$A:$A,0),MATCH($C$7,Data!$4:$4,0))="","",INDEX(Data!$A:$G,MATCH($B1157,Data!$A:$A,0),MATCH($C$7,Data!$4:$4,0))))</f>
        <v>52.8</v>
      </c>
      <c r="D1157" s="148">
        <f t="shared" ca="1" si="40"/>
        <v>12.200000000000003</v>
      </c>
      <c r="E1157" s="148">
        <f t="shared" ca="1" si="41"/>
        <v>0</v>
      </c>
    </row>
    <row r="1158" spans="2:5" x14ac:dyDescent="0.25">
      <c r="B1158" s="8">
        <v>38752</v>
      </c>
      <c r="C1158" s="6">
        <f ca="1">IF(OR($C$7="",$B1158&gt;NOW()),"",IF(INDEX(Data!$A:$G,MATCH($B1158,Data!$A:$A,0),MATCH($C$7,Data!$4:$4,0))="","",INDEX(Data!$A:$G,MATCH($B1158,Data!$A:$A,0),MATCH($C$7,Data!$4:$4,0))))</f>
        <v>47</v>
      </c>
      <c r="D1158" s="148">
        <f t="shared" ca="1" si="40"/>
        <v>18</v>
      </c>
      <c r="E1158" s="148">
        <f t="shared" ca="1" si="41"/>
        <v>0</v>
      </c>
    </row>
    <row r="1159" spans="2:5" x14ac:dyDescent="0.25">
      <c r="B1159" s="8">
        <v>38753</v>
      </c>
      <c r="C1159" s="6">
        <f ca="1">IF(OR($C$7="",$B1159&gt;NOW()),"",IF(INDEX(Data!$A:$G,MATCH($B1159,Data!$A:$A,0),MATCH($C$7,Data!$4:$4,0))="","",INDEX(Data!$A:$G,MATCH($B1159,Data!$A:$A,0),MATCH($C$7,Data!$4:$4,0))))</f>
        <v>47.5</v>
      </c>
      <c r="D1159" s="148">
        <f t="shared" ca="1" si="40"/>
        <v>17.5</v>
      </c>
      <c r="E1159" s="148">
        <f t="shared" ca="1" si="41"/>
        <v>0</v>
      </c>
    </row>
    <row r="1160" spans="2:5" x14ac:dyDescent="0.25">
      <c r="B1160" s="8">
        <v>38754</v>
      </c>
      <c r="C1160" s="6">
        <f ca="1">IF(OR($C$7="",$B1160&gt;NOW()),"",IF(INDEX(Data!$A:$G,MATCH($B1160,Data!$A:$A,0),MATCH($C$7,Data!$4:$4,0))="","",INDEX(Data!$A:$G,MATCH($B1160,Data!$A:$A,0),MATCH($C$7,Data!$4:$4,0))))</f>
        <v>38.4</v>
      </c>
      <c r="D1160" s="148">
        <f t="shared" ca="1" si="40"/>
        <v>26.6</v>
      </c>
      <c r="E1160" s="148">
        <f t="shared" ca="1" si="41"/>
        <v>0</v>
      </c>
    </row>
    <row r="1161" spans="2:5" x14ac:dyDescent="0.25">
      <c r="B1161" s="8">
        <v>38755</v>
      </c>
      <c r="C1161" s="6">
        <f ca="1">IF(OR($C$7="",$B1161&gt;NOW()),"",IF(INDEX(Data!$A:$G,MATCH($B1161,Data!$A:$A,0),MATCH($C$7,Data!$4:$4,0))="","",INDEX(Data!$A:$G,MATCH($B1161,Data!$A:$A,0),MATCH($C$7,Data!$4:$4,0))))</f>
        <v>38.5</v>
      </c>
      <c r="D1161" s="148">
        <f t="shared" ca="1" si="40"/>
        <v>26.5</v>
      </c>
      <c r="E1161" s="148">
        <f t="shared" ca="1" si="41"/>
        <v>0</v>
      </c>
    </row>
    <row r="1162" spans="2:5" x14ac:dyDescent="0.25">
      <c r="B1162" s="8">
        <v>38756</v>
      </c>
      <c r="C1162" s="6">
        <f ca="1">IF(OR($C$7="",$B1162&gt;NOW()),"",IF(INDEX(Data!$A:$G,MATCH($B1162,Data!$A:$A,0),MATCH($C$7,Data!$4:$4,0))="","",INDEX(Data!$A:$G,MATCH($B1162,Data!$A:$A,0),MATCH($C$7,Data!$4:$4,0))))</f>
        <v>33.799999999999997</v>
      </c>
      <c r="D1162" s="148">
        <f t="shared" ca="1" si="40"/>
        <v>31.200000000000003</v>
      </c>
      <c r="E1162" s="148">
        <f t="shared" ca="1" si="41"/>
        <v>0</v>
      </c>
    </row>
    <row r="1163" spans="2:5" x14ac:dyDescent="0.25">
      <c r="B1163" s="8">
        <v>38757</v>
      </c>
      <c r="C1163" s="6">
        <f ca="1">IF(OR($C$7="",$B1163&gt;NOW()),"",IF(INDEX(Data!$A:$G,MATCH($B1163,Data!$A:$A,0),MATCH($C$7,Data!$4:$4,0))="","",INDEX(Data!$A:$G,MATCH($B1163,Data!$A:$A,0),MATCH($C$7,Data!$4:$4,0))))</f>
        <v>30.7</v>
      </c>
      <c r="D1163" s="148">
        <f t="shared" ca="1" si="40"/>
        <v>34.299999999999997</v>
      </c>
      <c r="E1163" s="148">
        <f t="shared" ca="1" si="41"/>
        <v>0</v>
      </c>
    </row>
    <row r="1164" spans="2:5" x14ac:dyDescent="0.25">
      <c r="B1164" s="8">
        <v>38758</v>
      </c>
      <c r="C1164" s="6">
        <f ca="1">IF(OR($C$7="",$B1164&gt;NOW()),"",IF(INDEX(Data!$A:$G,MATCH($B1164,Data!$A:$A,0),MATCH($C$7,Data!$4:$4,0))="","",INDEX(Data!$A:$G,MATCH($B1164,Data!$A:$A,0),MATCH($C$7,Data!$4:$4,0))))</f>
        <v>32.4</v>
      </c>
      <c r="D1164" s="148">
        <f t="shared" ca="1" si="40"/>
        <v>32.6</v>
      </c>
      <c r="E1164" s="148">
        <f t="shared" ca="1" si="41"/>
        <v>0</v>
      </c>
    </row>
    <row r="1165" spans="2:5" x14ac:dyDescent="0.25">
      <c r="B1165" s="8">
        <v>38759</v>
      </c>
      <c r="C1165" s="6">
        <f ca="1">IF(OR($C$7="",$B1165&gt;NOW()),"",IF(INDEX(Data!$A:$G,MATCH($B1165,Data!$A:$A,0),MATCH($C$7,Data!$4:$4,0))="","",INDEX(Data!$A:$G,MATCH($B1165,Data!$A:$A,0),MATCH($C$7,Data!$4:$4,0))))</f>
        <v>35.5</v>
      </c>
      <c r="D1165" s="148">
        <f t="shared" ca="1" si="40"/>
        <v>29.5</v>
      </c>
      <c r="E1165" s="148">
        <f t="shared" ca="1" si="41"/>
        <v>0</v>
      </c>
    </row>
    <row r="1166" spans="2:5" x14ac:dyDescent="0.25">
      <c r="B1166" s="8">
        <v>38760</v>
      </c>
      <c r="C1166" s="6">
        <f ca="1">IF(OR($C$7="",$B1166&gt;NOW()),"",IF(INDEX(Data!$A:$G,MATCH($B1166,Data!$A:$A,0),MATCH($C$7,Data!$4:$4,0))="","",INDEX(Data!$A:$G,MATCH($B1166,Data!$A:$A,0),MATCH($C$7,Data!$4:$4,0))))</f>
        <v>27.3</v>
      </c>
      <c r="D1166" s="148">
        <f t="shared" ca="1" si="40"/>
        <v>37.700000000000003</v>
      </c>
      <c r="E1166" s="148">
        <f t="shared" ca="1" si="41"/>
        <v>0</v>
      </c>
    </row>
    <row r="1167" spans="2:5" x14ac:dyDescent="0.25">
      <c r="B1167" s="8">
        <v>38761</v>
      </c>
      <c r="C1167" s="6">
        <f ca="1">IF(OR($C$7="",$B1167&gt;NOW()),"",IF(INDEX(Data!$A:$G,MATCH($B1167,Data!$A:$A,0),MATCH($C$7,Data!$4:$4,0))="","",INDEX(Data!$A:$G,MATCH($B1167,Data!$A:$A,0),MATCH($C$7,Data!$4:$4,0))))</f>
        <v>28.6</v>
      </c>
      <c r="D1167" s="148">
        <f t="shared" ca="1" si="40"/>
        <v>36.4</v>
      </c>
      <c r="E1167" s="148">
        <f t="shared" ca="1" si="41"/>
        <v>0</v>
      </c>
    </row>
    <row r="1168" spans="2:5" x14ac:dyDescent="0.25">
      <c r="B1168" s="8">
        <v>38762</v>
      </c>
      <c r="C1168" s="6">
        <f ca="1">IF(OR($C$7="",$B1168&gt;NOW()),"",IF(INDEX(Data!$A:$G,MATCH($B1168,Data!$A:$A,0),MATCH($C$7,Data!$4:$4,0))="","",INDEX(Data!$A:$G,MATCH($B1168,Data!$A:$A,0),MATCH($C$7,Data!$4:$4,0))))</f>
        <v>35</v>
      </c>
      <c r="D1168" s="148">
        <f t="shared" ca="1" si="40"/>
        <v>30</v>
      </c>
      <c r="E1168" s="148">
        <f t="shared" ca="1" si="41"/>
        <v>0</v>
      </c>
    </row>
    <row r="1169" spans="2:5" x14ac:dyDescent="0.25">
      <c r="B1169" s="8">
        <v>38763</v>
      </c>
      <c r="C1169" s="6">
        <f ca="1">IF(OR($C$7="",$B1169&gt;NOW()),"",IF(INDEX(Data!$A:$G,MATCH($B1169,Data!$A:$A,0),MATCH($C$7,Data!$4:$4,0))="","",INDEX(Data!$A:$G,MATCH($B1169,Data!$A:$A,0),MATCH($C$7,Data!$4:$4,0))))</f>
        <v>41.9</v>
      </c>
      <c r="D1169" s="148">
        <f t="shared" ca="1" si="40"/>
        <v>23.1</v>
      </c>
      <c r="E1169" s="148">
        <f t="shared" ca="1" si="41"/>
        <v>0</v>
      </c>
    </row>
    <row r="1170" spans="2:5" x14ac:dyDescent="0.25">
      <c r="B1170" s="8">
        <v>38764</v>
      </c>
      <c r="C1170" s="6">
        <f ca="1">IF(OR($C$7="",$B1170&gt;NOW()),"",IF(INDEX(Data!$A:$G,MATCH($B1170,Data!$A:$A,0),MATCH($C$7,Data!$4:$4,0))="","",INDEX(Data!$A:$G,MATCH($B1170,Data!$A:$A,0),MATCH($C$7,Data!$4:$4,0))))</f>
        <v>46.8</v>
      </c>
      <c r="D1170" s="148">
        <f t="shared" ca="1" si="40"/>
        <v>18.200000000000003</v>
      </c>
      <c r="E1170" s="148">
        <f t="shared" ca="1" si="41"/>
        <v>0</v>
      </c>
    </row>
    <row r="1171" spans="2:5" x14ac:dyDescent="0.25">
      <c r="B1171" s="8">
        <v>38765</v>
      </c>
      <c r="C1171" s="6">
        <f ca="1">IF(OR($C$7="",$B1171&gt;NOW()),"",IF(INDEX(Data!$A:$G,MATCH($B1171,Data!$A:$A,0),MATCH($C$7,Data!$4:$4,0))="","",INDEX(Data!$A:$G,MATCH($B1171,Data!$A:$A,0),MATCH($C$7,Data!$4:$4,0))))</f>
        <v>50.1</v>
      </c>
      <c r="D1171" s="148">
        <f t="shared" ca="1" si="40"/>
        <v>14.899999999999999</v>
      </c>
      <c r="E1171" s="148">
        <f t="shared" ca="1" si="41"/>
        <v>0</v>
      </c>
    </row>
    <row r="1172" spans="2:5" x14ac:dyDescent="0.25">
      <c r="B1172" s="8">
        <v>38766</v>
      </c>
      <c r="C1172" s="6">
        <f ca="1">IF(OR($C$7="",$B1172&gt;NOW()),"",IF(INDEX(Data!$A:$G,MATCH($B1172,Data!$A:$A,0),MATCH($C$7,Data!$4:$4,0))="","",INDEX(Data!$A:$G,MATCH($B1172,Data!$A:$A,0),MATCH($C$7,Data!$4:$4,0))))</f>
        <v>32.4</v>
      </c>
      <c r="D1172" s="148">
        <f t="shared" ca="1" si="40"/>
        <v>32.6</v>
      </c>
      <c r="E1172" s="148">
        <f t="shared" ca="1" si="41"/>
        <v>0</v>
      </c>
    </row>
    <row r="1173" spans="2:5" x14ac:dyDescent="0.25">
      <c r="B1173" s="8">
        <v>38767</v>
      </c>
      <c r="C1173" s="6">
        <f ca="1">IF(OR($C$7="",$B1173&gt;NOW()),"",IF(INDEX(Data!$A:$G,MATCH($B1173,Data!$A:$A,0),MATCH($C$7,Data!$4:$4,0))="","",INDEX(Data!$A:$G,MATCH($B1173,Data!$A:$A,0),MATCH($C$7,Data!$4:$4,0))))</f>
        <v>21.1</v>
      </c>
      <c r="D1173" s="148">
        <f t="shared" ca="1" si="40"/>
        <v>43.9</v>
      </c>
      <c r="E1173" s="148">
        <f t="shared" ca="1" si="41"/>
        <v>0</v>
      </c>
    </row>
    <row r="1174" spans="2:5" x14ac:dyDescent="0.25">
      <c r="B1174" s="8">
        <v>38768</v>
      </c>
      <c r="C1174" s="6">
        <f ca="1">IF(OR($C$7="",$B1174&gt;NOW()),"",IF(INDEX(Data!$A:$G,MATCH($B1174,Data!$A:$A,0),MATCH($C$7,Data!$4:$4,0))="","",INDEX(Data!$A:$G,MATCH($B1174,Data!$A:$A,0),MATCH($C$7,Data!$4:$4,0))))</f>
        <v>29.1</v>
      </c>
      <c r="D1174" s="148">
        <f t="shared" ca="1" si="40"/>
        <v>35.9</v>
      </c>
      <c r="E1174" s="148">
        <f t="shared" ca="1" si="41"/>
        <v>0</v>
      </c>
    </row>
    <row r="1175" spans="2:5" x14ac:dyDescent="0.25">
      <c r="B1175" s="8">
        <v>38769</v>
      </c>
      <c r="C1175" s="6">
        <f ca="1">IF(OR($C$7="",$B1175&gt;NOW()),"",IF(INDEX(Data!$A:$G,MATCH($B1175,Data!$A:$A,0),MATCH($C$7,Data!$4:$4,0))="","",INDEX(Data!$A:$G,MATCH($B1175,Data!$A:$A,0),MATCH($C$7,Data!$4:$4,0))))</f>
        <v>36.4</v>
      </c>
      <c r="D1175" s="148">
        <f t="shared" ca="1" si="40"/>
        <v>28.6</v>
      </c>
      <c r="E1175" s="148">
        <f t="shared" ca="1" si="41"/>
        <v>0</v>
      </c>
    </row>
    <row r="1176" spans="2:5" x14ac:dyDescent="0.25">
      <c r="B1176" s="8">
        <v>38770</v>
      </c>
      <c r="C1176" s="6">
        <f ca="1">IF(OR($C$7="",$B1176&gt;NOW()),"",IF(INDEX(Data!$A:$G,MATCH($B1176,Data!$A:$A,0),MATCH($C$7,Data!$4:$4,0))="","",INDEX(Data!$A:$G,MATCH($B1176,Data!$A:$A,0),MATCH($C$7,Data!$4:$4,0))))</f>
        <v>38.700000000000003</v>
      </c>
      <c r="D1176" s="148">
        <f t="shared" ca="1" si="40"/>
        <v>26.299999999999997</v>
      </c>
      <c r="E1176" s="148">
        <f t="shared" ca="1" si="41"/>
        <v>0</v>
      </c>
    </row>
    <row r="1177" spans="2:5" x14ac:dyDescent="0.25">
      <c r="B1177" s="8">
        <v>38771</v>
      </c>
      <c r="C1177" s="6">
        <f ca="1">IF(OR($C$7="",$B1177&gt;NOW()),"",IF(INDEX(Data!$A:$G,MATCH($B1177,Data!$A:$A,0),MATCH($C$7,Data!$4:$4,0))="","",INDEX(Data!$A:$G,MATCH($B1177,Data!$A:$A,0),MATCH($C$7,Data!$4:$4,0))))</f>
        <v>41</v>
      </c>
      <c r="D1177" s="148">
        <f t="shared" ca="1" si="40"/>
        <v>24</v>
      </c>
      <c r="E1177" s="148">
        <f t="shared" ca="1" si="41"/>
        <v>0</v>
      </c>
    </row>
    <row r="1178" spans="2:5" x14ac:dyDescent="0.25">
      <c r="B1178" s="8">
        <v>38772</v>
      </c>
      <c r="C1178" s="6">
        <f ca="1">IF(OR($C$7="",$B1178&gt;NOW()),"",IF(INDEX(Data!$A:$G,MATCH($B1178,Data!$A:$A,0),MATCH($C$7,Data!$4:$4,0))="","",INDEX(Data!$A:$G,MATCH($B1178,Data!$A:$A,0),MATCH($C$7,Data!$4:$4,0))))</f>
        <v>38.299999999999997</v>
      </c>
      <c r="D1178" s="148">
        <f t="shared" ca="1" si="40"/>
        <v>26.700000000000003</v>
      </c>
      <c r="E1178" s="148">
        <f t="shared" ca="1" si="41"/>
        <v>0</v>
      </c>
    </row>
    <row r="1179" spans="2:5" x14ac:dyDescent="0.25">
      <c r="B1179" s="8">
        <v>38773</v>
      </c>
      <c r="C1179" s="6">
        <f ca="1">IF(OR($C$7="",$B1179&gt;NOW()),"",IF(INDEX(Data!$A:$G,MATCH($B1179,Data!$A:$A,0),MATCH($C$7,Data!$4:$4,0))="","",INDEX(Data!$A:$G,MATCH($B1179,Data!$A:$A,0),MATCH($C$7,Data!$4:$4,0))))</f>
        <v>35.4</v>
      </c>
      <c r="D1179" s="148">
        <f t="shared" ca="1" si="40"/>
        <v>29.6</v>
      </c>
      <c r="E1179" s="148">
        <f t="shared" ca="1" si="41"/>
        <v>0</v>
      </c>
    </row>
    <row r="1180" spans="2:5" x14ac:dyDescent="0.25">
      <c r="B1180" s="8">
        <v>38774</v>
      </c>
      <c r="C1180" s="6">
        <f ca="1">IF(OR($C$7="",$B1180&gt;NOW()),"",IF(INDEX(Data!$A:$G,MATCH($B1180,Data!$A:$A,0),MATCH($C$7,Data!$4:$4,0))="","",INDEX(Data!$A:$G,MATCH($B1180,Data!$A:$A,0),MATCH($C$7,Data!$4:$4,0))))</f>
        <v>28.5</v>
      </c>
      <c r="D1180" s="148">
        <f t="shared" ca="1" si="40"/>
        <v>36.5</v>
      </c>
      <c r="E1180" s="148">
        <f t="shared" ca="1" si="41"/>
        <v>0</v>
      </c>
    </row>
    <row r="1181" spans="2:5" x14ac:dyDescent="0.25">
      <c r="B1181" s="8">
        <v>38775</v>
      </c>
      <c r="C1181" s="6">
        <f ca="1">IF(OR($C$7="",$B1181&gt;NOW()),"",IF(INDEX(Data!$A:$G,MATCH($B1181,Data!$A:$A,0),MATCH($C$7,Data!$4:$4,0))="","",INDEX(Data!$A:$G,MATCH($B1181,Data!$A:$A,0),MATCH($C$7,Data!$4:$4,0))))</f>
        <v>23.8</v>
      </c>
      <c r="D1181" s="148">
        <f t="shared" ref="D1181:D1244" ca="1" si="42">IF($C1181="","",IF($C1181&gt;$D$26,0,$D$26-$C1181))</f>
        <v>41.2</v>
      </c>
      <c r="E1181" s="148">
        <f t="shared" ref="E1181:E1244" ca="1" si="43">IF($C1181="","",IF($C1181&lt;$E$26,0,$C1181-$E$26))</f>
        <v>0</v>
      </c>
    </row>
    <row r="1182" spans="2:5" x14ac:dyDescent="0.25">
      <c r="B1182" s="8">
        <v>38776</v>
      </c>
      <c r="C1182" s="6">
        <f ca="1">IF(OR($C$7="",$B1182&gt;NOW()),"",IF(INDEX(Data!$A:$G,MATCH($B1182,Data!$A:$A,0),MATCH($C$7,Data!$4:$4,0))="","",INDEX(Data!$A:$G,MATCH($B1182,Data!$A:$A,0),MATCH($C$7,Data!$4:$4,0))))</f>
        <v>28.7</v>
      </c>
      <c r="D1182" s="148">
        <f t="shared" ca="1" si="42"/>
        <v>36.299999999999997</v>
      </c>
      <c r="E1182" s="148">
        <f t="shared" ca="1" si="43"/>
        <v>0</v>
      </c>
    </row>
    <row r="1183" spans="2:5" x14ac:dyDescent="0.25">
      <c r="B1183" s="8">
        <v>38777</v>
      </c>
      <c r="C1183" s="6">
        <f ca="1">IF(OR($C$7="",$B1183&gt;NOW()),"",IF(INDEX(Data!$A:$G,MATCH($B1183,Data!$A:$A,0),MATCH($C$7,Data!$4:$4,0))="","",INDEX(Data!$A:$G,MATCH($B1183,Data!$A:$A,0),MATCH($C$7,Data!$4:$4,0))))</f>
        <v>33.6</v>
      </c>
      <c r="D1183" s="148">
        <f t="shared" ca="1" si="42"/>
        <v>31.4</v>
      </c>
      <c r="E1183" s="148">
        <f t="shared" ca="1" si="43"/>
        <v>0</v>
      </c>
    </row>
    <row r="1184" spans="2:5" x14ac:dyDescent="0.25">
      <c r="B1184" s="8">
        <v>38778</v>
      </c>
      <c r="C1184" s="6">
        <f ca="1">IF(OR($C$7="",$B1184&gt;NOW()),"",IF(INDEX(Data!$A:$G,MATCH($B1184,Data!$A:$A,0),MATCH($C$7,Data!$4:$4,0))="","",INDEX(Data!$A:$G,MATCH($B1184,Data!$A:$A,0),MATCH($C$7,Data!$4:$4,0))))</f>
        <v>34.1</v>
      </c>
      <c r="D1184" s="148">
        <f t="shared" ca="1" si="42"/>
        <v>30.9</v>
      </c>
      <c r="E1184" s="148">
        <f t="shared" ca="1" si="43"/>
        <v>0</v>
      </c>
    </row>
    <row r="1185" spans="2:5" x14ac:dyDescent="0.25">
      <c r="B1185" s="8">
        <v>38779</v>
      </c>
      <c r="C1185" s="6">
        <f ca="1">IF(OR($C$7="",$B1185&gt;NOW()),"",IF(INDEX(Data!$A:$G,MATCH($B1185,Data!$A:$A,0),MATCH($C$7,Data!$4:$4,0))="","",INDEX(Data!$A:$G,MATCH($B1185,Data!$A:$A,0),MATCH($C$7,Data!$4:$4,0))))</f>
        <v>29.6</v>
      </c>
      <c r="D1185" s="148">
        <f t="shared" ca="1" si="42"/>
        <v>35.4</v>
      </c>
      <c r="E1185" s="148">
        <f t="shared" ca="1" si="43"/>
        <v>0</v>
      </c>
    </row>
    <row r="1186" spans="2:5" x14ac:dyDescent="0.25">
      <c r="B1186" s="8">
        <v>38780</v>
      </c>
      <c r="C1186" s="6">
        <f ca="1">IF(OR($C$7="",$B1186&gt;NOW()),"",IF(INDEX(Data!$A:$G,MATCH($B1186,Data!$A:$A,0),MATCH($C$7,Data!$4:$4,0))="","",INDEX(Data!$A:$G,MATCH($B1186,Data!$A:$A,0),MATCH($C$7,Data!$4:$4,0))))</f>
        <v>31</v>
      </c>
      <c r="D1186" s="148">
        <f t="shared" ca="1" si="42"/>
        <v>34</v>
      </c>
      <c r="E1186" s="148">
        <f t="shared" ca="1" si="43"/>
        <v>0</v>
      </c>
    </row>
    <row r="1187" spans="2:5" x14ac:dyDescent="0.25">
      <c r="B1187" s="8">
        <v>38781</v>
      </c>
      <c r="C1187" s="6">
        <f ca="1">IF(OR($C$7="",$B1187&gt;NOW()),"",IF(INDEX(Data!$A:$G,MATCH($B1187,Data!$A:$A,0),MATCH($C$7,Data!$4:$4,0))="","",INDEX(Data!$A:$G,MATCH($B1187,Data!$A:$A,0),MATCH($C$7,Data!$4:$4,0))))</f>
        <v>37.700000000000003</v>
      </c>
      <c r="D1187" s="148">
        <f t="shared" ca="1" si="42"/>
        <v>27.299999999999997</v>
      </c>
      <c r="E1187" s="148">
        <f t="shared" ca="1" si="43"/>
        <v>0</v>
      </c>
    </row>
    <row r="1188" spans="2:5" x14ac:dyDescent="0.25">
      <c r="B1188" s="8">
        <v>38782</v>
      </c>
      <c r="C1188" s="6">
        <f ca="1">IF(OR($C$7="",$B1188&gt;NOW()),"",IF(INDEX(Data!$A:$G,MATCH($B1188,Data!$A:$A,0),MATCH($C$7,Data!$4:$4,0))="","",INDEX(Data!$A:$G,MATCH($B1188,Data!$A:$A,0),MATCH($C$7,Data!$4:$4,0))))</f>
        <v>37.9</v>
      </c>
      <c r="D1188" s="148">
        <f t="shared" ca="1" si="42"/>
        <v>27.1</v>
      </c>
      <c r="E1188" s="148">
        <f t="shared" ca="1" si="43"/>
        <v>0</v>
      </c>
    </row>
    <row r="1189" spans="2:5" x14ac:dyDescent="0.25">
      <c r="B1189" s="8">
        <v>38783</v>
      </c>
      <c r="C1189" s="6">
        <f ca="1">IF(OR($C$7="",$B1189&gt;NOW()),"",IF(INDEX(Data!$A:$G,MATCH($B1189,Data!$A:$A,0),MATCH($C$7,Data!$4:$4,0))="","",INDEX(Data!$A:$G,MATCH($B1189,Data!$A:$A,0),MATCH($C$7,Data!$4:$4,0))))</f>
        <v>38.4</v>
      </c>
      <c r="D1189" s="148">
        <f t="shared" ca="1" si="42"/>
        <v>26.6</v>
      </c>
      <c r="E1189" s="148">
        <f t="shared" ca="1" si="43"/>
        <v>0</v>
      </c>
    </row>
    <row r="1190" spans="2:5" x14ac:dyDescent="0.25">
      <c r="B1190" s="8">
        <v>38784</v>
      </c>
      <c r="C1190" s="6">
        <f ca="1">IF(OR($C$7="",$B1190&gt;NOW()),"",IF(INDEX(Data!$A:$G,MATCH($B1190,Data!$A:$A,0),MATCH($C$7,Data!$4:$4,0))="","",INDEX(Data!$A:$G,MATCH($B1190,Data!$A:$A,0),MATCH($C$7,Data!$4:$4,0))))</f>
        <v>38.4</v>
      </c>
      <c r="D1190" s="148">
        <f t="shared" ca="1" si="42"/>
        <v>26.6</v>
      </c>
      <c r="E1190" s="148">
        <f t="shared" ca="1" si="43"/>
        <v>0</v>
      </c>
    </row>
    <row r="1191" spans="2:5" x14ac:dyDescent="0.25">
      <c r="B1191" s="8">
        <v>38785</v>
      </c>
      <c r="C1191" s="6">
        <f ca="1">IF(OR($C$7="",$B1191&gt;NOW()),"",IF(INDEX(Data!$A:$G,MATCH($B1191,Data!$A:$A,0),MATCH($C$7,Data!$4:$4,0))="","",INDEX(Data!$A:$G,MATCH($B1191,Data!$A:$A,0),MATCH($C$7,Data!$4:$4,0))))</f>
        <v>45.1</v>
      </c>
      <c r="D1191" s="148">
        <f t="shared" ca="1" si="42"/>
        <v>19.899999999999999</v>
      </c>
      <c r="E1191" s="148">
        <f t="shared" ca="1" si="43"/>
        <v>0</v>
      </c>
    </row>
    <row r="1192" spans="2:5" x14ac:dyDescent="0.25">
      <c r="B1192" s="8">
        <v>38786</v>
      </c>
      <c r="C1192" s="6">
        <f ca="1">IF(OR($C$7="",$B1192&gt;NOW()),"",IF(INDEX(Data!$A:$G,MATCH($B1192,Data!$A:$A,0),MATCH($C$7,Data!$4:$4,0))="","",INDEX(Data!$A:$G,MATCH($B1192,Data!$A:$A,0),MATCH($C$7,Data!$4:$4,0))))</f>
        <v>56.8</v>
      </c>
      <c r="D1192" s="148">
        <f t="shared" ca="1" si="42"/>
        <v>8.2000000000000028</v>
      </c>
      <c r="E1192" s="148">
        <f t="shared" ca="1" si="43"/>
        <v>0</v>
      </c>
    </row>
    <row r="1193" spans="2:5" x14ac:dyDescent="0.25">
      <c r="B1193" s="8">
        <v>38787</v>
      </c>
      <c r="C1193" s="6">
        <f ca="1">IF(OR($C$7="",$B1193&gt;NOW()),"",IF(INDEX(Data!$A:$G,MATCH($B1193,Data!$A:$A,0),MATCH($C$7,Data!$4:$4,0))="","",INDEX(Data!$A:$G,MATCH($B1193,Data!$A:$A,0),MATCH($C$7,Data!$4:$4,0))))</f>
        <v>56.5</v>
      </c>
      <c r="D1193" s="148">
        <f t="shared" ca="1" si="42"/>
        <v>8.5</v>
      </c>
      <c r="E1193" s="148">
        <f t="shared" ca="1" si="43"/>
        <v>0</v>
      </c>
    </row>
    <row r="1194" spans="2:5" x14ac:dyDescent="0.25">
      <c r="B1194" s="8">
        <v>38788</v>
      </c>
      <c r="C1194" s="6">
        <f ca="1">IF(OR($C$7="",$B1194&gt;NOW()),"",IF(INDEX(Data!$A:$G,MATCH($B1194,Data!$A:$A,0),MATCH($C$7,Data!$4:$4,0))="","",INDEX(Data!$A:$G,MATCH($B1194,Data!$A:$A,0),MATCH($C$7,Data!$4:$4,0))))</f>
        <v>52.8</v>
      </c>
      <c r="D1194" s="148">
        <f t="shared" ca="1" si="42"/>
        <v>12.200000000000003</v>
      </c>
      <c r="E1194" s="148">
        <f t="shared" ca="1" si="43"/>
        <v>0</v>
      </c>
    </row>
    <row r="1195" spans="2:5" x14ac:dyDescent="0.25">
      <c r="B1195" s="8">
        <v>38789</v>
      </c>
      <c r="C1195" s="6">
        <f ca="1">IF(OR($C$7="",$B1195&gt;NOW()),"",IF(INDEX(Data!$A:$G,MATCH($B1195,Data!$A:$A,0),MATCH($C$7,Data!$4:$4,0))="","",INDEX(Data!$A:$G,MATCH($B1195,Data!$A:$A,0),MATCH($C$7,Data!$4:$4,0))))</f>
        <v>53.8</v>
      </c>
      <c r="D1195" s="148">
        <f t="shared" ca="1" si="42"/>
        <v>11.200000000000003</v>
      </c>
      <c r="E1195" s="148">
        <f t="shared" ca="1" si="43"/>
        <v>0</v>
      </c>
    </row>
    <row r="1196" spans="2:5" x14ac:dyDescent="0.25">
      <c r="B1196" s="8">
        <v>38790</v>
      </c>
      <c r="C1196" s="6">
        <f ca="1">IF(OR($C$7="",$B1196&gt;NOW()),"",IF(INDEX(Data!$A:$G,MATCH($B1196,Data!$A:$A,0),MATCH($C$7,Data!$4:$4,0))="","",INDEX(Data!$A:$G,MATCH($B1196,Data!$A:$A,0),MATCH($C$7,Data!$4:$4,0))))</f>
        <v>53.5</v>
      </c>
      <c r="D1196" s="148">
        <f t="shared" ca="1" si="42"/>
        <v>11.5</v>
      </c>
      <c r="E1196" s="148">
        <f t="shared" ca="1" si="43"/>
        <v>0</v>
      </c>
    </row>
    <row r="1197" spans="2:5" x14ac:dyDescent="0.25">
      <c r="B1197" s="8">
        <v>38791</v>
      </c>
      <c r="C1197" s="6">
        <f ca="1">IF(OR($C$7="",$B1197&gt;NOW()),"",IF(INDEX(Data!$A:$G,MATCH($B1197,Data!$A:$A,0),MATCH($C$7,Data!$4:$4,0))="","",INDEX(Data!$A:$G,MATCH($B1197,Data!$A:$A,0),MATCH($C$7,Data!$4:$4,0))))</f>
        <v>42.5</v>
      </c>
      <c r="D1197" s="148">
        <f t="shared" ca="1" si="42"/>
        <v>22.5</v>
      </c>
      <c r="E1197" s="148">
        <f t="shared" ca="1" si="43"/>
        <v>0</v>
      </c>
    </row>
    <row r="1198" spans="2:5" x14ac:dyDescent="0.25">
      <c r="B1198" s="8">
        <v>38792</v>
      </c>
      <c r="C1198" s="6">
        <f ca="1">IF(OR($C$7="",$B1198&gt;NOW()),"",IF(INDEX(Data!$A:$G,MATCH($B1198,Data!$A:$A,0),MATCH($C$7,Data!$4:$4,0))="","",INDEX(Data!$A:$G,MATCH($B1198,Data!$A:$A,0),MATCH($C$7,Data!$4:$4,0))))</f>
        <v>41.7</v>
      </c>
      <c r="D1198" s="148">
        <f t="shared" ca="1" si="42"/>
        <v>23.299999999999997</v>
      </c>
      <c r="E1198" s="148">
        <f t="shared" ca="1" si="43"/>
        <v>0</v>
      </c>
    </row>
    <row r="1199" spans="2:5" x14ac:dyDescent="0.25">
      <c r="B1199" s="8">
        <v>38793</v>
      </c>
      <c r="C1199" s="6">
        <f ca="1">IF(OR($C$7="",$B1199&gt;NOW()),"",IF(INDEX(Data!$A:$G,MATCH($B1199,Data!$A:$A,0),MATCH($C$7,Data!$4:$4,0))="","",INDEX(Data!$A:$G,MATCH($B1199,Data!$A:$A,0),MATCH($C$7,Data!$4:$4,0))))</f>
        <v>39.799999999999997</v>
      </c>
      <c r="D1199" s="148">
        <f t="shared" ca="1" si="42"/>
        <v>25.200000000000003</v>
      </c>
      <c r="E1199" s="148">
        <f t="shared" ca="1" si="43"/>
        <v>0</v>
      </c>
    </row>
    <row r="1200" spans="2:5" x14ac:dyDescent="0.25">
      <c r="B1200" s="8">
        <v>38794</v>
      </c>
      <c r="C1200" s="6">
        <f ca="1">IF(OR($C$7="",$B1200&gt;NOW()),"",IF(INDEX(Data!$A:$G,MATCH($B1200,Data!$A:$A,0),MATCH($C$7,Data!$4:$4,0))="","",INDEX(Data!$A:$G,MATCH($B1200,Data!$A:$A,0),MATCH($C$7,Data!$4:$4,0))))</f>
        <v>36.299999999999997</v>
      </c>
      <c r="D1200" s="148">
        <f t="shared" ca="1" si="42"/>
        <v>28.700000000000003</v>
      </c>
      <c r="E1200" s="148">
        <f t="shared" ca="1" si="43"/>
        <v>0</v>
      </c>
    </row>
    <row r="1201" spans="2:5" x14ac:dyDescent="0.25">
      <c r="B1201" s="8">
        <v>38795</v>
      </c>
      <c r="C1201" s="6">
        <f ca="1">IF(OR($C$7="",$B1201&gt;NOW()),"",IF(INDEX(Data!$A:$G,MATCH($B1201,Data!$A:$A,0),MATCH($C$7,Data!$4:$4,0))="","",INDEX(Data!$A:$G,MATCH($B1201,Data!$A:$A,0),MATCH($C$7,Data!$4:$4,0))))</f>
        <v>36.4</v>
      </c>
      <c r="D1201" s="148">
        <f t="shared" ca="1" si="42"/>
        <v>28.6</v>
      </c>
      <c r="E1201" s="148">
        <f t="shared" ca="1" si="43"/>
        <v>0</v>
      </c>
    </row>
    <row r="1202" spans="2:5" x14ac:dyDescent="0.25">
      <c r="B1202" s="8">
        <v>38796</v>
      </c>
      <c r="C1202" s="6">
        <f ca="1">IF(OR($C$7="",$B1202&gt;NOW()),"",IF(INDEX(Data!$A:$G,MATCH($B1202,Data!$A:$A,0),MATCH($C$7,Data!$4:$4,0))="","",INDEX(Data!$A:$G,MATCH($B1202,Data!$A:$A,0),MATCH($C$7,Data!$4:$4,0))))</f>
        <v>36.700000000000003</v>
      </c>
      <c r="D1202" s="148">
        <f t="shared" ca="1" si="42"/>
        <v>28.299999999999997</v>
      </c>
      <c r="E1202" s="148">
        <f t="shared" ca="1" si="43"/>
        <v>0</v>
      </c>
    </row>
    <row r="1203" spans="2:5" x14ac:dyDescent="0.25">
      <c r="B1203" s="8">
        <v>38797</v>
      </c>
      <c r="C1203" s="6">
        <f ca="1">IF(OR($C$7="",$B1203&gt;NOW()),"",IF(INDEX(Data!$A:$G,MATCH($B1203,Data!$A:$A,0),MATCH($C$7,Data!$4:$4,0))="","",INDEX(Data!$A:$G,MATCH($B1203,Data!$A:$A,0),MATCH($C$7,Data!$4:$4,0))))</f>
        <v>33.9</v>
      </c>
      <c r="D1203" s="148">
        <f t="shared" ca="1" si="42"/>
        <v>31.1</v>
      </c>
      <c r="E1203" s="148">
        <f t="shared" ca="1" si="43"/>
        <v>0</v>
      </c>
    </row>
    <row r="1204" spans="2:5" x14ac:dyDescent="0.25">
      <c r="B1204" s="8">
        <v>38798</v>
      </c>
      <c r="C1204" s="6">
        <f ca="1">IF(OR($C$7="",$B1204&gt;NOW()),"",IF(INDEX(Data!$A:$G,MATCH($B1204,Data!$A:$A,0),MATCH($C$7,Data!$4:$4,0))="","",INDEX(Data!$A:$G,MATCH($B1204,Data!$A:$A,0),MATCH($C$7,Data!$4:$4,0))))</f>
        <v>39.700000000000003</v>
      </c>
      <c r="D1204" s="148">
        <f t="shared" ca="1" si="42"/>
        <v>25.299999999999997</v>
      </c>
      <c r="E1204" s="148">
        <f t="shared" ca="1" si="43"/>
        <v>0</v>
      </c>
    </row>
    <row r="1205" spans="2:5" x14ac:dyDescent="0.25">
      <c r="B1205" s="8">
        <v>38799</v>
      </c>
      <c r="C1205" s="6">
        <f ca="1">IF(OR($C$7="",$B1205&gt;NOW()),"",IF(INDEX(Data!$A:$G,MATCH($B1205,Data!$A:$A,0),MATCH($C$7,Data!$4:$4,0))="","",INDEX(Data!$A:$G,MATCH($B1205,Data!$A:$A,0),MATCH($C$7,Data!$4:$4,0))))</f>
        <v>42.1</v>
      </c>
      <c r="D1205" s="148">
        <f t="shared" ca="1" si="42"/>
        <v>22.9</v>
      </c>
      <c r="E1205" s="148">
        <f t="shared" ca="1" si="43"/>
        <v>0</v>
      </c>
    </row>
    <row r="1206" spans="2:5" x14ac:dyDescent="0.25">
      <c r="B1206" s="8">
        <v>38800</v>
      </c>
      <c r="C1206" s="6">
        <f ca="1">IF(OR($C$7="",$B1206&gt;NOW()),"",IF(INDEX(Data!$A:$G,MATCH($B1206,Data!$A:$A,0),MATCH($C$7,Data!$4:$4,0))="","",INDEX(Data!$A:$G,MATCH($B1206,Data!$A:$A,0),MATCH($C$7,Data!$4:$4,0))))</f>
        <v>45.5</v>
      </c>
      <c r="D1206" s="148">
        <f t="shared" ca="1" si="42"/>
        <v>19.5</v>
      </c>
      <c r="E1206" s="148">
        <f t="shared" ca="1" si="43"/>
        <v>0</v>
      </c>
    </row>
    <row r="1207" spans="2:5" x14ac:dyDescent="0.25">
      <c r="B1207" s="8">
        <v>38801</v>
      </c>
      <c r="C1207" s="6">
        <f ca="1">IF(OR($C$7="",$B1207&gt;NOW()),"",IF(INDEX(Data!$A:$G,MATCH($B1207,Data!$A:$A,0),MATCH($C$7,Data!$4:$4,0))="","",INDEX(Data!$A:$G,MATCH($B1207,Data!$A:$A,0),MATCH($C$7,Data!$4:$4,0))))</f>
        <v>42.7</v>
      </c>
      <c r="D1207" s="148">
        <f t="shared" ca="1" si="42"/>
        <v>22.299999999999997</v>
      </c>
      <c r="E1207" s="148">
        <f t="shared" ca="1" si="43"/>
        <v>0</v>
      </c>
    </row>
    <row r="1208" spans="2:5" x14ac:dyDescent="0.25">
      <c r="B1208" s="8">
        <v>38802</v>
      </c>
      <c r="C1208" s="6">
        <f ca="1">IF(OR($C$7="",$B1208&gt;NOW()),"",IF(INDEX(Data!$A:$G,MATCH($B1208,Data!$A:$A,0),MATCH($C$7,Data!$4:$4,0))="","",INDEX(Data!$A:$G,MATCH($B1208,Data!$A:$A,0),MATCH($C$7,Data!$4:$4,0))))</f>
        <v>44.9</v>
      </c>
      <c r="D1208" s="148">
        <f t="shared" ca="1" si="42"/>
        <v>20.100000000000001</v>
      </c>
      <c r="E1208" s="148">
        <f t="shared" ca="1" si="43"/>
        <v>0</v>
      </c>
    </row>
    <row r="1209" spans="2:5" x14ac:dyDescent="0.25">
      <c r="B1209" s="8">
        <v>38803</v>
      </c>
      <c r="C1209" s="6">
        <f ca="1">IF(OR($C$7="",$B1209&gt;NOW()),"",IF(INDEX(Data!$A:$G,MATCH($B1209,Data!$A:$A,0),MATCH($C$7,Data!$4:$4,0))="","",INDEX(Data!$A:$G,MATCH($B1209,Data!$A:$A,0),MATCH($C$7,Data!$4:$4,0))))</f>
        <v>48.2</v>
      </c>
      <c r="D1209" s="148">
        <f t="shared" ca="1" si="42"/>
        <v>16.799999999999997</v>
      </c>
      <c r="E1209" s="148">
        <f t="shared" ca="1" si="43"/>
        <v>0</v>
      </c>
    </row>
    <row r="1210" spans="2:5" x14ac:dyDescent="0.25">
      <c r="B1210" s="8">
        <v>38804</v>
      </c>
      <c r="C1210" s="6">
        <f ca="1">IF(OR($C$7="",$B1210&gt;NOW()),"",IF(INDEX(Data!$A:$G,MATCH($B1210,Data!$A:$A,0),MATCH($C$7,Data!$4:$4,0))="","",INDEX(Data!$A:$G,MATCH($B1210,Data!$A:$A,0),MATCH($C$7,Data!$4:$4,0))))</f>
        <v>49.1</v>
      </c>
      <c r="D1210" s="148">
        <f t="shared" ca="1" si="42"/>
        <v>15.899999999999999</v>
      </c>
      <c r="E1210" s="148">
        <f t="shared" ca="1" si="43"/>
        <v>0</v>
      </c>
    </row>
    <row r="1211" spans="2:5" x14ac:dyDescent="0.25">
      <c r="B1211" s="8">
        <v>38805</v>
      </c>
      <c r="C1211" s="6">
        <f ca="1">IF(OR($C$7="",$B1211&gt;NOW()),"",IF(INDEX(Data!$A:$G,MATCH($B1211,Data!$A:$A,0),MATCH($C$7,Data!$4:$4,0))="","",INDEX(Data!$A:$G,MATCH($B1211,Data!$A:$A,0),MATCH($C$7,Data!$4:$4,0))))</f>
        <v>49.7</v>
      </c>
      <c r="D1211" s="148">
        <f t="shared" ca="1" si="42"/>
        <v>15.299999999999997</v>
      </c>
      <c r="E1211" s="148">
        <f t="shared" ca="1" si="43"/>
        <v>0</v>
      </c>
    </row>
    <row r="1212" spans="2:5" x14ac:dyDescent="0.25">
      <c r="B1212" s="8">
        <v>38806</v>
      </c>
      <c r="C1212" s="6">
        <f ca="1">IF(OR($C$7="",$B1212&gt;NOW()),"",IF(INDEX(Data!$A:$G,MATCH($B1212,Data!$A:$A,0),MATCH($C$7,Data!$4:$4,0))="","",INDEX(Data!$A:$G,MATCH($B1212,Data!$A:$A,0),MATCH($C$7,Data!$4:$4,0))))</f>
        <v>54.7</v>
      </c>
      <c r="D1212" s="148">
        <f t="shared" ca="1" si="42"/>
        <v>10.299999999999997</v>
      </c>
      <c r="E1212" s="148">
        <f t="shared" ca="1" si="43"/>
        <v>0</v>
      </c>
    </row>
    <row r="1213" spans="2:5" x14ac:dyDescent="0.25">
      <c r="B1213" s="8">
        <v>38807</v>
      </c>
      <c r="C1213" s="6">
        <f ca="1">IF(OR($C$7="",$B1213&gt;NOW()),"",IF(INDEX(Data!$A:$G,MATCH($B1213,Data!$A:$A,0),MATCH($C$7,Data!$4:$4,0))="","",INDEX(Data!$A:$G,MATCH($B1213,Data!$A:$A,0),MATCH($C$7,Data!$4:$4,0))))</f>
        <v>58.3</v>
      </c>
      <c r="D1213" s="148">
        <f t="shared" ca="1" si="42"/>
        <v>6.7000000000000028</v>
      </c>
      <c r="E1213" s="148">
        <f t="shared" ca="1" si="43"/>
        <v>0</v>
      </c>
    </row>
    <row r="1214" spans="2:5" x14ac:dyDescent="0.25">
      <c r="B1214" s="8">
        <v>38808</v>
      </c>
      <c r="C1214" s="6">
        <f ca="1">IF(OR($C$7="",$B1214&gt;NOW()),"",IF(INDEX(Data!$A:$G,MATCH($B1214,Data!$A:$A,0),MATCH($C$7,Data!$4:$4,0))="","",INDEX(Data!$A:$G,MATCH($B1214,Data!$A:$A,0),MATCH($C$7,Data!$4:$4,0))))</f>
        <v>60.9</v>
      </c>
      <c r="D1214" s="148">
        <f t="shared" ca="1" si="42"/>
        <v>4.1000000000000014</v>
      </c>
      <c r="E1214" s="148">
        <f t="shared" ca="1" si="43"/>
        <v>0</v>
      </c>
    </row>
    <row r="1215" spans="2:5" x14ac:dyDescent="0.25">
      <c r="B1215" s="8">
        <v>38809</v>
      </c>
      <c r="C1215" s="6">
        <f ca="1">IF(OR($C$7="",$B1215&gt;NOW()),"",IF(INDEX(Data!$A:$G,MATCH($B1215,Data!$A:$A,0),MATCH($C$7,Data!$4:$4,0))="","",INDEX(Data!$A:$G,MATCH($B1215,Data!$A:$A,0),MATCH($C$7,Data!$4:$4,0))))</f>
        <v>57.9</v>
      </c>
      <c r="D1215" s="148">
        <f t="shared" ca="1" si="42"/>
        <v>7.1000000000000014</v>
      </c>
      <c r="E1215" s="148">
        <f t="shared" ca="1" si="43"/>
        <v>0</v>
      </c>
    </row>
    <row r="1216" spans="2:5" x14ac:dyDescent="0.25">
      <c r="B1216" s="8">
        <v>38810</v>
      </c>
      <c r="C1216" s="6">
        <f ca="1">IF(OR($C$7="",$B1216&gt;NOW()),"",IF(INDEX(Data!$A:$G,MATCH($B1216,Data!$A:$A,0),MATCH($C$7,Data!$4:$4,0))="","",INDEX(Data!$A:$G,MATCH($B1216,Data!$A:$A,0),MATCH($C$7,Data!$4:$4,0))))</f>
        <v>54</v>
      </c>
      <c r="D1216" s="148">
        <f t="shared" ca="1" si="42"/>
        <v>11</v>
      </c>
      <c r="E1216" s="148">
        <f t="shared" ca="1" si="43"/>
        <v>0</v>
      </c>
    </row>
    <row r="1217" spans="2:5" x14ac:dyDescent="0.25">
      <c r="B1217" s="8">
        <v>38811</v>
      </c>
      <c r="C1217" s="6">
        <f ca="1">IF(OR($C$7="",$B1217&gt;NOW()),"",IF(INDEX(Data!$A:$G,MATCH($B1217,Data!$A:$A,0),MATCH($C$7,Data!$4:$4,0))="","",INDEX(Data!$A:$G,MATCH($B1217,Data!$A:$A,0),MATCH($C$7,Data!$4:$4,0))))</f>
        <v>50.1</v>
      </c>
      <c r="D1217" s="148">
        <f t="shared" ca="1" si="42"/>
        <v>14.899999999999999</v>
      </c>
      <c r="E1217" s="148">
        <f t="shared" ca="1" si="43"/>
        <v>0</v>
      </c>
    </row>
    <row r="1218" spans="2:5" x14ac:dyDescent="0.25">
      <c r="B1218" s="8">
        <v>38812</v>
      </c>
      <c r="C1218" s="6">
        <f ca="1">IF(OR($C$7="",$B1218&gt;NOW()),"",IF(INDEX(Data!$A:$G,MATCH($B1218,Data!$A:$A,0),MATCH($C$7,Data!$4:$4,0))="","",INDEX(Data!$A:$G,MATCH($B1218,Data!$A:$A,0),MATCH($C$7,Data!$4:$4,0))))</f>
        <v>43.3</v>
      </c>
      <c r="D1218" s="148">
        <f t="shared" ca="1" si="42"/>
        <v>21.700000000000003</v>
      </c>
      <c r="E1218" s="148">
        <f t="shared" ca="1" si="43"/>
        <v>0</v>
      </c>
    </row>
    <row r="1219" spans="2:5" x14ac:dyDescent="0.25">
      <c r="B1219" s="8">
        <v>38813</v>
      </c>
      <c r="C1219" s="6">
        <f ca="1">IF(OR($C$7="",$B1219&gt;NOW()),"",IF(INDEX(Data!$A:$G,MATCH($B1219,Data!$A:$A,0),MATCH($C$7,Data!$4:$4,0))="","",INDEX(Data!$A:$G,MATCH($B1219,Data!$A:$A,0),MATCH($C$7,Data!$4:$4,0))))</f>
        <v>45.9</v>
      </c>
      <c r="D1219" s="148">
        <f t="shared" ca="1" si="42"/>
        <v>19.100000000000001</v>
      </c>
      <c r="E1219" s="148">
        <f t="shared" ca="1" si="43"/>
        <v>0</v>
      </c>
    </row>
    <row r="1220" spans="2:5" x14ac:dyDescent="0.25">
      <c r="B1220" s="8">
        <v>38814</v>
      </c>
      <c r="C1220" s="6">
        <f ca="1">IF(OR($C$7="",$B1220&gt;NOW()),"",IF(INDEX(Data!$A:$G,MATCH($B1220,Data!$A:$A,0),MATCH($C$7,Data!$4:$4,0))="","",INDEX(Data!$A:$G,MATCH($B1220,Data!$A:$A,0),MATCH($C$7,Data!$4:$4,0))))</f>
        <v>51.8</v>
      </c>
      <c r="D1220" s="148">
        <f t="shared" ca="1" si="42"/>
        <v>13.200000000000003</v>
      </c>
      <c r="E1220" s="148">
        <f t="shared" ca="1" si="43"/>
        <v>0</v>
      </c>
    </row>
    <row r="1221" spans="2:5" x14ac:dyDescent="0.25">
      <c r="B1221" s="8">
        <v>38815</v>
      </c>
      <c r="C1221" s="6">
        <f ca="1">IF(OR($C$7="",$B1221&gt;NOW()),"",IF(INDEX(Data!$A:$G,MATCH($B1221,Data!$A:$A,0),MATCH($C$7,Data!$4:$4,0))="","",INDEX(Data!$A:$G,MATCH($B1221,Data!$A:$A,0),MATCH($C$7,Data!$4:$4,0))))</f>
        <v>51.3</v>
      </c>
      <c r="D1221" s="148">
        <f t="shared" ca="1" si="42"/>
        <v>13.700000000000003</v>
      </c>
      <c r="E1221" s="148">
        <f t="shared" ca="1" si="43"/>
        <v>0</v>
      </c>
    </row>
    <row r="1222" spans="2:5" x14ac:dyDescent="0.25">
      <c r="B1222" s="8">
        <v>38816</v>
      </c>
      <c r="C1222" s="6">
        <f ca="1">IF(OR($C$7="",$B1222&gt;NOW()),"",IF(INDEX(Data!$A:$G,MATCH($B1222,Data!$A:$A,0),MATCH($C$7,Data!$4:$4,0))="","",INDEX(Data!$A:$G,MATCH($B1222,Data!$A:$A,0),MATCH($C$7,Data!$4:$4,0))))</f>
        <v>45.6</v>
      </c>
      <c r="D1222" s="148">
        <f t="shared" ca="1" si="42"/>
        <v>19.399999999999999</v>
      </c>
      <c r="E1222" s="148">
        <f t="shared" ca="1" si="43"/>
        <v>0</v>
      </c>
    </row>
    <row r="1223" spans="2:5" x14ac:dyDescent="0.25">
      <c r="B1223" s="8">
        <v>38817</v>
      </c>
      <c r="C1223" s="6">
        <f ca="1">IF(OR($C$7="",$B1223&gt;NOW()),"",IF(INDEX(Data!$A:$G,MATCH($B1223,Data!$A:$A,0),MATCH($C$7,Data!$4:$4,0))="","",INDEX(Data!$A:$G,MATCH($B1223,Data!$A:$A,0),MATCH($C$7,Data!$4:$4,0))))</f>
        <v>52.2</v>
      </c>
      <c r="D1223" s="148">
        <f t="shared" ca="1" si="42"/>
        <v>12.799999999999997</v>
      </c>
      <c r="E1223" s="148">
        <f t="shared" ca="1" si="43"/>
        <v>0</v>
      </c>
    </row>
    <row r="1224" spans="2:5" x14ac:dyDescent="0.25">
      <c r="B1224" s="8">
        <v>38818</v>
      </c>
      <c r="C1224" s="6">
        <f ca="1">IF(OR($C$7="",$B1224&gt;NOW()),"",IF(INDEX(Data!$A:$G,MATCH($B1224,Data!$A:$A,0),MATCH($C$7,Data!$4:$4,0))="","",INDEX(Data!$A:$G,MATCH($B1224,Data!$A:$A,0),MATCH($C$7,Data!$4:$4,0))))</f>
        <v>54.5</v>
      </c>
      <c r="D1224" s="148">
        <f t="shared" ca="1" si="42"/>
        <v>10.5</v>
      </c>
      <c r="E1224" s="148">
        <f t="shared" ca="1" si="43"/>
        <v>0</v>
      </c>
    </row>
    <row r="1225" spans="2:5" x14ac:dyDescent="0.25">
      <c r="B1225" s="8">
        <v>38819</v>
      </c>
      <c r="C1225" s="6">
        <f ca="1">IF(OR($C$7="",$B1225&gt;NOW()),"",IF(INDEX(Data!$A:$G,MATCH($B1225,Data!$A:$A,0),MATCH($C$7,Data!$4:$4,0))="","",INDEX(Data!$A:$G,MATCH($B1225,Data!$A:$A,0),MATCH($C$7,Data!$4:$4,0))))</f>
        <v>55</v>
      </c>
      <c r="D1225" s="148">
        <f t="shared" ca="1" si="42"/>
        <v>10</v>
      </c>
      <c r="E1225" s="148">
        <f t="shared" ca="1" si="43"/>
        <v>0</v>
      </c>
    </row>
    <row r="1226" spans="2:5" x14ac:dyDescent="0.25">
      <c r="B1226" s="8">
        <v>38820</v>
      </c>
      <c r="C1226" s="6">
        <f ca="1">IF(OR($C$7="",$B1226&gt;NOW()),"",IF(INDEX(Data!$A:$G,MATCH($B1226,Data!$A:$A,0),MATCH($C$7,Data!$4:$4,0))="","",INDEX(Data!$A:$G,MATCH($B1226,Data!$A:$A,0),MATCH($C$7,Data!$4:$4,0))))</f>
        <v>62.9</v>
      </c>
      <c r="D1226" s="148">
        <f t="shared" ca="1" si="42"/>
        <v>2.1000000000000014</v>
      </c>
      <c r="E1226" s="148">
        <f t="shared" ca="1" si="43"/>
        <v>0</v>
      </c>
    </row>
    <row r="1227" spans="2:5" x14ac:dyDescent="0.25">
      <c r="B1227" s="8">
        <v>38821</v>
      </c>
      <c r="C1227" s="6">
        <f ca="1">IF(OR($C$7="",$B1227&gt;NOW()),"",IF(INDEX(Data!$A:$G,MATCH($B1227,Data!$A:$A,0),MATCH($C$7,Data!$4:$4,0))="","",INDEX(Data!$A:$G,MATCH($B1227,Data!$A:$A,0),MATCH($C$7,Data!$4:$4,0))))</f>
        <v>61.3</v>
      </c>
      <c r="D1227" s="148">
        <f t="shared" ca="1" si="42"/>
        <v>3.7000000000000028</v>
      </c>
      <c r="E1227" s="148">
        <f t="shared" ca="1" si="43"/>
        <v>0</v>
      </c>
    </row>
    <row r="1228" spans="2:5" x14ac:dyDescent="0.25">
      <c r="B1228" s="8">
        <v>38822</v>
      </c>
      <c r="C1228" s="6">
        <f ca="1">IF(OR($C$7="",$B1228&gt;NOW()),"",IF(INDEX(Data!$A:$G,MATCH($B1228,Data!$A:$A,0),MATCH($C$7,Data!$4:$4,0))="","",INDEX(Data!$A:$G,MATCH($B1228,Data!$A:$A,0),MATCH($C$7,Data!$4:$4,0))))</f>
        <v>61.8</v>
      </c>
      <c r="D1228" s="148">
        <f t="shared" ca="1" si="42"/>
        <v>3.2000000000000028</v>
      </c>
      <c r="E1228" s="148">
        <f t="shared" ca="1" si="43"/>
        <v>0</v>
      </c>
    </row>
    <row r="1229" spans="2:5" x14ac:dyDescent="0.25">
      <c r="B1229" s="8">
        <v>38823</v>
      </c>
      <c r="C1229" s="6">
        <f ca="1">IF(OR($C$7="",$B1229&gt;NOW()),"",IF(INDEX(Data!$A:$G,MATCH($B1229,Data!$A:$A,0),MATCH($C$7,Data!$4:$4,0))="","",INDEX(Data!$A:$G,MATCH($B1229,Data!$A:$A,0),MATCH($C$7,Data!$4:$4,0))))</f>
        <v>60.9</v>
      </c>
      <c r="D1229" s="148">
        <f t="shared" ca="1" si="42"/>
        <v>4.1000000000000014</v>
      </c>
      <c r="E1229" s="148">
        <f t="shared" ca="1" si="43"/>
        <v>0</v>
      </c>
    </row>
    <row r="1230" spans="2:5" x14ac:dyDescent="0.25">
      <c r="B1230" s="8">
        <v>38824</v>
      </c>
      <c r="C1230" s="6">
        <f ca="1">IF(OR($C$7="",$B1230&gt;NOW()),"",IF(INDEX(Data!$A:$G,MATCH($B1230,Data!$A:$A,0),MATCH($C$7,Data!$4:$4,0))="","",INDEX(Data!$A:$G,MATCH($B1230,Data!$A:$A,0),MATCH($C$7,Data!$4:$4,0))))</f>
        <v>55.9</v>
      </c>
      <c r="D1230" s="148">
        <f t="shared" ca="1" si="42"/>
        <v>9.1000000000000014</v>
      </c>
      <c r="E1230" s="148">
        <f t="shared" ca="1" si="43"/>
        <v>0</v>
      </c>
    </row>
    <row r="1231" spans="2:5" x14ac:dyDescent="0.25">
      <c r="B1231" s="8">
        <v>38825</v>
      </c>
      <c r="C1231" s="6">
        <f ca="1">IF(OR($C$7="",$B1231&gt;NOW()),"",IF(INDEX(Data!$A:$G,MATCH($B1231,Data!$A:$A,0),MATCH($C$7,Data!$4:$4,0))="","",INDEX(Data!$A:$G,MATCH($B1231,Data!$A:$A,0),MATCH($C$7,Data!$4:$4,0))))</f>
        <v>57.2</v>
      </c>
      <c r="D1231" s="148">
        <f t="shared" ca="1" si="42"/>
        <v>7.7999999999999972</v>
      </c>
      <c r="E1231" s="148">
        <f t="shared" ca="1" si="43"/>
        <v>0</v>
      </c>
    </row>
    <row r="1232" spans="2:5" x14ac:dyDescent="0.25">
      <c r="B1232" s="8">
        <v>38826</v>
      </c>
      <c r="C1232" s="6">
        <f ca="1">IF(OR($C$7="",$B1232&gt;NOW()),"",IF(INDEX(Data!$A:$G,MATCH($B1232,Data!$A:$A,0),MATCH($C$7,Data!$4:$4,0))="","",INDEX(Data!$A:$G,MATCH($B1232,Data!$A:$A,0),MATCH($C$7,Data!$4:$4,0))))</f>
        <v>61.1</v>
      </c>
      <c r="D1232" s="148">
        <f t="shared" ca="1" si="42"/>
        <v>3.8999999999999986</v>
      </c>
      <c r="E1232" s="148">
        <f t="shared" ca="1" si="43"/>
        <v>0</v>
      </c>
    </row>
    <row r="1233" spans="2:5" x14ac:dyDescent="0.25">
      <c r="B1233" s="8">
        <v>38827</v>
      </c>
      <c r="C1233" s="6">
        <f ca="1">IF(OR($C$7="",$B1233&gt;NOW()),"",IF(INDEX(Data!$A:$G,MATCH($B1233,Data!$A:$A,0),MATCH($C$7,Data!$4:$4,0))="","",INDEX(Data!$A:$G,MATCH($B1233,Data!$A:$A,0),MATCH($C$7,Data!$4:$4,0))))</f>
        <v>69.400000000000006</v>
      </c>
      <c r="D1233" s="148">
        <f t="shared" ca="1" si="42"/>
        <v>0</v>
      </c>
      <c r="E1233" s="148">
        <f t="shared" ca="1" si="43"/>
        <v>4.4000000000000057</v>
      </c>
    </row>
    <row r="1234" spans="2:5" x14ac:dyDescent="0.25">
      <c r="B1234" s="8">
        <v>38828</v>
      </c>
      <c r="C1234" s="6">
        <f ca="1">IF(OR($C$7="",$B1234&gt;NOW()),"",IF(INDEX(Data!$A:$G,MATCH($B1234,Data!$A:$A,0),MATCH($C$7,Data!$4:$4,0))="","",INDEX(Data!$A:$G,MATCH($B1234,Data!$A:$A,0),MATCH($C$7,Data!$4:$4,0))))</f>
        <v>57.1</v>
      </c>
      <c r="D1234" s="148">
        <f t="shared" ca="1" si="42"/>
        <v>7.8999999999999986</v>
      </c>
      <c r="E1234" s="148">
        <f t="shared" ca="1" si="43"/>
        <v>0</v>
      </c>
    </row>
    <row r="1235" spans="2:5" x14ac:dyDescent="0.25">
      <c r="B1235" s="8">
        <v>38829</v>
      </c>
      <c r="C1235" s="6">
        <f ca="1">IF(OR($C$7="",$B1235&gt;NOW()),"",IF(INDEX(Data!$A:$G,MATCH($B1235,Data!$A:$A,0),MATCH($C$7,Data!$4:$4,0))="","",INDEX(Data!$A:$G,MATCH($B1235,Data!$A:$A,0),MATCH($C$7,Data!$4:$4,0))))</f>
        <v>47.7</v>
      </c>
      <c r="D1235" s="148">
        <f t="shared" ca="1" si="42"/>
        <v>17.299999999999997</v>
      </c>
      <c r="E1235" s="148">
        <f t="shared" ca="1" si="43"/>
        <v>0</v>
      </c>
    </row>
    <row r="1236" spans="2:5" x14ac:dyDescent="0.25">
      <c r="B1236" s="8">
        <v>38830</v>
      </c>
      <c r="C1236" s="6">
        <f ca="1">IF(OR($C$7="",$B1236&gt;NOW()),"",IF(INDEX(Data!$A:$G,MATCH($B1236,Data!$A:$A,0),MATCH($C$7,Data!$4:$4,0))="","",INDEX(Data!$A:$G,MATCH($B1236,Data!$A:$A,0),MATCH($C$7,Data!$4:$4,0))))</f>
        <v>50.6</v>
      </c>
      <c r="D1236" s="148">
        <f t="shared" ca="1" si="42"/>
        <v>14.399999999999999</v>
      </c>
      <c r="E1236" s="148">
        <f t="shared" ca="1" si="43"/>
        <v>0</v>
      </c>
    </row>
    <row r="1237" spans="2:5" x14ac:dyDescent="0.25">
      <c r="B1237" s="8">
        <v>38831</v>
      </c>
      <c r="C1237" s="6">
        <f ca="1">IF(OR($C$7="",$B1237&gt;NOW()),"",IF(INDEX(Data!$A:$G,MATCH($B1237,Data!$A:$A,0),MATCH($C$7,Data!$4:$4,0))="","",INDEX(Data!$A:$G,MATCH($B1237,Data!$A:$A,0),MATCH($C$7,Data!$4:$4,0))))</f>
        <v>52.8</v>
      </c>
      <c r="D1237" s="148">
        <f t="shared" ca="1" si="42"/>
        <v>12.200000000000003</v>
      </c>
      <c r="E1237" s="148">
        <f t="shared" ca="1" si="43"/>
        <v>0</v>
      </c>
    </row>
    <row r="1238" spans="2:5" x14ac:dyDescent="0.25">
      <c r="B1238" s="8">
        <v>38832</v>
      </c>
      <c r="C1238" s="6">
        <f ca="1">IF(OR($C$7="",$B1238&gt;NOW()),"",IF(INDEX(Data!$A:$G,MATCH($B1238,Data!$A:$A,0),MATCH($C$7,Data!$4:$4,0))="","",INDEX(Data!$A:$G,MATCH($B1238,Data!$A:$A,0),MATCH($C$7,Data!$4:$4,0))))</f>
        <v>60.9</v>
      </c>
      <c r="D1238" s="148">
        <f t="shared" ca="1" si="42"/>
        <v>4.1000000000000014</v>
      </c>
      <c r="E1238" s="148">
        <f t="shared" ca="1" si="43"/>
        <v>0</v>
      </c>
    </row>
    <row r="1239" spans="2:5" x14ac:dyDescent="0.25">
      <c r="B1239" s="8">
        <v>38833</v>
      </c>
      <c r="C1239" s="6">
        <f ca="1">IF(OR($C$7="",$B1239&gt;NOW()),"",IF(INDEX(Data!$A:$G,MATCH($B1239,Data!$A:$A,0),MATCH($C$7,Data!$4:$4,0))="","",INDEX(Data!$A:$G,MATCH($B1239,Data!$A:$A,0),MATCH($C$7,Data!$4:$4,0))))</f>
        <v>50.8</v>
      </c>
      <c r="D1239" s="148">
        <f t="shared" ca="1" si="42"/>
        <v>14.200000000000003</v>
      </c>
      <c r="E1239" s="148">
        <f t="shared" ca="1" si="43"/>
        <v>0</v>
      </c>
    </row>
    <row r="1240" spans="2:5" x14ac:dyDescent="0.25">
      <c r="B1240" s="8">
        <v>38834</v>
      </c>
      <c r="C1240" s="6">
        <f ca="1">IF(OR($C$7="",$B1240&gt;NOW()),"",IF(INDEX(Data!$A:$G,MATCH($B1240,Data!$A:$A,0),MATCH($C$7,Data!$4:$4,0))="","",INDEX(Data!$A:$G,MATCH($B1240,Data!$A:$A,0),MATCH($C$7,Data!$4:$4,0))))</f>
        <v>58.9</v>
      </c>
      <c r="D1240" s="148">
        <f t="shared" ca="1" si="42"/>
        <v>6.1000000000000014</v>
      </c>
      <c r="E1240" s="148">
        <f t="shared" ca="1" si="43"/>
        <v>0</v>
      </c>
    </row>
    <row r="1241" spans="2:5" x14ac:dyDescent="0.25">
      <c r="B1241" s="8">
        <v>38835</v>
      </c>
      <c r="C1241" s="6">
        <f ca="1">IF(OR($C$7="",$B1241&gt;NOW()),"",IF(INDEX(Data!$A:$G,MATCH($B1241,Data!$A:$A,0),MATCH($C$7,Data!$4:$4,0))="","",INDEX(Data!$A:$G,MATCH($B1241,Data!$A:$A,0),MATCH($C$7,Data!$4:$4,0))))</f>
        <v>57.5</v>
      </c>
      <c r="D1241" s="148">
        <f t="shared" ca="1" si="42"/>
        <v>7.5</v>
      </c>
      <c r="E1241" s="148">
        <f t="shared" ca="1" si="43"/>
        <v>0</v>
      </c>
    </row>
    <row r="1242" spans="2:5" x14ac:dyDescent="0.25">
      <c r="B1242" s="8">
        <v>38836</v>
      </c>
      <c r="C1242" s="6">
        <f ca="1">IF(OR($C$7="",$B1242&gt;NOW()),"",IF(INDEX(Data!$A:$G,MATCH($B1242,Data!$A:$A,0),MATCH($C$7,Data!$4:$4,0))="","",INDEX(Data!$A:$G,MATCH($B1242,Data!$A:$A,0),MATCH($C$7,Data!$4:$4,0))))</f>
        <v>53.6</v>
      </c>
      <c r="D1242" s="148">
        <f t="shared" ca="1" si="42"/>
        <v>11.399999999999999</v>
      </c>
      <c r="E1242" s="148">
        <f t="shared" ca="1" si="43"/>
        <v>0</v>
      </c>
    </row>
    <row r="1243" spans="2:5" x14ac:dyDescent="0.25">
      <c r="B1243" s="8">
        <v>38837</v>
      </c>
      <c r="C1243" s="6">
        <f ca="1">IF(OR($C$7="",$B1243&gt;NOW()),"",IF(INDEX(Data!$A:$G,MATCH($B1243,Data!$A:$A,0),MATCH($C$7,Data!$4:$4,0))="","",INDEX(Data!$A:$G,MATCH($B1243,Data!$A:$A,0),MATCH($C$7,Data!$4:$4,0))))</f>
        <v>56.8</v>
      </c>
      <c r="D1243" s="148">
        <f t="shared" ca="1" si="42"/>
        <v>8.2000000000000028</v>
      </c>
      <c r="E1243" s="148">
        <f t="shared" ca="1" si="43"/>
        <v>0</v>
      </c>
    </row>
    <row r="1244" spans="2:5" x14ac:dyDescent="0.25">
      <c r="B1244" s="8">
        <v>38838</v>
      </c>
      <c r="C1244" s="6">
        <f ca="1">IF(OR($C$7="",$B1244&gt;NOW()),"",IF(INDEX(Data!$A:$G,MATCH($B1244,Data!$A:$A,0),MATCH($C$7,Data!$4:$4,0))="","",INDEX(Data!$A:$G,MATCH($B1244,Data!$A:$A,0),MATCH($C$7,Data!$4:$4,0))))</f>
        <v>60.4</v>
      </c>
      <c r="D1244" s="148">
        <f t="shared" ca="1" si="42"/>
        <v>4.6000000000000014</v>
      </c>
      <c r="E1244" s="148">
        <f t="shared" ca="1" si="43"/>
        <v>0</v>
      </c>
    </row>
    <row r="1245" spans="2:5" x14ac:dyDescent="0.25">
      <c r="B1245" s="8">
        <v>38839</v>
      </c>
      <c r="C1245" s="6">
        <f ca="1">IF(OR($C$7="",$B1245&gt;NOW()),"",IF(INDEX(Data!$A:$G,MATCH($B1245,Data!$A:$A,0),MATCH($C$7,Data!$4:$4,0))="","",INDEX(Data!$A:$G,MATCH($B1245,Data!$A:$A,0),MATCH($C$7,Data!$4:$4,0))))</f>
        <v>57.6</v>
      </c>
      <c r="D1245" s="148">
        <f t="shared" ref="D1245:D1308" ca="1" si="44">IF($C1245="","",IF($C1245&gt;$D$26,0,$D$26-$C1245))</f>
        <v>7.3999999999999986</v>
      </c>
      <c r="E1245" s="148">
        <f t="shared" ref="E1245:E1308" ca="1" si="45">IF($C1245="","",IF($C1245&lt;$E$26,0,$C1245-$E$26))</f>
        <v>0</v>
      </c>
    </row>
    <row r="1246" spans="2:5" x14ac:dyDescent="0.25">
      <c r="B1246" s="8">
        <v>38840</v>
      </c>
      <c r="C1246" s="6">
        <f ca="1">IF(OR($C$7="",$B1246&gt;NOW()),"",IF(INDEX(Data!$A:$G,MATCH($B1246,Data!$A:$A,0),MATCH($C$7,Data!$4:$4,0))="","",INDEX(Data!$A:$G,MATCH($B1246,Data!$A:$A,0),MATCH($C$7,Data!$4:$4,0))))</f>
        <v>58.1</v>
      </c>
      <c r="D1246" s="148">
        <f t="shared" ca="1" si="44"/>
        <v>6.8999999999999986</v>
      </c>
      <c r="E1246" s="148">
        <f t="shared" ca="1" si="45"/>
        <v>0</v>
      </c>
    </row>
    <row r="1247" spans="2:5" x14ac:dyDescent="0.25">
      <c r="B1247" s="8">
        <v>38841</v>
      </c>
      <c r="C1247" s="6">
        <f ca="1">IF(OR($C$7="",$B1247&gt;NOW()),"",IF(INDEX(Data!$A:$G,MATCH($B1247,Data!$A:$A,0),MATCH($C$7,Data!$4:$4,0))="","",INDEX(Data!$A:$G,MATCH($B1247,Data!$A:$A,0),MATCH($C$7,Data!$4:$4,0))))</f>
        <v>64.8</v>
      </c>
      <c r="D1247" s="148">
        <f t="shared" ca="1" si="44"/>
        <v>0.20000000000000284</v>
      </c>
      <c r="E1247" s="148">
        <f t="shared" ca="1" si="45"/>
        <v>0</v>
      </c>
    </row>
    <row r="1248" spans="2:5" x14ac:dyDescent="0.25">
      <c r="B1248" s="8">
        <v>38842</v>
      </c>
      <c r="C1248" s="6">
        <f ca="1">IF(OR($C$7="",$B1248&gt;NOW()),"",IF(INDEX(Data!$A:$G,MATCH($B1248,Data!$A:$A,0),MATCH($C$7,Data!$4:$4,0))="","",INDEX(Data!$A:$G,MATCH($B1248,Data!$A:$A,0),MATCH($C$7,Data!$4:$4,0))))</f>
        <v>72.099999999999994</v>
      </c>
      <c r="D1248" s="148">
        <f t="shared" ca="1" si="44"/>
        <v>0</v>
      </c>
      <c r="E1248" s="148">
        <f t="shared" ca="1" si="45"/>
        <v>7.0999999999999943</v>
      </c>
    </row>
    <row r="1249" spans="2:5" x14ac:dyDescent="0.25">
      <c r="B1249" s="8">
        <v>38843</v>
      </c>
      <c r="C1249" s="6">
        <f ca="1">IF(OR($C$7="",$B1249&gt;NOW()),"",IF(INDEX(Data!$A:$G,MATCH($B1249,Data!$A:$A,0),MATCH($C$7,Data!$4:$4,0))="","",INDEX(Data!$A:$G,MATCH($B1249,Data!$A:$A,0),MATCH($C$7,Data!$4:$4,0))))</f>
        <v>68.099999999999994</v>
      </c>
      <c r="D1249" s="148">
        <f t="shared" ca="1" si="44"/>
        <v>0</v>
      </c>
      <c r="E1249" s="148">
        <f t="shared" ca="1" si="45"/>
        <v>3.0999999999999943</v>
      </c>
    </row>
    <row r="1250" spans="2:5" x14ac:dyDescent="0.25">
      <c r="B1250" s="8">
        <v>38844</v>
      </c>
      <c r="C1250" s="6">
        <f ca="1">IF(OR($C$7="",$B1250&gt;NOW()),"",IF(INDEX(Data!$A:$G,MATCH($B1250,Data!$A:$A,0),MATCH($C$7,Data!$4:$4,0))="","",INDEX(Data!$A:$G,MATCH($B1250,Data!$A:$A,0),MATCH($C$7,Data!$4:$4,0))))</f>
        <v>56.9</v>
      </c>
      <c r="D1250" s="148">
        <f t="shared" ca="1" si="44"/>
        <v>8.1000000000000014</v>
      </c>
      <c r="E1250" s="148">
        <f t="shared" ca="1" si="45"/>
        <v>0</v>
      </c>
    </row>
    <row r="1251" spans="2:5" x14ac:dyDescent="0.25">
      <c r="B1251" s="8">
        <v>38845</v>
      </c>
      <c r="C1251" s="6">
        <f ca="1">IF(OR($C$7="",$B1251&gt;NOW()),"",IF(INDEX(Data!$A:$G,MATCH($B1251,Data!$A:$A,0),MATCH($C$7,Data!$4:$4,0))="","",INDEX(Data!$A:$G,MATCH($B1251,Data!$A:$A,0),MATCH($C$7,Data!$4:$4,0))))</f>
        <v>57</v>
      </c>
      <c r="D1251" s="148">
        <f t="shared" ca="1" si="44"/>
        <v>8</v>
      </c>
      <c r="E1251" s="148">
        <f t="shared" ca="1" si="45"/>
        <v>0</v>
      </c>
    </row>
    <row r="1252" spans="2:5" x14ac:dyDescent="0.25">
      <c r="B1252" s="8">
        <v>38846</v>
      </c>
      <c r="C1252" s="6">
        <f ca="1">IF(OR($C$7="",$B1252&gt;NOW()),"",IF(INDEX(Data!$A:$G,MATCH($B1252,Data!$A:$A,0),MATCH($C$7,Data!$4:$4,0))="","",INDEX(Data!$A:$G,MATCH($B1252,Data!$A:$A,0),MATCH($C$7,Data!$4:$4,0))))</f>
        <v>59.3</v>
      </c>
      <c r="D1252" s="148">
        <f t="shared" ca="1" si="44"/>
        <v>5.7000000000000028</v>
      </c>
      <c r="E1252" s="148">
        <f t="shared" ca="1" si="45"/>
        <v>0</v>
      </c>
    </row>
    <row r="1253" spans="2:5" x14ac:dyDescent="0.25">
      <c r="B1253" s="8">
        <v>38847</v>
      </c>
      <c r="C1253" s="6">
        <f ca="1">IF(OR($C$7="",$B1253&gt;NOW()),"",IF(INDEX(Data!$A:$G,MATCH($B1253,Data!$A:$A,0),MATCH($C$7,Data!$4:$4,0))="","",INDEX(Data!$A:$G,MATCH($B1253,Data!$A:$A,0),MATCH($C$7,Data!$4:$4,0))))</f>
        <v>59.2</v>
      </c>
      <c r="D1253" s="148">
        <f t="shared" ca="1" si="44"/>
        <v>5.7999999999999972</v>
      </c>
      <c r="E1253" s="148">
        <f t="shared" ca="1" si="45"/>
        <v>0</v>
      </c>
    </row>
    <row r="1254" spans="2:5" x14ac:dyDescent="0.25">
      <c r="B1254" s="8">
        <v>38848</v>
      </c>
      <c r="C1254" s="6">
        <f ca="1">IF(OR($C$7="",$B1254&gt;NOW()),"",IF(INDEX(Data!$A:$G,MATCH($B1254,Data!$A:$A,0),MATCH($C$7,Data!$4:$4,0))="","",INDEX(Data!$A:$G,MATCH($B1254,Data!$A:$A,0),MATCH($C$7,Data!$4:$4,0))))</f>
        <v>58.7</v>
      </c>
      <c r="D1254" s="148">
        <f t="shared" ca="1" si="44"/>
        <v>6.2999999999999972</v>
      </c>
      <c r="E1254" s="148">
        <f t="shared" ca="1" si="45"/>
        <v>0</v>
      </c>
    </row>
    <row r="1255" spans="2:5" x14ac:dyDescent="0.25">
      <c r="B1255" s="8">
        <v>38849</v>
      </c>
      <c r="C1255" s="6">
        <f ca="1">IF(OR($C$7="",$B1255&gt;NOW()),"",IF(INDEX(Data!$A:$G,MATCH($B1255,Data!$A:$A,0),MATCH($C$7,Data!$4:$4,0))="","",INDEX(Data!$A:$G,MATCH($B1255,Data!$A:$A,0),MATCH($C$7,Data!$4:$4,0))))</f>
        <v>63.3</v>
      </c>
      <c r="D1255" s="148">
        <f t="shared" ca="1" si="44"/>
        <v>1.7000000000000028</v>
      </c>
      <c r="E1255" s="148">
        <f t="shared" ca="1" si="45"/>
        <v>0</v>
      </c>
    </row>
    <row r="1256" spans="2:5" x14ac:dyDescent="0.25">
      <c r="B1256" s="8">
        <v>38850</v>
      </c>
      <c r="C1256" s="6">
        <f ca="1">IF(OR($C$7="",$B1256&gt;NOW()),"",IF(INDEX(Data!$A:$G,MATCH($B1256,Data!$A:$A,0),MATCH($C$7,Data!$4:$4,0))="","",INDEX(Data!$A:$G,MATCH($B1256,Data!$A:$A,0),MATCH($C$7,Data!$4:$4,0))))</f>
        <v>59.2</v>
      </c>
      <c r="D1256" s="148">
        <f t="shared" ca="1" si="44"/>
        <v>5.7999999999999972</v>
      </c>
      <c r="E1256" s="148">
        <f t="shared" ca="1" si="45"/>
        <v>0</v>
      </c>
    </row>
    <row r="1257" spans="2:5" x14ac:dyDescent="0.25">
      <c r="B1257" s="8">
        <v>38851</v>
      </c>
      <c r="C1257" s="6">
        <f ca="1">IF(OR($C$7="",$B1257&gt;NOW()),"",IF(INDEX(Data!$A:$G,MATCH($B1257,Data!$A:$A,0),MATCH($C$7,Data!$4:$4,0))="","",INDEX(Data!$A:$G,MATCH($B1257,Data!$A:$A,0),MATCH($C$7,Data!$4:$4,0))))</f>
        <v>55.9</v>
      </c>
      <c r="D1257" s="148">
        <f t="shared" ca="1" si="44"/>
        <v>9.1000000000000014</v>
      </c>
      <c r="E1257" s="148">
        <f t="shared" ca="1" si="45"/>
        <v>0</v>
      </c>
    </row>
    <row r="1258" spans="2:5" x14ac:dyDescent="0.25">
      <c r="B1258" s="8">
        <v>38852</v>
      </c>
      <c r="C1258" s="6">
        <f ca="1">IF(OR($C$7="",$B1258&gt;NOW()),"",IF(INDEX(Data!$A:$G,MATCH($B1258,Data!$A:$A,0),MATCH($C$7,Data!$4:$4,0))="","",INDEX(Data!$A:$G,MATCH($B1258,Data!$A:$A,0),MATCH($C$7,Data!$4:$4,0))))</f>
        <v>55.4</v>
      </c>
      <c r="D1258" s="148">
        <f t="shared" ca="1" si="44"/>
        <v>9.6000000000000014</v>
      </c>
      <c r="E1258" s="148">
        <f t="shared" ca="1" si="45"/>
        <v>0</v>
      </c>
    </row>
    <row r="1259" spans="2:5" x14ac:dyDescent="0.25">
      <c r="B1259" s="8">
        <v>38853</v>
      </c>
      <c r="C1259" s="6">
        <f ca="1">IF(OR($C$7="",$B1259&gt;NOW()),"",IF(INDEX(Data!$A:$G,MATCH($B1259,Data!$A:$A,0),MATCH($C$7,Data!$4:$4,0))="","",INDEX(Data!$A:$G,MATCH($B1259,Data!$A:$A,0),MATCH($C$7,Data!$4:$4,0))))</f>
        <v>57.8</v>
      </c>
      <c r="D1259" s="148">
        <f t="shared" ca="1" si="44"/>
        <v>7.2000000000000028</v>
      </c>
      <c r="E1259" s="148">
        <f t="shared" ca="1" si="45"/>
        <v>0</v>
      </c>
    </row>
    <row r="1260" spans="2:5" x14ac:dyDescent="0.25">
      <c r="B1260" s="8">
        <v>38854</v>
      </c>
      <c r="C1260" s="6">
        <f ca="1">IF(OR($C$7="",$B1260&gt;NOW()),"",IF(INDEX(Data!$A:$G,MATCH($B1260,Data!$A:$A,0),MATCH($C$7,Data!$4:$4,0))="","",INDEX(Data!$A:$G,MATCH($B1260,Data!$A:$A,0),MATCH($C$7,Data!$4:$4,0))))</f>
        <v>63.6</v>
      </c>
      <c r="D1260" s="148">
        <f t="shared" ca="1" si="44"/>
        <v>1.3999999999999986</v>
      </c>
      <c r="E1260" s="148">
        <f t="shared" ca="1" si="45"/>
        <v>0</v>
      </c>
    </row>
    <row r="1261" spans="2:5" x14ac:dyDescent="0.25">
      <c r="B1261" s="8">
        <v>38855</v>
      </c>
      <c r="C1261" s="6">
        <f ca="1">IF(OR($C$7="",$B1261&gt;NOW()),"",IF(INDEX(Data!$A:$G,MATCH($B1261,Data!$A:$A,0),MATCH($C$7,Data!$4:$4,0))="","",INDEX(Data!$A:$G,MATCH($B1261,Data!$A:$A,0),MATCH($C$7,Data!$4:$4,0))))</f>
        <v>66.900000000000006</v>
      </c>
      <c r="D1261" s="148">
        <f t="shared" ca="1" si="44"/>
        <v>0</v>
      </c>
      <c r="E1261" s="148">
        <f t="shared" ca="1" si="45"/>
        <v>1.9000000000000057</v>
      </c>
    </row>
    <row r="1262" spans="2:5" x14ac:dyDescent="0.25">
      <c r="B1262" s="8">
        <v>38856</v>
      </c>
      <c r="C1262" s="6">
        <f ca="1">IF(OR($C$7="",$B1262&gt;NOW()),"",IF(INDEX(Data!$A:$G,MATCH($B1262,Data!$A:$A,0),MATCH($C$7,Data!$4:$4,0))="","",INDEX(Data!$A:$G,MATCH($B1262,Data!$A:$A,0),MATCH($C$7,Data!$4:$4,0))))</f>
        <v>60.1</v>
      </c>
      <c r="D1262" s="148">
        <f t="shared" ca="1" si="44"/>
        <v>4.8999999999999986</v>
      </c>
      <c r="E1262" s="148">
        <f t="shared" ca="1" si="45"/>
        <v>0</v>
      </c>
    </row>
    <row r="1263" spans="2:5" x14ac:dyDescent="0.25">
      <c r="B1263" s="8">
        <v>38857</v>
      </c>
      <c r="C1263" s="6">
        <f ca="1">IF(OR($C$7="",$B1263&gt;NOW()),"",IF(INDEX(Data!$A:$G,MATCH($B1263,Data!$A:$A,0),MATCH($C$7,Data!$4:$4,0))="","",INDEX(Data!$A:$G,MATCH($B1263,Data!$A:$A,0),MATCH($C$7,Data!$4:$4,0))))</f>
        <v>60.6</v>
      </c>
      <c r="D1263" s="148">
        <f t="shared" ca="1" si="44"/>
        <v>4.3999999999999986</v>
      </c>
      <c r="E1263" s="148">
        <f t="shared" ca="1" si="45"/>
        <v>0</v>
      </c>
    </row>
    <row r="1264" spans="2:5" x14ac:dyDescent="0.25">
      <c r="B1264" s="8">
        <v>38858</v>
      </c>
      <c r="C1264" s="6">
        <f ca="1">IF(OR($C$7="",$B1264&gt;NOW()),"",IF(INDEX(Data!$A:$G,MATCH($B1264,Data!$A:$A,0),MATCH($C$7,Data!$4:$4,0))="","",INDEX(Data!$A:$G,MATCH($B1264,Data!$A:$A,0),MATCH($C$7,Data!$4:$4,0))))</f>
        <v>62.5</v>
      </c>
      <c r="D1264" s="148">
        <f t="shared" ca="1" si="44"/>
        <v>2.5</v>
      </c>
      <c r="E1264" s="148">
        <f t="shared" ca="1" si="45"/>
        <v>0</v>
      </c>
    </row>
    <row r="1265" spans="2:5" x14ac:dyDescent="0.25">
      <c r="B1265" s="8">
        <v>38859</v>
      </c>
      <c r="C1265" s="6">
        <f ca="1">IF(OR($C$7="",$B1265&gt;NOW()),"",IF(INDEX(Data!$A:$G,MATCH($B1265,Data!$A:$A,0),MATCH($C$7,Data!$4:$4,0))="","",INDEX(Data!$A:$G,MATCH($B1265,Data!$A:$A,0),MATCH($C$7,Data!$4:$4,0))))</f>
        <v>55.9</v>
      </c>
      <c r="D1265" s="148">
        <f t="shared" ca="1" si="44"/>
        <v>9.1000000000000014</v>
      </c>
      <c r="E1265" s="148">
        <f t="shared" ca="1" si="45"/>
        <v>0</v>
      </c>
    </row>
    <row r="1266" spans="2:5" x14ac:dyDescent="0.25">
      <c r="B1266" s="8">
        <v>38860</v>
      </c>
      <c r="C1266" s="6">
        <f ca="1">IF(OR($C$7="",$B1266&gt;NOW()),"",IF(INDEX(Data!$A:$G,MATCH($B1266,Data!$A:$A,0),MATCH($C$7,Data!$4:$4,0))="","",INDEX(Data!$A:$G,MATCH($B1266,Data!$A:$A,0),MATCH($C$7,Data!$4:$4,0))))</f>
        <v>56.2</v>
      </c>
      <c r="D1266" s="148">
        <f t="shared" ca="1" si="44"/>
        <v>8.7999999999999972</v>
      </c>
      <c r="E1266" s="148">
        <f t="shared" ca="1" si="45"/>
        <v>0</v>
      </c>
    </row>
    <row r="1267" spans="2:5" x14ac:dyDescent="0.25">
      <c r="B1267" s="8">
        <v>38861</v>
      </c>
      <c r="C1267" s="6">
        <f ca="1">IF(OR($C$7="",$B1267&gt;NOW()),"",IF(INDEX(Data!$A:$G,MATCH($B1267,Data!$A:$A,0),MATCH($C$7,Data!$4:$4,0))="","",INDEX(Data!$A:$G,MATCH($B1267,Data!$A:$A,0),MATCH($C$7,Data!$4:$4,0))))</f>
        <v>63.6</v>
      </c>
      <c r="D1267" s="148">
        <f t="shared" ca="1" si="44"/>
        <v>1.3999999999999986</v>
      </c>
      <c r="E1267" s="148">
        <f t="shared" ca="1" si="45"/>
        <v>0</v>
      </c>
    </row>
    <row r="1268" spans="2:5" x14ac:dyDescent="0.25">
      <c r="B1268" s="8">
        <v>38862</v>
      </c>
      <c r="C1268" s="6">
        <f ca="1">IF(OR($C$7="",$B1268&gt;NOW()),"",IF(INDEX(Data!$A:$G,MATCH($B1268,Data!$A:$A,0),MATCH($C$7,Data!$4:$4,0))="","",INDEX(Data!$A:$G,MATCH($B1268,Data!$A:$A,0),MATCH($C$7,Data!$4:$4,0))))</f>
        <v>69.7</v>
      </c>
      <c r="D1268" s="148">
        <f t="shared" ca="1" si="44"/>
        <v>0</v>
      </c>
      <c r="E1268" s="148">
        <f t="shared" ca="1" si="45"/>
        <v>4.7000000000000028</v>
      </c>
    </row>
    <row r="1269" spans="2:5" x14ac:dyDescent="0.25">
      <c r="B1269" s="8">
        <v>38863</v>
      </c>
      <c r="C1269" s="6">
        <f ca="1">IF(OR($C$7="",$B1269&gt;NOW()),"",IF(INDEX(Data!$A:$G,MATCH($B1269,Data!$A:$A,0),MATCH($C$7,Data!$4:$4,0))="","",INDEX(Data!$A:$G,MATCH($B1269,Data!$A:$A,0),MATCH($C$7,Data!$4:$4,0))))</f>
        <v>65.099999999999994</v>
      </c>
      <c r="D1269" s="148">
        <f t="shared" ca="1" si="44"/>
        <v>0</v>
      </c>
      <c r="E1269" s="148">
        <f t="shared" ca="1" si="45"/>
        <v>9.9999999999994316E-2</v>
      </c>
    </row>
    <row r="1270" spans="2:5" x14ac:dyDescent="0.25">
      <c r="B1270" s="8">
        <v>38864</v>
      </c>
      <c r="C1270" s="6">
        <f ca="1">IF(OR($C$7="",$B1270&gt;NOW()),"",IF(INDEX(Data!$A:$G,MATCH($B1270,Data!$A:$A,0),MATCH($C$7,Data!$4:$4,0))="","",INDEX(Data!$A:$G,MATCH($B1270,Data!$A:$A,0),MATCH($C$7,Data!$4:$4,0))))</f>
        <v>70.599999999999994</v>
      </c>
      <c r="D1270" s="148">
        <f t="shared" ca="1" si="44"/>
        <v>0</v>
      </c>
      <c r="E1270" s="148">
        <f t="shared" ca="1" si="45"/>
        <v>5.5999999999999943</v>
      </c>
    </row>
    <row r="1271" spans="2:5" x14ac:dyDescent="0.25">
      <c r="B1271" s="8">
        <v>38865</v>
      </c>
      <c r="C1271" s="6">
        <f ca="1">IF(OR($C$7="",$B1271&gt;NOW()),"",IF(INDEX(Data!$A:$G,MATCH($B1271,Data!$A:$A,0),MATCH($C$7,Data!$4:$4,0))="","",INDEX(Data!$A:$G,MATCH($B1271,Data!$A:$A,0),MATCH($C$7,Data!$4:$4,0))))</f>
        <v>73.8</v>
      </c>
      <c r="D1271" s="148">
        <f t="shared" ca="1" si="44"/>
        <v>0</v>
      </c>
      <c r="E1271" s="148">
        <f t="shared" ca="1" si="45"/>
        <v>8.7999999999999972</v>
      </c>
    </row>
    <row r="1272" spans="2:5" x14ac:dyDescent="0.25">
      <c r="B1272" s="8">
        <v>38866</v>
      </c>
      <c r="C1272" s="6">
        <f ca="1">IF(OR($C$7="",$B1272&gt;NOW()),"",IF(INDEX(Data!$A:$G,MATCH($B1272,Data!$A:$A,0),MATCH($C$7,Data!$4:$4,0))="","",INDEX(Data!$A:$G,MATCH($B1272,Data!$A:$A,0),MATCH($C$7,Data!$4:$4,0))))</f>
        <v>75</v>
      </c>
      <c r="D1272" s="148">
        <f t="shared" ca="1" si="44"/>
        <v>0</v>
      </c>
      <c r="E1272" s="148">
        <f t="shared" ca="1" si="45"/>
        <v>10</v>
      </c>
    </row>
    <row r="1273" spans="2:5" x14ac:dyDescent="0.25">
      <c r="B1273" s="8">
        <v>38867</v>
      </c>
      <c r="C1273" s="6">
        <f ca="1">IF(OR($C$7="",$B1273&gt;NOW()),"",IF(INDEX(Data!$A:$G,MATCH($B1273,Data!$A:$A,0),MATCH($C$7,Data!$4:$4,0))="","",INDEX(Data!$A:$G,MATCH($B1273,Data!$A:$A,0),MATCH($C$7,Data!$4:$4,0))))</f>
        <v>74.3</v>
      </c>
      <c r="D1273" s="148">
        <f t="shared" ca="1" si="44"/>
        <v>0</v>
      </c>
      <c r="E1273" s="148">
        <f t="shared" ca="1" si="45"/>
        <v>9.2999999999999972</v>
      </c>
    </row>
    <row r="1274" spans="2:5" x14ac:dyDescent="0.25">
      <c r="B1274" s="8">
        <v>38868</v>
      </c>
      <c r="C1274" s="6">
        <f ca="1">IF(OR($C$7="",$B1274&gt;NOW()),"",IF(INDEX(Data!$A:$G,MATCH($B1274,Data!$A:$A,0),MATCH($C$7,Data!$4:$4,0))="","",INDEX(Data!$A:$G,MATCH($B1274,Data!$A:$A,0),MATCH($C$7,Data!$4:$4,0))))</f>
        <v>69.8</v>
      </c>
      <c r="D1274" s="148">
        <f t="shared" ca="1" si="44"/>
        <v>0</v>
      </c>
      <c r="E1274" s="148">
        <f t="shared" ca="1" si="45"/>
        <v>4.7999999999999972</v>
      </c>
    </row>
    <row r="1275" spans="2:5" x14ac:dyDescent="0.25">
      <c r="B1275" s="8">
        <v>38869</v>
      </c>
      <c r="C1275" s="6">
        <f ca="1">IF(OR($C$7="",$B1275&gt;NOW()),"",IF(INDEX(Data!$A:$G,MATCH($B1275,Data!$A:$A,0),MATCH($C$7,Data!$4:$4,0))="","",INDEX(Data!$A:$G,MATCH($B1275,Data!$A:$A,0),MATCH($C$7,Data!$4:$4,0))))</f>
        <v>73.099999999999994</v>
      </c>
      <c r="D1275" s="148">
        <f t="shared" ca="1" si="44"/>
        <v>0</v>
      </c>
      <c r="E1275" s="148">
        <f t="shared" ca="1" si="45"/>
        <v>8.0999999999999943</v>
      </c>
    </row>
    <row r="1276" spans="2:5" x14ac:dyDescent="0.25">
      <c r="B1276" s="8">
        <v>38870</v>
      </c>
      <c r="C1276" s="6">
        <f ca="1">IF(OR($C$7="",$B1276&gt;NOW()),"",IF(INDEX(Data!$A:$G,MATCH($B1276,Data!$A:$A,0),MATCH($C$7,Data!$4:$4,0))="","",INDEX(Data!$A:$G,MATCH($B1276,Data!$A:$A,0),MATCH($C$7,Data!$4:$4,0))))</f>
        <v>74.099999999999994</v>
      </c>
      <c r="D1276" s="148">
        <f t="shared" ca="1" si="44"/>
        <v>0</v>
      </c>
      <c r="E1276" s="148">
        <f t="shared" ca="1" si="45"/>
        <v>9.0999999999999943</v>
      </c>
    </row>
    <row r="1277" spans="2:5" x14ac:dyDescent="0.25">
      <c r="B1277" s="8">
        <v>38871</v>
      </c>
      <c r="C1277" s="6">
        <f ca="1">IF(OR($C$7="",$B1277&gt;NOW()),"",IF(INDEX(Data!$A:$G,MATCH($B1277,Data!$A:$A,0),MATCH($C$7,Data!$4:$4,0))="","",INDEX(Data!$A:$G,MATCH($B1277,Data!$A:$A,0),MATCH($C$7,Data!$4:$4,0))))</f>
        <v>64.8</v>
      </c>
      <c r="D1277" s="148">
        <f t="shared" ca="1" si="44"/>
        <v>0.20000000000000284</v>
      </c>
      <c r="E1277" s="148">
        <f t="shared" ca="1" si="45"/>
        <v>0</v>
      </c>
    </row>
    <row r="1278" spans="2:5" x14ac:dyDescent="0.25">
      <c r="B1278" s="8">
        <v>38872</v>
      </c>
      <c r="C1278" s="6">
        <f ca="1">IF(OR($C$7="",$B1278&gt;NOW()),"",IF(INDEX(Data!$A:$G,MATCH($B1278,Data!$A:$A,0),MATCH($C$7,Data!$4:$4,0))="","",INDEX(Data!$A:$G,MATCH($B1278,Data!$A:$A,0),MATCH($C$7,Data!$4:$4,0))))</f>
        <v>63.2</v>
      </c>
      <c r="D1278" s="148">
        <f t="shared" ca="1" si="44"/>
        <v>1.7999999999999972</v>
      </c>
      <c r="E1278" s="148">
        <f t="shared" ca="1" si="45"/>
        <v>0</v>
      </c>
    </row>
    <row r="1279" spans="2:5" x14ac:dyDescent="0.25">
      <c r="B1279" s="8">
        <v>38873</v>
      </c>
      <c r="C1279" s="6">
        <f ca="1">IF(OR($C$7="",$B1279&gt;NOW()),"",IF(INDEX(Data!$A:$G,MATCH($B1279,Data!$A:$A,0),MATCH($C$7,Data!$4:$4,0))="","",INDEX(Data!$A:$G,MATCH($B1279,Data!$A:$A,0),MATCH($C$7,Data!$4:$4,0))))</f>
        <v>65.7</v>
      </c>
      <c r="D1279" s="148">
        <f t="shared" ca="1" si="44"/>
        <v>0</v>
      </c>
      <c r="E1279" s="148">
        <f t="shared" ca="1" si="45"/>
        <v>0.70000000000000284</v>
      </c>
    </row>
    <row r="1280" spans="2:5" x14ac:dyDescent="0.25">
      <c r="B1280" s="8">
        <v>38874</v>
      </c>
      <c r="C1280" s="6">
        <f ca="1">IF(OR($C$7="",$B1280&gt;NOW()),"",IF(INDEX(Data!$A:$G,MATCH($B1280,Data!$A:$A,0),MATCH($C$7,Data!$4:$4,0))="","",INDEX(Data!$A:$G,MATCH($B1280,Data!$A:$A,0),MATCH($C$7,Data!$4:$4,0))))</f>
        <v>65.599999999999994</v>
      </c>
      <c r="D1280" s="148">
        <f t="shared" ca="1" si="44"/>
        <v>0</v>
      </c>
      <c r="E1280" s="148">
        <f t="shared" ca="1" si="45"/>
        <v>0.59999999999999432</v>
      </c>
    </row>
    <row r="1281" spans="2:5" x14ac:dyDescent="0.25">
      <c r="B1281" s="8">
        <v>38875</v>
      </c>
      <c r="C1281" s="6">
        <f ca="1">IF(OR($C$7="",$B1281&gt;NOW()),"",IF(INDEX(Data!$A:$G,MATCH($B1281,Data!$A:$A,0),MATCH($C$7,Data!$4:$4,0))="","",INDEX(Data!$A:$G,MATCH($B1281,Data!$A:$A,0),MATCH($C$7,Data!$4:$4,0))))</f>
        <v>63</v>
      </c>
      <c r="D1281" s="148">
        <f t="shared" ca="1" si="44"/>
        <v>2</v>
      </c>
      <c r="E1281" s="148">
        <f t="shared" ca="1" si="45"/>
        <v>0</v>
      </c>
    </row>
    <row r="1282" spans="2:5" x14ac:dyDescent="0.25">
      <c r="B1282" s="8">
        <v>38876</v>
      </c>
      <c r="C1282" s="6">
        <f ca="1">IF(OR($C$7="",$B1282&gt;NOW()),"",IF(INDEX(Data!$A:$G,MATCH($B1282,Data!$A:$A,0),MATCH($C$7,Data!$4:$4,0))="","",INDEX(Data!$A:$G,MATCH($B1282,Data!$A:$A,0),MATCH($C$7,Data!$4:$4,0))))</f>
        <v>61.9</v>
      </c>
      <c r="D1282" s="148">
        <f t="shared" ca="1" si="44"/>
        <v>3.1000000000000014</v>
      </c>
      <c r="E1282" s="148">
        <f t="shared" ca="1" si="45"/>
        <v>0</v>
      </c>
    </row>
    <row r="1283" spans="2:5" x14ac:dyDescent="0.25">
      <c r="B1283" s="8">
        <v>38877</v>
      </c>
      <c r="C1283" s="6">
        <f ca="1">IF(OR($C$7="",$B1283&gt;NOW()),"",IF(INDEX(Data!$A:$G,MATCH($B1283,Data!$A:$A,0),MATCH($C$7,Data!$4:$4,0))="","",INDEX(Data!$A:$G,MATCH($B1283,Data!$A:$A,0),MATCH($C$7,Data!$4:$4,0))))</f>
        <v>67.5</v>
      </c>
      <c r="D1283" s="148">
        <f t="shared" ca="1" si="44"/>
        <v>0</v>
      </c>
      <c r="E1283" s="148">
        <f t="shared" ca="1" si="45"/>
        <v>2.5</v>
      </c>
    </row>
    <row r="1284" spans="2:5" x14ac:dyDescent="0.25">
      <c r="B1284" s="8">
        <v>38878</v>
      </c>
      <c r="C1284" s="6">
        <f ca="1">IF(OR($C$7="",$B1284&gt;NOW()),"",IF(INDEX(Data!$A:$G,MATCH($B1284,Data!$A:$A,0),MATCH($C$7,Data!$4:$4,0))="","",INDEX(Data!$A:$G,MATCH($B1284,Data!$A:$A,0),MATCH($C$7,Data!$4:$4,0))))</f>
        <v>63.5</v>
      </c>
      <c r="D1284" s="148">
        <f t="shared" ca="1" si="44"/>
        <v>1.5</v>
      </c>
      <c r="E1284" s="148">
        <f t="shared" ca="1" si="45"/>
        <v>0</v>
      </c>
    </row>
    <row r="1285" spans="2:5" x14ac:dyDescent="0.25">
      <c r="B1285" s="8">
        <v>38879</v>
      </c>
      <c r="C1285" s="6">
        <f ca="1">IF(OR($C$7="",$B1285&gt;NOW()),"",IF(INDEX(Data!$A:$G,MATCH($B1285,Data!$A:$A,0),MATCH($C$7,Data!$4:$4,0))="","",INDEX(Data!$A:$G,MATCH($B1285,Data!$A:$A,0),MATCH($C$7,Data!$4:$4,0))))</f>
        <v>62.4</v>
      </c>
      <c r="D1285" s="148">
        <f t="shared" ca="1" si="44"/>
        <v>2.6000000000000014</v>
      </c>
      <c r="E1285" s="148">
        <f t="shared" ca="1" si="45"/>
        <v>0</v>
      </c>
    </row>
    <row r="1286" spans="2:5" x14ac:dyDescent="0.25">
      <c r="B1286" s="8">
        <v>38880</v>
      </c>
      <c r="C1286" s="6">
        <f ca="1">IF(OR($C$7="",$B1286&gt;NOW()),"",IF(INDEX(Data!$A:$G,MATCH($B1286,Data!$A:$A,0),MATCH($C$7,Data!$4:$4,0))="","",INDEX(Data!$A:$G,MATCH($B1286,Data!$A:$A,0),MATCH($C$7,Data!$4:$4,0))))</f>
        <v>66.099999999999994</v>
      </c>
      <c r="D1286" s="148">
        <f t="shared" ca="1" si="44"/>
        <v>0</v>
      </c>
      <c r="E1286" s="148">
        <f t="shared" ca="1" si="45"/>
        <v>1.0999999999999943</v>
      </c>
    </row>
    <row r="1287" spans="2:5" x14ac:dyDescent="0.25">
      <c r="B1287" s="8">
        <v>38881</v>
      </c>
      <c r="C1287" s="6">
        <f ca="1">IF(OR($C$7="",$B1287&gt;NOW()),"",IF(INDEX(Data!$A:$G,MATCH($B1287,Data!$A:$A,0),MATCH($C$7,Data!$4:$4,0))="","",INDEX(Data!$A:$G,MATCH($B1287,Data!$A:$A,0),MATCH($C$7,Data!$4:$4,0))))</f>
        <v>73.099999999999994</v>
      </c>
      <c r="D1287" s="148">
        <f t="shared" ca="1" si="44"/>
        <v>0</v>
      </c>
      <c r="E1287" s="148">
        <f t="shared" ca="1" si="45"/>
        <v>8.0999999999999943</v>
      </c>
    </row>
    <row r="1288" spans="2:5" x14ac:dyDescent="0.25">
      <c r="B1288" s="8">
        <v>38882</v>
      </c>
      <c r="C1288" s="6">
        <f ca="1">IF(OR($C$7="",$B1288&gt;NOW()),"",IF(INDEX(Data!$A:$G,MATCH($B1288,Data!$A:$A,0),MATCH($C$7,Data!$4:$4,0))="","",INDEX(Data!$A:$G,MATCH($B1288,Data!$A:$A,0),MATCH($C$7,Data!$4:$4,0))))</f>
        <v>73.599999999999994</v>
      </c>
      <c r="D1288" s="148">
        <f t="shared" ca="1" si="44"/>
        <v>0</v>
      </c>
      <c r="E1288" s="148">
        <f t="shared" ca="1" si="45"/>
        <v>8.5999999999999943</v>
      </c>
    </row>
    <row r="1289" spans="2:5" x14ac:dyDescent="0.25">
      <c r="B1289" s="8">
        <v>38883</v>
      </c>
      <c r="C1289" s="6">
        <f ca="1">IF(OR($C$7="",$B1289&gt;NOW()),"",IF(INDEX(Data!$A:$G,MATCH($B1289,Data!$A:$A,0),MATCH($C$7,Data!$4:$4,0))="","",INDEX(Data!$A:$G,MATCH($B1289,Data!$A:$A,0),MATCH($C$7,Data!$4:$4,0))))</f>
        <v>71.599999999999994</v>
      </c>
      <c r="D1289" s="148">
        <f t="shared" ca="1" si="44"/>
        <v>0</v>
      </c>
      <c r="E1289" s="148">
        <f t="shared" ca="1" si="45"/>
        <v>6.5999999999999943</v>
      </c>
    </row>
    <row r="1290" spans="2:5" x14ac:dyDescent="0.25">
      <c r="B1290" s="8">
        <v>38884</v>
      </c>
      <c r="C1290" s="6">
        <f ca="1">IF(OR($C$7="",$B1290&gt;NOW()),"",IF(INDEX(Data!$A:$G,MATCH($B1290,Data!$A:$A,0),MATCH($C$7,Data!$4:$4,0))="","",INDEX(Data!$A:$G,MATCH($B1290,Data!$A:$A,0),MATCH($C$7,Data!$4:$4,0))))</f>
        <v>75.7</v>
      </c>
      <c r="D1290" s="148">
        <f t="shared" ca="1" si="44"/>
        <v>0</v>
      </c>
      <c r="E1290" s="148">
        <f t="shared" ca="1" si="45"/>
        <v>10.700000000000003</v>
      </c>
    </row>
    <row r="1291" spans="2:5" x14ac:dyDescent="0.25">
      <c r="B1291" s="8">
        <v>38885</v>
      </c>
      <c r="C1291" s="6">
        <f ca="1">IF(OR($C$7="",$B1291&gt;NOW()),"",IF(INDEX(Data!$A:$G,MATCH($B1291,Data!$A:$A,0),MATCH($C$7,Data!$4:$4,0))="","",INDEX(Data!$A:$G,MATCH($B1291,Data!$A:$A,0),MATCH($C$7,Data!$4:$4,0))))</f>
        <v>79.900000000000006</v>
      </c>
      <c r="D1291" s="148">
        <f t="shared" ca="1" si="44"/>
        <v>0</v>
      </c>
      <c r="E1291" s="148">
        <f t="shared" ca="1" si="45"/>
        <v>14.900000000000006</v>
      </c>
    </row>
    <row r="1292" spans="2:5" x14ac:dyDescent="0.25">
      <c r="B1292" s="8">
        <v>38886</v>
      </c>
      <c r="C1292" s="6">
        <f ca="1">IF(OR($C$7="",$B1292&gt;NOW()),"",IF(INDEX(Data!$A:$G,MATCH($B1292,Data!$A:$A,0),MATCH($C$7,Data!$4:$4,0))="","",INDEX(Data!$A:$G,MATCH($B1292,Data!$A:$A,0),MATCH($C$7,Data!$4:$4,0))))</f>
        <v>82.9</v>
      </c>
      <c r="D1292" s="148">
        <f t="shared" ca="1" si="44"/>
        <v>0</v>
      </c>
      <c r="E1292" s="148">
        <f t="shared" ca="1" si="45"/>
        <v>17.900000000000006</v>
      </c>
    </row>
    <row r="1293" spans="2:5" x14ac:dyDescent="0.25">
      <c r="B1293" s="8">
        <v>38887</v>
      </c>
      <c r="C1293" s="6">
        <f ca="1">IF(OR($C$7="",$B1293&gt;NOW()),"",IF(INDEX(Data!$A:$G,MATCH($B1293,Data!$A:$A,0),MATCH($C$7,Data!$4:$4,0))="","",INDEX(Data!$A:$G,MATCH($B1293,Data!$A:$A,0),MATCH($C$7,Data!$4:$4,0))))</f>
        <v>84.8</v>
      </c>
      <c r="D1293" s="148">
        <f t="shared" ca="1" si="44"/>
        <v>0</v>
      </c>
      <c r="E1293" s="148">
        <f t="shared" ca="1" si="45"/>
        <v>19.799999999999997</v>
      </c>
    </row>
    <row r="1294" spans="2:5" x14ac:dyDescent="0.25">
      <c r="B1294" s="8">
        <v>38888</v>
      </c>
      <c r="C1294" s="6">
        <f ca="1">IF(OR($C$7="",$B1294&gt;NOW()),"",IF(INDEX(Data!$A:$G,MATCH($B1294,Data!$A:$A,0),MATCH($C$7,Data!$4:$4,0))="","",INDEX(Data!$A:$G,MATCH($B1294,Data!$A:$A,0),MATCH($C$7,Data!$4:$4,0))))</f>
        <v>80.099999999999994</v>
      </c>
      <c r="D1294" s="148">
        <f t="shared" ca="1" si="44"/>
        <v>0</v>
      </c>
      <c r="E1294" s="148">
        <f t="shared" ca="1" si="45"/>
        <v>15.099999999999994</v>
      </c>
    </row>
    <row r="1295" spans="2:5" x14ac:dyDescent="0.25">
      <c r="B1295" s="8">
        <v>38889</v>
      </c>
      <c r="C1295" s="6">
        <f ca="1">IF(OR($C$7="",$B1295&gt;NOW()),"",IF(INDEX(Data!$A:$G,MATCH($B1295,Data!$A:$A,0),MATCH($C$7,Data!$4:$4,0))="","",INDEX(Data!$A:$G,MATCH($B1295,Data!$A:$A,0),MATCH($C$7,Data!$4:$4,0))))</f>
        <v>77.8</v>
      </c>
      <c r="D1295" s="148">
        <f t="shared" ca="1" si="44"/>
        <v>0</v>
      </c>
      <c r="E1295" s="148">
        <f t="shared" ca="1" si="45"/>
        <v>12.799999999999997</v>
      </c>
    </row>
    <row r="1296" spans="2:5" x14ac:dyDescent="0.25">
      <c r="B1296" s="8">
        <v>38890</v>
      </c>
      <c r="C1296" s="6">
        <f ca="1">IF(OR($C$7="",$B1296&gt;NOW()),"",IF(INDEX(Data!$A:$G,MATCH($B1296,Data!$A:$A,0),MATCH($C$7,Data!$4:$4,0))="","",INDEX(Data!$A:$G,MATCH($B1296,Data!$A:$A,0),MATCH($C$7,Data!$4:$4,0))))</f>
        <v>78.5</v>
      </c>
      <c r="D1296" s="148">
        <f t="shared" ca="1" si="44"/>
        <v>0</v>
      </c>
      <c r="E1296" s="148">
        <f t="shared" ca="1" si="45"/>
        <v>13.5</v>
      </c>
    </row>
    <row r="1297" spans="2:5" x14ac:dyDescent="0.25">
      <c r="B1297" s="8">
        <v>38891</v>
      </c>
      <c r="C1297" s="6">
        <f ca="1">IF(OR($C$7="",$B1297&gt;NOW()),"",IF(INDEX(Data!$A:$G,MATCH($B1297,Data!$A:$A,0),MATCH($C$7,Data!$4:$4,0))="","",INDEX(Data!$A:$G,MATCH($B1297,Data!$A:$A,0),MATCH($C$7,Data!$4:$4,0))))</f>
        <v>82.6</v>
      </c>
      <c r="D1297" s="148">
        <f t="shared" ca="1" si="44"/>
        <v>0</v>
      </c>
      <c r="E1297" s="148">
        <f t="shared" ca="1" si="45"/>
        <v>17.599999999999994</v>
      </c>
    </row>
    <row r="1298" spans="2:5" x14ac:dyDescent="0.25">
      <c r="B1298" s="8">
        <v>38892</v>
      </c>
      <c r="C1298" s="6">
        <f ca="1">IF(OR($C$7="",$B1298&gt;NOW()),"",IF(INDEX(Data!$A:$G,MATCH($B1298,Data!$A:$A,0),MATCH($C$7,Data!$4:$4,0))="","",INDEX(Data!$A:$G,MATCH($B1298,Data!$A:$A,0),MATCH($C$7,Data!$4:$4,0))))</f>
        <v>75</v>
      </c>
      <c r="D1298" s="148">
        <f t="shared" ca="1" si="44"/>
        <v>0</v>
      </c>
      <c r="E1298" s="148">
        <f t="shared" ca="1" si="45"/>
        <v>10</v>
      </c>
    </row>
    <row r="1299" spans="2:5" x14ac:dyDescent="0.25">
      <c r="B1299" s="8">
        <v>38893</v>
      </c>
      <c r="C1299" s="6">
        <f ca="1">IF(OR($C$7="",$B1299&gt;NOW()),"",IF(INDEX(Data!$A:$G,MATCH($B1299,Data!$A:$A,0),MATCH($C$7,Data!$4:$4,0))="","",INDEX(Data!$A:$G,MATCH($B1299,Data!$A:$A,0),MATCH($C$7,Data!$4:$4,0))))</f>
        <v>72.900000000000006</v>
      </c>
      <c r="D1299" s="148">
        <f t="shared" ca="1" si="44"/>
        <v>0</v>
      </c>
      <c r="E1299" s="148">
        <f t="shared" ca="1" si="45"/>
        <v>7.9000000000000057</v>
      </c>
    </row>
    <row r="1300" spans="2:5" x14ac:dyDescent="0.25">
      <c r="B1300" s="8">
        <v>38894</v>
      </c>
      <c r="C1300" s="6">
        <f ca="1">IF(OR($C$7="",$B1300&gt;NOW()),"",IF(INDEX(Data!$A:$G,MATCH($B1300,Data!$A:$A,0),MATCH($C$7,Data!$4:$4,0))="","",INDEX(Data!$A:$G,MATCH($B1300,Data!$A:$A,0),MATCH($C$7,Data!$4:$4,0))))</f>
        <v>73.900000000000006</v>
      </c>
      <c r="D1300" s="148">
        <f t="shared" ca="1" si="44"/>
        <v>0</v>
      </c>
      <c r="E1300" s="148">
        <f t="shared" ca="1" si="45"/>
        <v>8.9000000000000057</v>
      </c>
    </row>
    <row r="1301" spans="2:5" x14ac:dyDescent="0.25">
      <c r="B1301" s="8">
        <v>38895</v>
      </c>
      <c r="C1301" s="6">
        <f ca="1">IF(OR($C$7="",$B1301&gt;NOW()),"",IF(INDEX(Data!$A:$G,MATCH($B1301,Data!$A:$A,0),MATCH($C$7,Data!$4:$4,0))="","",INDEX(Data!$A:$G,MATCH($B1301,Data!$A:$A,0),MATCH($C$7,Data!$4:$4,0))))</f>
        <v>76.599999999999994</v>
      </c>
      <c r="D1301" s="148">
        <f t="shared" ca="1" si="44"/>
        <v>0</v>
      </c>
      <c r="E1301" s="148">
        <f t="shared" ca="1" si="45"/>
        <v>11.599999999999994</v>
      </c>
    </row>
    <row r="1302" spans="2:5" x14ac:dyDescent="0.25">
      <c r="B1302" s="8">
        <v>38896</v>
      </c>
      <c r="C1302" s="6">
        <f ca="1">IF(OR($C$7="",$B1302&gt;NOW()),"",IF(INDEX(Data!$A:$G,MATCH($B1302,Data!$A:$A,0),MATCH($C$7,Data!$4:$4,0))="","",INDEX(Data!$A:$G,MATCH($B1302,Data!$A:$A,0),MATCH($C$7,Data!$4:$4,0))))</f>
        <v>78.099999999999994</v>
      </c>
      <c r="D1302" s="148">
        <f t="shared" ca="1" si="44"/>
        <v>0</v>
      </c>
      <c r="E1302" s="148">
        <f t="shared" ca="1" si="45"/>
        <v>13.099999999999994</v>
      </c>
    </row>
    <row r="1303" spans="2:5" x14ac:dyDescent="0.25">
      <c r="B1303" s="8">
        <v>38897</v>
      </c>
      <c r="C1303" s="6">
        <f ca="1">IF(OR($C$7="",$B1303&gt;NOW()),"",IF(INDEX(Data!$A:$G,MATCH($B1303,Data!$A:$A,0),MATCH($C$7,Data!$4:$4,0))="","",INDEX(Data!$A:$G,MATCH($B1303,Data!$A:$A,0),MATCH($C$7,Data!$4:$4,0))))</f>
        <v>77.900000000000006</v>
      </c>
      <c r="D1303" s="148">
        <f t="shared" ca="1" si="44"/>
        <v>0</v>
      </c>
      <c r="E1303" s="148">
        <f t="shared" ca="1" si="45"/>
        <v>12.900000000000006</v>
      </c>
    </row>
    <row r="1304" spans="2:5" x14ac:dyDescent="0.25">
      <c r="B1304" s="8">
        <v>38898</v>
      </c>
      <c r="C1304" s="6">
        <f ca="1">IF(OR($C$7="",$B1304&gt;NOW()),"",IF(INDEX(Data!$A:$G,MATCH($B1304,Data!$A:$A,0),MATCH($C$7,Data!$4:$4,0))="","",INDEX(Data!$A:$G,MATCH($B1304,Data!$A:$A,0),MATCH($C$7,Data!$4:$4,0))))</f>
        <v>74.8</v>
      </c>
      <c r="D1304" s="148">
        <f t="shared" ca="1" si="44"/>
        <v>0</v>
      </c>
      <c r="E1304" s="148">
        <f t="shared" ca="1" si="45"/>
        <v>9.7999999999999972</v>
      </c>
    </row>
    <row r="1305" spans="2:5" x14ac:dyDescent="0.25">
      <c r="B1305" s="8">
        <v>38899</v>
      </c>
      <c r="C1305" s="6">
        <f ca="1">IF(OR($C$7="",$B1305&gt;NOW()),"",IF(INDEX(Data!$A:$G,MATCH($B1305,Data!$A:$A,0),MATCH($C$7,Data!$4:$4,0))="","",INDEX(Data!$A:$G,MATCH($B1305,Data!$A:$A,0),MATCH($C$7,Data!$4:$4,0))))</f>
        <v>76.7</v>
      </c>
      <c r="D1305" s="148">
        <f t="shared" ca="1" si="44"/>
        <v>0</v>
      </c>
      <c r="E1305" s="148">
        <f t="shared" ca="1" si="45"/>
        <v>11.700000000000003</v>
      </c>
    </row>
    <row r="1306" spans="2:5" x14ac:dyDescent="0.25">
      <c r="B1306" s="8">
        <v>38900</v>
      </c>
      <c r="C1306" s="6">
        <f ca="1">IF(OR($C$7="",$B1306&gt;NOW()),"",IF(INDEX(Data!$A:$G,MATCH($B1306,Data!$A:$A,0),MATCH($C$7,Data!$4:$4,0))="","",INDEX(Data!$A:$G,MATCH($B1306,Data!$A:$A,0),MATCH($C$7,Data!$4:$4,0))))</f>
        <v>82.2</v>
      </c>
      <c r="D1306" s="148">
        <f t="shared" ca="1" si="44"/>
        <v>0</v>
      </c>
      <c r="E1306" s="148">
        <f t="shared" ca="1" si="45"/>
        <v>17.200000000000003</v>
      </c>
    </row>
    <row r="1307" spans="2:5" x14ac:dyDescent="0.25">
      <c r="B1307" s="8">
        <v>38901</v>
      </c>
      <c r="C1307" s="6">
        <f ca="1">IF(OR($C$7="",$B1307&gt;NOW()),"",IF(INDEX(Data!$A:$G,MATCH($B1307,Data!$A:$A,0),MATCH($C$7,Data!$4:$4,0))="","",INDEX(Data!$A:$G,MATCH($B1307,Data!$A:$A,0),MATCH($C$7,Data!$4:$4,0))))</f>
        <v>81.5</v>
      </c>
      <c r="D1307" s="148">
        <f t="shared" ca="1" si="44"/>
        <v>0</v>
      </c>
      <c r="E1307" s="148">
        <f t="shared" ca="1" si="45"/>
        <v>16.5</v>
      </c>
    </row>
    <row r="1308" spans="2:5" x14ac:dyDescent="0.25">
      <c r="B1308" s="8">
        <v>38902</v>
      </c>
      <c r="C1308" s="6">
        <f ca="1">IF(OR($C$7="",$B1308&gt;NOW()),"",IF(INDEX(Data!$A:$G,MATCH($B1308,Data!$A:$A,0),MATCH($C$7,Data!$4:$4,0))="","",INDEX(Data!$A:$G,MATCH($B1308,Data!$A:$A,0),MATCH($C$7,Data!$4:$4,0))))</f>
        <v>85.6</v>
      </c>
      <c r="D1308" s="148">
        <f t="shared" ca="1" si="44"/>
        <v>0</v>
      </c>
      <c r="E1308" s="148">
        <f t="shared" ca="1" si="45"/>
        <v>20.599999999999994</v>
      </c>
    </row>
    <row r="1309" spans="2:5" x14ac:dyDescent="0.25">
      <c r="B1309" s="8">
        <v>38903</v>
      </c>
      <c r="C1309" s="6">
        <f ca="1">IF(OR($C$7="",$B1309&gt;NOW()),"",IF(INDEX(Data!$A:$G,MATCH($B1309,Data!$A:$A,0),MATCH($C$7,Data!$4:$4,0))="","",INDEX(Data!$A:$G,MATCH($B1309,Data!$A:$A,0),MATCH($C$7,Data!$4:$4,0))))</f>
        <v>78.900000000000006</v>
      </c>
      <c r="D1309" s="148">
        <f t="shared" ref="D1309:D1372" ca="1" si="46">IF($C1309="","",IF($C1309&gt;$D$26,0,$D$26-$C1309))</f>
        <v>0</v>
      </c>
      <c r="E1309" s="148">
        <f t="shared" ref="E1309:E1372" ca="1" si="47">IF($C1309="","",IF($C1309&lt;$E$26,0,$C1309-$E$26))</f>
        <v>13.900000000000006</v>
      </c>
    </row>
    <row r="1310" spans="2:5" x14ac:dyDescent="0.25">
      <c r="B1310" s="8">
        <v>38904</v>
      </c>
      <c r="C1310" s="6">
        <f ca="1">IF(OR($C$7="",$B1310&gt;NOW()),"",IF(INDEX(Data!$A:$G,MATCH($B1310,Data!$A:$A,0),MATCH($C$7,Data!$4:$4,0))="","",INDEX(Data!$A:$G,MATCH($B1310,Data!$A:$A,0),MATCH($C$7,Data!$4:$4,0))))</f>
        <v>72.5</v>
      </c>
      <c r="D1310" s="148">
        <f t="shared" ca="1" si="46"/>
        <v>0</v>
      </c>
      <c r="E1310" s="148">
        <f t="shared" ca="1" si="47"/>
        <v>7.5</v>
      </c>
    </row>
    <row r="1311" spans="2:5" x14ac:dyDescent="0.25">
      <c r="B1311" s="8">
        <v>38905</v>
      </c>
      <c r="C1311" s="6">
        <f ca="1">IF(OR($C$7="",$B1311&gt;NOW()),"",IF(INDEX(Data!$A:$G,MATCH($B1311,Data!$A:$A,0),MATCH($C$7,Data!$4:$4,0))="","",INDEX(Data!$A:$G,MATCH($B1311,Data!$A:$A,0),MATCH($C$7,Data!$4:$4,0))))</f>
        <v>74.099999999999994</v>
      </c>
      <c r="D1311" s="148">
        <f t="shared" ca="1" si="46"/>
        <v>0</v>
      </c>
      <c r="E1311" s="148">
        <f t="shared" ca="1" si="47"/>
        <v>9.0999999999999943</v>
      </c>
    </row>
    <row r="1312" spans="2:5" x14ac:dyDescent="0.25">
      <c r="B1312" s="8">
        <v>38906</v>
      </c>
      <c r="C1312" s="6">
        <f ca="1">IF(OR($C$7="",$B1312&gt;NOW()),"",IF(INDEX(Data!$A:$G,MATCH($B1312,Data!$A:$A,0),MATCH($C$7,Data!$4:$4,0))="","",INDEX(Data!$A:$G,MATCH($B1312,Data!$A:$A,0),MATCH($C$7,Data!$4:$4,0))))</f>
        <v>76.5</v>
      </c>
      <c r="D1312" s="148">
        <f t="shared" ca="1" si="46"/>
        <v>0</v>
      </c>
      <c r="E1312" s="148">
        <f t="shared" ca="1" si="47"/>
        <v>11.5</v>
      </c>
    </row>
    <row r="1313" spans="2:5" x14ac:dyDescent="0.25">
      <c r="B1313" s="8">
        <v>38907</v>
      </c>
      <c r="C1313" s="6">
        <f ca="1">IF(OR($C$7="",$B1313&gt;NOW()),"",IF(INDEX(Data!$A:$G,MATCH($B1313,Data!$A:$A,0),MATCH($C$7,Data!$4:$4,0))="","",INDEX(Data!$A:$G,MATCH($B1313,Data!$A:$A,0),MATCH($C$7,Data!$4:$4,0))))</f>
        <v>79.7</v>
      </c>
      <c r="D1313" s="148">
        <f t="shared" ca="1" si="46"/>
        <v>0</v>
      </c>
      <c r="E1313" s="148">
        <f t="shared" ca="1" si="47"/>
        <v>14.700000000000003</v>
      </c>
    </row>
    <row r="1314" spans="2:5" x14ac:dyDescent="0.25">
      <c r="B1314" s="8">
        <v>38908</v>
      </c>
      <c r="C1314" s="6">
        <f ca="1">IF(OR($C$7="",$B1314&gt;NOW()),"",IF(INDEX(Data!$A:$G,MATCH($B1314,Data!$A:$A,0),MATCH($C$7,Data!$4:$4,0))="","",INDEX(Data!$A:$G,MATCH($B1314,Data!$A:$A,0),MATCH($C$7,Data!$4:$4,0))))</f>
        <v>77.7</v>
      </c>
      <c r="D1314" s="148">
        <f t="shared" ca="1" si="46"/>
        <v>0</v>
      </c>
      <c r="E1314" s="148">
        <f t="shared" ca="1" si="47"/>
        <v>12.700000000000003</v>
      </c>
    </row>
    <row r="1315" spans="2:5" x14ac:dyDescent="0.25">
      <c r="B1315" s="8">
        <v>38909</v>
      </c>
      <c r="C1315" s="6">
        <f ca="1">IF(OR($C$7="",$B1315&gt;NOW()),"",IF(INDEX(Data!$A:$G,MATCH($B1315,Data!$A:$A,0),MATCH($C$7,Data!$4:$4,0))="","",INDEX(Data!$A:$G,MATCH($B1315,Data!$A:$A,0),MATCH($C$7,Data!$4:$4,0))))</f>
        <v>82</v>
      </c>
      <c r="D1315" s="148">
        <f t="shared" ca="1" si="46"/>
        <v>0</v>
      </c>
      <c r="E1315" s="148">
        <f t="shared" ca="1" si="47"/>
        <v>17</v>
      </c>
    </row>
    <row r="1316" spans="2:5" x14ac:dyDescent="0.25">
      <c r="B1316" s="8">
        <v>38910</v>
      </c>
      <c r="C1316" s="6">
        <f ca="1">IF(OR($C$7="",$B1316&gt;NOW()),"",IF(INDEX(Data!$A:$G,MATCH($B1316,Data!$A:$A,0),MATCH($C$7,Data!$4:$4,0))="","",INDEX(Data!$A:$G,MATCH($B1316,Data!$A:$A,0),MATCH($C$7,Data!$4:$4,0))))</f>
        <v>82.8</v>
      </c>
      <c r="D1316" s="148">
        <f t="shared" ca="1" si="46"/>
        <v>0</v>
      </c>
      <c r="E1316" s="148">
        <f t="shared" ca="1" si="47"/>
        <v>17.799999999999997</v>
      </c>
    </row>
    <row r="1317" spans="2:5" x14ac:dyDescent="0.25">
      <c r="B1317" s="8">
        <v>38911</v>
      </c>
      <c r="C1317" s="6">
        <f ca="1">IF(OR($C$7="",$B1317&gt;NOW()),"",IF(INDEX(Data!$A:$G,MATCH($B1317,Data!$A:$A,0),MATCH($C$7,Data!$4:$4,0))="","",INDEX(Data!$A:$G,MATCH($B1317,Data!$A:$A,0),MATCH($C$7,Data!$4:$4,0))))</f>
        <v>79.3</v>
      </c>
      <c r="D1317" s="148">
        <f t="shared" ca="1" si="46"/>
        <v>0</v>
      </c>
      <c r="E1317" s="148">
        <f t="shared" ca="1" si="47"/>
        <v>14.299999999999997</v>
      </c>
    </row>
    <row r="1318" spans="2:5" x14ac:dyDescent="0.25">
      <c r="B1318" s="8">
        <v>38912</v>
      </c>
      <c r="C1318" s="6">
        <f ca="1">IF(OR($C$7="",$B1318&gt;NOW()),"",IF(INDEX(Data!$A:$G,MATCH($B1318,Data!$A:$A,0),MATCH($C$7,Data!$4:$4,0))="","",INDEX(Data!$A:$G,MATCH($B1318,Data!$A:$A,0),MATCH($C$7,Data!$4:$4,0))))</f>
        <v>78.400000000000006</v>
      </c>
      <c r="D1318" s="148">
        <f t="shared" ca="1" si="46"/>
        <v>0</v>
      </c>
      <c r="E1318" s="148">
        <f t="shared" ca="1" si="47"/>
        <v>13.400000000000006</v>
      </c>
    </row>
    <row r="1319" spans="2:5" x14ac:dyDescent="0.25">
      <c r="B1319" s="8">
        <v>38913</v>
      </c>
      <c r="C1319" s="6">
        <f ca="1">IF(OR($C$7="",$B1319&gt;NOW()),"",IF(INDEX(Data!$A:$G,MATCH($B1319,Data!$A:$A,0),MATCH($C$7,Data!$4:$4,0))="","",INDEX(Data!$A:$G,MATCH($B1319,Data!$A:$A,0),MATCH($C$7,Data!$4:$4,0))))</f>
        <v>78</v>
      </c>
      <c r="D1319" s="148">
        <f t="shared" ca="1" si="46"/>
        <v>0</v>
      </c>
      <c r="E1319" s="148">
        <f t="shared" ca="1" si="47"/>
        <v>13</v>
      </c>
    </row>
    <row r="1320" spans="2:5" x14ac:dyDescent="0.25">
      <c r="B1320" s="8">
        <v>38914</v>
      </c>
      <c r="C1320" s="6">
        <f ca="1">IF(OR($C$7="",$B1320&gt;NOW()),"",IF(INDEX(Data!$A:$G,MATCH($B1320,Data!$A:$A,0),MATCH($C$7,Data!$4:$4,0))="","",INDEX(Data!$A:$G,MATCH($B1320,Data!$A:$A,0),MATCH($C$7,Data!$4:$4,0))))</f>
        <v>82</v>
      </c>
      <c r="D1320" s="148">
        <f t="shared" ca="1" si="46"/>
        <v>0</v>
      </c>
      <c r="E1320" s="148">
        <f t="shared" ca="1" si="47"/>
        <v>17</v>
      </c>
    </row>
    <row r="1321" spans="2:5" x14ac:dyDescent="0.25">
      <c r="B1321" s="8">
        <v>38915</v>
      </c>
      <c r="C1321" s="6">
        <f ca="1">IF(OR($C$7="",$B1321&gt;NOW()),"",IF(INDEX(Data!$A:$G,MATCH($B1321,Data!$A:$A,0),MATCH($C$7,Data!$4:$4,0))="","",INDEX(Data!$A:$G,MATCH($B1321,Data!$A:$A,0),MATCH($C$7,Data!$4:$4,0))))</f>
        <v>88.1</v>
      </c>
      <c r="D1321" s="148">
        <f t="shared" ca="1" si="46"/>
        <v>0</v>
      </c>
      <c r="E1321" s="148">
        <f t="shared" ca="1" si="47"/>
        <v>23.099999999999994</v>
      </c>
    </row>
    <row r="1322" spans="2:5" x14ac:dyDescent="0.25">
      <c r="B1322" s="8">
        <v>38916</v>
      </c>
      <c r="C1322" s="6">
        <f ca="1">IF(OR($C$7="",$B1322&gt;NOW()),"",IF(INDEX(Data!$A:$G,MATCH($B1322,Data!$A:$A,0),MATCH($C$7,Data!$4:$4,0))="","",INDEX(Data!$A:$G,MATCH($B1322,Data!$A:$A,0),MATCH($C$7,Data!$4:$4,0))))</f>
        <v>92</v>
      </c>
      <c r="D1322" s="148">
        <f t="shared" ca="1" si="46"/>
        <v>0</v>
      </c>
      <c r="E1322" s="148">
        <f t="shared" ca="1" si="47"/>
        <v>27</v>
      </c>
    </row>
    <row r="1323" spans="2:5" x14ac:dyDescent="0.25">
      <c r="B1323" s="8">
        <v>38917</v>
      </c>
      <c r="C1323" s="6">
        <f ca="1">IF(OR($C$7="",$B1323&gt;NOW()),"",IF(INDEX(Data!$A:$G,MATCH($B1323,Data!$A:$A,0),MATCH($C$7,Data!$4:$4,0))="","",INDEX(Data!$A:$G,MATCH($B1323,Data!$A:$A,0),MATCH($C$7,Data!$4:$4,0))))</f>
        <v>80.400000000000006</v>
      </c>
      <c r="D1323" s="148">
        <f t="shared" ca="1" si="46"/>
        <v>0</v>
      </c>
      <c r="E1323" s="148">
        <f t="shared" ca="1" si="47"/>
        <v>15.400000000000006</v>
      </c>
    </row>
    <row r="1324" spans="2:5" x14ac:dyDescent="0.25">
      <c r="B1324" s="8">
        <v>38918</v>
      </c>
      <c r="C1324" s="6">
        <f ca="1">IF(OR($C$7="",$B1324&gt;NOW()),"",IF(INDEX(Data!$A:$G,MATCH($B1324,Data!$A:$A,0),MATCH($C$7,Data!$4:$4,0))="","",INDEX(Data!$A:$G,MATCH($B1324,Data!$A:$A,0),MATCH($C$7,Data!$4:$4,0))))</f>
        <v>76.599999999999994</v>
      </c>
      <c r="D1324" s="148">
        <f t="shared" ca="1" si="46"/>
        <v>0</v>
      </c>
      <c r="E1324" s="148">
        <f t="shared" ca="1" si="47"/>
        <v>11.599999999999994</v>
      </c>
    </row>
    <row r="1325" spans="2:5" x14ac:dyDescent="0.25">
      <c r="B1325" s="8">
        <v>38919</v>
      </c>
      <c r="C1325" s="6">
        <f ca="1">IF(OR($C$7="",$B1325&gt;NOW()),"",IF(INDEX(Data!$A:$G,MATCH($B1325,Data!$A:$A,0),MATCH($C$7,Data!$4:$4,0))="","",INDEX(Data!$A:$G,MATCH($B1325,Data!$A:$A,0),MATCH($C$7,Data!$4:$4,0))))</f>
        <v>79.7</v>
      </c>
      <c r="D1325" s="148">
        <f t="shared" ca="1" si="46"/>
        <v>0</v>
      </c>
      <c r="E1325" s="148">
        <f t="shared" ca="1" si="47"/>
        <v>14.700000000000003</v>
      </c>
    </row>
    <row r="1326" spans="2:5" x14ac:dyDescent="0.25">
      <c r="B1326" s="8">
        <v>38920</v>
      </c>
      <c r="C1326" s="6">
        <f ca="1">IF(OR($C$7="",$B1326&gt;NOW()),"",IF(INDEX(Data!$A:$G,MATCH($B1326,Data!$A:$A,0),MATCH($C$7,Data!$4:$4,0))="","",INDEX(Data!$A:$G,MATCH($B1326,Data!$A:$A,0),MATCH($C$7,Data!$4:$4,0))))</f>
        <v>78.3</v>
      </c>
      <c r="D1326" s="148">
        <f t="shared" ca="1" si="46"/>
        <v>0</v>
      </c>
      <c r="E1326" s="148">
        <f t="shared" ca="1" si="47"/>
        <v>13.299999999999997</v>
      </c>
    </row>
    <row r="1327" spans="2:5" x14ac:dyDescent="0.25">
      <c r="B1327" s="8">
        <v>38921</v>
      </c>
      <c r="C1327" s="6">
        <f ca="1">IF(OR($C$7="",$B1327&gt;NOW()),"",IF(INDEX(Data!$A:$G,MATCH($B1327,Data!$A:$A,0),MATCH($C$7,Data!$4:$4,0))="","",INDEX(Data!$A:$G,MATCH($B1327,Data!$A:$A,0),MATCH($C$7,Data!$4:$4,0))))</f>
        <v>75.2</v>
      </c>
      <c r="D1327" s="148">
        <f t="shared" ca="1" si="46"/>
        <v>0</v>
      </c>
      <c r="E1327" s="148">
        <f t="shared" ca="1" si="47"/>
        <v>10.200000000000003</v>
      </c>
    </row>
    <row r="1328" spans="2:5" x14ac:dyDescent="0.25">
      <c r="B1328" s="8">
        <v>38922</v>
      </c>
      <c r="C1328" s="6">
        <f ca="1">IF(OR($C$7="",$B1328&gt;NOW()),"",IF(INDEX(Data!$A:$G,MATCH($B1328,Data!$A:$A,0),MATCH($C$7,Data!$4:$4,0))="","",INDEX(Data!$A:$G,MATCH($B1328,Data!$A:$A,0),MATCH($C$7,Data!$4:$4,0))))</f>
        <v>77.900000000000006</v>
      </c>
      <c r="D1328" s="148">
        <f t="shared" ca="1" si="46"/>
        <v>0</v>
      </c>
      <c r="E1328" s="148">
        <f t="shared" ca="1" si="47"/>
        <v>12.900000000000006</v>
      </c>
    </row>
    <row r="1329" spans="2:5" x14ac:dyDescent="0.25">
      <c r="B1329" s="8">
        <v>38923</v>
      </c>
      <c r="C1329" s="6">
        <f ca="1">IF(OR($C$7="",$B1329&gt;NOW()),"",IF(INDEX(Data!$A:$G,MATCH($B1329,Data!$A:$A,0),MATCH($C$7,Data!$4:$4,0))="","",INDEX(Data!$A:$G,MATCH($B1329,Data!$A:$A,0),MATCH($C$7,Data!$4:$4,0))))</f>
        <v>79.400000000000006</v>
      </c>
      <c r="D1329" s="148">
        <f t="shared" ca="1" si="46"/>
        <v>0</v>
      </c>
      <c r="E1329" s="148">
        <f t="shared" ca="1" si="47"/>
        <v>14.400000000000006</v>
      </c>
    </row>
    <row r="1330" spans="2:5" x14ac:dyDescent="0.25">
      <c r="B1330" s="8">
        <v>38924</v>
      </c>
      <c r="C1330" s="6">
        <f ca="1">IF(OR($C$7="",$B1330&gt;NOW()),"",IF(INDEX(Data!$A:$G,MATCH($B1330,Data!$A:$A,0),MATCH($C$7,Data!$4:$4,0))="","",INDEX(Data!$A:$G,MATCH($B1330,Data!$A:$A,0),MATCH($C$7,Data!$4:$4,0))))</f>
        <v>79.900000000000006</v>
      </c>
      <c r="D1330" s="148">
        <f t="shared" ca="1" si="46"/>
        <v>0</v>
      </c>
      <c r="E1330" s="148">
        <f t="shared" ca="1" si="47"/>
        <v>14.900000000000006</v>
      </c>
    </row>
    <row r="1331" spans="2:5" x14ac:dyDescent="0.25">
      <c r="B1331" s="8">
        <v>38925</v>
      </c>
      <c r="C1331" s="6">
        <f ca="1">IF(OR($C$7="",$B1331&gt;NOW()),"",IF(INDEX(Data!$A:$G,MATCH($B1331,Data!$A:$A,0),MATCH($C$7,Data!$4:$4,0))="","",INDEX(Data!$A:$G,MATCH($B1331,Data!$A:$A,0),MATCH($C$7,Data!$4:$4,0))))</f>
        <v>82</v>
      </c>
      <c r="D1331" s="148">
        <f t="shared" ca="1" si="46"/>
        <v>0</v>
      </c>
      <c r="E1331" s="148">
        <f t="shared" ca="1" si="47"/>
        <v>17</v>
      </c>
    </row>
    <row r="1332" spans="2:5" x14ac:dyDescent="0.25">
      <c r="B1332" s="8">
        <v>38926</v>
      </c>
      <c r="C1332" s="6">
        <f ca="1">IF(OR($C$7="",$B1332&gt;NOW()),"",IF(INDEX(Data!$A:$G,MATCH($B1332,Data!$A:$A,0),MATCH($C$7,Data!$4:$4,0))="","",INDEX(Data!$A:$G,MATCH($B1332,Data!$A:$A,0),MATCH($C$7,Data!$4:$4,0))))</f>
        <v>83</v>
      </c>
      <c r="D1332" s="148">
        <f t="shared" ca="1" si="46"/>
        <v>0</v>
      </c>
      <c r="E1332" s="148">
        <f t="shared" ca="1" si="47"/>
        <v>18</v>
      </c>
    </row>
    <row r="1333" spans="2:5" x14ac:dyDescent="0.25">
      <c r="B1333" s="8">
        <v>38927</v>
      </c>
      <c r="C1333" s="6">
        <f ca="1">IF(OR($C$7="",$B1333&gt;NOW()),"",IF(INDEX(Data!$A:$G,MATCH($B1333,Data!$A:$A,0),MATCH($C$7,Data!$4:$4,0))="","",INDEX(Data!$A:$G,MATCH($B1333,Data!$A:$A,0),MATCH($C$7,Data!$4:$4,0))))</f>
        <v>83.3</v>
      </c>
      <c r="D1333" s="148">
        <f t="shared" ca="1" si="46"/>
        <v>0</v>
      </c>
      <c r="E1333" s="148">
        <f t="shared" ca="1" si="47"/>
        <v>18.299999999999997</v>
      </c>
    </row>
    <row r="1334" spans="2:5" x14ac:dyDescent="0.25">
      <c r="B1334" s="8">
        <v>38928</v>
      </c>
      <c r="C1334" s="6">
        <f ca="1">IF(OR($C$7="",$B1334&gt;NOW()),"",IF(INDEX(Data!$A:$G,MATCH($B1334,Data!$A:$A,0),MATCH($C$7,Data!$4:$4,0))="","",INDEX(Data!$A:$G,MATCH($B1334,Data!$A:$A,0),MATCH($C$7,Data!$4:$4,0))))</f>
        <v>85.3</v>
      </c>
      <c r="D1334" s="148">
        <f t="shared" ca="1" si="46"/>
        <v>0</v>
      </c>
      <c r="E1334" s="148">
        <f t="shared" ca="1" si="47"/>
        <v>20.299999999999997</v>
      </c>
    </row>
    <row r="1335" spans="2:5" x14ac:dyDescent="0.25">
      <c r="B1335" s="8">
        <v>38929</v>
      </c>
      <c r="C1335" s="6">
        <f ca="1">IF(OR($C$7="",$B1335&gt;NOW()),"",IF(INDEX(Data!$A:$G,MATCH($B1335,Data!$A:$A,0),MATCH($C$7,Data!$4:$4,0))="","",INDEX(Data!$A:$G,MATCH($B1335,Data!$A:$A,0),MATCH($C$7,Data!$4:$4,0))))</f>
        <v>83.7</v>
      </c>
      <c r="D1335" s="148">
        <f t="shared" ca="1" si="46"/>
        <v>0</v>
      </c>
      <c r="E1335" s="148">
        <f t="shared" ca="1" si="47"/>
        <v>18.700000000000003</v>
      </c>
    </row>
    <row r="1336" spans="2:5" x14ac:dyDescent="0.25">
      <c r="B1336" s="8">
        <v>38930</v>
      </c>
      <c r="C1336" s="6">
        <f ca="1">IF(OR($C$7="",$B1336&gt;NOW()),"",IF(INDEX(Data!$A:$G,MATCH($B1336,Data!$A:$A,0),MATCH($C$7,Data!$4:$4,0))="","",INDEX(Data!$A:$G,MATCH($B1336,Data!$A:$A,0),MATCH($C$7,Data!$4:$4,0))))</f>
        <v>89</v>
      </c>
      <c r="D1336" s="148">
        <f t="shared" ca="1" si="46"/>
        <v>0</v>
      </c>
      <c r="E1336" s="148">
        <f t="shared" ca="1" si="47"/>
        <v>24</v>
      </c>
    </row>
    <row r="1337" spans="2:5" x14ac:dyDescent="0.25">
      <c r="B1337" s="8">
        <v>38931</v>
      </c>
      <c r="C1337" s="6">
        <f ca="1">IF(OR($C$7="",$B1337&gt;NOW()),"",IF(INDEX(Data!$A:$G,MATCH($B1337,Data!$A:$A,0),MATCH($C$7,Data!$4:$4,0))="","",INDEX(Data!$A:$G,MATCH($B1337,Data!$A:$A,0),MATCH($C$7,Data!$4:$4,0))))</f>
        <v>93.1</v>
      </c>
      <c r="D1337" s="148">
        <f t="shared" ca="1" si="46"/>
        <v>0</v>
      </c>
      <c r="E1337" s="148">
        <f t="shared" ca="1" si="47"/>
        <v>28.099999999999994</v>
      </c>
    </row>
    <row r="1338" spans="2:5" x14ac:dyDescent="0.25">
      <c r="B1338" s="8">
        <v>38932</v>
      </c>
      <c r="C1338" s="6">
        <f ca="1">IF(OR($C$7="",$B1338&gt;NOW()),"",IF(INDEX(Data!$A:$G,MATCH($B1338,Data!$A:$A,0),MATCH($C$7,Data!$4:$4,0))="","",INDEX(Data!$A:$G,MATCH($B1338,Data!$A:$A,0),MATCH($C$7,Data!$4:$4,0))))</f>
        <v>92.3</v>
      </c>
      <c r="D1338" s="148">
        <f t="shared" ca="1" si="46"/>
        <v>0</v>
      </c>
      <c r="E1338" s="148">
        <f t="shared" ca="1" si="47"/>
        <v>27.299999999999997</v>
      </c>
    </row>
    <row r="1339" spans="2:5" x14ac:dyDescent="0.25">
      <c r="B1339" s="8">
        <v>38933</v>
      </c>
      <c r="C1339" s="6">
        <f ca="1">IF(OR($C$7="",$B1339&gt;NOW()),"",IF(INDEX(Data!$A:$G,MATCH($B1339,Data!$A:$A,0),MATCH($C$7,Data!$4:$4,0))="","",INDEX(Data!$A:$G,MATCH($B1339,Data!$A:$A,0),MATCH($C$7,Data!$4:$4,0))))</f>
        <v>84.7</v>
      </c>
      <c r="D1339" s="148">
        <f t="shared" ca="1" si="46"/>
        <v>0</v>
      </c>
      <c r="E1339" s="148">
        <f t="shared" ca="1" si="47"/>
        <v>19.700000000000003</v>
      </c>
    </row>
    <row r="1340" spans="2:5" x14ac:dyDescent="0.25">
      <c r="B1340" s="8">
        <v>38934</v>
      </c>
      <c r="C1340" s="6">
        <f ca="1">IF(OR($C$7="",$B1340&gt;NOW()),"",IF(INDEX(Data!$A:$G,MATCH($B1340,Data!$A:$A,0),MATCH($C$7,Data!$4:$4,0))="","",INDEX(Data!$A:$G,MATCH($B1340,Data!$A:$A,0),MATCH($C$7,Data!$4:$4,0))))</f>
        <v>83</v>
      </c>
      <c r="D1340" s="148">
        <f t="shared" ca="1" si="46"/>
        <v>0</v>
      </c>
      <c r="E1340" s="148">
        <f t="shared" ca="1" si="47"/>
        <v>18</v>
      </c>
    </row>
    <row r="1341" spans="2:5" x14ac:dyDescent="0.25">
      <c r="B1341" s="8">
        <v>38935</v>
      </c>
      <c r="C1341" s="6">
        <f ca="1">IF(OR($C$7="",$B1341&gt;NOW()),"",IF(INDEX(Data!$A:$G,MATCH($B1341,Data!$A:$A,0),MATCH($C$7,Data!$4:$4,0))="","",INDEX(Data!$A:$G,MATCH($B1341,Data!$A:$A,0),MATCH($C$7,Data!$4:$4,0))))</f>
        <v>78.7</v>
      </c>
      <c r="D1341" s="148">
        <f t="shared" ca="1" si="46"/>
        <v>0</v>
      </c>
      <c r="E1341" s="148">
        <f t="shared" ca="1" si="47"/>
        <v>13.700000000000003</v>
      </c>
    </row>
    <row r="1342" spans="2:5" x14ac:dyDescent="0.25">
      <c r="B1342" s="8">
        <v>38936</v>
      </c>
      <c r="C1342" s="6">
        <f ca="1">IF(OR($C$7="",$B1342&gt;NOW()),"",IF(INDEX(Data!$A:$G,MATCH($B1342,Data!$A:$A,0),MATCH($C$7,Data!$4:$4,0))="","",INDEX(Data!$A:$G,MATCH($B1342,Data!$A:$A,0),MATCH($C$7,Data!$4:$4,0))))</f>
        <v>81.400000000000006</v>
      </c>
      <c r="D1342" s="148">
        <f t="shared" ca="1" si="46"/>
        <v>0</v>
      </c>
      <c r="E1342" s="148">
        <f t="shared" ca="1" si="47"/>
        <v>16.400000000000006</v>
      </c>
    </row>
    <row r="1343" spans="2:5" x14ac:dyDescent="0.25">
      <c r="B1343" s="8">
        <v>38937</v>
      </c>
      <c r="C1343" s="6">
        <f ca="1">IF(OR($C$7="",$B1343&gt;NOW()),"",IF(INDEX(Data!$A:$G,MATCH($B1343,Data!$A:$A,0),MATCH($C$7,Data!$4:$4,0))="","",INDEX(Data!$A:$G,MATCH($B1343,Data!$A:$A,0),MATCH($C$7,Data!$4:$4,0))))</f>
        <v>82</v>
      </c>
      <c r="D1343" s="148">
        <f t="shared" ca="1" si="46"/>
        <v>0</v>
      </c>
      <c r="E1343" s="148">
        <f t="shared" ca="1" si="47"/>
        <v>17</v>
      </c>
    </row>
    <row r="1344" spans="2:5" x14ac:dyDescent="0.25">
      <c r="B1344" s="8">
        <v>38938</v>
      </c>
      <c r="C1344" s="6">
        <f ca="1">IF(OR($C$7="",$B1344&gt;NOW()),"",IF(INDEX(Data!$A:$G,MATCH($B1344,Data!$A:$A,0),MATCH($C$7,Data!$4:$4,0))="","",INDEX(Data!$A:$G,MATCH($B1344,Data!$A:$A,0),MATCH($C$7,Data!$4:$4,0))))</f>
        <v>77.2</v>
      </c>
      <c r="D1344" s="148">
        <f t="shared" ca="1" si="46"/>
        <v>0</v>
      </c>
      <c r="E1344" s="148">
        <f t="shared" ca="1" si="47"/>
        <v>12.200000000000003</v>
      </c>
    </row>
    <row r="1345" spans="2:5" x14ac:dyDescent="0.25">
      <c r="B1345" s="8">
        <v>38939</v>
      </c>
      <c r="C1345" s="6">
        <f ca="1">IF(OR($C$7="",$B1345&gt;NOW()),"",IF(INDEX(Data!$A:$G,MATCH($B1345,Data!$A:$A,0),MATCH($C$7,Data!$4:$4,0))="","",INDEX(Data!$A:$G,MATCH($B1345,Data!$A:$A,0),MATCH($C$7,Data!$4:$4,0))))</f>
        <v>78.400000000000006</v>
      </c>
      <c r="D1345" s="148">
        <f t="shared" ca="1" si="46"/>
        <v>0</v>
      </c>
      <c r="E1345" s="148">
        <f t="shared" ca="1" si="47"/>
        <v>13.400000000000006</v>
      </c>
    </row>
    <row r="1346" spans="2:5" x14ac:dyDescent="0.25">
      <c r="B1346" s="8">
        <v>38940</v>
      </c>
      <c r="C1346" s="6">
        <f ca="1">IF(OR($C$7="",$B1346&gt;NOW()),"",IF(INDEX(Data!$A:$G,MATCH($B1346,Data!$A:$A,0),MATCH($C$7,Data!$4:$4,0))="","",INDEX(Data!$A:$G,MATCH($B1346,Data!$A:$A,0),MATCH($C$7,Data!$4:$4,0))))</f>
        <v>72.8</v>
      </c>
      <c r="D1346" s="148">
        <f t="shared" ca="1" si="46"/>
        <v>0</v>
      </c>
      <c r="E1346" s="148">
        <f t="shared" ca="1" si="47"/>
        <v>7.7999999999999972</v>
      </c>
    </row>
    <row r="1347" spans="2:5" x14ac:dyDescent="0.25">
      <c r="B1347" s="8">
        <v>38941</v>
      </c>
      <c r="C1347" s="6">
        <f ca="1">IF(OR($C$7="",$B1347&gt;NOW()),"",IF(INDEX(Data!$A:$G,MATCH($B1347,Data!$A:$A,0),MATCH($C$7,Data!$4:$4,0))="","",INDEX(Data!$A:$G,MATCH($B1347,Data!$A:$A,0),MATCH($C$7,Data!$4:$4,0))))</f>
        <v>72.3</v>
      </c>
      <c r="D1347" s="148">
        <f t="shared" ca="1" si="46"/>
        <v>0</v>
      </c>
      <c r="E1347" s="148">
        <f t="shared" ca="1" si="47"/>
        <v>7.2999999999999972</v>
      </c>
    </row>
    <row r="1348" spans="2:5" x14ac:dyDescent="0.25">
      <c r="B1348" s="8">
        <v>38942</v>
      </c>
      <c r="C1348" s="6">
        <f ca="1">IF(OR($C$7="",$B1348&gt;NOW()),"",IF(INDEX(Data!$A:$G,MATCH($B1348,Data!$A:$A,0),MATCH($C$7,Data!$4:$4,0))="","",INDEX(Data!$A:$G,MATCH($B1348,Data!$A:$A,0),MATCH($C$7,Data!$4:$4,0))))</f>
        <v>73.7</v>
      </c>
      <c r="D1348" s="148">
        <f t="shared" ca="1" si="46"/>
        <v>0</v>
      </c>
      <c r="E1348" s="148">
        <f t="shared" ca="1" si="47"/>
        <v>8.7000000000000028</v>
      </c>
    </row>
    <row r="1349" spans="2:5" x14ac:dyDescent="0.25">
      <c r="B1349" s="8">
        <v>38943</v>
      </c>
      <c r="C1349" s="6">
        <f ca="1">IF(OR($C$7="",$B1349&gt;NOW()),"",IF(INDEX(Data!$A:$G,MATCH($B1349,Data!$A:$A,0),MATCH($C$7,Data!$4:$4,0))="","",INDEX(Data!$A:$G,MATCH($B1349,Data!$A:$A,0),MATCH($C$7,Data!$4:$4,0))))</f>
        <v>79.2</v>
      </c>
      <c r="D1349" s="148">
        <f t="shared" ca="1" si="46"/>
        <v>0</v>
      </c>
      <c r="E1349" s="148">
        <f t="shared" ca="1" si="47"/>
        <v>14.200000000000003</v>
      </c>
    </row>
    <row r="1350" spans="2:5" x14ac:dyDescent="0.25">
      <c r="B1350" s="8">
        <v>38944</v>
      </c>
      <c r="C1350" s="6">
        <f ca="1">IF(OR($C$7="",$B1350&gt;NOW()),"",IF(INDEX(Data!$A:$G,MATCH($B1350,Data!$A:$A,0),MATCH($C$7,Data!$4:$4,0))="","",INDEX(Data!$A:$G,MATCH($B1350,Data!$A:$A,0),MATCH($C$7,Data!$4:$4,0))))</f>
        <v>78.599999999999994</v>
      </c>
      <c r="D1350" s="148">
        <f t="shared" ca="1" si="46"/>
        <v>0</v>
      </c>
      <c r="E1350" s="148">
        <f t="shared" ca="1" si="47"/>
        <v>13.599999999999994</v>
      </c>
    </row>
    <row r="1351" spans="2:5" x14ac:dyDescent="0.25">
      <c r="B1351" s="8">
        <v>38945</v>
      </c>
      <c r="C1351" s="6">
        <f ca="1">IF(OR($C$7="",$B1351&gt;NOW()),"",IF(INDEX(Data!$A:$G,MATCH($B1351,Data!$A:$A,0),MATCH($C$7,Data!$4:$4,0))="","",INDEX(Data!$A:$G,MATCH($B1351,Data!$A:$A,0),MATCH($C$7,Data!$4:$4,0))))</f>
        <v>79</v>
      </c>
      <c r="D1351" s="148">
        <f t="shared" ca="1" si="46"/>
        <v>0</v>
      </c>
      <c r="E1351" s="148">
        <f t="shared" ca="1" si="47"/>
        <v>14</v>
      </c>
    </row>
    <row r="1352" spans="2:5" x14ac:dyDescent="0.25">
      <c r="B1352" s="8">
        <v>38946</v>
      </c>
      <c r="C1352" s="6">
        <f ca="1">IF(OR($C$7="",$B1352&gt;NOW()),"",IF(INDEX(Data!$A:$G,MATCH($B1352,Data!$A:$A,0),MATCH($C$7,Data!$4:$4,0))="","",INDEX(Data!$A:$G,MATCH($B1352,Data!$A:$A,0),MATCH($C$7,Data!$4:$4,0))))</f>
        <v>77.7</v>
      </c>
      <c r="D1352" s="148">
        <f t="shared" ca="1" si="46"/>
        <v>0</v>
      </c>
      <c r="E1352" s="148">
        <f t="shared" ca="1" si="47"/>
        <v>12.700000000000003</v>
      </c>
    </row>
    <row r="1353" spans="2:5" x14ac:dyDescent="0.25">
      <c r="B1353" s="8">
        <v>38947</v>
      </c>
      <c r="C1353" s="6">
        <f ca="1">IF(OR($C$7="",$B1353&gt;NOW()),"",IF(INDEX(Data!$A:$G,MATCH($B1353,Data!$A:$A,0),MATCH($C$7,Data!$4:$4,0))="","",INDEX(Data!$A:$G,MATCH($B1353,Data!$A:$A,0),MATCH($C$7,Data!$4:$4,0))))</f>
        <v>76.3</v>
      </c>
      <c r="D1353" s="148">
        <f t="shared" ca="1" si="46"/>
        <v>0</v>
      </c>
      <c r="E1353" s="148">
        <f t="shared" ca="1" si="47"/>
        <v>11.299999999999997</v>
      </c>
    </row>
    <row r="1354" spans="2:5" x14ac:dyDescent="0.25">
      <c r="B1354" s="8">
        <v>38948</v>
      </c>
      <c r="C1354" s="6">
        <f ca="1">IF(OR($C$7="",$B1354&gt;NOW()),"",IF(INDEX(Data!$A:$G,MATCH($B1354,Data!$A:$A,0),MATCH($C$7,Data!$4:$4,0))="","",INDEX(Data!$A:$G,MATCH($B1354,Data!$A:$A,0),MATCH($C$7,Data!$4:$4,0))))</f>
        <v>75.900000000000006</v>
      </c>
      <c r="D1354" s="148">
        <f t="shared" ca="1" si="46"/>
        <v>0</v>
      </c>
      <c r="E1354" s="148">
        <f t="shared" ca="1" si="47"/>
        <v>10.900000000000006</v>
      </c>
    </row>
    <row r="1355" spans="2:5" x14ac:dyDescent="0.25">
      <c r="B1355" s="8">
        <v>38949</v>
      </c>
      <c r="C1355" s="6">
        <f ca="1">IF(OR($C$7="",$B1355&gt;NOW()),"",IF(INDEX(Data!$A:$G,MATCH($B1355,Data!$A:$A,0),MATCH($C$7,Data!$4:$4,0))="","",INDEX(Data!$A:$G,MATCH($B1355,Data!$A:$A,0),MATCH($C$7,Data!$4:$4,0))))</f>
        <v>81.099999999999994</v>
      </c>
      <c r="D1355" s="148">
        <f t="shared" ca="1" si="46"/>
        <v>0</v>
      </c>
      <c r="E1355" s="148">
        <f t="shared" ca="1" si="47"/>
        <v>16.099999999999994</v>
      </c>
    </row>
    <row r="1356" spans="2:5" x14ac:dyDescent="0.25">
      <c r="B1356" s="8">
        <v>38950</v>
      </c>
      <c r="C1356" s="6">
        <f ca="1">IF(OR($C$7="",$B1356&gt;NOW()),"",IF(INDEX(Data!$A:$G,MATCH($B1356,Data!$A:$A,0),MATCH($C$7,Data!$4:$4,0))="","",INDEX(Data!$A:$G,MATCH($B1356,Data!$A:$A,0),MATCH($C$7,Data!$4:$4,0))))</f>
        <v>78.599999999999994</v>
      </c>
      <c r="D1356" s="148">
        <f t="shared" ca="1" si="46"/>
        <v>0</v>
      </c>
      <c r="E1356" s="148">
        <f t="shared" ca="1" si="47"/>
        <v>13.599999999999994</v>
      </c>
    </row>
    <row r="1357" spans="2:5" x14ac:dyDescent="0.25">
      <c r="B1357" s="8">
        <v>38951</v>
      </c>
      <c r="C1357" s="6">
        <f ca="1">IF(OR($C$7="",$B1357&gt;NOW()),"",IF(INDEX(Data!$A:$G,MATCH($B1357,Data!$A:$A,0),MATCH($C$7,Data!$4:$4,0))="","",INDEX(Data!$A:$G,MATCH($B1357,Data!$A:$A,0),MATCH($C$7,Data!$4:$4,0))))</f>
        <v>79</v>
      </c>
      <c r="D1357" s="148">
        <f t="shared" ca="1" si="46"/>
        <v>0</v>
      </c>
      <c r="E1357" s="148">
        <f t="shared" ca="1" si="47"/>
        <v>14</v>
      </c>
    </row>
    <row r="1358" spans="2:5" x14ac:dyDescent="0.25">
      <c r="B1358" s="8">
        <v>38952</v>
      </c>
      <c r="C1358" s="6">
        <f ca="1">IF(OR($C$7="",$B1358&gt;NOW()),"",IF(INDEX(Data!$A:$G,MATCH($B1358,Data!$A:$A,0),MATCH($C$7,Data!$4:$4,0))="","",INDEX(Data!$A:$G,MATCH($B1358,Data!$A:$A,0),MATCH($C$7,Data!$4:$4,0))))</f>
        <v>79.3</v>
      </c>
      <c r="D1358" s="148">
        <f t="shared" ca="1" si="46"/>
        <v>0</v>
      </c>
      <c r="E1358" s="148">
        <f t="shared" ca="1" si="47"/>
        <v>14.299999999999997</v>
      </c>
    </row>
    <row r="1359" spans="2:5" x14ac:dyDescent="0.25">
      <c r="B1359" s="8">
        <v>38953</v>
      </c>
      <c r="C1359" s="6">
        <f ca="1">IF(OR($C$7="",$B1359&gt;NOW()),"",IF(INDEX(Data!$A:$G,MATCH($B1359,Data!$A:$A,0),MATCH($C$7,Data!$4:$4,0))="","",INDEX(Data!$A:$G,MATCH($B1359,Data!$A:$A,0),MATCH($C$7,Data!$4:$4,0))))</f>
        <v>75.599999999999994</v>
      </c>
      <c r="D1359" s="148">
        <f t="shared" ca="1" si="46"/>
        <v>0</v>
      </c>
      <c r="E1359" s="148">
        <f t="shared" ca="1" si="47"/>
        <v>10.599999999999994</v>
      </c>
    </row>
    <row r="1360" spans="2:5" x14ac:dyDescent="0.25">
      <c r="B1360" s="8">
        <v>38954</v>
      </c>
      <c r="C1360" s="6">
        <f ca="1">IF(OR($C$7="",$B1360&gt;NOW()),"",IF(INDEX(Data!$A:$G,MATCH($B1360,Data!$A:$A,0),MATCH($C$7,Data!$4:$4,0))="","",INDEX(Data!$A:$G,MATCH($B1360,Data!$A:$A,0),MATCH($C$7,Data!$4:$4,0))))</f>
        <v>72.8</v>
      </c>
      <c r="D1360" s="148">
        <f t="shared" ca="1" si="46"/>
        <v>0</v>
      </c>
      <c r="E1360" s="148">
        <f t="shared" ca="1" si="47"/>
        <v>7.7999999999999972</v>
      </c>
    </row>
    <row r="1361" spans="2:5" x14ac:dyDescent="0.25">
      <c r="B1361" s="8">
        <v>38955</v>
      </c>
      <c r="C1361" s="6">
        <f ca="1">IF(OR($C$7="",$B1361&gt;NOW()),"",IF(INDEX(Data!$A:$G,MATCH($B1361,Data!$A:$A,0),MATCH($C$7,Data!$4:$4,0))="","",INDEX(Data!$A:$G,MATCH($B1361,Data!$A:$A,0),MATCH($C$7,Data!$4:$4,0))))</f>
        <v>68.599999999999994</v>
      </c>
      <c r="D1361" s="148">
        <f t="shared" ca="1" si="46"/>
        <v>0</v>
      </c>
      <c r="E1361" s="148">
        <f t="shared" ca="1" si="47"/>
        <v>3.5999999999999943</v>
      </c>
    </row>
    <row r="1362" spans="2:5" x14ac:dyDescent="0.25">
      <c r="B1362" s="8">
        <v>38956</v>
      </c>
      <c r="C1362" s="6">
        <f ca="1">IF(OR($C$7="",$B1362&gt;NOW()),"",IF(INDEX(Data!$A:$G,MATCH($B1362,Data!$A:$A,0),MATCH($C$7,Data!$4:$4,0))="","",INDEX(Data!$A:$G,MATCH($B1362,Data!$A:$A,0),MATCH($C$7,Data!$4:$4,0))))</f>
        <v>68.599999999999994</v>
      </c>
      <c r="D1362" s="148">
        <f t="shared" ca="1" si="46"/>
        <v>0</v>
      </c>
      <c r="E1362" s="148">
        <f t="shared" ca="1" si="47"/>
        <v>3.5999999999999943</v>
      </c>
    </row>
    <row r="1363" spans="2:5" x14ac:dyDescent="0.25">
      <c r="B1363" s="8">
        <v>38957</v>
      </c>
      <c r="C1363" s="6">
        <f ca="1">IF(OR($C$7="",$B1363&gt;NOW()),"",IF(INDEX(Data!$A:$G,MATCH($B1363,Data!$A:$A,0),MATCH($C$7,Data!$4:$4,0))="","",INDEX(Data!$A:$G,MATCH($B1363,Data!$A:$A,0),MATCH($C$7,Data!$4:$4,0))))</f>
        <v>74.099999999999994</v>
      </c>
      <c r="D1363" s="148">
        <f t="shared" ca="1" si="46"/>
        <v>0</v>
      </c>
      <c r="E1363" s="148">
        <f t="shared" ca="1" si="47"/>
        <v>9.0999999999999943</v>
      </c>
    </row>
    <row r="1364" spans="2:5" x14ac:dyDescent="0.25">
      <c r="B1364" s="8">
        <v>38958</v>
      </c>
      <c r="C1364" s="6">
        <f ca="1">IF(OR($C$7="",$B1364&gt;NOW()),"",IF(INDEX(Data!$A:$G,MATCH($B1364,Data!$A:$A,0),MATCH($C$7,Data!$4:$4,0))="","",INDEX(Data!$A:$G,MATCH($B1364,Data!$A:$A,0),MATCH($C$7,Data!$4:$4,0))))</f>
        <v>70.5</v>
      </c>
      <c r="D1364" s="148">
        <f t="shared" ca="1" si="46"/>
        <v>0</v>
      </c>
      <c r="E1364" s="148">
        <f t="shared" ca="1" si="47"/>
        <v>5.5</v>
      </c>
    </row>
    <row r="1365" spans="2:5" x14ac:dyDescent="0.25">
      <c r="B1365" s="8">
        <v>38959</v>
      </c>
      <c r="C1365" s="6">
        <f ca="1">IF(OR($C$7="",$B1365&gt;NOW()),"",IF(INDEX(Data!$A:$G,MATCH($B1365,Data!$A:$A,0),MATCH($C$7,Data!$4:$4,0))="","",INDEX(Data!$A:$G,MATCH($B1365,Data!$A:$A,0),MATCH($C$7,Data!$4:$4,0))))</f>
        <v>67.8</v>
      </c>
      <c r="D1365" s="148">
        <f t="shared" ca="1" si="46"/>
        <v>0</v>
      </c>
      <c r="E1365" s="148">
        <f t="shared" ca="1" si="47"/>
        <v>2.7999999999999972</v>
      </c>
    </row>
    <row r="1366" spans="2:5" x14ac:dyDescent="0.25">
      <c r="B1366" s="8">
        <v>38960</v>
      </c>
      <c r="C1366" s="6">
        <f ca="1">IF(OR($C$7="",$B1366&gt;NOW()),"",IF(INDEX(Data!$A:$G,MATCH($B1366,Data!$A:$A,0),MATCH($C$7,Data!$4:$4,0))="","",INDEX(Data!$A:$G,MATCH($B1366,Data!$A:$A,0),MATCH($C$7,Data!$4:$4,0))))</f>
        <v>68.8</v>
      </c>
      <c r="D1366" s="148">
        <f t="shared" ca="1" si="46"/>
        <v>0</v>
      </c>
      <c r="E1366" s="148">
        <f t="shared" ca="1" si="47"/>
        <v>3.7999999999999972</v>
      </c>
    </row>
    <row r="1367" spans="2:5" x14ac:dyDescent="0.25">
      <c r="B1367" s="8">
        <v>38961</v>
      </c>
      <c r="C1367" s="6">
        <f ca="1">IF(OR($C$7="",$B1367&gt;NOW()),"",IF(INDEX(Data!$A:$G,MATCH($B1367,Data!$A:$A,0),MATCH($C$7,Data!$4:$4,0))="","",INDEX(Data!$A:$G,MATCH($B1367,Data!$A:$A,0),MATCH($C$7,Data!$4:$4,0))))</f>
        <v>67.3</v>
      </c>
      <c r="D1367" s="148">
        <f t="shared" ca="1" si="46"/>
        <v>0</v>
      </c>
      <c r="E1367" s="148">
        <f t="shared" ca="1" si="47"/>
        <v>2.2999999999999972</v>
      </c>
    </row>
    <row r="1368" spans="2:5" x14ac:dyDescent="0.25">
      <c r="B1368" s="8">
        <v>38962</v>
      </c>
      <c r="C1368" s="6">
        <f ca="1">IF(OR($C$7="",$B1368&gt;NOW()),"",IF(INDEX(Data!$A:$G,MATCH($B1368,Data!$A:$A,0),MATCH($C$7,Data!$4:$4,0))="","",INDEX(Data!$A:$G,MATCH($B1368,Data!$A:$A,0),MATCH($C$7,Data!$4:$4,0))))</f>
        <v>65</v>
      </c>
      <c r="D1368" s="148">
        <f t="shared" ca="1" si="46"/>
        <v>0</v>
      </c>
      <c r="E1368" s="148">
        <f t="shared" ca="1" si="47"/>
        <v>0</v>
      </c>
    </row>
    <row r="1369" spans="2:5" x14ac:dyDescent="0.25">
      <c r="B1369" s="8">
        <v>38963</v>
      </c>
      <c r="C1369" s="6">
        <f ca="1">IF(OR($C$7="",$B1369&gt;NOW()),"",IF(INDEX(Data!$A:$G,MATCH($B1369,Data!$A:$A,0),MATCH($C$7,Data!$4:$4,0))="","",INDEX(Data!$A:$G,MATCH($B1369,Data!$A:$A,0),MATCH($C$7,Data!$4:$4,0))))</f>
        <v>70.599999999999994</v>
      </c>
      <c r="D1369" s="148">
        <f t="shared" ca="1" si="46"/>
        <v>0</v>
      </c>
      <c r="E1369" s="148">
        <f t="shared" ca="1" si="47"/>
        <v>5.5999999999999943</v>
      </c>
    </row>
    <row r="1370" spans="2:5" x14ac:dyDescent="0.25">
      <c r="B1370" s="8">
        <v>38964</v>
      </c>
      <c r="C1370" s="6">
        <f ca="1">IF(OR($C$7="",$B1370&gt;NOW()),"",IF(INDEX(Data!$A:$G,MATCH($B1370,Data!$A:$A,0),MATCH($C$7,Data!$4:$4,0))="","",INDEX(Data!$A:$G,MATCH($B1370,Data!$A:$A,0),MATCH($C$7,Data!$4:$4,0))))</f>
        <v>69.599999999999994</v>
      </c>
      <c r="D1370" s="148">
        <f t="shared" ca="1" si="46"/>
        <v>0</v>
      </c>
      <c r="E1370" s="148">
        <f t="shared" ca="1" si="47"/>
        <v>4.5999999999999943</v>
      </c>
    </row>
    <row r="1371" spans="2:5" x14ac:dyDescent="0.25">
      <c r="B1371" s="8">
        <v>38965</v>
      </c>
      <c r="C1371" s="6">
        <f ca="1">IF(OR($C$7="",$B1371&gt;NOW()),"",IF(INDEX(Data!$A:$G,MATCH($B1371,Data!$A:$A,0),MATCH($C$7,Data!$4:$4,0))="","",INDEX(Data!$A:$G,MATCH($B1371,Data!$A:$A,0),MATCH($C$7,Data!$4:$4,0))))</f>
        <v>68.599999999999994</v>
      </c>
      <c r="D1371" s="148">
        <f t="shared" ca="1" si="46"/>
        <v>0</v>
      </c>
      <c r="E1371" s="148">
        <f t="shared" ca="1" si="47"/>
        <v>3.5999999999999943</v>
      </c>
    </row>
    <row r="1372" spans="2:5" x14ac:dyDescent="0.25">
      <c r="B1372" s="8">
        <v>38966</v>
      </c>
      <c r="C1372" s="6">
        <f ca="1">IF(OR($C$7="",$B1372&gt;NOW()),"",IF(INDEX(Data!$A:$G,MATCH($B1372,Data!$A:$A,0),MATCH($C$7,Data!$4:$4,0))="","",INDEX(Data!$A:$G,MATCH($B1372,Data!$A:$A,0),MATCH($C$7,Data!$4:$4,0))))</f>
        <v>67.900000000000006</v>
      </c>
      <c r="D1372" s="148">
        <f t="shared" ca="1" si="46"/>
        <v>0</v>
      </c>
      <c r="E1372" s="148">
        <f t="shared" ca="1" si="47"/>
        <v>2.9000000000000057</v>
      </c>
    </row>
    <row r="1373" spans="2:5" x14ac:dyDescent="0.25">
      <c r="B1373" s="8">
        <v>38967</v>
      </c>
      <c r="C1373" s="6">
        <f ca="1">IF(OR($C$7="",$B1373&gt;NOW()),"",IF(INDEX(Data!$A:$G,MATCH($B1373,Data!$A:$A,0),MATCH($C$7,Data!$4:$4,0))="","",INDEX(Data!$A:$G,MATCH($B1373,Data!$A:$A,0),MATCH($C$7,Data!$4:$4,0))))</f>
        <v>72.400000000000006</v>
      </c>
      <c r="D1373" s="148">
        <f t="shared" ref="D1373:D1436" ca="1" si="48">IF($C1373="","",IF($C1373&gt;$D$26,0,$D$26-$C1373))</f>
        <v>0</v>
      </c>
      <c r="E1373" s="148">
        <f t="shared" ref="E1373:E1436" ca="1" si="49">IF($C1373="","",IF($C1373&lt;$E$26,0,$C1373-$E$26))</f>
        <v>7.4000000000000057</v>
      </c>
    </row>
    <row r="1374" spans="2:5" x14ac:dyDescent="0.25">
      <c r="B1374" s="8">
        <v>38968</v>
      </c>
      <c r="C1374" s="6">
        <f ca="1">IF(OR($C$7="",$B1374&gt;NOW()),"",IF(INDEX(Data!$A:$G,MATCH($B1374,Data!$A:$A,0),MATCH($C$7,Data!$4:$4,0))="","",INDEX(Data!$A:$G,MATCH($B1374,Data!$A:$A,0),MATCH($C$7,Data!$4:$4,0))))</f>
        <v>75</v>
      </c>
      <c r="D1374" s="148">
        <f t="shared" ca="1" si="48"/>
        <v>0</v>
      </c>
      <c r="E1374" s="148">
        <f t="shared" ca="1" si="49"/>
        <v>10</v>
      </c>
    </row>
    <row r="1375" spans="2:5" x14ac:dyDescent="0.25">
      <c r="B1375" s="8">
        <v>38969</v>
      </c>
      <c r="C1375" s="6">
        <f ca="1">IF(OR($C$7="",$B1375&gt;NOW()),"",IF(INDEX(Data!$A:$G,MATCH($B1375,Data!$A:$A,0),MATCH($C$7,Data!$4:$4,0))="","",INDEX(Data!$A:$G,MATCH($B1375,Data!$A:$A,0),MATCH($C$7,Data!$4:$4,0))))</f>
        <v>76.400000000000006</v>
      </c>
      <c r="D1375" s="148">
        <f t="shared" ca="1" si="48"/>
        <v>0</v>
      </c>
      <c r="E1375" s="148">
        <f t="shared" ca="1" si="49"/>
        <v>11.400000000000006</v>
      </c>
    </row>
    <row r="1376" spans="2:5" x14ac:dyDescent="0.25">
      <c r="B1376" s="8">
        <v>38970</v>
      </c>
      <c r="C1376" s="6">
        <f ca="1">IF(OR($C$7="",$B1376&gt;NOW()),"",IF(INDEX(Data!$A:$G,MATCH($B1376,Data!$A:$A,0),MATCH($C$7,Data!$4:$4,0))="","",INDEX(Data!$A:$G,MATCH($B1376,Data!$A:$A,0),MATCH($C$7,Data!$4:$4,0))))</f>
        <v>71.400000000000006</v>
      </c>
      <c r="D1376" s="148">
        <f t="shared" ca="1" si="48"/>
        <v>0</v>
      </c>
      <c r="E1376" s="148">
        <f t="shared" ca="1" si="49"/>
        <v>6.4000000000000057</v>
      </c>
    </row>
    <row r="1377" spans="2:5" x14ac:dyDescent="0.25">
      <c r="B1377" s="8">
        <v>38971</v>
      </c>
      <c r="C1377" s="6">
        <f ca="1">IF(OR($C$7="",$B1377&gt;NOW()),"",IF(INDEX(Data!$A:$G,MATCH($B1377,Data!$A:$A,0),MATCH($C$7,Data!$4:$4,0))="","",INDEX(Data!$A:$G,MATCH($B1377,Data!$A:$A,0),MATCH($C$7,Data!$4:$4,0))))</f>
        <v>64.900000000000006</v>
      </c>
      <c r="D1377" s="148">
        <f t="shared" ca="1" si="48"/>
        <v>9.9999999999994316E-2</v>
      </c>
      <c r="E1377" s="148">
        <f t="shared" ca="1" si="49"/>
        <v>0</v>
      </c>
    </row>
    <row r="1378" spans="2:5" x14ac:dyDescent="0.25">
      <c r="B1378" s="8">
        <v>38972</v>
      </c>
      <c r="C1378" s="6">
        <f ca="1">IF(OR($C$7="",$B1378&gt;NOW()),"",IF(INDEX(Data!$A:$G,MATCH($B1378,Data!$A:$A,0),MATCH($C$7,Data!$4:$4,0))="","",INDEX(Data!$A:$G,MATCH($B1378,Data!$A:$A,0),MATCH($C$7,Data!$4:$4,0))))</f>
        <v>62.7</v>
      </c>
      <c r="D1378" s="148">
        <f t="shared" ca="1" si="48"/>
        <v>2.2999999999999972</v>
      </c>
      <c r="E1378" s="148">
        <f t="shared" ca="1" si="49"/>
        <v>0</v>
      </c>
    </row>
    <row r="1379" spans="2:5" x14ac:dyDescent="0.25">
      <c r="B1379" s="8">
        <v>38973</v>
      </c>
      <c r="C1379" s="6">
        <f ca="1">IF(OR($C$7="",$B1379&gt;NOW()),"",IF(INDEX(Data!$A:$G,MATCH($B1379,Data!$A:$A,0),MATCH($C$7,Data!$4:$4,0))="","",INDEX(Data!$A:$G,MATCH($B1379,Data!$A:$A,0),MATCH($C$7,Data!$4:$4,0))))</f>
        <v>64.599999999999994</v>
      </c>
      <c r="D1379" s="148">
        <f t="shared" ca="1" si="48"/>
        <v>0.40000000000000568</v>
      </c>
      <c r="E1379" s="148">
        <f t="shared" ca="1" si="49"/>
        <v>0</v>
      </c>
    </row>
    <row r="1380" spans="2:5" x14ac:dyDescent="0.25">
      <c r="B1380" s="8">
        <v>38974</v>
      </c>
      <c r="C1380" s="6">
        <f ca="1">IF(OR($C$7="",$B1380&gt;NOW()),"",IF(INDEX(Data!$A:$G,MATCH($B1380,Data!$A:$A,0),MATCH($C$7,Data!$4:$4,0))="","",INDEX(Data!$A:$G,MATCH($B1380,Data!$A:$A,0),MATCH($C$7,Data!$4:$4,0))))</f>
        <v>67.900000000000006</v>
      </c>
      <c r="D1380" s="148">
        <f t="shared" ca="1" si="48"/>
        <v>0</v>
      </c>
      <c r="E1380" s="148">
        <f t="shared" ca="1" si="49"/>
        <v>2.9000000000000057</v>
      </c>
    </row>
    <row r="1381" spans="2:5" x14ac:dyDescent="0.25">
      <c r="B1381" s="8">
        <v>38975</v>
      </c>
      <c r="C1381" s="6">
        <f ca="1">IF(OR($C$7="",$B1381&gt;NOW()),"",IF(INDEX(Data!$A:$G,MATCH($B1381,Data!$A:$A,0),MATCH($C$7,Data!$4:$4,0))="","",INDEX(Data!$A:$G,MATCH($B1381,Data!$A:$A,0),MATCH($C$7,Data!$4:$4,0))))</f>
        <v>68.2</v>
      </c>
      <c r="D1381" s="148">
        <f t="shared" ca="1" si="48"/>
        <v>0</v>
      </c>
      <c r="E1381" s="148">
        <f t="shared" ca="1" si="49"/>
        <v>3.2000000000000028</v>
      </c>
    </row>
    <row r="1382" spans="2:5" x14ac:dyDescent="0.25">
      <c r="B1382" s="8">
        <v>38976</v>
      </c>
      <c r="C1382" s="6">
        <f ca="1">IF(OR($C$7="",$B1382&gt;NOW()),"",IF(INDEX(Data!$A:$G,MATCH($B1382,Data!$A:$A,0),MATCH($C$7,Data!$4:$4,0))="","",INDEX(Data!$A:$G,MATCH($B1382,Data!$A:$A,0),MATCH($C$7,Data!$4:$4,0))))</f>
        <v>70.599999999999994</v>
      </c>
      <c r="D1382" s="148">
        <f t="shared" ca="1" si="48"/>
        <v>0</v>
      </c>
      <c r="E1382" s="148">
        <f t="shared" ca="1" si="49"/>
        <v>5.5999999999999943</v>
      </c>
    </row>
    <row r="1383" spans="2:5" x14ac:dyDescent="0.25">
      <c r="B1383" s="8">
        <v>38977</v>
      </c>
      <c r="C1383" s="6">
        <f ca="1">IF(OR($C$7="",$B1383&gt;NOW()),"",IF(INDEX(Data!$A:$G,MATCH($B1383,Data!$A:$A,0),MATCH($C$7,Data!$4:$4,0))="","",INDEX(Data!$A:$G,MATCH($B1383,Data!$A:$A,0),MATCH($C$7,Data!$4:$4,0))))</f>
        <v>72.8</v>
      </c>
      <c r="D1383" s="148">
        <f t="shared" ca="1" si="48"/>
        <v>0</v>
      </c>
      <c r="E1383" s="148">
        <f t="shared" ca="1" si="49"/>
        <v>7.7999999999999972</v>
      </c>
    </row>
    <row r="1384" spans="2:5" x14ac:dyDescent="0.25">
      <c r="B1384" s="8">
        <v>38978</v>
      </c>
      <c r="C1384" s="6">
        <f ca="1">IF(OR($C$7="",$B1384&gt;NOW()),"",IF(INDEX(Data!$A:$G,MATCH($B1384,Data!$A:$A,0),MATCH($C$7,Data!$4:$4,0))="","",INDEX(Data!$A:$G,MATCH($B1384,Data!$A:$A,0),MATCH($C$7,Data!$4:$4,0))))</f>
        <v>75</v>
      </c>
      <c r="D1384" s="148">
        <f t="shared" ca="1" si="48"/>
        <v>0</v>
      </c>
      <c r="E1384" s="148">
        <f t="shared" ca="1" si="49"/>
        <v>10</v>
      </c>
    </row>
    <row r="1385" spans="2:5" x14ac:dyDescent="0.25">
      <c r="B1385" s="8">
        <v>38979</v>
      </c>
      <c r="C1385" s="6">
        <f ca="1">IF(OR($C$7="",$B1385&gt;NOW()),"",IF(INDEX(Data!$A:$G,MATCH($B1385,Data!$A:$A,0),MATCH($C$7,Data!$4:$4,0))="","",INDEX(Data!$A:$G,MATCH($B1385,Data!$A:$A,0),MATCH($C$7,Data!$4:$4,0))))</f>
        <v>73.400000000000006</v>
      </c>
      <c r="D1385" s="148">
        <f t="shared" ca="1" si="48"/>
        <v>0</v>
      </c>
      <c r="E1385" s="148">
        <f t="shared" ca="1" si="49"/>
        <v>8.4000000000000057</v>
      </c>
    </row>
    <row r="1386" spans="2:5" x14ac:dyDescent="0.25">
      <c r="B1386" s="8">
        <v>38980</v>
      </c>
      <c r="C1386" s="6">
        <f ca="1">IF(OR($C$7="",$B1386&gt;NOW()),"",IF(INDEX(Data!$A:$G,MATCH($B1386,Data!$A:$A,0),MATCH($C$7,Data!$4:$4,0))="","",INDEX(Data!$A:$G,MATCH($B1386,Data!$A:$A,0),MATCH($C$7,Data!$4:$4,0))))</f>
        <v>68.7</v>
      </c>
      <c r="D1386" s="148">
        <f t="shared" ca="1" si="48"/>
        <v>0</v>
      </c>
      <c r="E1386" s="148">
        <f t="shared" ca="1" si="49"/>
        <v>3.7000000000000028</v>
      </c>
    </row>
    <row r="1387" spans="2:5" x14ac:dyDescent="0.25">
      <c r="B1387" s="8">
        <v>38981</v>
      </c>
      <c r="C1387" s="6">
        <f ca="1">IF(OR($C$7="",$B1387&gt;NOW()),"",IF(INDEX(Data!$A:$G,MATCH($B1387,Data!$A:$A,0),MATCH($C$7,Data!$4:$4,0))="","",INDEX(Data!$A:$G,MATCH($B1387,Data!$A:$A,0),MATCH($C$7,Data!$4:$4,0))))</f>
        <v>62.4</v>
      </c>
      <c r="D1387" s="148">
        <f t="shared" ca="1" si="48"/>
        <v>2.6000000000000014</v>
      </c>
      <c r="E1387" s="148">
        <f t="shared" ca="1" si="49"/>
        <v>0</v>
      </c>
    </row>
    <row r="1388" spans="2:5" x14ac:dyDescent="0.25">
      <c r="B1388" s="8">
        <v>38982</v>
      </c>
      <c r="C1388" s="6">
        <f ca="1">IF(OR($C$7="",$B1388&gt;NOW()),"",IF(INDEX(Data!$A:$G,MATCH($B1388,Data!$A:$A,0),MATCH($C$7,Data!$4:$4,0))="","",INDEX(Data!$A:$G,MATCH($B1388,Data!$A:$A,0),MATCH($C$7,Data!$4:$4,0))))</f>
        <v>64.8</v>
      </c>
      <c r="D1388" s="148">
        <f t="shared" ca="1" si="48"/>
        <v>0.20000000000000284</v>
      </c>
      <c r="E1388" s="148">
        <f t="shared" ca="1" si="49"/>
        <v>0</v>
      </c>
    </row>
    <row r="1389" spans="2:5" x14ac:dyDescent="0.25">
      <c r="B1389" s="8">
        <v>38983</v>
      </c>
      <c r="C1389" s="6">
        <f ca="1">IF(OR($C$7="",$B1389&gt;NOW()),"",IF(INDEX(Data!$A:$G,MATCH($B1389,Data!$A:$A,0),MATCH($C$7,Data!$4:$4,0))="","",INDEX(Data!$A:$G,MATCH($B1389,Data!$A:$A,0),MATCH($C$7,Data!$4:$4,0))))</f>
        <v>69.3</v>
      </c>
      <c r="D1389" s="148">
        <f t="shared" ca="1" si="48"/>
        <v>0</v>
      </c>
      <c r="E1389" s="148">
        <f t="shared" ca="1" si="49"/>
        <v>4.2999999999999972</v>
      </c>
    </row>
    <row r="1390" spans="2:5" x14ac:dyDescent="0.25">
      <c r="B1390" s="8">
        <v>38984</v>
      </c>
      <c r="C1390" s="6">
        <f ca="1">IF(OR($C$7="",$B1390&gt;NOW()),"",IF(INDEX(Data!$A:$G,MATCH($B1390,Data!$A:$A,0),MATCH($C$7,Data!$4:$4,0))="","",INDEX(Data!$A:$G,MATCH($B1390,Data!$A:$A,0),MATCH($C$7,Data!$4:$4,0))))</f>
        <v>76.3</v>
      </c>
      <c r="D1390" s="148">
        <f t="shared" ca="1" si="48"/>
        <v>0</v>
      </c>
      <c r="E1390" s="148">
        <f t="shared" ca="1" si="49"/>
        <v>11.299999999999997</v>
      </c>
    </row>
    <row r="1391" spans="2:5" x14ac:dyDescent="0.25">
      <c r="B1391" s="8">
        <v>38985</v>
      </c>
      <c r="C1391" s="6">
        <f ca="1">IF(OR($C$7="",$B1391&gt;NOW()),"",IF(INDEX(Data!$A:$G,MATCH($B1391,Data!$A:$A,0),MATCH($C$7,Data!$4:$4,0))="","",INDEX(Data!$A:$G,MATCH($B1391,Data!$A:$A,0),MATCH($C$7,Data!$4:$4,0))))</f>
        <v>70.400000000000006</v>
      </c>
      <c r="D1391" s="148">
        <f t="shared" ca="1" si="48"/>
        <v>0</v>
      </c>
      <c r="E1391" s="148">
        <f t="shared" ca="1" si="49"/>
        <v>5.4000000000000057</v>
      </c>
    </row>
    <row r="1392" spans="2:5" x14ac:dyDescent="0.25">
      <c r="B1392" s="8">
        <v>38986</v>
      </c>
      <c r="C1392" s="6">
        <f ca="1">IF(OR($C$7="",$B1392&gt;NOW()),"",IF(INDEX(Data!$A:$G,MATCH($B1392,Data!$A:$A,0),MATCH($C$7,Data!$4:$4,0))="","",INDEX(Data!$A:$G,MATCH($B1392,Data!$A:$A,0),MATCH($C$7,Data!$4:$4,0))))</f>
        <v>67.7</v>
      </c>
      <c r="D1392" s="148">
        <f t="shared" ca="1" si="48"/>
        <v>0</v>
      </c>
      <c r="E1392" s="148">
        <f t="shared" ca="1" si="49"/>
        <v>2.7000000000000028</v>
      </c>
    </row>
    <row r="1393" spans="2:5" x14ac:dyDescent="0.25">
      <c r="B1393" s="8">
        <v>38987</v>
      </c>
      <c r="C1393" s="6">
        <f ca="1">IF(OR($C$7="",$B1393&gt;NOW()),"",IF(INDEX(Data!$A:$G,MATCH($B1393,Data!$A:$A,0),MATCH($C$7,Data!$4:$4,0))="","",INDEX(Data!$A:$G,MATCH($B1393,Data!$A:$A,0),MATCH($C$7,Data!$4:$4,0))))</f>
        <v>66</v>
      </c>
      <c r="D1393" s="148">
        <f t="shared" ca="1" si="48"/>
        <v>0</v>
      </c>
      <c r="E1393" s="148">
        <f t="shared" ca="1" si="49"/>
        <v>1</v>
      </c>
    </row>
    <row r="1394" spans="2:5" x14ac:dyDescent="0.25">
      <c r="B1394" s="8">
        <v>38988</v>
      </c>
      <c r="C1394" s="6">
        <f ca="1">IF(OR($C$7="",$B1394&gt;NOW()),"",IF(INDEX(Data!$A:$G,MATCH($B1394,Data!$A:$A,0),MATCH($C$7,Data!$4:$4,0))="","",INDEX(Data!$A:$G,MATCH($B1394,Data!$A:$A,0),MATCH($C$7,Data!$4:$4,0))))</f>
        <v>69.2</v>
      </c>
      <c r="D1394" s="148">
        <f t="shared" ca="1" si="48"/>
        <v>0</v>
      </c>
      <c r="E1394" s="148">
        <f t="shared" ca="1" si="49"/>
        <v>4.2000000000000028</v>
      </c>
    </row>
    <row r="1395" spans="2:5" x14ac:dyDescent="0.25">
      <c r="B1395" s="8">
        <v>38989</v>
      </c>
      <c r="C1395" s="6">
        <f ca="1">IF(OR($C$7="",$B1395&gt;NOW()),"",IF(INDEX(Data!$A:$G,MATCH($B1395,Data!$A:$A,0),MATCH($C$7,Data!$4:$4,0))="","",INDEX(Data!$A:$G,MATCH($B1395,Data!$A:$A,0),MATCH($C$7,Data!$4:$4,0))))</f>
        <v>64.8</v>
      </c>
      <c r="D1395" s="148">
        <f t="shared" ca="1" si="48"/>
        <v>0.20000000000000284</v>
      </c>
      <c r="E1395" s="148">
        <f t="shared" ca="1" si="49"/>
        <v>0</v>
      </c>
    </row>
    <row r="1396" spans="2:5" x14ac:dyDescent="0.25">
      <c r="B1396" s="8">
        <v>38990</v>
      </c>
      <c r="C1396" s="6">
        <f ca="1">IF(OR($C$7="",$B1396&gt;NOW()),"",IF(INDEX(Data!$A:$G,MATCH($B1396,Data!$A:$A,0),MATCH($C$7,Data!$4:$4,0))="","",INDEX(Data!$A:$G,MATCH($B1396,Data!$A:$A,0),MATCH($C$7,Data!$4:$4,0))))</f>
        <v>60.1</v>
      </c>
      <c r="D1396" s="148">
        <f t="shared" ca="1" si="48"/>
        <v>4.8999999999999986</v>
      </c>
      <c r="E1396" s="148">
        <f t="shared" ca="1" si="49"/>
        <v>0</v>
      </c>
    </row>
    <row r="1397" spans="2:5" x14ac:dyDescent="0.25">
      <c r="B1397" s="8">
        <v>38991</v>
      </c>
      <c r="C1397" s="6">
        <f ca="1">IF(OR($C$7="",$B1397&gt;NOW()),"",IF(INDEX(Data!$A:$G,MATCH($B1397,Data!$A:$A,0),MATCH($C$7,Data!$4:$4,0))="","",INDEX(Data!$A:$G,MATCH($B1397,Data!$A:$A,0),MATCH($C$7,Data!$4:$4,0))))</f>
        <v>66.3</v>
      </c>
      <c r="D1397" s="148">
        <f t="shared" ca="1" si="48"/>
        <v>0</v>
      </c>
      <c r="E1397" s="148">
        <f t="shared" ca="1" si="49"/>
        <v>1.2999999999999972</v>
      </c>
    </row>
    <row r="1398" spans="2:5" x14ac:dyDescent="0.25">
      <c r="B1398" s="8">
        <v>38992</v>
      </c>
      <c r="C1398" s="6">
        <f ca="1">IF(OR($C$7="",$B1398&gt;NOW()),"",IF(INDEX(Data!$A:$G,MATCH($B1398,Data!$A:$A,0),MATCH($C$7,Data!$4:$4,0))="","",INDEX(Data!$A:$G,MATCH($B1398,Data!$A:$A,0),MATCH($C$7,Data!$4:$4,0))))</f>
        <v>63.2</v>
      </c>
      <c r="D1398" s="148">
        <f t="shared" ca="1" si="48"/>
        <v>1.7999999999999972</v>
      </c>
      <c r="E1398" s="148">
        <f t="shared" ca="1" si="49"/>
        <v>0</v>
      </c>
    </row>
    <row r="1399" spans="2:5" x14ac:dyDescent="0.25">
      <c r="B1399" s="8">
        <v>38993</v>
      </c>
      <c r="C1399" s="6">
        <f ca="1">IF(OR($C$7="",$B1399&gt;NOW()),"",IF(INDEX(Data!$A:$G,MATCH($B1399,Data!$A:$A,0),MATCH($C$7,Data!$4:$4,0))="","",INDEX(Data!$A:$G,MATCH($B1399,Data!$A:$A,0),MATCH($C$7,Data!$4:$4,0))))</f>
        <v>68.599999999999994</v>
      </c>
      <c r="D1399" s="148">
        <f t="shared" ca="1" si="48"/>
        <v>0</v>
      </c>
      <c r="E1399" s="148">
        <f t="shared" ca="1" si="49"/>
        <v>3.5999999999999943</v>
      </c>
    </row>
    <row r="1400" spans="2:5" x14ac:dyDescent="0.25">
      <c r="B1400" s="8">
        <v>38994</v>
      </c>
      <c r="C1400" s="6">
        <f ca="1">IF(OR($C$7="",$B1400&gt;NOW()),"",IF(INDEX(Data!$A:$G,MATCH($B1400,Data!$A:$A,0),MATCH($C$7,Data!$4:$4,0))="","",INDEX(Data!$A:$G,MATCH($B1400,Data!$A:$A,0),MATCH($C$7,Data!$4:$4,0))))</f>
        <v>73.900000000000006</v>
      </c>
      <c r="D1400" s="148">
        <f t="shared" ca="1" si="48"/>
        <v>0</v>
      </c>
      <c r="E1400" s="148">
        <f t="shared" ca="1" si="49"/>
        <v>8.9000000000000057</v>
      </c>
    </row>
    <row r="1401" spans="2:5" x14ac:dyDescent="0.25">
      <c r="B1401" s="8">
        <v>38995</v>
      </c>
      <c r="C1401" s="6">
        <f ca="1">IF(OR($C$7="",$B1401&gt;NOW()),"",IF(INDEX(Data!$A:$G,MATCH($B1401,Data!$A:$A,0),MATCH($C$7,Data!$4:$4,0))="","",INDEX(Data!$A:$G,MATCH($B1401,Data!$A:$A,0),MATCH($C$7,Data!$4:$4,0))))</f>
        <v>64.5</v>
      </c>
      <c r="D1401" s="148">
        <f t="shared" ca="1" si="48"/>
        <v>0.5</v>
      </c>
      <c r="E1401" s="148">
        <f t="shared" ca="1" si="49"/>
        <v>0</v>
      </c>
    </row>
    <row r="1402" spans="2:5" x14ac:dyDescent="0.25">
      <c r="B1402" s="8">
        <v>38996</v>
      </c>
      <c r="C1402" s="6">
        <f ca="1">IF(OR($C$7="",$B1402&gt;NOW()),"",IF(INDEX(Data!$A:$G,MATCH($B1402,Data!$A:$A,0),MATCH($C$7,Data!$4:$4,0))="","",INDEX(Data!$A:$G,MATCH($B1402,Data!$A:$A,0),MATCH($C$7,Data!$4:$4,0))))</f>
        <v>57.6</v>
      </c>
      <c r="D1402" s="148">
        <f t="shared" ca="1" si="48"/>
        <v>7.3999999999999986</v>
      </c>
      <c r="E1402" s="148">
        <f t="shared" ca="1" si="49"/>
        <v>0</v>
      </c>
    </row>
    <row r="1403" spans="2:5" x14ac:dyDescent="0.25">
      <c r="B1403" s="8">
        <v>38997</v>
      </c>
      <c r="C1403" s="6">
        <f ca="1">IF(OR($C$7="",$B1403&gt;NOW()),"",IF(INDEX(Data!$A:$G,MATCH($B1403,Data!$A:$A,0),MATCH($C$7,Data!$4:$4,0))="","",INDEX(Data!$A:$G,MATCH($B1403,Data!$A:$A,0),MATCH($C$7,Data!$4:$4,0))))</f>
        <v>57.6</v>
      </c>
      <c r="D1403" s="148">
        <f t="shared" ca="1" si="48"/>
        <v>7.3999999999999986</v>
      </c>
      <c r="E1403" s="148">
        <f t="shared" ca="1" si="49"/>
        <v>0</v>
      </c>
    </row>
    <row r="1404" spans="2:5" x14ac:dyDescent="0.25">
      <c r="B1404" s="8">
        <v>38998</v>
      </c>
      <c r="C1404" s="6">
        <f ca="1">IF(OR($C$7="",$B1404&gt;NOW()),"",IF(INDEX(Data!$A:$G,MATCH($B1404,Data!$A:$A,0),MATCH($C$7,Data!$4:$4,0))="","",INDEX(Data!$A:$G,MATCH($B1404,Data!$A:$A,0),MATCH($C$7,Data!$4:$4,0))))</f>
        <v>61.2</v>
      </c>
      <c r="D1404" s="148">
        <f t="shared" ca="1" si="48"/>
        <v>3.7999999999999972</v>
      </c>
      <c r="E1404" s="148">
        <f t="shared" ca="1" si="49"/>
        <v>0</v>
      </c>
    </row>
    <row r="1405" spans="2:5" x14ac:dyDescent="0.25">
      <c r="B1405" s="8">
        <v>38999</v>
      </c>
      <c r="C1405" s="6">
        <f ca="1">IF(OR($C$7="",$B1405&gt;NOW()),"",IF(INDEX(Data!$A:$G,MATCH($B1405,Data!$A:$A,0),MATCH($C$7,Data!$4:$4,0))="","",INDEX(Data!$A:$G,MATCH($B1405,Data!$A:$A,0),MATCH($C$7,Data!$4:$4,0))))</f>
        <v>66.599999999999994</v>
      </c>
      <c r="D1405" s="148">
        <f t="shared" ca="1" si="48"/>
        <v>0</v>
      </c>
      <c r="E1405" s="148">
        <f t="shared" ca="1" si="49"/>
        <v>1.5999999999999943</v>
      </c>
    </row>
    <row r="1406" spans="2:5" x14ac:dyDescent="0.25">
      <c r="B1406" s="8">
        <v>39000</v>
      </c>
      <c r="C1406" s="6">
        <f ca="1">IF(OR($C$7="",$B1406&gt;NOW()),"",IF(INDEX(Data!$A:$G,MATCH($B1406,Data!$A:$A,0),MATCH($C$7,Data!$4:$4,0))="","",INDEX(Data!$A:$G,MATCH($B1406,Data!$A:$A,0),MATCH($C$7,Data!$4:$4,0))))</f>
        <v>69.400000000000006</v>
      </c>
      <c r="D1406" s="148">
        <f t="shared" ca="1" si="48"/>
        <v>0</v>
      </c>
      <c r="E1406" s="148">
        <f t="shared" ca="1" si="49"/>
        <v>4.4000000000000057</v>
      </c>
    </row>
    <row r="1407" spans="2:5" x14ac:dyDescent="0.25">
      <c r="B1407" s="8">
        <v>39001</v>
      </c>
      <c r="C1407" s="6">
        <f ca="1">IF(OR($C$7="",$B1407&gt;NOW()),"",IF(INDEX(Data!$A:$G,MATCH($B1407,Data!$A:$A,0),MATCH($C$7,Data!$4:$4,0))="","",INDEX(Data!$A:$G,MATCH($B1407,Data!$A:$A,0),MATCH($C$7,Data!$4:$4,0))))</f>
        <v>63</v>
      </c>
      <c r="D1407" s="148">
        <f t="shared" ca="1" si="48"/>
        <v>2</v>
      </c>
      <c r="E1407" s="148">
        <f t="shared" ca="1" si="49"/>
        <v>0</v>
      </c>
    </row>
    <row r="1408" spans="2:5" x14ac:dyDescent="0.25">
      <c r="B1408" s="8">
        <v>39002</v>
      </c>
      <c r="C1408" s="6">
        <f ca="1">IF(OR($C$7="",$B1408&gt;NOW()),"",IF(INDEX(Data!$A:$G,MATCH($B1408,Data!$A:$A,0),MATCH($C$7,Data!$4:$4,0))="","",INDEX(Data!$A:$G,MATCH($B1408,Data!$A:$A,0),MATCH($C$7,Data!$4:$4,0))))</f>
        <v>64.8</v>
      </c>
      <c r="D1408" s="148">
        <f t="shared" ca="1" si="48"/>
        <v>0.20000000000000284</v>
      </c>
      <c r="E1408" s="148">
        <f t="shared" ca="1" si="49"/>
        <v>0</v>
      </c>
    </row>
    <row r="1409" spans="2:5" x14ac:dyDescent="0.25">
      <c r="B1409" s="8">
        <v>39003</v>
      </c>
      <c r="C1409" s="6">
        <f ca="1">IF(OR($C$7="",$B1409&gt;NOW()),"",IF(INDEX(Data!$A:$G,MATCH($B1409,Data!$A:$A,0),MATCH($C$7,Data!$4:$4,0))="","",INDEX(Data!$A:$G,MATCH($B1409,Data!$A:$A,0),MATCH($C$7,Data!$4:$4,0))))</f>
        <v>52.8</v>
      </c>
      <c r="D1409" s="148">
        <f t="shared" ca="1" si="48"/>
        <v>12.200000000000003</v>
      </c>
      <c r="E1409" s="148">
        <f t="shared" ca="1" si="49"/>
        <v>0</v>
      </c>
    </row>
    <row r="1410" spans="2:5" x14ac:dyDescent="0.25">
      <c r="B1410" s="8">
        <v>39004</v>
      </c>
      <c r="C1410" s="6">
        <f ca="1">IF(OR($C$7="",$B1410&gt;NOW()),"",IF(INDEX(Data!$A:$G,MATCH($B1410,Data!$A:$A,0),MATCH($C$7,Data!$4:$4,0))="","",INDEX(Data!$A:$G,MATCH($B1410,Data!$A:$A,0),MATCH($C$7,Data!$4:$4,0))))</f>
        <v>53.4</v>
      </c>
      <c r="D1410" s="148">
        <f t="shared" ca="1" si="48"/>
        <v>11.600000000000001</v>
      </c>
      <c r="E1410" s="148">
        <f t="shared" ca="1" si="49"/>
        <v>0</v>
      </c>
    </row>
    <row r="1411" spans="2:5" x14ac:dyDescent="0.25">
      <c r="B1411" s="8">
        <v>39005</v>
      </c>
      <c r="C1411" s="6">
        <f ca="1">IF(OR($C$7="",$B1411&gt;NOW()),"",IF(INDEX(Data!$A:$G,MATCH($B1411,Data!$A:$A,0),MATCH($C$7,Data!$4:$4,0))="","",INDEX(Data!$A:$G,MATCH($B1411,Data!$A:$A,0),MATCH($C$7,Data!$4:$4,0))))</f>
        <v>52.3</v>
      </c>
      <c r="D1411" s="148">
        <f t="shared" ca="1" si="48"/>
        <v>12.700000000000003</v>
      </c>
      <c r="E1411" s="148">
        <f t="shared" ca="1" si="49"/>
        <v>0</v>
      </c>
    </row>
    <row r="1412" spans="2:5" x14ac:dyDescent="0.25">
      <c r="B1412" s="8">
        <v>39006</v>
      </c>
      <c r="C1412" s="6">
        <f ca="1">IF(OR($C$7="",$B1412&gt;NOW()),"",IF(INDEX(Data!$A:$G,MATCH($B1412,Data!$A:$A,0),MATCH($C$7,Data!$4:$4,0))="","",INDEX(Data!$A:$G,MATCH($B1412,Data!$A:$A,0),MATCH($C$7,Data!$4:$4,0))))</f>
        <v>54.6</v>
      </c>
      <c r="D1412" s="148">
        <f t="shared" ca="1" si="48"/>
        <v>10.399999999999999</v>
      </c>
      <c r="E1412" s="148">
        <f t="shared" ca="1" si="49"/>
        <v>0</v>
      </c>
    </row>
    <row r="1413" spans="2:5" x14ac:dyDescent="0.25">
      <c r="B1413" s="8">
        <v>39007</v>
      </c>
      <c r="C1413" s="6">
        <f ca="1">IF(OR($C$7="",$B1413&gt;NOW()),"",IF(INDEX(Data!$A:$G,MATCH($B1413,Data!$A:$A,0),MATCH($C$7,Data!$4:$4,0))="","",INDEX(Data!$A:$G,MATCH($B1413,Data!$A:$A,0),MATCH($C$7,Data!$4:$4,0))))</f>
        <v>57.5</v>
      </c>
      <c r="D1413" s="148">
        <f t="shared" ca="1" si="48"/>
        <v>7.5</v>
      </c>
      <c r="E1413" s="148">
        <f t="shared" ca="1" si="49"/>
        <v>0</v>
      </c>
    </row>
    <row r="1414" spans="2:5" x14ac:dyDescent="0.25">
      <c r="B1414" s="8">
        <v>39008</v>
      </c>
      <c r="C1414" s="6">
        <f ca="1">IF(OR($C$7="",$B1414&gt;NOW()),"",IF(INDEX(Data!$A:$G,MATCH($B1414,Data!$A:$A,0),MATCH($C$7,Data!$4:$4,0))="","",INDEX(Data!$A:$G,MATCH($B1414,Data!$A:$A,0),MATCH($C$7,Data!$4:$4,0))))</f>
        <v>66.5</v>
      </c>
      <c r="D1414" s="148">
        <f t="shared" ca="1" si="48"/>
        <v>0</v>
      </c>
      <c r="E1414" s="148">
        <f t="shared" ca="1" si="49"/>
        <v>1.5</v>
      </c>
    </row>
    <row r="1415" spans="2:5" x14ac:dyDescent="0.25">
      <c r="B1415" s="8">
        <v>39009</v>
      </c>
      <c r="C1415" s="6">
        <f ca="1">IF(OR($C$7="",$B1415&gt;NOW()),"",IF(INDEX(Data!$A:$G,MATCH($B1415,Data!$A:$A,0),MATCH($C$7,Data!$4:$4,0))="","",INDEX(Data!$A:$G,MATCH($B1415,Data!$A:$A,0),MATCH($C$7,Data!$4:$4,0))))</f>
        <v>65.2</v>
      </c>
      <c r="D1415" s="148">
        <f t="shared" ca="1" si="48"/>
        <v>0</v>
      </c>
      <c r="E1415" s="148">
        <f t="shared" ca="1" si="49"/>
        <v>0.20000000000000284</v>
      </c>
    </row>
    <row r="1416" spans="2:5" x14ac:dyDescent="0.25">
      <c r="B1416" s="8">
        <v>39010</v>
      </c>
      <c r="C1416" s="6">
        <f ca="1">IF(OR($C$7="",$B1416&gt;NOW()),"",IF(INDEX(Data!$A:$G,MATCH($B1416,Data!$A:$A,0),MATCH($C$7,Data!$4:$4,0))="","",INDEX(Data!$A:$G,MATCH($B1416,Data!$A:$A,0),MATCH($C$7,Data!$4:$4,0))))</f>
        <v>63.9</v>
      </c>
      <c r="D1416" s="148">
        <f t="shared" ca="1" si="48"/>
        <v>1.1000000000000014</v>
      </c>
      <c r="E1416" s="148">
        <f t="shared" ca="1" si="49"/>
        <v>0</v>
      </c>
    </row>
    <row r="1417" spans="2:5" x14ac:dyDescent="0.25">
      <c r="B1417" s="8">
        <v>39011</v>
      </c>
      <c r="C1417" s="6">
        <f ca="1">IF(OR($C$7="",$B1417&gt;NOW()),"",IF(INDEX(Data!$A:$G,MATCH($B1417,Data!$A:$A,0),MATCH($C$7,Data!$4:$4,0))="","",INDEX(Data!$A:$G,MATCH($B1417,Data!$A:$A,0),MATCH($C$7,Data!$4:$4,0))))</f>
        <v>52</v>
      </c>
      <c r="D1417" s="148">
        <f t="shared" ca="1" si="48"/>
        <v>13</v>
      </c>
      <c r="E1417" s="148">
        <f t="shared" ca="1" si="49"/>
        <v>0</v>
      </c>
    </row>
    <row r="1418" spans="2:5" x14ac:dyDescent="0.25">
      <c r="B1418" s="8">
        <v>39012</v>
      </c>
      <c r="C1418" s="6">
        <f ca="1">IF(OR($C$7="",$B1418&gt;NOW()),"",IF(INDEX(Data!$A:$G,MATCH($B1418,Data!$A:$A,0),MATCH($C$7,Data!$4:$4,0))="","",INDEX(Data!$A:$G,MATCH($B1418,Data!$A:$A,0),MATCH($C$7,Data!$4:$4,0))))</f>
        <v>54.9</v>
      </c>
      <c r="D1418" s="148">
        <f t="shared" ca="1" si="48"/>
        <v>10.100000000000001</v>
      </c>
      <c r="E1418" s="148">
        <f t="shared" ca="1" si="49"/>
        <v>0</v>
      </c>
    </row>
    <row r="1419" spans="2:5" x14ac:dyDescent="0.25">
      <c r="B1419" s="8">
        <v>39013</v>
      </c>
      <c r="C1419" s="6">
        <f ca="1">IF(OR($C$7="",$B1419&gt;NOW()),"",IF(INDEX(Data!$A:$G,MATCH($B1419,Data!$A:$A,0),MATCH($C$7,Data!$4:$4,0))="","",INDEX(Data!$A:$G,MATCH($B1419,Data!$A:$A,0),MATCH($C$7,Data!$4:$4,0))))</f>
        <v>54.4</v>
      </c>
      <c r="D1419" s="148">
        <f t="shared" ca="1" si="48"/>
        <v>10.600000000000001</v>
      </c>
      <c r="E1419" s="148">
        <f t="shared" ca="1" si="49"/>
        <v>0</v>
      </c>
    </row>
    <row r="1420" spans="2:5" x14ac:dyDescent="0.25">
      <c r="B1420" s="8">
        <v>39014</v>
      </c>
      <c r="C1420" s="6">
        <f ca="1">IF(OR($C$7="",$B1420&gt;NOW()),"",IF(INDEX(Data!$A:$G,MATCH($B1420,Data!$A:$A,0),MATCH($C$7,Data!$4:$4,0))="","",INDEX(Data!$A:$G,MATCH($B1420,Data!$A:$A,0),MATCH($C$7,Data!$4:$4,0))))</f>
        <v>48.1</v>
      </c>
      <c r="D1420" s="148">
        <f t="shared" ca="1" si="48"/>
        <v>16.899999999999999</v>
      </c>
      <c r="E1420" s="148">
        <f t="shared" ca="1" si="49"/>
        <v>0</v>
      </c>
    </row>
    <row r="1421" spans="2:5" x14ac:dyDescent="0.25">
      <c r="B1421" s="8">
        <v>39015</v>
      </c>
      <c r="C1421" s="6">
        <f ca="1">IF(OR($C$7="",$B1421&gt;NOW()),"",IF(INDEX(Data!$A:$G,MATCH($B1421,Data!$A:$A,0),MATCH($C$7,Data!$4:$4,0))="","",INDEX(Data!$A:$G,MATCH($B1421,Data!$A:$A,0),MATCH($C$7,Data!$4:$4,0))))</f>
        <v>49.6</v>
      </c>
      <c r="D1421" s="148">
        <f t="shared" ca="1" si="48"/>
        <v>15.399999999999999</v>
      </c>
      <c r="E1421" s="148">
        <f t="shared" ca="1" si="49"/>
        <v>0</v>
      </c>
    </row>
    <row r="1422" spans="2:5" x14ac:dyDescent="0.25">
      <c r="B1422" s="8">
        <v>39016</v>
      </c>
      <c r="C1422" s="6">
        <f ca="1">IF(OR($C$7="",$B1422&gt;NOW()),"",IF(INDEX(Data!$A:$G,MATCH($B1422,Data!$A:$A,0),MATCH($C$7,Data!$4:$4,0))="","",INDEX(Data!$A:$G,MATCH($B1422,Data!$A:$A,0),MATCH($C$7,Data!$4:$4,0))))</f>
        <v>48.2</v>
      </c>
      <c r="D1422" s="148">
        <f t="shared" ca="1" si="48"/>
        <v>16.799999999999997</v>
      </c>
      <c r="E1422" s="148">
        <f t="shared" ca="1" si="49"/>
        <v>0</v>
      </c>
    </row>
    <row r="1423" spans="2:5" x14ac:dyDescent="0.25">
      <c r="B1423" s="8">
        <v>39017</v>
      </c>
      <c r="C1423" s="6">
        <f ca="1">IF(OR($C$7="",$B1423&gt;NOW()),"",IF(INDEX(Data!$A:$G,MATCH($B1423,Data!$A:$A,0),MATCH($C$7,Data!$4:$4,0))="","",INDEX(Data!$A:$G,MATCH($B1423,Data!$A:$A,0),MATCH($C$7,Data!$4:$4,0))))</f>
        <v>46.4</v>
      </c>
      <c r="D1423" s="148">
        <f t="shared" ca="1" si="48"/>
        <v>18.600000000000001</v>
      </c>
      <c r="E1423" s="148">
        <f t="shared" ca="1" si="49"/>
        <v>0</v>
      </c>
    </row>
    <row r="1424" spans="2:5" x14ac:dyDescent="0.25">
      <c r="B1424" s="8">
        <v>39018</v>
      </c>
      <c r="C1424" s="6">
        <f ca="1">IF(OR($C$7="",$B1424&gt;NOW()),"",IF(INDEX(Data!$A:$G,MATCH($B1424,Data!$A:$A,0),MATCH($C$7,Data!$4:$4,0))="","",INDEX(Data!$A:$G,MATCH($B1424,Data!$A:$A,0),MATCH($C$7,Data!$4:$4,0))))</f>
        <v>57.6</v>
      </c>
      <c r="D1424" s="148">
        <f t="shared" ca="1" si="48"/>
        <v>7.3999999999999986</v>
      </c>
      <c r="E1424" s="148">
        <f t="shared" ca="1" si="49"/>
        <v>0</v>
      </c>
    </row>
    <row r="1425" spans="2:5" x14ac:dyDescent="0.25">
      <c r="B1425" s="8">
        <v>39019</v>
      </c>
      <c r="C1425" s="6">
        <f ca="1">IF(OR($C$7="",$B1425&gt;NOW()),"",IF(INDEX(Data!$A:$G,MATCH($B1425,Data!$A:$A,0),MATCH($C$7,Data!$4:$4,0))="","",INDEX(Data!$A:$G,MATCH($B1425,Data!$A:$A,0),MATCH($C$7,Data!$4:$4,0))))</f>
        <v>50.4</v>
      </c>
      <c r="D1425" s="148">
        <f t="shared" ca="1" si="48"/>
        <v>14.600000000000001</v>
      </c>
      <c r="E1425" s="148">
        <f t="shared" ca="1" si="49"/>
        <v>0</v>
      </c>
    </row>
    <row r="1426" spans="2:5" x14ac:dyDescent="0.25">
      <c r="B1426" s="8">
        <v>39020</v>
      </c>
      <c r="C1426" s="6">
        <f ca="1">IF(OR($C$7="",$B1426&gt;NOW()),"",IF(INDEX(Data!$A:$G,MATCH($B1426,Data!$A:$A,0),MATCH($C$7,Data!$4:$4,0))="","",INDEX(Data!$A:$G,MATCH($B1426,Data!$A:$A,0),MATCH($C$7,Data!$4:$4,0))))</f>
        <v>53.4</v>
      </c>
      <c r="D1426" s="148">
        <f t="shared" ca="1" si="48"/>
        <v>11.600000000000001</v>
      </c>
      <c r="E1426" s="148">
        <f t="shared" ca="1" si="49"/>
        <v>0</v>
      </c>
    </row>
    <row r="1427" spans="2:5" x14ac:dyDescent="0.25">
      <c r="B1427" s="8">
        <v>39021</v>
      </c>
      <c r="C1427" s="6">
        <f ca="1">IF(OR($C$7="",$B1427&gt;NOW()),"",IF(INDEX(Data!$A:$G,MATCH($B1427,Data!$A:$A,0),MATCH($C$7,Data!$4:$4,0))="","",INDEX(Data!$A:$G,MATCH($B1427,Data!$A:$A,0),MATCH($C$7,Data!$4:$4,0))))</f>
        <v>59.5</v>
      </c>
      <c r="D1427" s="148">
        <f t="shared" ca="1" si="48"/>
        <v>5.5</v>
      </c>
      <c r="E1427" s="148">
        <f t="shared" ca="1" si="49"/>
        <v>0</v>
      </c>
    </row>
    <row r="1428" spans="2:5" x14ac:dyDescent="0.25">
      <c r="B1428" s="8">
        <v>39022</v>
      </c>
      <c r="C1428" s="6">
        <f ca="1">IF(OR($C$7="",$B1428&gt;NOW()),"",IF(INDEX(Data!$A:$G,MATCH($B1428,Data!$A:$A,0),MATCH($C$7,Data!$4:$4,0))="","",INDEX(Data!$A:$G,MATCH($B1428,Data!$A:$A,0),MATCH($C$7,Data!$4:$4,0))))</f>
        <v>64.7</v>
      </c>
      <c r="D1428" s="148">
        <f t="shared" ca="1" si="48"/>
        <v>0.29999999999999716</v>
      </c>
      <c r="E1428" s="148">
        <f t="shared" ca="1" si="49"/>
        <v>0</v>
      </c>
    </row>
    <row r="1429" spans="2:5" x14ac:dyDescent="0.25">
      <c r="B1429" s="8">
        <v>39023</v>
      </c>
      <c r="C1429" s="6">
        <f ca="1">IF(OR($C$7="",$B1429&gt;NOW()),"",IF(INDEX(Data!$A:$G,MATCH($B1429,Data!$A:$A,0),MATCH($C$7,Data!$4:$4,0))="","",INDEX(Data!$A:$G,MATCH($B1429,Data!$A:$A,0),MATCH($C$7,Data!$4:$4,0))))</f>
        <v>54.6</v>
      </c>
      <c r="D1429" s="148">
        <f t="shared" ca="1" si="48"/>
        <v>10.399999999999999</v>
      </c>
      <c r="E1429" s="148">
        <f t="shared" ca="1" si="49"/>
        <v>0</v>
      </c>
    </row>
    <row r="1430" spans="2:5" x14ac:dyDescent="0.25">
      <c r="B1430" s="8">
        <v>39024</v>
      </c>
      <c r="C1430" s="6">
        <f ca="1">IF(OR($C$7="",$B1430&gt;NOW()),"",IF(INDEX(Data!$A:$G,MATCH($B1430,Data!$A:$A,0),MATCH($C$7,Data!$4:$4,0))="","",INDEX(Data!$A:$G,MATCH($B1430,Data!$A:$A,0),MATCH($C$7,Data!$4:$4,0))))</f>
        <v>45.2</v>
      </c>
      <c r="D1430" s="148">
        <f t="shared" ca="1" si="48"/>
        <v>19.799999999999997</v>
      </c>
      <c r="E1430" s="148">
        <f t="shared" ca="1" si="49"/>
        <v>0</v>
      </c>
    </row>
    <row r="1431" spans="2:5" x14ac:dyDescent="0.25">
      <c r="B1431" s="8">
        <v>39025</v>
      </c>
      <c r="C1431" s="6">
        <f ca="1">IF(OR($C$7="",$B1431&gt;NOW()),"",IF(INDEX(Data!$A:$G,MATCH($B1431,Data!$A:$A,0),MATCH($C$7,Data!$4:$4,0))="","",INDEX(Data!$A:$G,MATCH($B1431,Data!$A:$A,0),MATCH($C$7,Data!$4:$4,0))))</f>
        <v>43</v>
      </c>
      <c r="D1431" s="148">
        <f t="shared" ca="1" si="48"/>
        <v>22</v>
      </c>
      <c r="E1431" s="148">
        <f t="shared" ca="1" si="49"/>
        <v>0</v>
      </c>
    </row>
    <row r="1432" spans="2:5" x14ac:dyDescent="0.25">
      <c r="B1432" s="8">
        <v>39026</v>
      </c>
      <c r="C1432" s="6">
        <f ca="1">IF(OR($C$7="",$B1432&gt;NOW()),"",IF(INDEX(Data!$A:$G,MATCH($B1432,Data!$A:$A,0),MATCH($C$7,Data!$4:$4,0))="","",INDEX(Data!$A:$G,MATCH($B1432,Data!$A:$A,0),MATCH($C$7,Data!$4:$4,0))))</f>
        <v>45</v>
      </c>
      <c r="D1432" s="148">
        <f t="shared" ca="1" si="48"/>
        <v>20</v>
      </c>
      <c r="E1432" s="148">
        <f t="shared" ca="1" si="49"/>
        <v>0</v>
      </c>
    </row>
    <row r="1433" spans="2:5" x14ac:dyDescent="0.25">
      <c r="B1433" s="8">
        <v>39027</v>
      </c>
      <c r="C1433" s="6">
        <f ca="1">IF(OR($C$7="",$B1433&gt;NOW()),"",IF(INDEX(Data!$A:$G,MATCH($B1433,Data!$A:$A,0),MATCH($C$7,Data!$4:$4,0))="","",INDEX(Data!$A:$G,MATCH($B1433,Data!$A:$A,0),MATCH($C$7,Data!$4:$4,0))))</f>
        <v>49.4</v>
      </c>
      <c r="D1433" s="148">
        <f t="shared" ca="1" si="48"/>
        <v>15.600000000000001</v>
      </c>
      <c r="E1433" s="148">
        <f t="shared" ca="1" si="49"/>
        <v>0</v>
      </c>
    </row>
    <row r="1434" spans="2:5" x14ac:dyDescent="0.25">
      <c r="B1434" s="8">
        <v>39028</v>
      </c>
      <c r="C1434" s="6">
        <f ca="1">IF(OR($C$7="",$B1434&gt;NOW()),"",IF(INDEX(Data!$A:$G,MATCH($B1434,Data!$A:$A,0),MATCH($C$7,Data!$4:$4,0))="","",INDEX(Data!$A:$G,MATCH($B1434,Data!$A:$A,0),MATCH($C$7,Data!$4:$4,0))))</f>
        <v>54.4</v>
      </c>
      <c r="D1434" s="148">
        <f t="shared" ca="1" si="48"/>
        <v>10.600000000000001</v>
      </c>
      <c r="E1434" s="148">
        <f t="shared" ca="1" si="49"/>
        <v>0</v>
      </c>
    </row>
    <row r="1435" spans="2:5" x14ac:dyDescent="0.25">
      <c r="B1435" s="8">
        <v>39029</v>
      </c>
      <c r="C1435" s="6">
        <f ca="1">IF(OR($C$7="",$B1435&gt;NOW()),"",IF(INDEX(Data!$A:$G,MATCH($B1435,Data!$A:$A,0),MATCH($C$7,Data!$4:$4,0))="","",INDEX(Data!$A:$G,MATCH($B1435,Data!$A:$A,0),MATCH($C$7,Data!$4:$4,0))))</f>
        <v>58.3</v>
      </c>
      <c r="D1435" s="148">
        <f t="shared" ca="1" si="48"/>
        <v>6.7000000000000028</v>
      </c>
      <c r="E1435" s="148">
        <f t="shared" ca="1" si="49"/>
        <v>0</v>
      </c>
    </row>
    <row r="1436" spans="2:5" x14ac:dyDescent="0.25">
      <c r="B1436" s="8">
        <v>39030</v>
      </c>
      <c r="C1436" s="6">
        <f ca="1">IF(OR($C$7="",$B1436&gt;NOW()),"",IF(INDEX(Data!$A:$G,MATCH($B1436,Data!$A:$A,0),MATCH($C$7,Data!$4:$4,0))="","",INDEX(Data!$A:$G,MATCH($B1436,Data!$A:$A,0),MATCH($C$7,Data!$4:$4,0))))</f>
        <v>62.2</v>
      </c>
      <c r="D1436" s="148">
        <f t="shared" ca="1" si="48"/>
        <v>2.7999999999999972</v>
      </c>
      <c r="E1436" s="148">
        <f t="shared" ca="1" si="49"/>
        <v>0</v>
      </c>
    </row>
    <row r="1437" spans="2:5" x14ac:dyDescent="0.25">
      <c r="B1437" s="8">
        <v>39031</v>
      </c>
      <c r="C1437" s="6">
        <f ca="1">IF(OR($C$7="",$B1437&gt;NOW()),"",IF(INDEX(Data!$A:$G,MATCH($B1437,Data!$A:$A,0),MATCH($C$7,Data!$4:$4,0))="","",INDEX(Data!$A:$G,MATCH($B1437,Data!$A:$A,0),MATCH($C$7,Data!$4:$4,0))))</f>
        <v>60.6</v>
      </c>
      <c r="D1437" s="148">
        <f t="shared" ref="D1437:D1500" ca="1" si="50">IF($C1437="","",IF($C1437&gt;$D$26,0,$D$26-$C1437))</f>
        <v>4.3999999999999986</v>
      </c>
      <c r="E1437" s="148">
        <f t="shared" ref="E1437:E1500" ca="1" si="51">IF($C1437="","",IF($C1437&lt;$E$26,0,$C1437-$E$26))</f>
        <v>0</v>
      </c>
    </row>
    <row r="1438" spans="2:5" x14ac:dyDescent="0.25">
      <c r="B1438" s="8">
        <v>39032</v>
      </c>
      <c r="C1438" s="6">
        <f ca="1">IF(OR($C$7="",$B1438&gt;NOW()),"",IF(INDEX(Data!$A:$G,MATCH($B1438,Data!$A:$A,0),MATCH($C$7,Data!$4:$4,0))="","",INDEX(Data!$A:$G,MATCH($B1438,Data!$A:$A,0),MATCH($C$7,Data!$4:$4,0))))</f>
        <v>57.2</v>
      </c>
      <c r="D1438" s="148">
        <f t="shared" ca="1" si="50"/>
        <v>7.7999999999999972</v>
      </c>
      <c r="E1438" s="148">
        <f t="shared" ca="1" si="51"/>
        <v>0</v>
      </c>
    </row>
    <row r="1439" spans="2:5" x14ac:dyDescent="0.25">
      <c r="B1439" s="8">
        <v>39033</v>
      </c>
      <c r="C1439" s="6">
        <f ca="1">IF(OR($C$7="",$B1439&gt;NOW()),"",IF(INDEX(Data!$A:$G,MATCH($B1439,Data!$A:$A,0),MATCH($C$7,Data!$4:$4,0))="","",INDEX(Data!$A:$G,MATCH($B1439,Data!$A:$A,0),MATCH($C$7,Data!$4:$4,0))))</f>
        <v>59.6</v>
      </c>
      <c r="D1439" s="148">
        <f t="shared" ca="1" si="50"/>
        <v>5.3999999999999986</v>
      </c>
      <c r="E1439" s="148">
        <f t="shared" ca="1" si="51"/>
        <v>0</v>
      </c>
    </row>
    <row r="1440" spans="2:5" x14ac:dyDescent="0.25">
      <c r="B1440" s="8">
        <v>39034</v>
      </c>
      <c r="C1440" s="6">
        <f ca="1">IF(OR($C$7="",$B1440&gt;NOW()),"",IF(INDEX(Data!$A:$G,MATCH($B1440,Data!$A:$A,0),MATCH($C$7,Data!$4:$4,0))="","",INDEX(Data!$A:$G,MATCH($B1440,Data!$A:$A,0),MATCH($C$7,Data!$4:$4,0))))</f>
        <v>57.9</v>
      </c>
      <c r="D1440" s="148">
        <f t="shared" ca="1" si="50"/>
        <v>7.1000000000000014</v>
      </c>
      <c r="E1440" s="148">
        <f t="shared" ca="1" si="51"/>
        <v>0</v>
      </c>
    </row>
    <row r="1441" spans="2:5" x14ac:dyDescent="0.25">
      <c r="B1441" s="8">
        <v>39035</v>
      </c>
      <c r="C1441" s="6">
        <f ca="1">IF(OR($C$7="",$B1441&gt;NOW()),"",IF(INDEX(Data!$A:$G,MATCH($B1441,Data!$A:$A,0),MATCH($C$7,Data!$4:$4,0))="","",INDEX(Data!$A:$G,MATCH($B1441,Data!$A:$A,0),MATCH($C$7,Data!$4:$4,0))))</f>
        <v>58.6</v>
      </c>
      <c r="D1441" s="148">
        <f t="shared" ca="1" si="50"/>
        <v>6.3999999999999986</v>
      </c>
      <c r="E1441" s="148">
        <f t="shared" ca="1" si="51"/>
        <v>0</v>
      </c>
    </row>
    <row r="1442" spans="2:5" x14ac:dyDescent="0.25">
      <c r="B1442" s="8">
        <v>39036</v>
      </c>
      <c r="C1442" s="6">
        <f ca="1">IF(OR($C$7="",$B1442&gt;NOW()),"",IF(INDEX(Data!$A:$G,MATCH($B1442,Data!$A:$A,0),MATCH($C$7,Data!$4:$4,0))="","",INDEX(Data!$A:$G,MATCH($B1442,Data!$A:$A,0),MATCH($C$7,Data!$4:$4,0))))</f>
        <v>60.5</v>
      </c>
      <c r="D1442" s="148">
        <f t="shared" ca="1" si="50"/>
        <v>4.5</v>
      </c>
      <c r="E1442" s="148">
        <f t="shared" ca="1" si="51"/>
        <v>0</v>
      </c>
    </row>
    <row r="1443" spans="2:5" x14ac:dyDescent="0.25">
      <c r="B1443" s="8">
        <v>39037</v>
      </c>
      <c r="C1443" s="6">
        <f ca="1">IF(OR($C$7="",$B1443&gt;NOW()),"",IF(INDEX(Data!$A:$G,MATCH($B1443,Data!$A:$A,0),MATCH($C$7,Data!$4:$4,0))="","",INDEX(Data!$A:$G,MATCH($B1443,Data!$A:$A,0),MATCH($C$7,Data!$4:$4,0))))</f>
        <v>64.7</v>
      </c>
      <c r="D1443" s="148">
        <f t="shared" ca="1" si="50"/>
        <v>0.29999999999999716</v>
      </c>
      <c r="E1443" s="148">
        <f t="shared" ca="1" si="51"/>
        <v>0</v>
      </c>
    </row>
    <row r="1444" spans="2:5" x14ac:dyDescent="0.25">
      <c r="B1444" s="8">
        <v>39038</v>
      </c>
      <c r="C1444" s="6">
        <f ca="1">IF(OR($C$7="",$B1444&gt;NOW()),"",IF(INDEX(Data!$A:$G,MATCH($B1444,Data!$A:$A,0),MATCH($C$7,Data!$4:$4,0))="","",INDEX(Data!$A:$G,MATCH($B1444,Data!$A:$A,0),MATCH($C$7,Data!$4:$4,0))))</f>
        <v>62.8</v>
      </c>
      <c r="D1444" s="148">
        <f t="shared" ca="1" si="50"/>
        <v>2.2000000000000028</v>
      </c>
      <c r="E1444" s="148">
        <f t="shared" ca="1" si="51"/>
        <v>0</v>
      </c>
    </row>
    <row r="1445" spans="2:5" x14ac:dyDescent="0.25">
      <c r="B1445" s="8">
        <v>39039</v>
      </c>
      <c r="C1445" s="6">
        <f ca="1">IF(OR($C$7="",$B1445&gt;NOW()),"",IF(INDEX(Data!$A:$G,MATCH($B1445,Data!$A:$A,0),MATCH($C$7,Data!$4:$4,0))="","",INDEX(Data!$A:$G,MATCH($B1445,Data!$A:$A,0),MATCH($C$7,Data!$4:$4,0))))</f>
        <v>50.9</v>
      </c>
      <c r="D1445" s="148">
        <f t="shared" ca="1" si="50"/>
        <v>14.100000000000001</v>
      </c>
      <c r="E1445" s="148">
        <f t="shared" ca="1" si="51"/>
        <v>0</v>
      </c>
    </row>
    <row r="1446" spans="2:5" x14ac:dyDescent="0.25">
      <c r="B1446" s="8">
        <v>39040</v>
      </c>
      <c r="C1446" s="6">
        <f ca="1">IF(OR($C$7="",$B1446&gt;NOW()),"",IF(INDEX(Data!$A:$G,MATCH($B1446,Data!$A:$A,0),MATCH($C$7,Data!$4:$4,0))="","",INDEX(Data!$A:$G,MATCH($B1446,Data!$A:$A,0),MATCH($C$7,Data!$4:$4,0))))</f>
        <v>47.5</v>
      </c>
      <c r="D1446" s="148">
        <f t="shared" ca="1" si="50"/>
        <v>17.5</v>
      </c>
      <c r="E1446" s="148">
        <f t="shared" ca="1" si="51"/>
        <v>0</v>
      </c>
    </row>
    <row r="1447" spans="2:5" x14ac:dyDescent="0.25">
      <c r="B1447" s="8">
        <v>39041</v>
      </c>
      <c r="C1447" s="6">
        <f ca="1">IF(OR($C$7="",$B1447&gt;NOW()),"",IF(INDEX(Data!$A:$G,MATCH($B1447,Data!$A:$A,0),MATCH($C$7,Data!$4:$4,0))="","",INDEX(Data!$A:$G,MATCH($B1447,Data!$A:$A,0),MATCH($C$7,Data!$4:$4,0))))</f>
        <v>43.7</v>
      </c>
      <c r="D1447" s="148">
        <f t="shared" ca="1" si="50"/>
        <v>21.299999999999997</v>
      </c>
      <c r="E1447" s="148">
        <f t="shared" ca="1" si="51"/>
        <v>0</v>
      </c>
    </row>
    <row r="1448" spans="2:5" x14ac:dyDescent="0.25">
      <c r="B1448" s="8">
        <v>39042</v>
      </c>
      <c r="C1448" s="6">
        <f ca="1">IF(OR($C$7="",$B1448&gt;NOW()),"",IF(INDEX(Data!$A:$G,MATCH($B1448,Data!$A:$A,0),MATCH($C$7,Data!$4:$4,0))="","",INDEX(Data!$A:$G,MATCH($B1448,Data!$A:$A,0),MATCH($C$7,Data!$4:$4,0))))</f>
        <v>41.7</v>
      </c>
      <c r="D1448" s="148">
        <f t="shared" ca="1" si="50"/>
        <v>23.299999999999997</v>
      </c>
      <c r="E1448" s="148">
        <f t="shared" ca="1" si="51"/>
        <v>0</v>
      </c>
    </row>
    <row r="1449" spans="2:5" x14ac:dyDescent="0.25">
      <c r="B1449" s="8">
        <v>39043</v>
      </c>
      <c r="C1449" s="6">
        <f ca="1">IF(OR($C$7="",$B1449&gt;NOW()),"",IF(INDEX(Data!$A:$G,MATCH($B1449,Data!$A:$A,0),MATCH($C$7,Data!$4:$4,0))="","",INDEX(Data!$A:$G,MATCH($B1449,Data!$A:$A,0),MATCH($C$7,Data!$4:$4,0))))</f>
        <v>44.1</v>
      </c>
      <c r="D1449" s="148">
        <f t="shared" ca="1" si="50"/>
        <v>20.9</v>
      </c>
      <c r="E1449" s="148">
        <f t="shared" ca="1" si="51"/>
        <v>0</v>
      </c>
    </row>
    <row r="1450" spans="2:5" x14ac:dyDescent="0.25">
      <c r="B1450" s="8">
        <v>39044</v>
      </c>
      <c r="C1450" s="6">
        <f ca="1">IF(OR($C$7="",$B1450&gt;NOW()),"",IF(INDEX(Data!$A:$G,MATCH($B1450,Data!$A:$A,0),MATCH($C$7,Data!$4:$4,0))="","",INDEX(Data!$A:$G,MATCH($B1450,Data!$A:$A,0),MATCH($C$7,Data!$4:$4,0))))</f>
        <v>45.1</v>
      </c>
      <c r="D1450" s="148">
        <f t="shared" ca="1" si="50"/>
        <v>19.899999999999999</v>
      </c>
      <c r="E1450" s="148">
        <f t="shared" ca="1" si="51"/>
        <v>0</v>
      </c>
    </row>
    <row r="1451" spans="2:5" x14ac:dyDescent="0.25">
      <c r="B1451" s="8">
        <v>39045</v>
      </c>
      <c r="C1451" s="6">
        <f ca="1">IF(OR($C$7="",$B1451&gt;NOW()),"",IF(INDEX(Data!$A:$G,MATCH($B1451,Data!$A:$A,0),MATCH($C$7,Data!$4:$4,0))="","",INDEX(Data!$A:$G,MATCH($B1451,Data!$A:$A,0),MATCH($C$7,Data!$4:$4,0))))</f>
        <v>50.6</v>
      </c>
      <c r="D1451" s="148">
        <f t="shared" ca="1" si="50"/>
        <v>14.399999999999999</v>
      </c>
      <c r="E1451" s="148">
        <f t="shared" ca="1" si="51"/>
        <v>0</v>
      </c>
    </row>
    <row r="1452" spans="2:5" x14ac:dyDescent="0.25">
      <c r="B1452" s="8">
        <v>39046</v>
      </c>
      <c r="C1452" s="6">
        <f ca="1">IF(OR($C$7="",$B1452&gt;NOW()),"",IF(INDEX(Data!$A:$G,MATCH($B1452,Data!$A:$A,0),MATCH($C$7,Data!$4:$4,0))="","",INDEX(Data!$A:$G,MATCH($B1452,Data!$A:$A,0),MATCH($C$7,Data!$4:$4,0))))</f>
        <v>47</v>
      </c>
      <c r="D1452" s="148">
        <f t="shared" ca="1" si="50"/>
        <v>18</v>
      </c>
      <c r="E1452" s="148">
        <f t="shared" ca="1" si="51"/>
        <v>0</v>
      </c>
    </row>
    <row r="1453" spans="2:5" x14ac:dyDescent="0.25">
      <c r="B1453" s="8">
        <v>39047</v>
      </c>
      <c r="C1453" s="6">
        <f ca="1">IF(OR($C$7="",$B1453&gt;NOW()),"",IF(INDEX(Data!$A:$G,MATCH($B1453,Data!$A:$A,0),MATCH($C$7,Data!$4:$4,0))="","",INDEX(Data!$A:$G,MATCH($B1453,Data!$A:$A,0),MATCH($C$7,Data!$4:$4,0))))</f>
        <v>50.6</v>
      </c>
      <c r="D1453" s="148">
        <f t="shared" ca="1" si="50"/>
        <v>14.399999999999999</v>
      </c>
      <c r="E1453" s="148">
        <f t="shared" ca="1" si="51"/>
        <v>0</v>
      </c>
    </row>
    <row r="1454" spans="2:5" x14ac:dyDescent="0.25">
      <c r="B1454" s="8">
        <v>39048</v>
      </c>
      <c r="C1454" s="6">
        <f ca="1">IF(OR($C$7="",$B1454&gt;NOW()),"",IF(INDEX(Data!$A:$G,MATCH($B1454,Data!$A:$A,0),MATCH($C$7,Data!$4:$4,0))="","",INDEX(Data!$A:$G,MATCH($B1454,Data!$A:$A,0),MATCH($C$7,Data!$4:$4,0))))</f>
        <v>55.4</v>
      </c>
      <c r="D1454" s="148">
        <f t="shared" ca="1" si="50"/>
        <v>9.6000000000000014</v>
      </c>
      <c r="E1454" s="148">
        <f t="shared" ca="1" si="51"/>
        <v>0</v>
      </c>
    </row>
    <row r="1455" spans="2:5" x14ac:dyDescent="0.25">
      <c r="B1455" s="8">
        <v>39049</v>
      </c>
      <c r="C1455" s="6">
        <f ca="1">IF(OR($C$7="",$B1455&gt;NOW()),"",IF(INDEX(Data!$A:$G,MATCH($B1455,Data!$A:$A,0),MATCH($C$7,Data!$4:$4,0))="","",INDEX(Data!$A:$G,MATCH($B1455,Data!$A:$A,0),MATCH($C$7,Data!$4:$4,0))))</f>
        <v>55</v>
      </c>
      <c r="D1455" s="148">
        <f t="shared" ca="1" si="50"/>
        <v>10</v>
      </c>
      <c r="E1455" s="148">
        <f t="shared" ca="1" si="51"/>
        <v>0</v>
      </c>
    </row>
    <row r="1456" spans="2:5" x14ac:dyDescent="0.25">
      <c r="B1456" s="8">
        <v>39050</v>
      </c>
      <c r="C1456" s="6">
        <f ca="1">IF(OR($C$7="",$B1456&gt;NOW()),"",IF(INDEX(Data!$A:$G,MATCH($B1456,Data!$A:$A,0),MATCH($C$7,Data!$4:$4,0))="","",INDEX(Data!$A:$G,MATCH($B1456,Data!$A:$A,0),MATCH($C$7,Data!$4:$4,0))))</f>
        <v>53.4</v>
      </c>
      <c r="D1456" s="148">
        <f t="shared" ca="1" si="50"/>
        <v>11.600000000000001</v>
      </c>
      <c r="E1456" s="148">
        <f t="shared" ca="1" si="51"/>
        <v>0</v>
      </c>
    </row>
    <row r="1457" spans="2:5" x14ac:dyDescent="0.25">
      <c r="B1457" s="8">
        <v>39051</v>
      </c>
      <c r="C1457" s="6">
        <f ca="1">IF(OR($C$7="",$B1457&gt;NOW()),"",IF(INDEX(Data!$A:$G,MATCH($B1457,Data!$A:$A,0),MATCH($C$7,Data!$4:$4,0))="","",INDEX(Data!$A:$G,MATCH($B1457,Data!$A:$A,0),MATCH($C$7,Data!$4:$4,0))))</f>
        <v>60.4</v>
      </c>
      <c r="D1457" s="148">
        <f t="shared" ca="1" si="50"/>
        <v>4.6000000000000014</v>
      </c>
      <c r="E1457" s="148">
        <f t="shared" ca="1" si="51"/>
        <v>0</v>
      </c>
    </row>
    <row r="1458" spans="2:5" x14ac:dyDescent="0.25">
      <c r="B1458" s="8">
        <v>39052</v>
      </c>
      <c r="C1458" s="6">
        <f ca="1">IF(OR($C$7="",$B1458&gt;NOW()),"",IF(INDEX(Data!$A:$G,MATCH($B1458,Data!$A:$A,0),MATCH($C$7,Data!$4:$4,0))="","",INDEX(Data!$A:$G,MATCH($B1458,Data!$A:$A,0),MATCH($C$7,Data!$4:$4,0))))</f>
        <v>63.3</v>
      </c>
      <c r="D1458" s="148">
        <f t="shared" ca="1" si="50"/>
        <v>1.7000000000000028</v>
      </c>
      <c r="E1458" s="148">
        <f t="shared" ca="1" si="51"/>
        <v>0</v>
      </c>
    </row>
    <row r="1459" spans="2:5" x14ac:dyDescent="0.25">
      <c r="B1459" s="8">
        <v>39053</v>
      </c>
      <c r="C1459" s="6">
        <f ca="1">IF(OR($C$7="",$B1459&gt;NOW()),"",IF(INDEX(Data!$A:$G,MATCH($B1459,Data!$A:$A,0),MATCH($C$7,Data!$4:$4,0))="","",INDEX(Data!$A:$G,MATCH($B1459,Data!$A:$A,0),MATCH($C$7,Data!$4:$4,0))))</f>
        <v>51.4</v>
      </c>
      <c r="D1459" s="148">
        <f t="shared" ca="1" si="50"/>
        <v>13.600000000000001</v>
      </c>
      <c r="E1459" s="148">
        <f t="shared" ca="1" si="51"/>
        <v>0</v>
      </c>
    </row>
    <row r="1460" spans="2:5" x14ac:dyDescent="0.25">
      <c r="B1460" s="8">
        <v>39054</v>
      </c>
      <c r="C1460" s="6">
        <f ca="1">IF(OR($C$7="",$B1460&gt;NOW()),"",IF(INDEX(Data!$A:$G,MATCH($B1460,Data!$A:$A,0),MATCH($C$7,Data!$4:$4,0))="","",INDEX(Data!$A:$G,MATCH($B1460,Data!$A:$A,0),MATCH($C$7,Data!$4:$4,0))))</f>
        <v>42.5</v>
      </c>
      <c r="D1460" s="148">
        <f t="shared" ca="1" si="50"/>
        <v>22.5</v>
      </c>
      <c r="E1460" s="148">
        <f t="shared" ca="1" si="51"/>
        <v>0</v>
      </c>
    </row>
    <row r="1461" spans="2:5" x14ac:dyDescent="0.25">
      <c r="B1461" s="8">
        <v>39055</v>
      </c>
      <c r="C1461" s="6">
        <f ca="1">IF(OR($C$7="",$B1461&gt;NOW()),"",IF(INDEX(Data!$A:$G,MATCH($B1461,Data!$A:$A,0),MATCH($C$7,Data!$4:$4,0))="","",INDEX(Data!$A:$G,MATCH($B1461,Data!$A:$A,0),MATCH($C$7,Data!$4:$4,0))))</f>
        <v>41</v>
      </c>
      <c r="D1461" s="148">
        <f t="shared" ca="1" si="50"/>
        <v>24</v>
      </c>
      <c r="E1461" s="148">
        <f t="shared" ca="1" si="51"/>
        <v>0</v>
      </c>
    </row>
    <row r="1462" spans="2:5" x14ac:dyDescent="0.25">
      <c r="B1462" s="8">
        <v>39056</v>
      </c>
      <c r="C1462" s="6">
        <f ca="1">IF(OR($C$7="",$B1462&gt;NOW()),"",IF(INDEX(Data!$A:$G,MATCH($B1462,Data!$A:$A,0),MATCH($C$7,Data!$4:$4,0))="","",INDEX(Data!$A:$G,MATCH($B1462,Data!$A:$A,0),MATCH($C$7,Data!$4:$4,0))))</f>
        <v>35</v>
      </c>
      <c r="D1462" s="148">
        <f t="shared" ca="1" si="50"/>
        <v>30</v>
      </c>
      <c r="E1462" s="148">
        <f t="shared" ca="1" si="51"/>
        <v>0</v>
      </c>
    </row>
    <row r="1463" spans="2:5" x14ac:dyDescent="0.25">
      <c r="B1463" s="8">
        <v>39057</v>
      </c>
      <c r="C1463" s="6">
        <f ca="1">IF(OR($C$7="",$B1463&gt;NOW()),"",IF(INDEX(Data!$A:$G,MATCH($B1463,Data!$A:$A,0),MATCH($C$7,Data!$4:$4,0))="","",INDEX(Data!$A:$G,MATCH($B1463,Data!$A:$A,0),MATCH($C$7,Data!$4:$4,0))))</f>
        <v>39.799999999999997</v>
      </c>
      <c r="D1463" s="148">
        <f t="shared" ca="1" si="50"/>
        <v>25.200000000000003</v>
      </c>
      <c r="E1463" s="148">
        <f t="shared" ca="1" si="51"/>
        <v>0</v>
      </c>
    </row>
    <row r="1464" spans="2:5" x14ac:dyDescent="0.25">
      <c r="B1464" s="8">
        <v>39058</v>
      </c>
      <c r="C1464" s="6">
        <f ca="1">IF(OR($C$7="",$B1464&gt;NOW()),"",IF(INDEX(Data!$A:$G,MATCH($B1464,Data!$A:$A,0),MATCH($C$7,Data!$4:$4,0))="","",INDEX(Data!$A:$G,MATCH($B1464,Data!$A:$A,0),MATCH($C$7,Data!$4:$4,0))))</f>
        <v>49.7</v>
      </c>
      <c r="D1464" s="148">
        <f t="shared" ca="1" si="50"/>
        <v>15.299999999999997</v>
      </c>
      <c r="E1464" s="148">
        <f t="shared" ca="1" si="51"/>
        <v>0</v>
      </c>
    </row>
    <row r="1465" spans="2:5" x14ac:dyDescent="0.25">
      <c r="B1465" s="8">
        <v>39059</v>
      </c>
      <c r="C1465" s="6">
        <f ca="1">IF(OR($C$7="",$B1465&gt;NOW()),"",IF(INDEX(Data!$A:$G,MATCH($B1465,Data!$A:$A,0),MATCH($C$7,Data!$4:$4,0))="","",INDEX(Data!$A:$G,MATCH($B1465,Data!$A:$A,0),MATCH($C$7,Data!$4:$4,0))))</f>
        <v>28.7</v>
      </c>
      <c r="D1465" s="148">
        <f t="shared" ca="1" si="50"/>
        <v>36.299999999999997</v>
      </c>
      <c r="E1465" s="148">
        <f t="shared" ca="1" si="51"/>
        <v>0</v>
      </c>
    </row>
    <row r="1466" spans="2:5" x14ac:dyDescent="0.25">
      <c r="B1466" s="8">
        <v>39060</v>
      </c>
      <c r="C1466" s="6">
        <f ca="1">IF(OR($C$7="",$B1466&gt;NOW()),"",IF(INDEX(Data!$A:$G,MATCH($B1466,Data!$A:$A,0),MATCH($C$7,Data!$4:$4,0))="","",INDEX(Data!$A:$G,MATCH($B1466,Data!$A:$A,0),MATCH($C$7,Data!$4:$4,0))))</f>
        <v>31.8</v>
      </c>
      <c r="D1466" s="148">
        <f t="shared" ca="1" si="50"/>
        <v>33.200000000000003</v>
      </c>
      <c r="E1466" s="148">
        <f t="shared" ca="1" si="51"/>
        <v>0</v>
      </c>
    </row>
    <row r="1467" spans="2:5" x14ac:dyDescent="0.25">
      <c r="B1467" s="8">
        <v>39061</v>
      </c>
      <c r="C1467" s="6">
        <f ca="1">IF(OR($C$7="",$B1467&gt;NOW()),"",IF(INDEX(Data!$A:$G,MATCH($B1467,Data!$A:$A,0),MATCH($C$7,Data!$4:$4,0))="","",INDEX(Data!$A:$G,MATCH($B1467,Data!$A:$A,0),MATCH($C$7,Data!$4:$4,0))))</f>
        <v>44</v>
      </c>
      <c r="D1467" s="148">
        <f t="shared" ca="1" si="50"/>
        <v>21</v>
      </c>
      <c r="E1467" s="148">
        <f t="shared" ca="1" si="51"/>
        <v>0</v>
      </c>
    </row>
    <row r="1468" spans="2:5" x14ac:dyDescent="0.25">
      <c r="B1468" s="8">
        <v>39062</v>
      </c>
      <c r="C1468" s="6">
        <f ca="1">IF(OR($C$7="",$B1468&gt;NOW()),"",IF(INDEX(Data!$A:$G,MATCH($B1468,Data!$A:$A,0),MATCH($C$7,Data!$4:$4,0))="","",INDEX(Data!$A:$G,MATCH($B1468,Data!$A:$A,0),MATCH($C$7,Data!$4:$4,0))))</f>
        <v>51.5</v>
      </c>
      <c r="D1468" s="148">
        <f t="shared" ca="1" si="50"/>
        <v>13.5</v>
      </c>
      <c r="E1468" s="148">
        <f t="shared" ca="1" si="51"/>
        <v>0</v>
      </c>
    </row>
    <row r="1469" spans="2:5" x14ac:dyDescent="0.25">
      <c r="B1469" s="8">
        <v>39063</v>
      </c>
      <c r="C1469" s="6">
        <f ca="1">IF(OR($C$7="",$B1469&gt;NOW()),"",IF(INDEX(Data!$A:$G,MATCH($B1469,Data!$A:$A,0),MATCH($C$7,Data!$4:$4,0))="","",INDEX(Data!$A:$G,MATCH($B1469,Data!$A:$A,0),MATCH($C$7,Data!$4:$4,0))))</f>
        <v>46.6</v>
      </c>
      <c r="D1469" s="148">
        <f t="shared" ca="1" si="50"/>
        <v>18.399999999999999</v>
      </c>
      <c r="E1469" s="148">
        <f t="shared" ca="1" si="51"/>
        <v>0</v>
      </c>
    </row>
    <row r="1470" spans="2:5" x14ac:dyDescent="0.25">
      <c r="B1470" s="8">
        <v>39064</v>
      </c>
      <c r="C1470" s="6">
        <f ca="1">IF(OR($C$7="",$B1470&gt;NOW()),"",IF(INDEX(Data!$A:$G,MATCH($B1470,Data!$A:$A,0),MATCH($C$7,Data!$4:$4,0))="","",INDEX(Data!$A:$G,MATCH($B1470,Data!$A:$A,0),MATCH($C$7,Data!$4:$4,0))))</f>
        <v>52.4</v>
      </c>
      <c r="D1470" s="148">
        <f t="shared" ca="1" si="50"/>
        <v>12.600000000000001</v>
      </c>
      <c r="E1470" s="148">
        <f t="shared" ca="1" si="51"/>
        <v>0</v>
      </c>
    </row>
    <row r="1471" spans="2:5" x14ac:dyDescent="0.25">
      <c r="B1471" s="8">
        <v>39065</v>
      </c>
      <c r="C1471" s="6">
        <f ca="1">IF(OR($C$7="",$B1471&gt;NOW()),"",IF(INDEX(Data!$A:$G,MATCH($B1471,Data!$A:$A,0),MATCH($C$7,Data!$4:$4,0))="","",INDEX(Data!$A:$G,MATCH($B1471,Data!$A:$A,0),MATCH($C$7,Data!$4:$4,0))))</f>
        <v>51.5</v>
      </c>
      <c r="D1471" s="148">
        <f t="shared" ca="1" si="50"/>
        <v>13.5</v>
      </c>
      <c r="E1471" s="148">
        <f t="shared" ca="1" si="51"/>
        <v>0</v>
      </c>
    </row>
    <row r="1472" spans="2:5" x14ac:dyDescent="0.25">
      <c r="B1472" s="8">
        <v>39066</v>
      </c>
      <c r="C1472" s="6">
        <f ca="1">IF(OR($C$7="",$B1472&gt;NOW()),"",IF(INDEX(Data!$A:$G,MATCH($B1472,Data!$A:$A,0),MATCH($C$7,Data!$4:$4,0))="","",INDEX(Data!$A:$G,MATCH($B1472,Data!$A:$A,0),MATCH($C$7,Data!$4:$4,0))))</f>
        <v>48.3</v>
      </c>
      <c r="D1472" s="148">
        <f t="shared" ca="1" si="50"/>
        <v>16.700000000000003</v>
      </c>
      <c r="E1472" s="148">
        <f t="shared" ca="1" si="51"/>
        <v>0</v>
      </c>
    </row>
    <row r="1473" spans="2:5" x14ac:dyDescent="0.25">
      <c r="B1473" s="8">
        <v>39067</v>
      </c>
      <c r="C1473" s="6">
        <f ca="1">IF(OR($C$7="",$B1473&gt;NOW()),"",IF(INDEX(Data!$A:$G,MATCH($B1473,Data!$A:$A,0),MATCH($C$7,Data!$4:$4,0))="","",INDEX(Data!$A:$G,MATCH($B1473,Data!$A:$A,0),MATCH($C$7,Data!$4:$4,0))))</f>
        <v>49.3</v>
      </c>
      <c r="D1473" s="148">
        <f t="shared" ca="1" si="50"/>
        <v>15.700000000000003</v>
      </c>
      <c r="E1473" s="148">
        <f t="shared" ca="1" si="51"/>
        <v>0</v>
      </c>
    </row>
    <row r="1474" spans="2:5" x14ac:dyDescent="0.25">
      <c r="B1474" s="8">
        <v>39068</v>
      </c>
      <c r="C1474" s="6">
        <f ca="1">IF(OR($C$7="",$B1474&gt;NOW()),"",IF(INDEX(Data!$A:$G,MATCH($B1474,Data!$A:$A,0),MATCH($C$7,Data!$4:$4,0))="","",INDEX(Data!$A:$G,MATCH($B1474,Data!$A:$A,0),MATCH($C$7,Data!$4:$4,0))))</f>
        <v>48.1</v>
      </c>
      <c r="D1474" s="148">
        <f t="shared" ca="1" si="50"/>
        <v>16.899999999999999</v>
      </c>
      <c r="E1474" s="148">
        <f t="shared" ca="1" si="51"/>
        <v>0</v>
      </c>
    </row>
    <row r="1475" spans="2:5" x14ac:dyDescent="0.25">
      <c r="B1475" s="8">
        <v>39069</v>
      </c>
      <c r="C1475" s="6">
        <f ca="1">IF(OR($C$7="",$B1475&gt;NOW()),"",IF(INDEX(Data!$A:$G,MATCH($B1475,Data!$A:$A,0),MATCH($C$7,Data!$4:$4,0))="","",INDEX(Data!$A:$G,MATCH($B1475,Data!$A:$A,0),MATCH($C$7,Data!$4:$4,0))))</f>
        <v>55.5</v>
      </c>
      <c r="D1475" s="148">
        <f t="shared" ca="1" si="50"/>
        <v>9.5</v>
      </c>
      <c r="E1475" s="148">
        <f t="shared" ca="1" si="51"/>
        <v>0</v>
      </c>
    </row>
    <row r="1476" spans="2:5" x14ac:dyDescent="0.25">
      <c r="B1476" s="8">
        <v>39070</v>
      </c>
      <c r="C1476" s="6">
        <f ca="1">IF(OR($C$7="",$B1476&gt;NOW()),"",IF(INDEX(Data!$A:$G,MATCH($B1476,Data!$A:$A,0),MATCH($C$7,Data!$4:$4,0))="","",INDEX(Data!$A:$G,MATCH($B1476,Data!$A:$A,0),MATCH($C$7,Data!$4:$4,0))))</f>
        <v>44.9</v>
      </c>
      <c r="D1476" s="148">
        <f t="shared" ca="1" si="50"/>
        <v>20.100000000000001</v>
      </c>
      <c r="E1476" s="148">
        <f t="shared" ca="1" si="51"/>
        <v>0</v>
      </c>
    </row>
    <row r="1477" spans="2:5" x14ac:dyDescent="0.25">
      <c r="B1477" s="8">
        <v>39071</v>
      </c>
      <c r="C1477" s="6">
        <f ca="1">IF(OR($C$7="",$B1477&gt;NOW()),"",IF(INDEX(Data!$A:$G,MATCH($B1477,Data!$A:$A,0),MATCH($C$7,Data!$4:$4,0))="","",INDEX(Data!$A:$G,MATCH($B1477,Data!$A:$A,0),MATCH($C$7,Data!$4:$4,0))))</f>
        <v>40.799999999999997</v>
      </c>
      <c r="D1477" s="148">
        <f t="shared" ca="1" si="50"/>
        <v>24.200000000000003</v>
      </c>
      <c r="E1477" s="148">
        <f t="shared" ca="1" si="51"/>
        <v>0</v>
      </c>
    </row>
    <row r="1478" spans="2:5" x14ac:dyDescent="0.25">
      <c r="B1478" s="8">
        <v>39072</v>
      </c>
      <c r="C1478" s="6">
        <f ca="1">IF(OR($C$7="",$B1478&gt;NOW()),"",IF(INDEX(Data!$A:$G,MATCH($B1478,Data!$A:$A,0),MATCH($C$7,Data!$4:$4,0))="","",INDEX(Data!$A:$G,MATCH($B1478,Data!$A:$A,0),MATCH($C$7,Data!$4:$4,0))))</f>
        <v>45.7</v>
      </c>
      <c r="D1478" s="148">
        <f t="shared" ca="1" si="50"/>
        <v>19.299999999999997</v>
      </c>
      <c r="E1478" s="148">
        <f t="shared" ca="1" si="51"/>
        <v>0</v>
      </c>
    </row>
    <row r="1479" spans="2:5" x14ac:dyDescent="0.25">
      <c r="B1479" s="8">
        <v>39073</v>
      </c>
      <c r="C1479" s="6">
        <f ca="1">IF(OR($C$7="",$B1479&gt;NOW()),"",IF(INDEX(Data!$A:$G,MATCH($B1479,Data!$A:$A,0),MATCH($C$7,Data!$4:$4,0))="","",INDEX(Data!$A:$G,MATCH($B1479,Data!$A:$A,0),MATCH($C$7,Data!$4:$4,0))))</f>
        <v>45.1</v>
      </c>
      <c r="D1479" s="148">
        <f t="shared" ca="1" si="50"/>
        <v>19.899999999999999</v>
      </c>
      <c r="E1479" s="148">
        <f t="shared" ca="1" si="51"/>
        <v>0</v>
      </c>
    </row>
    <row r="1480" spans="2:5" x14ac:dyDescent="0.25">
      <c r="B1480" s="8">
        <v>39074</v>
      </c>
      <c r="C1480" s="6">
        <f ca="1">IF(OR($C$7="",$B1480&gt;NOW()),"",IF(INDEX(Data!$A:$G,MATCH($B1480,Data!$A:$A,0),MATCH($C$7,Data!$4:$4,0))="","",INDEX(Data!$A:$G,MATCH($B1480,Data!$A:$A,0),MATCH($C$7,Data!$4:$4,0))))</f>
        <v>54.4</v>
      </c>
      <c r="D1480" s="148">
        <f t="shared" ca="1" si="50"/>
        <v>10.600000000000001</v>
      </c>
      <c r="E1480" s="148">
        <f t="shared" ca="1" si="51"/>
        <v>0</v>
      </c>
    </row>
    <row r="1481" spans="2:5" x14ac:dyDescent="0.25">
      <c r="B1481" s="8">
        <v>39075</v>
      </c>
      <c r="C1481" s="6">
        <f ca="1">IF(OR($C$7="",$B1481&gt;NOW()),"",IF(INDEX(Data!$A:$G,MATCH($B1481,Data!$A:$A,0),MATCH($C$7,Data!$4:$4,0))="","",INDEX(Data!$A:$G,MATCH($B1481,Data!$A:$A,0),MATCH($C$7,Data!$4:$4,0))))</f>
        <v>51</v>
      </c>
      <c r="D1481" s="148">
        <f t="shared" ca="1" si="50"/>
        <v>14</v>
      </c>
      <c r="E1481" s="148">
        <f t="shared" ca="1" si="51"/>
        <v>0</v>
      </c>
    </row>
    <row r="1482" spans="2:5" x14ac:dyDescent="0.25">
      <c r="B1482" s="8">
        <v>39076</v>
      </c>
      <c r="C1482" s="6">
        <f ca="1">IF(OR($C$7="",$B1482&gt;NOW()),"",IF(INDEX(Data!$A:$G,MATCH($B1482,Data!$A:$A,0),MATCH($C$7,Data!$4:$4,0))="","",INDEX(Data!$A:$G,MATCH($B1482,Data!$A:$A,0),MATCH($C$7,Data!$4:$4,0))))</f>
        <v>45.3</v>
      </c>
      <c r="D1482" s="148">
        <f t="shared" ca="1" si="50"/>
        <v>19.700000000000003</v>
      </c>
      <c r="E1482" s="148">
        <f t="shared" ca="1" si="51"/>
        <v>0</v>
      </c>
    </row>
    <row r="1483" spans="2:5" x14ac:dyDescent="0.25">
      <c r="B1483" s="8">
        <v>39077</v>
      </c>
      <c r="C1483" s="6">
        <f ca="1">IF(OR($C$7="",$B1483&gt;NOW()),"",IF(INDEX(Data!$A:$G,MATCH($B1483,Data!$A:$A,0),MATCH($C$7,Data!$4:$4,0))="","",INDEX(Data!$A:$G,MATCH($B1483,Data!$A:$A,0),MATCH($C$7,Data!$4:$4,0))))</f>
        <v>48.1</v>
      </c>
      <c r="D1483" s="148">
        <f t="shared" ca="1" si="50"/>
        <v>16.899999999999999</v>
      </c>
      <c r="E1483" s="148">
        <f t="shared" ca="1" si="51"/>
        <v>0</v>
      </c>
    </row>
    <row r="1484" spans="2:5" x14ac:dyDescent="0.25">
      <c r="B1484" s="8">
        <v>39078</v>
      </c>
      <c r="C1484" s="6">
        <f ca="1">IF(OR($C$7="",$B1484&gt;NOW()),"",IF(INDEX(Data!$A:$G,MATCH($B1484,Data!$A:$A,0),MATCH($C$7,Data!$4:$4,0))="","",INDEX(Data!$A:$G,MATCH($B1484,Data!$A:$A,0),MATCH($C$7,Data!$4:$4,0))))</f>
        <v>44.2</v>
      </c>
      <c r="D1484" s="148">
        <f t="shared" ca="1" si="50"/>
        <v>20.799999999999997</v>
      </c>
      <c r="E1484" s="148">
        <f t="shared" ca="1" si="51"/>
        <v>0</v>
      </c>
    </row>
    <row r="1485" spans="2:5" x14ac:dyDescent="0.25">
      <c r="B1485" s="8">
        <v>39079</v>
      </c>
      <c r="C1485" s="6">
        <f ca="1">IF(OR($C$7="",$B1485&gt;NOW()),"",IF(INDEX(Data!$A:$G,MATCH($B1485,Data!$A:$A,0),MATCH($C$7,Data!$4:$4,0))="","",INDEX(Data!$A:$G,MATCH($B1485,Data!$A:$A,0),MATCH($C$7,Data!$4:$4,0))))</f>
        <v>42.6</v>
      </c>
      <c r="D1485" s="148">
        <f t="shared" ca="1" si="50"/>
        <v>22.4</v>
      </c>
      <c r="E1485" s="148">
        <f t="shared" ca="1" si="51"/>
        <v>0</v>
      </c>
    </row>
    <row r="1486" spans="2:5" x14ac:dyDescent="0.25">
      <c r="B1486" s="8">
        <v>39080</v>
      </c>
      <c r="C1486" s="6">
        <f ca="1">IF(OR($C$7="",$B1486&gt;NOW()),"",IF(INDEX(Data!$A:$G,MATCH($B1486,Data!$A:$A,0),MATCH($C$7,Data!$4:$4,0))="","",INDEX(Data!$A:$G,MATCH($B1486,Data!$A:$A,0),MATCH($C$7,Data!$4:$4,0))))</f>
        <v>46.7</v>
      </c>
      <c r="D1486" s="148">
        <f t="shared" ca="1" si="50"/>
        <v>18.299999999999997</v>
      </c>
      <c r="E1486" s="148">
        <f t="shared" ca="1" si="51"/>
        <v>0</v>
      </c>
    </row>
    <row r="1487" spans="2:5" x14ac:dyDescent="0.25">
      <c r="B1487" s="8">
        <v>39081</v>
      </c>
      <c r="C1487" s="6">
        <f ca="1">IF(OR($C$7="",$B1487&gt;NOW()),"",IF(INDEX(Data!$A:$G,MATCH($B1487,Data!$A:$A,0),MATCH($C$7,Data!$4:$4,0))="","",INDEX(Data!$A:$G,MATCH($B1487,Data!$A:$A,0),MATCH($C$7,Data!$4:$4,0))))</f>
        <v>41.8</v>
      </c>
      <c r="D1487" s="148">
        <f t="shared" ca="1" si="50"/>
        <v>23.200000000000003</v>
      </c>
      <c r="E1487" s="148">
        <f t="shared" ca="1" si="51"/>
        <v>0</v>
      </c>
    </row>
    <row r="1488" spans="2:5" x14ac:dyDescent="0.25">
      <c r="B1488" s="8">
        <v>39082</v>
      </c>
      <c r="C1488" s="6">
        <f ca="1">IF(OR($C$7="",$B1488&gt;NOW()),"",IF(INDEX(Data!$A:$G,MATCH($B1488,Data!$A:$A,0),MATCH($C$7,Data!$4:$4,0))="","",INDEX(Data!$A:$G,MATCH($B1488,Data!$A:$A,0),MATCH($C$7,Data!$4:$4,0))))</f>
        <v>41</v>
      </c>
      <c r="D1488" s="148">
        <f t="shared" ca="1" si="50"/>
        <v>24</v>
      </c>
      <c r="E1488" s="148">
        <f t="shared" ca="1" si="51"/>
        <v>0</v>
      </c>
    </row>
    <row r="1489" spans="2:5" x14ac:dyDescent="0.25">
      <c r="B1489" s="8">
        <v>39083</v>
      </c>
      <c r="C1489" s="6">
        <f ca="1">IF(OR($C$7="",$B1489&gt;NOW()),"",IF(INDEX(Data!$A:$G,MATCH($B1489,Data!$A:$A,0),MATCH($C$7,Data!$4:$4,0))="","",INDEX(Data!$A:$G,MATCH($B1489,Data!$A:$A,0),MATCH($C$7,Data!$4:$4,0))))</f>
        <v>50.5</v>
      </c>
      <c r="D1489" s="148">
        <f t="shared" ca="1" si="50"/>
        <v>14.5</v>
      </c>
      <c r="E1489" s="148">
        <f t="shared" ca="1" si="51"/>
        <v>0</v>
      </c>
    </row>
    <row r="1490" spans="2:5" x14ac:dyDescent="0.25">
      <c r="B1490" s="8">
        <v>39084</v>
      </c>
      <c r="C1490" s="6">
        <f ca="1">IF(OR($C$7="",$B1490&gt;NOW()),"",IF(INDEX(Data!$A:$G,MATCH($B1490,Data!$A:$A,0),MATCH($C$7,Data!$4:$4,0))="","",INDEX(Data!$A:$G,MATCH($B1490,Data!$A:$A,0),MATCH($C$7,Data!$4:$4,0))))</f>
        <v>48.1</v>
      </c>
      <c r="D1490" s="148">
        <f t="shared" ca="1" si="50"/>
        <v>16.899999999999999</v>
      </c>
      <c r="E1490" s="148">
        <f t="shared" ca="1" si="51"/>
        <v>0</v>
      </c>
    </row>
    <row r="1491" spans="2:5" x14ac:dyDescent="0.25">
      <c r="B1491" s="8">
        <v>39085</v>
      </c>
      <c r="C1491" s="6">
        <f ca="1">IF(OR($C$7="",$B1491&gt;NOW()),"",IF(INDEX(Data!$A:$G,MATCH($B1491,Data!$A:$A,0),MATCH($C$7,Data!$4:$4,0))="","",INDEX(Data!$A:$G,MATCH($B1491,Data!$A:$A,0),MATCH($C$7,Data!$4:$4,0))))</f>
        <v>45.6</v>
      </c>
      <c r="D1491" s="148">
        <f t="shared" ca="1" si="50"/>
        <v>19.399999999999999</v>
      </c>
      <c r="E1491" s="148">
        <f t="shared" ca="1" si="51"/>
        <v>0</v>
      </c>
    </row>
    <row r="1492" spans="2:5" x14ac:dyDescent="0.25">
      <c r="B1492" s="8">
        <v>39086</v>
      </c>
      <c r="C1492" s="6">
        <f ca="1">IF(OR($C$7="",$B1492&gt;NOW()),"",IF(INDEX(Data!$A:$G,MATCH($B1492,Data!$A:$A,0),MATCH($C$7,Data!$4:$4,0))="","",INDEX(Data!$A:$G,MATCH($B1492,Data!$A:$A,0),MATCH($C$7,Data!$4:$4,0))))</f>
        <v>49.2</v>
      </c>
      <c r="D1492" s="148">
        <f t="shared" ca="1" si="50"/>
        <v>15.799999999999997</v>
      </c>
      <c r="E1492" s="148">
        <f t="shared" ca="1" si="51"/>
        <v>0</v>
      </c>
    </row>
    <row r="1493" spans="2:5" x14ac:dyDescent="0.25">
      <c r="B1493" s="8">
        <v>39087</v>
      </c>
      <c r="C1493" s="6">
        <f ca="1">IF(OR($C$7="",$B1493&gt;NOW()),"",IF(INDEX(Data!$A:$G,MATCH($B1493,Data!$A:$A,0),MATCH($C$7,Data!$4:$4,0))="","",INDEX(Data!$A:$G,MATCH($B1493,Data!$A:$A,0),MATCH($C$7,Data!$4:$4,0))))</f>
        <v>56.8</v>
      </c>
      <c r="D1493" s="148">
        <f t="shared" ca="1" si="50"/>
        <v>8.2000000000000028</v>
      </c>
      <c r="E1493" s="148">
        <f t="shared" ca="1" si="51"/>
        <v>0</v>
      </c>
    </row>
    <row r="1494" spans="2:5" x14ac:dyDescent="0.25">
      <c r="B1494" s="8">
        <v>39088</v>
      </c>
      <c r="C1494" s="6">
        <f ca="1">IF(OR($C$7="",$B1494&gt;NOW()),"",IF(INDEX(Data!$A:$G,MATCH($B1494,Data!$A:$A,0),MATCH($C$7,Data!$4:$4,0))="","",INDEX(Data!$A:$G,MATCH($B1494,Data!$A:$A,0),MATCH($C$7,Data!$4:$4,0))))</f>
        <v>62.4</v>
      </c>
      <c r="D1494" s="148">
        <f t="shared" ca="1" si="50"/>
        <v>2.6000000000000014</v>
      </c>
      <c r="E1494" s="148">
        <f t="shared" ca="1" si="51"/>
        <v>0</v>
      </c>
    </row>
    <row r="1495" spans="2:5" x14ac:dyDescent="0.25">
      <c r="B1495" s="8">
        <v>39089</v>
      </c>
      <c r="C1495" s="6">
        <f ca="1">IF(OR($C$7="",$B1495&gt;NOW()),"",IF(INDEX(Data!$A:$G,MATCH($B1495,Data!$A:$A,0),MATCH($C$7,Data!$4:$4,0))="","",INDEX(Data!$A:$G,MATCH($B1495,Data!$A:$A,0),MATCH($C$7,Data!$4:$4,0))))</f>
        <v>52</v>
      </c>
      <c r="D1495" s="148">
        <f t="shared" ca="1" si="50"/>
        <v>13</v>
      </c>
      <c r="E1495" s="148">
        <f t="shared" ca="1" si="51"/>
        <v>0</v>
      </c>
    </row>
    <row r="1496" spans="2:5" x14ac:dyDescent="0.25">
      <c r="B1496" s="8">
        <v>39090</v>
      </c>
      <c r="C1496" s="6">
        <f ca="1">IF(OR($C$7="",$B1496&gt;NOW()),"",IF(INDEX(Data!$A:$G,MATCH($B1496,Data!$A:$A,0),MATCH($C$7,Data!$4:$4,0))="","",INDEX(Data!$A:$G,MATCH($B1496,Data!$A:$A,0),MATCH($C$7,Data!$4:$4,0))))</f>
        <v>50.2</v>
      </c>
      <c r="D1496" s="148">
        <f t="shared" ca="1" si="50"/>
        <v>14.799999999999997</v>
      </c>
      <c r="E1496" s="148">
        <f t="shared" ca="1" si="51"/>
        <v>0</v>
      </c>
    </row>
    <row r="1497" spans="2:5" x14ac:dyDescent="0.25">
      <c r="B1497" s="8">
        <v>39091</v>
      </c>
      <c r="C1497" s="6">
        <f ca="1">IF(OR($C$7="",$B1497&gt;NOW()),"",IF(INDEX(Data!$A:$G,MATCH($B1497,Data!$A:$A,0),MATCH($C$7,Data!$4:$4,0))="","",INDEX(Data!$A:$G,MATCH($B1497,Data!$A:$A,0),MATCH($C$7,Data!$4:$4,0))))</f>
        <v>41</v>
      </c>
      <c r="D1497" s="148">
        <f t="shared" ca="1" si="50"/>
        <v>24</v>
      </c>
      <c r="E1497" s="148">
        <f t="shared" ca="1" si="51"/>
        <v>0</v>
      </c>
    </row>
    <row r="1498" spans="2:5" x14ac:dyDescent="0.25">
      <c r="B1498" s="8">
        <v>39092</v>
      </c>
      <c r="C1498" s="6">
        <f ca="1">IF(OR($C$7="",$B1498&gt;NOW()),"",IF(INDEX(Data!$A:$G,MATCH($B1498,Data!$A:$A,0),MATCH($C$7,Data!$4:$4,0))="","",INDEX(Data!$A:$G,MATCH($B1498,Data!$A:$A,0),MATCH($C$7,Data!$4:$4,0))))</f>
        <v>36.9</v>
      </c>
      <c r="D1498" s="148">
        <f t="shared" ca="1" si="50"/>
        <v>28.1</v>
      </c>
      <c r="E1498" s="148">
        <f t="shared" ca="1" si="51"/>
        <v>0</v>
      </c>
    </row>
    <row r="1499" spans="2:5" x14ac:dyDescent="0.25">
      <c r="B1499" s="8">
        <v>39093</v>
      </c>
      <c r="C1499" s="6">
        <f ca="1">IF(OR($C$7="",$B1499&gt;NOW()),"",IF(INDEX(Data!$A:$G,MATCH($B1499,Data!$A:$A,0),MATCH($C$7,Data!$4:$4,0))="","",INDEX(Data!$A:$G,MATCH($B1499,Data!$A:$A,0),MATCH($C$7,Data!$4:$4,0))))</f>
        <v>33.200000000000003</v>
      </c>
      <c r="D1499" s="148">
        <f t="shared" ca="1" si="50"/>
        <v>31.799999999999997</v>
      </c>
      <c r="E1499" s="148">
        <f t="shared" ca="1" si="51"/>
        <v>0</v>
      </c>
    </row>
    <row r="1500" spans="2:5" x14ac:dyDescent="0.25">
      <c r="B1500" s="8">
        <v>39094</v>
      </c>
      <c r="C1500" s="6">
        <f ca="1">IF(OR($C$7="",$B1500&gt;NOW()),"",IF(INDEX(Data!$A:$G,MATCH($B1500,Data!$A:$A,0),MATCH($C$7,Data!$4:$4,0))="","",INDEX(Data!$A:$G,MATCH($B1500,Data!$A:$A,0),MATCH($C$7,Data!$4:$4,0))))</f>
        <v>42.8</v>
      </c>
      <c r="D1500" s="148">
        <f t="shared" ca="1" si="50"/>
        <v>22.200000000000003</v>
      </c>
      <c r="E1500" s="148">
        <f t="shared" ca="1" si="51"/>
        <v>0</v>
      </c>
    </row>
    <row r="1501" spans="2:5" x14ac:dyDescent="0.25">
      <c r="B1501" s="8">
        <v>39095</v>
      </c>
      <c r="C1501" s="6">
        <f ca="1">IF(OR($C$7="",$B1501&gt;NOW()),"",IF(INDEX(Data!$A:$G,MATCH($B1501,Data!$A:$A,0),MATCH($C$7,Data!$4:$4,0))="","",INDEX(Data!$A:$G,MATCH($B1501,Data!$A:$A,0),MATCH($C$7,Data!$4:$4,0))))</f>
        <v>51.5</v>
      </c>
      <c r="D1501" s="148">
        <f t="shared" ref="D1501:D1564" ca="1" si="52">IF($C1501="","",IF($C1501&gt;$D$26,0,$D$26-$C1501))</f>
        <v>13.5</v>
      </c>
      <c r="E1501" s="148">
        <f t="shared" ref="E1501:E1564" ca="1" si="53">IF($C1501="","",IF($C1501&lt;$E$26,0,$C1501-$E$26))</f>
        <v>0</v>
      </c>
    </row>
    <row r="1502" spans="2:5" x14ac:dyDescent="0.25">
      <c r="B1502" s="8">
        <v>39096</v>
      </c>
      <c r="C1502" s="6">
        <f ca="1">IF(OR($C$7="",$B1502&gt;NOW()),"",IF(INDEX(Data!$A:$G,MATCH($B1502,Data!$A:$A,0),MATCH($C$7,Data!$4:$4,0))="","",INDEX(Data!$A:$G,MATCH($B1502,Data!$A:$A,0),MATCH($C$7,Data!$4:$4,0))))</f>
        <v>45.7</v>
      </c>
      <c r="D1502" s="148">
        <f t="shared" ca="1" si="52"/>
        <v>19.299999999999997</v>
      </c>
      <c r="E1502" s="148">
        <f t="shared" ca="1" si="53"/>
        <v>0</v>
      </c>
    </row>
    <row r="1503" spans="2:5" x14ac:dyDescent="0.25">
      <c r="B1503" s="8">
        <v>39097</v>
      </c>
      <c r="C1503" s="6">
        <f ca="1">IF(OR($C$7="",$B1503&gt;NOW()),"",IF(INDEX(Data!$A:$G,MATCH($B1503,Data!$A:$A,0),MATCH($C$7,Data!$4:$4,0))="","",INDEX(Data!$A:$G,MATCH($B1503,Data!$A:$A,0),MATCH($C$7,Data!$4:$4,0))))</f>
        <v>43.2</v>
      </c>
      <c r="D1503" s="148">
        <f t="shared" ca="1" si="52"/>
        <v>21.799999999999997</v>
      </c>
      <c r="E1503" s="148">
        <f t="shared" ca="1" si="53"/>
        <v>0</v>
      </c>
    </row>
    <row r="1504" spans="2:5" x14ac:dyDescent="0.25">
      <c r="B1504" s="8">
        <v>39098</v>
      </c>
      <c r="C1504" s="6">
        <f ca="1">IF(OR($C$7="",$B1504&gt;NOW()),"",IF(INDEX(Data!$A:$G,MATCH($B1504,Data!$A:$A,0),MATCH($C$7,Data!$4:$4,0))="","",INDEX(Data!$A:$G,MATCH($B1504,Data!$A:$A,0),MATCH($C$7,Data!$4:$4,0))))</f>
        <v>45.3</v>
      </c>
      <c r="D1504" s="148">
        <f t="shared" ca="1" si="52"/>
        <v>19.700000000000003</v>
      </c>
      <c r="E1504" s="148">
        <f t="shared" ca="1" si="53"/>
        <v>0</v>
      </c>
    </row>
    <row r="1505" spans="2:5" x14ac:dyDescent="0.25">
      <c r="B1505" s="8">
        <v>39099</v>
      </c>
      <c r="C1505" s="6">
        <f ca="1">IF(OR($C$7="",$B1505&gt;NOW()),"",IF(INDEX(Data!$A:$G,MATCH($B1505,Data!$A:$A,0),MATCH($C$7,Data!$4:$4,0))="","",INDEX(Data!$A:$G,MATCH($B1505,Data!$A:$A,0),MATCH($C$7,Data!$4:$4,0))))</f>
        <v>25.7</v>
      </c>
      <c r="D1505" s="148">
        <f t="shared" ca="1" si="52"/>
        <v>39.299999999999997</v>
      </c>
      <c r="E1505" s="148">
        <f t="shared" ca="1" si="53"/>
        <v>0</v>
      </c>
    </row>
    <row r="1506" spans="2:5" x14ac:dyDescent="0.25">
      <c r="B1506" s="8">
        <v>39100</v>
      </c>
      <c r="C1506" s="6">
        <f ca="1">IF(OR($C$7="",$B1506&gt;NOW()),"",IF(INDEX(Data!$A:$G,MATCH($B1506,Data!$A:$A,0),MATCH($C$7,Data!$4:$4,0))="","",INDEX(Data!$A:$G,MATCH($B1506,Data!$A:$A,0),MATCH($C$7,Data!$4:$4,0))))</f>
        <v>30.7</v>
      </c>
      <c r="D1506" s="148">
        <f t="shared" ca="1" si="52"/>
        <v>34.299999999999997</v>
      </c>
      <c r="E1506" s="148">
        <f t="shared" ca="1" si="53"/>
        <v>0</v>
      </c>
    </row>
    <row r="1507" spans="2:5" x14ac:dyDescent="0.25">
      <c r="B1507" s="8">
        <v>39101</v>
      </c>
      <c r="C1507" s="6">
        <f ca="1">IF(OR($C$7="",$B1507&gt;NOW()),"",IF(INDEX(Data!$A:$G,MATCH($B1507,Data!$A:$A,0),MATCH($C$7,Data!$4:$4,0))="","",INDEX(Data!$A:$G,MATCH($B1507,Data!$A:$A,0),MATCH($C$7,Data!$4:$4,0))))</f>
        <v>38</v>
      </c>
      <c r="D1507" s="148">
        <f t="shared" ca="1" si="52"/>
        <v>27</v>
      </c>
      <c r="E1507" s="148">
        <f t="shared" ca="1" si="53"/>
        <v>0</v>
      </c>
    </row>
    <row r="1508" spans="2:5" x14ac:dyDescent="0.25">
      <c r="B1508" s="8">
        <v>39102</v>
      </c>
      <c r="C1508" s="6">
        <f ca="1">IF(OR($C$7="",$B1508&gt;NOW()),"",IF(INDEX(Data!$A:$G,MATCH($B1508,Data!$A:$A,0),MATCH($C$7,Data!$4:$4,0))="","",INDEX(Data!$A:$G,MATCH($B1508,Data!$A:$A,0),MATCH($C$7,Data!$4:$4,0))))</f>
        <v>32.700000000000003</v>
      </c>
      <c r="D1508" s="148">
        <f t="shared" ca="1" si="52"/>
        <v>32.299999999999997</v>
      </c>
      <c r="E1508" s="148">
        <f t="shared" ca="1" si="53"/>
        <v>0</v>
      </c>
    </row>
    <row r="1509" spans="2:5" x14ac:dyDescent="0.25">
      <c r="B1509" s="8">
        <v>39103</v>
      </c>
      <c r="C1509" s="6">
        <f ca="1">IF(OR($C$7="",$B1509&gt;NOW()),"",IF(INDEX(Data!$A:$G,MATCH($B1509,Data!$A:$A,0),MATCH($C$7,Data!$4:$4,0))="","",INDEX(Data!$A:$G,MATCH($B1509,Data!$A:$A,0),MATCH($C$7,Data!$4:$4,0))))</f>
        <v>24.8</v>
      </c>
      <c r="D1509" s="148">
        <f t="shared" ca="1" si="52"/>
        <v>40.200000000000003</v>
      </c>
      <c r="E1509" s="148">
        <f t="shared" ca="1" si="53"/>
        <v>0</v>
      </c>
    </row>
    <row r="1510" spans="2:5" x14ac:dyDescent="0.25">
      <c r="B1510" s="8">
        <v>39104</v>
      </c>
      <c r="C1510" s="6">
        <f ca="1">IF(OR($C$7="",$B1510&gt;NOW()),"",IF(INDEX(Data!$A:$G,MATCH($B1510,Data!$A:$A,0),MATCH($C$7,Data!$4:$4,0))="","",INDEX(Data!$A:$G,MATCH($B1510,Data!$A:$A,0),MATCH($C$7,Data!$4:$4,0))))</f>
        <v>30.8</v>
      </c>
      <c r="D1510" s="148">
        <f t="shared" ca="1" si="52"/>
        <v>34.200000000000003</v>
      </c>
      <c r="E1510" s="148">
        <f t="shared" ca="1" si="53"/>
        <v>0</v>
      </c>
    </row>
    <row r="1511" spans="2:5" x14ac:dyDescent="0.25">
      <c r="B1511" s="8">
        <v>39105</v>
      </c>
      <c r="C1511" s="6">
        <f ca="1">IF(OR($C$7="",$B1511&gt;NOW()),"",IF(INDEX(Data!$A:$G,MATCH($B1511,Data!$A:$A,0),MATCH($C$7,Data!$4:$4,0))="","",INDEX(Data!$A:$G,MATCH($B1511,Data!$A:$A,0),MATCH($C$7,Data!$4:$4,0))))</f>
        <v>33.700000000000003</v>
      </c>
      <c r="D1511" s="148">
        <f t="shared" ca="1" si="52"/>
        <v>31.299999999999997</v>
      </c>
      <c r="E1511" s="148">
        <f t="shared" ca="1" si="53"/>
        <v>0</v>
      </c>
    </row>
    <row r="1512" spans="2:5" x14ac:dyDescent="0.25">
      <c r="B1512" s="8">
        <v>39106</v>
      </c>
      <c r="C1512" s="6">
        <f ca="1">IF(OR($C$7="",$B1512&gt;NOW()),"",IF(INDEX(Data!$A:$G,MATCH($B1512,Data!$A:$A,0),MATCH($C$7,Data!$4:$4,0))="","",INDEX(Data!$A:$G,MATCH($B1512,Data!$A:$A,0),MATCH($C$7,Data!$4:$4,0))))</f>
        <v>36.6</v>
      </c>
      <c r="D1512" s="148">
        <f t="shared" ca="1" si="52"/>
        <v>28.4</v>
      </c>
      <c r="E1512" s="148">
        <f t="shared" ca="1" si="53"/>
        <v>0</v>
      </c>
    </row>
    <row r="1513" spans="2:5" x14ac:dyDescent="0.25">
      <c r="B1513" s="8">
        <v>39107</v>
      </c>
      <c r="C1513" s="6">
        <f ca="1">IF(OR($C$7="",$B1513&gt;NOW()),"",IF(INDEX(Data!$A:$G,MATCH($B1513,Data!$A:$A,0),MATCH($C$7,Data!$4:$4,0))="","",INDEX(Data!$A:$G,MATCH($B1513,Data!$A:$A,0),MATCH($C$7,Data!$4:$4,0))))</f>
        <v>33.4</v>
      </c>
      <c r="D1513" s="148">
        <f t="shared" ca="1" si="52"/>
        <v>31.6</v>
      </c>
      <c r="E1513" s="148">
        <f t="shared" ca="1" si="53"/>
        <v>0</v>
      </c>
    </row>
    <row r="1514" spans="2:5" x14ac:dyDescent="0.25">
      <c r="B1514" s="8">
        <v>39108</v>
      </c>
      <c r="C1514" s="6">
        <f ca="1">IF(OR($C$7="",$B1514&gt;NOW()),"",IF(INDEX(Data!$A:$G,MATCH($B1514,Data!$A:$A,0),MATCH($C$7,Data!$4:$4,0))="","",INDEX(Data!$A:$G,MATCH($B1514,Data!$A:$A,0),MATCH($C$7,Data!$4:$4,0))))</f>
        <v>18.2</v>
      </c>
      <c r="D1514" s="148">
        <f t="shared" ca="1" si="52"/>
        <v>46.8</v>
      </c>
      <c r="E1514" s="148">
        <f t="shared" ca="1" si="53"/>
        <v>0</v>
      </c>
    </row>
    <row r="1515" spans="2:5" x14ac:dyDescent="0.25">
      <c r="B1515" s="8">
        <v>39109</v>
      </c>
      <c r="C1515" s="6">
        <f ca="1">IF(OR($C$7="",$B1515&gt;NOW()),"",IF(INDEX(Data!$A:$G,MATCH($B1515,Data!$A:$A,0),MATCH($C$7,Data!$4:$4,0))="","",INDEX(Data!$A:$G,MATCH($B1515,Data!$A:$A,0),MATCH($C$7,Data!$4:$4,0))))</f>
        <v>27.5</v>
      </c>
      <c r="D1515" s="148">
        <f t="shared" ca="1" si="52"/>
        <v>37.5</v>
      </c>
      <c r="E1515" s="148">
        <f t="shared" ca="1" si="53"/>
        <v>0</v>
      </c>
    </row>
    <row r="1516" spans="2:5" x14ac:dyDescent="0.25">
      <c r="B1516" s="8">
        <v>39110</v>
      </c>
      <c r="C1516" s="6">
        <f ca="1">IF(OR($C$7="",$B1516&gt;NOW()),"",IF(INDEX(Data!$A:$G,MATCH($B1516,Data!$A:$A,0),MATCH($C$7,Data!$4:$4,0))="","",INDEX(Data!$A:$G,MATCH($B1516,Data!$A:$A,0),MATCH($C$7,Data!$4:$4,0))))</f>
        <v>39.9</v>
      </c>
      <c r="D1516" s="148">
        <f t="shared" ca="1" si="52"/>
        <v>25.1</v>
      </c>
      <c r="E1516" s="148">
        <f t="shared" ca="1" si="53"/>
        <v>0</v>
      </c>
    </row>
    <row r="1517" spans="2:5" x14ac:dyDescent="0.25">
      <c r="B1517" s="8">
        <v>39111</v>
      </c>
      <c r="C1517" s="6">
        <f ca="1">IF(OR($C$7="",$B1517&gt;NOW()),"",IF(INDEX(Data!$A:$G,MATCH($B1517,Data!$A:$A,0),MATCH($C$7,Data!$4:$4,0))="","",INDEX(Data!$A:$G,MATCH($B1517,Data!$A:$A,0),MATCH($C$7,Data!$4:$4,0))))</f>
        <v>30.2</v>
      </c>
      <c r="D1517" s="148">
        <f t="shared" ca="1" si="52"/>
        <v>34.799999999999997</v>
      </c>
      <c r="E1517" s="148">
        <f t="shared" ca="1" si="53"/>
        <v>0</v>
      </c>
    </row>
    <row r="1518" spans="2:5" x14ac:dyDescent="0.25">
      <c r="B1518" s="8">
        <v>39112</v>
      </c>
      <c r="C1518" s="6">
        <f ca="1">IF(OR($C$7="",$B1518&gt;NOW()),"",IF(INDEX(Data!$A:$G,MATCH($B1518,Data!$A:$A,0),MATCH($C$7,Data!$4:$4,0))="","",INDEX(Data!$A:$G,MATCH($B1518,Data!$A:$A,0),MATCH($C$7,Data!$4:$4,0))))</f>
        <v>28.3</v>
      </c>
      <c r="D1518" s="148">
        <f t="shared" ca="1" si="52"/>
        <v>36.700000000000003</v>
      </c>
      <c r="E1518" s="148">
        <f t="shared" ca="1" si="53"/>
        <v>0</v>
      </c>
    </row>
    <row r="1519" spans="2:5" x14ac:dyDescent="0.25">
      <c r="B1519" s="8">
        <v>39113</v>
      </c>
      <c r="C1519" s="6">
        <f ca="1">IF(OR($C$7="",$B1519&gt;NOW()),"",IF(INDEX(Data!$A:$G,MATCH($B1519,Data!$A:$A,0),MATCH($C$7,Data!$4:$4,0))="","",INDEX(Data!$A:$G,MATCH($B1519,Data!$A:$A,0),MATCH($C$7,Data!$4:$4,0))))</f>
        <v>32</v>
      </c>
      <c r="D1519" s="148">
        <f t="shared" ca="1" si="52"/>
        <v>33</v>
      </c>
      <c r="E1519" s="148">
        <f t="shared" ca="1" si="53"/>
        <v>0</v>
      </c>
    </row>
    <row r="1520" spans="2:5" x14ac:dyDescent="0.25">
      <c r="B1520" s="8">
        <v>39114</v>
      </c>
      <c r="C1520" s="6">
        <f ca="1">IF(OR($C$7="",$B1520&gt;NOW()),"",IF(INDEX(Data!$A:$G,MATCH($B1520,Data!$A:$A,0),MATCH($C$7,Data!$4:$4,0))="","",INDEX(Data!$A:$G,MATCH($B1520,Data!$A:$A,0),MATCH($C$7,Data!$4:$4,0))))</f>
        <v>31.4</v>
      </c>
      <c r="D1520" s="148">
        <f t="shared" ca="1" si="52"/>
        <v>33.6</v>
      </c>
      <c r="E1520" s="148">
        <f t="shared" ca="1" si="53"/>
        <v>0</v>
      </c>
    </row>
    <row r="1521" spans="2:5" x14ac:dyDescent="0.25">
      <c r="B1521" s="8">
        <v>39115</v>
      </c>
      <c r="C1521" s="6">
        <f ca="1">IF(OR($C$7="",$B1521&gt;NOW()),"",IF(INDEX(Data!$A:$G,MATCH($B1521,Data!$A:$A,0),MATCH($C$7,Data!$4:$4,0))="","",INDEX(Data!$A:$G,MATCH($B1521,Data!$A:$A,0),MATCH($C$7,Data!$4:$4,0))))</f>
        <v>35.5</v>
      </c>
      <c r="D1521" s="148">
        <f t="shared" ca="1" si="52"/>
        <v>29.5</v>
      </c>
      <c r="E1521" s="148">
        <f t="shared" ca="1" si="53"/>
        <v>0</v>
      </c>
    </row>
    <row r="1522" spans="2:5" x14ac:dyDescent="0.25">
      <c r="B1522" s="8">
        <v>39116</v>
      </c>
      <c r="C1522" s="6">
        <f ca="1">IF(OR($C$7="",$B1522&gt;NOW()),"",IF(INDEX(Data!$A:$G,MATCH($B1522,Data!$A:$A,0),MATCH($C$7,Data!$4:$4,0))="","",INDEX(Data!$A:$G,MATCH($B1522,Data!$A:$A,0),MATCH($C$7,Data!$4:$4,0))))</f>
        <v>31.1</v>
      </c>
      <c r="D1522" s="148">
        <f t="shared" ca="1" si="52"/>
        <v>33.9</v>
      </c>
      <c r="E1522" s="148">
        <f t="shared" ca="1" si="53"/>
        <v>0</v>
      </c>
    </row>
    <row r="1523" spans="2:5" x14ac:dyDescent="0.25">
      <c r="B1523" s="8">
        <v>39117</v>
      </c>
      <c r="C1523" s="6">
        <f ca="1">IF(OR($C$7="",$B1523&gt;NOW()),"",IF(INDEX(Data!$A:$G,MATCH($B1523,Data!$A:$A,0),MATCH($C$7,Data!$4:$4,0))="","",INDEX(Data!$A:$G,MATCH($B1523,Data!$A:$A,0),MATCH($C$7,Data!$4:$4,0))))</f>
        <v>24.9</v>
      </c>
      <c r="D1523" s="148">
        <f t="shared" ca="1" si="52"/>
        <v>40.1</v>
      </c>
      <c r="E1523" s="148">
        <f t="shared" ca="1" si="53"/>
        <v>0</v>
      </c>
    </row>
    <row r="1524" spans="2:5" x14ac:dyDescent="0.25">
      <c r="B1524" s="8">
        <v>39118</v>
      </c>
      <c r="C1524" s="6">
        <f ca="1">IF(OR($C$7="",$B1524&gt;NOW()),"",IF(INDEX(Data!$A:$G,MATCH($B1524,Data!$A:$A,0),MATCH($C$7,Data!$4:$4,0))="","",INDEX(Data!$A:$G,MATCH($B1524,Data!$A:$A,0),MATCH($C$7,Data!$4:$4,0))))</f>
        <v>16.899999999999999</v>
      </c>
      <c r="D1524" s="148">
        <f t="shared" ca="1" si="52"/>
        <v>48.1</v>
      </c>
      <c r="E1524" s="148">
        <f t="shared" ca="1" si="53"/>
        <v>0</v>
      </c>
    </row>
    <row r="1525" spans="2:5" x14ac:dyDescent="0.25">
      <c r="B1525" s="8">
        <v>39119</v>
      </c>
      <c r="C1525" s="6">
        <f ca="1">IF(OR($C$7="",$B1525&gt;NOW()),"",IF(INDEX(Data!$A:$G,MATCH($B1525,Data!$A:$A,0),MATCH($C$7,Data!$4:$4,0))="","",INDEX(Data!$A:$G,MATCH($B1525,Data!$A:$A,0),MATCH($C$7,Data!$4:$4,0))))</f>
        <v>17.600000000000001</v>
      </c>
      <c r="D1525" s="148">
        <f t="shared" ca="1" si="52"/>
        <v>47.4</v>
      </c>
      <c r="E1525" s="148">
        <f t="shared" ca="1" si="53"/>
        <v>0</v>
      </c>
    </row>
    <row r="1526" spans="2:5" x14ac:dyDescent="0.25">
      <c r="B1526" s="8">
        <v>39120</v>
      </c>
      <c r="C1526" s="6">
        <f ca="1">IF(OR($C$7="",$B1526&gt;NOW()),"",IF(INDEX(Data!$A:$G,MATCH($B1526,Data!$A:$A,0),MATCH($C$7,Data!$4:$4,0))="","",INDEX(Data!$A:$G,MATCH($B1526,Data!$A:$A,0),MATCH($C$7,Data!$4:$4,0))))</f>
        <v>19.5</v>
      </c>
      <c r="D1526" s="148">
        <f t="shared" ca="1" si="52"/>
        <v>45.5</v>
      </c>
      <c r="E1526" s="148">
        <f t="shared" ca="1" si="53"/>
        <v>0</v>
      </c>
    </row>
    <row r="1527" spans="2:5" x14ac:dyDescent="0.25">
      <c r="B1527" s="8">
        <v>39121</v>
      </c>
      <c r="C1527" s="6">
        <f ca="1">IF(OR($C$7="",$B1527&gt;NOW()),"",IF(INDEX(Data!$A:$G,MATCH($B1527,Data!$A:$A,0),MATCH($C$7,Data!$4:$4,0))="","",INDEX(Data!$A:$G,MATCH($B1527,Data!$A:$A,0),MATCH($C$7,Data!$4:$4,0))))</f>
        <v>22.2</v>
      </c>
      <c r="D1527" s="148">
        <f t="shared" ca="1" si="52"/>
        <v>42.8</v>
      </c>
      <c r="E1527" s="148">
        <f t="shared" ca="1" si="53"/>
        <v>0</v>
      </c>
    </row>
    <row r="1528" spans="2:5" x14ac:dyDescent="0.25">
      <c r="B1528" s="8">
        <v>39122</v>
      </c>
      <c r="C1528" s="6">
        <f ca="1">IF(OR($C$7="",$B1528&gt;NOW()),"",IF(INDEX(Data!$A:$G,MATCH($B1528,Data!$A:$A,0),MATCH($C$7,Data!$4:$4,0))="","",INDEX(Data!$A:$G,MATCH($B1528,Data!$A:$A,0),MATCH($C$7,Data!$4:$4,0))))</f>
        <v>25</v>
      </c>
      <c r="D1528" s="148">
        <f t="shared" ca="1" si="52"/>
        <v>40</v>
      </c>
      <c r="E1528" s="148">
        <f t="shared" ca="1" si="53"/>
        <v>0</v>
      </c>
    </row>
    <row r="1529" spans="2:5" x14ac:dyDescent="0.25">
      <c r="B1529" s="8">
        <v>39123</v>
      </c>
      <c r="C1529" s="6">
        <f ca="1">IF(OR($C$7="",$B1529&gt;NOW()),"",IF(INDEX(Data!$A:$G,MATCH($B1529,Data!$A:$A,0),MATCH($C$7,Data!$4:$4,0))="","",INDEX(Data!$A:$G,MATCH($B1529,Data!$A:$A,0),MATCH($C$7,Data!$4:$4,0))))</f>
        <v>28.4</v>
      </c>
      <c r="D1529" s="148">
        <f t="shared" ca="1" si="52"/>
        <v>36.6</v>
      </c>
      <c r="E1529" s="148">
        <f t="shared" ca="1" si="53"/>
        <v>0</v>
      </c>
    </row>
    <row r="1530" spans="2:5" x14ac:dyDescent="0.25">
      <c r="B1530" s="8">
        <v>39124</v>
      </c>
      <c r="C1530" s="6">
        <f ca="1">IF(OR($C$7="",$B1530&gt;NOW()),"",IF(INDEX(Data!$A:$G,MATCH($B1530,Data!$A:$A,0),MATCH($C$7,Data!$4:$4,0))="","",INDEX(Data!$A:$G,MATCH($B1530,Data!$A:$A,0),MATCH($C$7,Data!$4:$4,0))))</f>
        <v>27</v>
      </c>
      <c r="D1530" s="148">
        <f t="shared" ca="1" si="52"/>
        <v>38</v>
      </c>
      <c r="E1530" s="148">
        <f t="shared" ca="1" si="53"/>
        <v>0</v>
      </c>
    </row>
    <row r="1531" spans="2:5" x14ac:dyDescent="0.25">
      <c r="B1531" s="8">
        <v>39125</v>
      </c>
      <c r="C1531" s="6">
        <f ca="1">IF(OR($C$7="",$B1531&gt;NOW()),"",IF(INDEX(Data!$A:$G,MATCH($B1531,Data!$A:$A,0),MATCH($C$7,Data!$4:$4,0))="","",INDEX(Data!$A:$G,MATCH($B1531,Data!$A:$A,0),MATCH($C$7,Data!$4:$4,0))))</f>
        <v>34.200000000000003</v>
      </c>
      <c r="D1531" s="148">
        <f t="shared" ca="1" si="52"/>
        <v>30.799999999999997</v>
      </c>
      <c r="E1531" s="148">
        <f t="shared" ca="1" si="53"/>
        <v>0</v>
      </c>
    </row>
    <row r="1532" spans="2:5" x14ac:dyDescent="0.25">
      <c r="B1532" s="8">
        <v>39126</v>
      </c>
      <c r="C1532" s="6">
        <f ca="1">IF(OR($C$7="",$B1532&gt;NOW()),"",IF(INDEX(Data!$A:$G,MATCH($B1532,Data!$A:$A,0),MATCH($C$7,Data!$4:$4,0))="","",INDEX(Data!$A:$G,MATCH($B1532,Data!$A:$A,0),MATCH($C$7,Data!$4:$4,0))))</f>
        <v>29.6</v>
      </c>
      <c r="D1532" s="148">
        <f t="shared" ca="1" si="52"/>
        <v>35.4</v>
      </c>
      <c r="E1532" s="148">
        <f t="shared" ca="1" si="53"/>
        <v>0</v>
      </c>
    </row>
    <row r="1533" spans="2:5" x14ac:dyDescent="0.25">
      <c r="B1533" s="8">
        <v>39127</v>
      </c>
      <c r="C1533" s="6">
        <f ca="1">IF(OR($C$7="",$B1533&gt;NOW()),"",IF(INDEX(Data!$A:$G,MATCH($B1533,Data!$A:$A,0),MATCH($C$7,Data!$4:$4,0))="","",INDEX(Data!$A:$G,MATCH($B1533,Data!$A:$A,0),MATCH($C$7,Data!$4:$4,0))))</f>
        <v>26</v>
      </c>
      <c r="D1533" s="148">
        <f t="shared" ca="1" si="52"/>
        <v>39</v>
      </c>
      <c r="E1533" s="148">
        <f t="shared" ca="1" si="53"/>
        <v>0</v>
      </c>
    </row>
    <row r="1534" spans="2:5" x14ac:dyDescent="0.25">
      <c r="B1534" s="8">
        <v>39128</v>
      </c>
      <c r="C1534" s="6">
        <f ca="1">IF(OR($C$7="",$B1534&gt;NOW()),"",IF(INDEX(Data!$A:$G,MATCH($B1534,Data!$A:$A,0),MATCH($C$7,Data!$4:$4,0))="","",INDEX(Data!$A:$G,MATCH($B1534,Data!$A:$A,0),MATCH($C$7,Data!$4:$4,0))))</f>
        <v>21.1</v>
      </c>
      <c r="D1534" s="148">
        <f t="shared" ca="1" si="52"/>
        <v>43.9</v>
      </c>
      <c r="E1534" s="148">
        <f t="shared" ca="1" si="53"/>
        <v>0</v>
      </c>
    </row>
    <row r="1535" spans="2:5" x14ac:dyDescent="0.25">
      <c r="B1535" s="8">
        <v>39129</v>
      </c>
      <c r="C1535" s="6">
        <f ca="1">IF(OR($C$7="",$B1535&gt;NOW()),"",IF(INDEX(Data!$A:$G,MATCH($B1535,Data!$A:$A,0),MATCH($C$7,Data!$4:$4,0))="","",INDEX(Data!$A:$G,MATCH($B1535,Data!$A:$A,0),MATCH($C$7,Data!$4:$4,0))))</f>
        <v>21.8</v>
      </c>
      <c r="D1535" s="148">
        <f t="shared" ca="1" si="52"/>
        <v>43.2</v>
      </c>
      <c r="E1535" s="148">
        <f t="shared" ca="1" si="53"/>
        <v>0</v>
      </c>
    </row>
    <row r="1536" spans="2:5" x14ac:dyDescent="0.25">
      <c r="B1536" s="8">
        <v>39130</v>
      </c>
      <c r="C1536" s="6">
        <f ca="1">IF(OR($C$7="",$B1536&gt;NOW()),"",IF(INDEX(Data!$A:$G,MATCH($B1536,Data!$A:$A,0),MATCH($C$7,Data!$4:$4,0))="","",INDEX(Data!$A:$G,MATCH($B1536,Data!$A:$A,0),MATCH($C$7,Data!$4:$4,0))))</f>
        <v>27.7</v>
      </c>
      <c r="D1536" s="148">
        <f t="shared" ca="1" si="52"/>
        <v>37.299999999999997</v>
      </c>
      <c r="E1536" s="148">
        <f t="shared" ca="1" si="53"/>
        <v>0</v>
      </c>
    </row>
    <row r="1537" spans="2:5" x14ac:dyDescent="0.25">
      <c r="B1537" s="8">
        <v>39131</v>
      </c>
      <c r="C1537" s="6">
        <f ca="1">IF(OR($C$7="",$B1537&gt;NOW()),"",IF(INDEX(Data!$A:$G,MATCH($B1537,Data!$A:$A,0),MATCH($C$7,Data!$4:$4,0))="","",INDEX(Data!$A:$G,MATCH($B1537,Data!$A:$A,0),MATCH($C$7,Data!$4:$4,0))))</f>
        <v>32.799999999999997</v>
      </c>
      <c r="D1537" s="148">
        <f t="shared" ca="1" si="52"/>
        <v>32.200000000000003</v>
      </c>
      <c r="E1537" s="148">
        <f t="shared" ca="1" si="53"/>
        <v>0</v>
      </c>
    </row>
    <row r="1538" spans="2:5" x14ac:dyDescent="0.25">
      <c r="B1538" s="8">
        <v>39132</v>
      </c>
      <c r="C1538" s="6">
        <f ca="1">IF(OR($C$7="",$B1538&gt;NOW()),"",IF(INDEX(Data!$A:$G,MATCH($B1538,Data!$A:$A,0),MATCH($C$7,Data!$4:$4,0))="","",INDEX(Data!$A:$G,MATCH($B1538,Data!$A:$A,0),MATCH($C$7,Data!$4:$4,0))))</f>
        <v>21.4</v>
      </c>
      <c r="D1538" s="148">
        <f t="shared" ca="1" si="52"/>
        <v>43.6</v>
      </c>
      <c r="E1538" s="148">
        <f t="shared" ca="1" si="53"/>
        <v>0</v>
      </c>
    </row>
    <row r="1539" spans="2:5" x14ac:dyDescent="0.25">
      <c r="B1539" s="8">
        <v>39133</v>
      </c>
      <c r="C1539" s="6">
        <f ca="1">IF(OR($C$7="",$B1539&gt;NOW()),"",IF(INDEX(Data!$A:$G,MATCH($B1539,Data!$A:$A,0),MATCH($C$7,Data!$4:$4,0))="","",INDEX(Data!$A:$G,MATCH($B1539,Data!$A:$A,0),MATCH($C$7,Data!$4:$4,0))))</f>
        <v>36.6</v>
      </c>
      <c r="D1539" s="148">
        <f t="shared" ca="1" si="52"/>
        <v>28.4</v>
      </c>
      <c r="E1539" s="148">
        <f t="shared" ca="1" si="53"/>
        <v>0</v>
      </c>
    </row>
    <row r="1540" spans="2:5" x14ac:dyDescent="0.25">
      <c r="B1540" s="8">
        <v>39134</v>
      </c>
      <c r="C1540" s="6">
        <f ca="1">IF(OR($C$7="",$B1540&gt;NOW()),"",IF(INDEX(Data!$A:$G,MATCH($B1540,Data!$A:$A,0),MATCH($C$7,Data!$4:$4,0))="","",INDEX(Data!$A:$G,MATCH($B1540,Data!$A:$A,0),MATCH($C$7,Data!$4:$4,0))))</f>
        <v>43.7</v>
      </c>
      <c r="D1540" s="148">
        <f t="shared" ca="1" si="52"/>
        <v>21.299999999999997</v>
      </c>
      <c r="E1540" s="148">
        <f t="shared" ca="1" si="53"/>
        <v>0</v>
      </c>
    </row>
    <row r="1541" spans="2:5" x14ac:dyDescent="0.25">
      <c r="B1541" s="8">
        <v>39135</v>
      </c>
      <c r="C1541" s="6">
        <f ca="1">IF(OR($C$7="",$B1541&gt;NOW()),"",IF(INDEX(Data!$A:$G,MATCH($B1541,Data!$A:$A,0),MATCH($C$7,Data!$4:$4,0))="","",INDEX(Data!$A:$G,MATCH($B1541,Data!$A:$A,0),MATCH($C$7,Data!$4:$4,0))))</f>
        <v>39.700000000000003</v>
      </c>
      <c r="D1541" s="148">
        <f t="shared" ca="1" si="52"/>
        <v>25.299999999999997</v>
      </c>
      <c r="E1541" s="148">
        <f t="shared" ca="1" si="53"/>
        <v>0</v>
      </c>
    </row>
    <row r="1542" spans="2:5" x14ac:dyDescent="0.25">
      <c r="B1542" s="8">
        <v>39136</v>
      </c>
      <c r="C1542" s="6">
        <f ca="1">IF(OR($C$7="",$B1542&gt;NOW()),"",IF(INDEX(Data!$A:$G,MATCH($B1542,Data!$A:$A,0),MATCH($C$7,Data!$4:$4,0))="","",INDEX(Data!$A:$G,MATCH($B1542,Data!$A:$A,0),MATCH($C$7,Data!$4:$4,0))))</f>
        <v>36.5</v>
      </c>
      <c r="D1542" s="148">
        <f t="shared" ca="1" si="52"/>
        <v>28.5</v>
      </c>
      <c r="E1542" s="148">
        <f t="shared" ca="1" si="53"/>
        <v>0</v>
      </c>
    </row>
    <row r="1543" spans="2:5" x14ac:dyDescent="0.25">
      <c r="B1543" s="8">
        <v>39137</v>
      </c>
      <c r="C1543" s="6">
        <f ca="1">IF(OR($C$7="",$B1543&gt;NOW()),"",IF(INDEX(Data!$A:$G,MATCH($B1543,Data!$A:$A,0),MATCH($C$7,Data!$4:$4,0))="","",INDEX(Data!$A:$G,MATCH($B1543,Data!$A:$A,0),MATCH($C$7,Data!$4:$4,0))))</f>
        <v>29.4</v>
      </c>
      <c r="D1543" s="148">
        <f t="shared" ca="1" si="52"/>
        <v>35.6</v>
      </c>
      <c r="E1543" s="148">
        <f t="shared" ca="1" si="53"/>
        <v>0</v>
      </c>
    </row>
    <row r="1544" spans="2:5" x14ac:dyDescent="0.25">
      <c r="B1544" s="8">
        <v>39138</v>
      </c>
      <c r="C1544" s="6">
        <f ca="1">IF(OR($C$7="",$B1544&gt;NOW()),"",IF(INDEX(Data!$A:$G,MATCH($B1544,Data!$A:$A,0),MATCH($C$7,Data!$4:$4,0))="","",INDEX(Data!$A:$G,MATCH($B1544,Data!$A:$A,0),MATCH($C$7,Data!$4:$4,0))))</f>
        <v>32.799999999999997</v>
      </c>
      <c r="D1544" s="148">
        <f t="shared" ca="1" si="52"/>
        <v>32.200000000000003</v>
      </c>
      <c r="E1544" s="148">
        <f t="shared" ca="1" si="53"/>
        <v>0</v>
      </c>
    </row>
    <row r="1545" spans="2:5" x14ac:dyDescent="0.25">
      <c r="B1545" s="8">
        <v>39139</v>
      </c>
      <c r="C1545" s="6">
        <f ca="1">IF(OR($C$7="",$B1545&gt;NOW()),"",IF(INDEX(Data!$A:$G,MATCH($B1545,Data!$A:$A,0),MATCH($C$7,Data!$4:$4,0))="","",INDEX(Data!$A:$G,MATCH($B1545,Data!$A:$A,0),MATCH($C$7,Data!$4:$4,0))))</f>
        <v>33.6</v>
      </c>
      <c r="D1545" s="148">
        <f t="shared" ca="1" si="52"/>
        <v>31.4</v>
      </c>
      <c r="E1545" s="148">
        <f t="shared" ca="1" si="53"/>
        <v>0</v>
      </c>
    </row>
    <row r="1546" spans="2:5" x14ac:dyDescent="0.25">
      <c r="B1546" s="8">
        <v>39140</v>
      </c>
      <c r="C1546" s="6">
        <f ca="1">IF(OR($C$7="",$B1546&gt;NOW()),"",IF(INDEX(Data!$A:$G,MATCH($B1546,Data!$A:$A,0),MATCH($C$7,Data!$4:$4,0))="","",INDEX(Data!$A:$G,MATCH($B1546,Data!$A:$A,0),MATCH($C$7,Data!$4:$4,0))))</f>
        <v>38.1</v>
      </c>
      <c r="D1546" s="148">
        <f t="shared" ca="1" si="52"/>
        <v>26.9</v>
      </c>
      <c r="E1546" s="148">
        <f t="shared" ca="1" si="53"/>
        <v>0</v>
      </c>
    </row>
    <row r="1547" spans="2:5" x14ac:dyDescent="0.25">
      <c r="B1547" s="8">
        <v>39141</v>
      </c>
      <c r="C1547" s="6">
        <f ca="1">IF(OR($C$7="",$B1547&gt;NOW()),"",IF(INDEX(Data!$A:$G,MATCH($B1547,Data!$A:$A,0),MATCH($C$7,Data!$4:$4,0))="","",INDEX(Data!$A:$G,MATCH($B1547,Data!$A:$A,0),MATCH($C$7,Data!$4:$4,0))))</f>
        <v>40.9</v>
      </c>
      <c r="D1547" s="148">
        <f t="shared" ca="1" si="52"/>
        <v>24.1</v>
      </c>
      <c r="E1547" s="148">
        <f t="shared" ca="1" si="53"/>
        <v>0</v>
      </c>
    </row>
    <row r="1548" spans="2:5" x14ac:dyDescent="0.25">
      <c r="B1548" s="8">
        <v>39142</v>
      </c>
      <c r="C1548" s="6">
        <f ca="1">IF(OR($C$7="",$B1548&gt;NOW()),"",IF(INDEX(Data!$A:$G,MATCH($B1548,Data!$A:$A,0),MATCH($C$7,Data!$4:$4,0))="","",INDEX(Data!$A:$G,MATCH($B1548,Data!$A:$A,0),MATCH($C$7,Data!$4:$4,0))))</f>
        <v>39.4</v>
      </c>
      <c r="D1548" s="148">
        <f t="shared" ca="1" si="52"/>
        <v>25.6</v>
      </c>
      <c r="E1548" s="148">
        <f t="shared" ca="1" si="53"/>
        <v>0</v>
      </c>
    </row>
    <row r="1549" spans="2:5" x14ac:dyDescent="0.25">
      <c r="B1549" s="8">
        <v>39143</v>
      </c>
      <c r="C1549" s="6">
        <f ca="1">IF(OR($C$7="",$B1549&gt;NOW()),"",IF(INDEX(Data!$A:$G,MATCH($B1549,Data!$A:$A,0),MATCH($C$7,Data!$4:$4,0))="","",INDEX(Data!$A:$G,MATCH($B1549,Data!$A:$A,0),MATCH($C$7,Data!$4:$4,0))))</f>
        <v>47.3</v>
      </c>
      <c r="D1549" s="148">
        <f t="shared" ca="1" si="52"/>
        <v>17.700000000000003</v>
      </c>
      <c r="E1549" s="148">
        <f t="shared" ca="1" si="53"/>
        <v>0</v>
      </c>
    </row>
    <row r="1550" spans="2:5" x14ac:dyDescent="0.25">
      <c r="B1550" s="8">
        <v>39144</v>
      </c>
      <c r="C1550" s="6">
        <f ca="1">IF(OR($C$7="",$B1550&gt;NOW()),"",IF(INDEX(Data!$A:$G,MATCH($B1550,Data!$A:$A,0),MATCH($C$7,Data!$4:$4,0))="","",INDEX(Data!$A:$G,MATCH($B1550,Data!$A:$A,0),MATCH($C$7,Data!$4:$4,0))))</f>
        <v>49.5</v>
      </c>
      <c r="D1550" s="148">
        <f t="shared" ca="1" si="52"/>
        <v>15.5</v>
      </c>
      <c r="E1550" s="148">
        <f t="shared" ca="1" si="53"/>
        <v>0</v>
      </c>
    </row>
    <row r="1551" spans="2:5" x14ac:dyDescent="0.25">
      <c r="B1551" s="8">
        <v>39145</v>
      </c>
      <c r="C1551" s="6">
        <f ca="1">IF(OR($C$7="",$B1551&gt;NOW()),"",IF(INDEX(Data!$A:$G,MATCH($B1551,Data!$A:$A,0),MATCH($C$7,Data!$4:$4,0))="","",INDEX(Data!$A:$G,MATCH($B1551,Data!$A:$A,0),MATCH($C$7,Data!$4:$4,0))))</f>
        <v>39.799999999999997</v>
      </c>
      <c r="D1551" s="148">
        <f t="shared" ca="1" si="52"/>
        <v>25.200000000000003</v>
      </c>
      <c r="E1551" s="148">
        <f t="shared" ca="1" si="53"/>
        <v>0</v>
      </c>
    </row>
    <row r="1552" spans="2:5" x14ac:dyDescent="0.25">
      <c r="B1552" s="8">
        <v>39146</v>
      </c>
      <c r="C1552" s="6">
        <f ca="1">IF(OR($C$7="",$B1552&gt;NOW()),"",IF(INDEX(Data!$A:$G,MATCH($B1552,Data!$A:$A,0),MATCH($C$7,Data!$4:$4,0))="","",INDEX(Data!$A:$G,MATCH($B1552,Data!$A:$A,0),MATCH($C$7,Data!$4:$4,0))))</f>
        <v>35.5</v>
      </c>
      <c r="D1552" s="148">
        <f t="shared" ca="1" si="52"/>
        <v>29.5</v>
      </c>
      <c r="E1552" s="148">
        <f t="shared" ca="1" si="53"/>
        <v>0</v>
      </c>
    </row>
    <row r="1553" spans="2:5" x14ac:dyDescent="0.25">
      <c r="B1553" s="8">
        <v>39147</v>
      </c>
      <c r="C1553" s="6">
        <f ca="1">IF(OR($C$7="",$B1553&gt;NOW()),"",IF(INDEX(Data!$A:$G,MATCH($B1553,Data!$A:$A,0),MATCH($C$7,Data!$4:$4,0))="","",INDEX(Data!$A:$G,MATCH($B1553,Data!$A:$A,0),MATCH($C$7,Data!$4:$4,0))))</f>
        <v>20.7</v>
      </c>
      <c r="D1553" s="148">
        <f t="shared" ca="1" si="52"/>
        <v>44.3</v>
      </c>
      <c r="E1553" s="148">
        <f t="shared" ca="1" si="53"/>
        <v>0</v>
      </c>
    </row>
    <row r="1554" spans="2:5" x14ac:dyDescent="0.25">
      <c r="B1554" s="8">
        <v>39148</v>
      </c>
      <c r="C1554" s="6">
        <f ca="1">IF(OR($C$7="",$B1554&gt;NOW()),"",IF(INDEX(Data!$A:$G,MATCH($B1554,Data!$A:$A,0),MATCH($C$7,Data!$4:$4,0))="","",INDEX(Data!$A:$G,MATCH($B1554,Data!$A:$A,0),MATCH($C$7,Data!$4:$4,0))))</f>
        <v>17.100000000000001</v>
      </c>
      <c r="D1554" s="148">
        <f t="shared" ca="1" si="52"/>
        <v>47.9</v>
      </c>
      <c r="E1554" s="148">
        <f t="shared" ca="1" si="53"/>
        <v>0</v>
      </c>
    </row>
    <row r="1555" spans="2:5" x14ac:dyDescent="0.25">
      <c r="B1555" s="8">
        <v>39149</v>
      </c>
      <c r="C1555" s="6">
        <f ca="1">IF(OR($C$7="",$B1555&gt;NOW()),"",IF(INDEX(Data!$A:$G,MATCH($B1555,Data!$A:$A,0),MATCH($C$7,Data!$4:$4,0))="","",INDEX(Data!$A:$G,MATCH($B1555,Data!$A:$A,0),MATCH($C$7,Data!$4:$4,0))))</f>
        <v>25.8</v>
      </c>
      <c r="D1555" s="148">
        <f t="shared" ca="1" si="52"/>
        <v>39.200000000000003</v>
      </c>
      <c r="E1555" s="148">
        <f t="shared" ca="1" si="53"/>
        <v>0</v>
      </c>
    </row>
    <row r="1556" spans="2:5" x14ac:dyDescent="0.25">
      <c r="B1556" s="8">
        <v>39150</v>
      </c>
      <c r="C1556" s="6">
        <f ca="1">IF(OR($C$7="",$B1556&gt;NOW()),"",IF(INDEX(Data!$A:$G,MATCH($B1556,Data!$A:$A,0),MATCH($C$7,Data!$4:$4,0))="","",INDEX(Data!$A:$G,MATCH($B1556,Data!$A:$A,0),MATCH($C$7,Data!$4:$4,0))))</f>
        <v>23.3</v>
      </c>
      <c r="D1556" s="148">
        <f t="shared" ca="1" si="52"/>
        <v>41.7</v>
      </c>
      <c r="E1556" s="148">
        <f t="shared" ca="1" si="53"/>
        <v>0</v>
      </c>
    </row>
    <row r="1557" spans="2:5" x14ac:dyDescent="0.25">
      <c r="B1557" s="8">
        <v>39151</v>
      </c>
      <c r="C1557" s="6">
        <f ca="1">IF(OR($C$7="",$B1557&gt;NOW()),"",IF(INDEX(Data!$A:$G,MATCH($B1557,Data!$A:$A,0),MATCH($C$7,Data!$4:$4,0))="","",INDEX(Data!$A:$G,MATCH($B1557,Data!$A:$A,0),MATCH($C$7,Data!$4:$4,0))))</f>
        <v>38.700000000000003</v>
      </c>
      <c r="D1557" s="148">
        <f t="shared" ca="1" si="52"/>
        <v>26.299999999999997</v>
      </c>
      <c r="E1557" s="148">
        <f t="shared" ca="1" si="53"/>
        <v>0</v>
      </c>
    </row>
    <row r="1558" spans="2:5" x14ac:dyDescent="0.25">
      <c r="B1558" s="8">
        <v>39152</v>
      </c>
      <c r="C1558" s="6">
        <f ca="1">IF(OR($C$7="",$B1558&gt;NOW()),"",IF(INDEX(Data!$A:$G,MATCH($B1558,Data!$A:$A,0),MATCH($C$7,Data!$4:$4,0))="","",INDEX(Data!$A:$G,MATCH($B1558,Data!$A:$A,0),MATCH($C$7,Data!$4:$4,0))))</f>
        <v>47.7</v>
      </c>
      <c r="D1558" s="148">
        <f t="shared" ca="1" si="52"/>
        <v>17.299999999999997</v>
      </c>
      <c r="E1558" s="148">
        <f t="shared" ca="1" si="53"/>
        <v>0</v>
      </c>
    </row>
    <row r="1559" spans="2:5" x14ac:dyDescent="0.25">
      <c r="B1559" s="8">
        <v>39153</v>
      </c>
      <c r="C1559" s="6">
        <f ca="1">IF(OR($C$7="",$B1559&gt;NOW()),"",IF(INDEX(Data!$A:$G,MATCH($B1559,Data!$A:$A,0),MATCH($C$7,Data!$4:$4,0))="","",INDEX(Data!$A:$G,MATCH($B1559,Data!$A:$A,0),MATCH($C$7,Data!$4:$4,0))))</f>
        <v>44.7</v>
      </c>
      <c r="D1559" s="148">
        <f t="shared" ca="1" si="52"/>
        <v>20.299999999999997</v>
      </c>
      <c r="E1559" s="148">
        <f t="shared" ca="1" si="53"/>
        <v>0</v>
      </c>
    </row>
    <row r="1560" spans="2:5" x14ac:dyDescent="0.25">
      <c r="B1560" s="8">
        <v>39154</v>
      </c>
      <c r="C1560" s="6">
        <f ca="1">IF(OR($C$7="",$B1560&gt;NOW()),"",IF(INDEX(Data!$A:$G,MATCH($B1560,Data!$A:$A,0),MATCH($C$7,Data!$4:$4,0))="","",INDEX(Data!$A:$G,MATCH($B1560,Data!$A:$A,0),MATCH($C$7,Data!$4:$4,0))))</f>
        <v>49.3</v>
      </c>
      <c r="D1560" s="148">
        <f t="shared" ca="1" si="52"/>
        <v>15.700000000000003</v>
      </c>
      <c r="E1560" s="148">
        <f t="shared" ca="1" si="53"/>
        <v>0</v>
      </c>
    </row>
    <row r="1561" spans="2:5" x14ac:dyDescent="0.25">
      <c r="B1561" s="8">
        <v>39155</v>
      </c>
      <c r="C1561" s="6">
        <f ca="1">IF(OR($C$7="",$B1561&gt;NOW()),"",IF(INDEX(Data!$A:$G,MATCH($B1561,Data!$A:$A,0),MATCH($C$7,Data!$4:$4,0))="","",INDEX(Data!$A:$G,MATCH($B1561,Data!$A:$A,0),MATCH($C$7,Data!$4:$4,0))))</f>
        <v>53.6</v>
      </c>
      <c r="D1561" s="148">
        <f t="shared" ca="1" si="52"/>
        <v>11.399999999999999</v>
      </c>
      <c r="E1561" s="148">
        <f t="shared" ca="1" si="53"/>
        <v>0</v>
      </c>
    </row>
    <row r="1562" spans="2:5" x14ac:dyDescent="0.25">
      <c r="B1562" s="8">
        <v>39156</v>
      </c>
      <c r="C1562" s="6">
        <f ca="1">IF(OR($C$7="",$B1562&gt;NOW()),"",IF(INDEX(Data!$A:$G,MATCH($B1562,Data!$A:$A,0),MATCH($C$7,Data!$4:$4,0))="","",INDEX(Data!$A:$G,MATCH($B1562,Data!$A:$A,0),MATCH($C$7,Data!$4:$4,0))))</f>
        <v>56.1</v>
      </c>
      <c r="D1562" s="148">
        <f t="shared" ca="1" si="52"/>
        <v>8.8999999999999986</v>
      </c>
      <c r="E1562" s="148">
        <f t="shared" ca="1" si="53"/>
        <v>0</v>
      </c>
    </row>
    <row r="1563" spans="2:5" x14ac:dyDescent="0.25">
      <c r="B1563" s="8">
        <v>39157</v>
      </c>
      <c r="C1563" s="6">
        <f ca="1">IF(OR($C$7="",$B1563&gt;NOW()),"",IF(INDEX(Data!$A:$G,MATCH($B1563,Data!$A:$A,0),MATCH($C$7,Data!$4:$4,0))="","",INDEX(Data!$A:$G,MATCH($B1563,Data!$A:$A,0),MATCH($C$7,Data!$4:$4,0))))</f>
        <v>34.1</v>
      </c>
      <c r="D1563" s="148">
        <f t="shared" ca="1" si="52"/>
        <v>30.9</v>
      </c>
      <c r="E1563" s="148">
        <f t="shared" ca="1" si="53"/>
        <v>0</v>
      </c>
    </row>
    <row r="1564" spans="2:5" x14ac:dyDescent="0.25">
      <c r="B1564" s="8">
        <v>39158</v>
      </c>
      <c r="C1564" s="6">
        <f ca="1">IF(OR($C$7="",$B1564&gt;NOW()),"",IF(INDEX(Data!$A:$G,MATCH($B1564,Data!$A:$A,0),MATCH($C$7,Data!$4:$4,0))="","",INDEX(Data!$A:$G,MATCH($B1564,Data!$A:$A,0),MATCH($C$7,Data!$4:$4,0))))</f>
        <v>31.2</v>
      </c>
      <c r="D1564" s="148">
        <f t="shared" ca="1" si="52"/>
        <v>33.799999999999997</v>
      </c>
      <c r="E1564" s="148">
        <f t="shared" ca="1" si="53"/>
        <v>0</v>
      </c>
    </row>
    <row r="1565" spans="2:5" x14ac:dyDescent="0.25">
      <c r="B1565" s="8">
        <v>39159</v>
      </c>
      <c r="C1565" s="6">
        <f ca="1">IF(OR($C$7="",$B1565&gt;NOW()),"",IF(INDEX(Data!$A:$G,MATCH($B1565,Data!$A:$A,0),MATCH($C$7,Data!$4:$4,0))="","",INDEX(Data!$A:$G,MATCH($B1565,Data!$A:$A,0),MATCH($C$7,Data!$4:$4,0))))</f>
        <v>33.4</v>
      </c>
      <c r="D1565" s="148">
        <f t="shared" ref="D1565:D1628" ca="1" si="54">IF($C1565="","",IF($C1565&gt;$D$26,0,$D$26-$C1565))</f>
        <v>31.6</v>
      </c>
      <c r="E1565" s="148">
        <f t="shared" ref="E1565:E1628" ca="1" si="55">IF($C1565="","",IF($C1565&lt;$E$26,0,$C1565-$E$26))</f>
        <v>0</v>
      </c>
    </row>
    <row r="1566" spans="2:5" x14ac:dyDescent="0.25">
      <c r="B1566" s="8">
        <v>39160</v>
      </c>
      <c r="C1566" s="6">
        <f ca="1">IF(OR($C$7="",$B1566&gt;NOW()),"",IF(INDEX(Data!$A:$G,MATCH($B1566,Data!$A:$A,0),MATCH($C$7,Data!$4:$4,0))="","",INDEX(Data!$A:$G,MATCH($B1566,Data!$A:$A,0),MATCH($C$7,Data!$4:$4,0))))</f>
        <v>37.1</v>
      </c>
      <c r="D1566" s="148">
        <f t="shared" ca="1" si="54"/>
        <v>27.9</v>
      </c>
      <c r="E1566" s="148">
        <f t="shared" ca="1" si="55"/>
        <v>0</v>
      </c>
    </row>
    <row r="1567" spans="2:5" x14ac:dyDescent="0.25">
      <c r="B1567" s="8">
        <v>39161</v>
      </c>
      <c r="C1567" s="6">
        <f ca="1">IF(OR($C$7="",$B1567&gt;NOW()),"",IF(INDEX(Data!$A:$G,MATCH($B1567,Data!$A:$A,0),MATCH($C$7,Data!$4:$4,0))="","",INDEX(Data!$A:$G,MATCH($B1567,Data!$A:$A,0),MATCH($C$7,Data!$4:$4,0))))</f>
        <v>45.3</v>
      </c>
      <c r="D1567" s="148">
        <f t="shared" ca="1" si="54"/>
        <v>19.700000000000003</v>
      </c>
      <c r="E1567" s="148">
        <f t="shared" ca="1" si="55"/>
        <v>0</v>
      </c>
    </row>
    <row r="1568" spans="2:5" x14ac:dyDescent="0.25">
      <c r="B1568" s="8">
        <v>39162</v>
      </c>
      <c r="C1568" s="6">
        <f ca="1">IF(OR($C$7="",$B1568&gt;NOW()),"",IF(INDEX(Data!$A:$G,MATCH($B1568,Data!$A:$A,0),MATCH($C$7,Data!$4:$4,0))="","",INDEX(Data!$A:$G,MATCH($B1568,Data!$A:$A,0),MATCH($C$7,Data!$4:$4,0))))</f>
        <v>34.5</v>
      </c>
      <c r="D1568" s="148">
        <f t="shared" ca="1" si="54"/>
        <v>30.5</v>
      </c>
      <c r="E1568" s="148">
        <f t="shared" ca="1" si="55"/>
        <v>0</v>
      </c>
    </row>
    <row r="1569" spans="2:5" x14ac:dyDescent="0.25">
      <c r="B1569" s="8">
        <v>39163</v>
      </c>
      <c r="C1569" s="6">
        <f ca="1">IF(OR($C$7="",$B1569&gt;NOW()),"",IF(INDEX(Data!$A:$G,MATCH($B1569,Data!$A:$A,0),MATCH($C$7,Data!$4:$4,0))="","",INDEX(Data!$A:$G,MATCH($B1569,Data!$A:$A,0),MATCH($C$7,Data!$4:$4,0))))</f>
        <v>47.9</v>
      </c>
      <c r="D1569" s="148">
        <f t="shared" ca="1" si="54"/>
        <v>17.100000000000001</v>
      </c>
      <c r="E1569" s="148">
        <f t="shared" ca="1" si="55"/>
        <v>0</v>
      </c>
    </row>
    <row r="1570" spans="2:5" x14ac:dyDescent="0.25">
      <c r="B1570" s="8">
        <v>39164</v>
      </c>
      <c r="C1570" s="6">
        <f ca="1">IF(OR($C$7="",$B1570&gt;NOW()),"",IF(INDEX(Data!$A:$G,MATCH($B1570,Data!$A:$A,0),MATCH($C$7,Data!$4:$4,0))="","",INDEX(Data!$A:$G,MATCH($B1570,Data!$A:$A,0),MATCH($C$7,Data!$4:$4,0))))</f>
        <v>57.1</v>
      </c>
      <c r="D1570" s="148">
        <f t="shared" ca="1" si="54"/>
        <v>7.8999999999999986</v>
      </c>
      <c r="E1570" s="148">
        <f t="shared" ca="1" si="55"/>
        <v>0</v>
      </c>
    </row>
    <row r="1571" spans="2:5" x14ac:dyDescent="0.25">
      <c r="B1571" s="8">
        <v>39165</v>
      </c>
      <c r="C1571" s="6">
        <f ca="1">IF(OR($C$7="",$B1571&gt;NOW()),"",IF(INDEX(Data!$A:$G,MATCH($B1571,Data!$A:$A,0),MATCH($C$7,Data!$4:$4,0))="","",INDEX(Data!$A:$G,MATCH($B1571,Data!$A:$A,0),MATCH($C$7,Data!$4:$4,0))))</f>
        <v>47.9</v>
      </c>
      <c r="D1571" s="148">
        <f t="shared" ca="1" si="54"/>
        <v>17.100000000000001</v>
      </c>
      <c r="E1571" s="148">
        <f t="shared" ca="1" si="55"/>
        <v>0</v>
      </c>
    </row>
    <row r="1572" spans="2:5" x14ac:dyDescent="0.25">
      <c r="B1572" s="8">
        <v>39166</v>
      </c>
      <c r="C1572" s="6">
        <f ca="1">IF(OR($C$7="",$B1572&gt;NOW()),"",IF(INDEX(Data!$A:$G,MATCH($B1572,Data!$A:$A,0),MATCH($C$7,Data!$4:$4,0))="","",INDEX(Data!$A:$G,MATCH($B1572,Data!$A:$A,0),MATCH($C$7,Data!$4:$4,0))))</f>
        <v>44</v>
      </c>
      <c r="D1572" s="148">
        <f t="shared" ca="1" si="54"/>
        <v>21</v>
      </c>
      <c r="E1572" s="148">
        <f t="shared" ca="1" si="55"/>
        <v>0</v>
      </c>
    </row>
    <row r="1573" spans="2:5" x14ac:dyDescent="0.25">
      <c r="B1573" s="8">
        <v>39167</v>
      </c>
      <c r="C1573" s="6">
        <f ca="1">IF(OR($C$7="",$B1573&gt;NOW()),"",IF(INDEX(Data!$A:$G,MATCH($B1573,Data!$A:$A,0),MATCH($C$7,Data!$4:$4,0))="","",INDEX(Data!$A:$G,MATCH($B1573,Data!$A:$A,0),MATCH($C$7,Data!$4:$4,0))))</f>
        <v>44.7</v>
      </c>
      <c r="D1573" s="148">
        <f t="shared" ca="1" si="54"/>
        <v>20.299999999999997</v>
      </c>
      <c r="E1573" s="148">
        <f t="shared" ca="1" si="55"/>
        <v>0</v>
      </c>
    </row>
    <row r="1574" spans="2:5" x14ac:dyDescent="0.25">
      <c r="B1574" s="8">
        <v>39168</v>
      </c>
      <c r="C1574" s="6">
        <f ca="1">IF(OR($C$7="",$B1574&gt;NOW()),"",IF(INDEX(Data!$A:$G,MATCH($B1574,Data!$A:$A,0),MATCH($C$7,Data!$4:$4,0))="","",INDEX(Data!$A:$G,MATCH($B1574,Data!$A:$A,0),MATCH($C$7,Data!$4:$4,0))))</f>
        <v>59.7</v>
      </c>
      <c r="D1574" s="148">
        <f t="shared" ca="1" si="54"/>
        <v>5.2999999999999972</v>
      </c>
      <c r="E1574" s="148">
        <f t="shared" ca="1" si="55"/>
        <v>0</v>
      </c>
    </row>
    <row r="1575" spans="2:5" x14ac:dyDescent="0.25">
      <c r="B1575" s="8">
        <v>39169</v>
      </c>
      <c r="C1575" s="6">
        <f ca="1">IF(OR($C$7="",$B1575&gt;NOW()),"",IF(INDEX(Data!$A:$G,MATCH($B1575,Data!$A:$A,0),MATCH($C$7,Data!$4:$4,0))="","",INDEX(Data!$A:$G,MATCH($B1575,Data!$A:$A,0),MATCH($C$7,Data!$4:$4,0))))</f>
        <v>58.2</v>
      </c>
      <c r="D1575" s="148">
        <f t="shared" ca="1" si="54"/>
        <v>6.7999999999999972</v>
      </c>
      <c r="E1575" s="148">
        <f t="shared" ca="1" si="55"/>
        <v>0</v>
      </c>
    </row>
    <row r="1576" spans="2:5" x14ac:dyDescent="0.25">
      <c r="B1576" s="8">
        <v>39170</v>
      </c>
      <c r="C1576" s="6">
        <f ca="1">IF(OR($C$7="",$B1576&gt;NOW()),"",IF(INDEX(Data!$A:$G,MATCH($B1576,Data!$A:$A,0),MATCH($C$7,Data!$4:$4,0))="","",INDEX(Data!$A:$G,MATCH($B1576,Data!$A:$A,0),MATCH($C$7,Data!$4:$4,0))))</f>
        <v>48.6</v>
      </c>
      <c r="D1576" s="148">
        <f t="shared" ca="1" si="54"/>
        <v>16.399999999999999</v>
      </c>
      <c r="E1576" s="148">
        <f t="shared" ca="1" si="55"/>
        <v>0</v>
      </c>
    </row>
    <row r="1577" spans="2:5" x14ac:dyDescent="0.25">
      <c r="B1577" s="8">
        <v>39171</v>
      </c>
      <c r="C1577" s="6">
        <f ca="1">IF(OR($C$7="",$B1577&gt;NOW()),"",IF(INDEX(Data!$A:$G,MATCH($B1577,Data!$A:$A,0),MATCH($C$7,Data!$4:$4,0))="","",INDEX(Data!$A:$G,MATCH($B1577,Data!$A:$A,0),MATCH($C$7,Data!$4:$4,0))))</f>
        <v>52.1</v>
      </c>
      <c r="D1577" s="148">
        <f t="shared" ca="1" si="54"/>
        <v>12.899999999999999</v>
      </c>
      <c r="E1577" s="148">
        <f t="shared" ca="1" si="55"/>
        <v>0</v>
      </c>
    </row>
    <row r="1578" spans="2:5" x14ac:dyDescent="0.25">
      <c r="B1578" s="8">
        <v>39172</v>
      </c>
      <c r="C1578" s="6">
        <f ca="1">IF(OR($C$7="",$B1578&gt;NOW()),"",IF(INDEX(Data!$A:$G,MATCH($B1578,Data!$A:$A,0),MATCH($C$7,Data!$4:$4,0))="","",INDEX(Data!$A:$G,MATCH($B1578,Data!$A:$A,0),MATCH($C$7,Data!$4:$4,0))))</f>
        <v>51.2</v>
      </c>
      <c r="D1578" s="148">
        <f t="shared" ca="1" si="54"/>
        <v>13.799999999999997</v>
      </c>
      <c r="E1578" s="148">
        <f t="shared" ca="1" si="55"/>
        <v>0</v>
      </c>
    </row>
    <row r="1579" spans="2:5" x14ac:dyDescent="0.25">
      <c r="B1579" s="8">
        <v>39173</v>
      </c>
      <c r="C1579" s="6">
        <f ca="1">IF(OR($C$7="",$B1579&gt;NOW()),"",IF(INDEX(Data!$A:$G,MATCH($B1579,Data!$A:$A,0),MATCH($C$7,Data!$4:$4,0))="","",INDEX(Data!$A:$G,MATCH($B1579,Data!$A:$A,0),MATCH($C$7,Data!$4:$4,0))))</f>
        <v>45.6</v>
      </c>
      <c r="D1579" s="148">
        <f t="shared" ca="1" si="54"/>
        <v>19.399999999999999</v>
      </c>
      <c r="E1579" s="148">
        <f t="shared" ca="1" si="55"/>
        <v>0</v>
      </c>
    </row>
    <row r="1580" spans="2:5" x14ac:dyDescent="0.25">
      <c r="B1580" s="8">
        <v>39174</v>
      </c>
      <c r="C1580" s="6">
        <f ca="1">IF(OR($C$7="",$B1580&gt;NOW()),"",IF(INDEX(Data!$A:$G,MATCH($B1580,Data!$A:$A,0),MATCH($C$7,Data!$4:$4,0))="","",INDEX(Data!$A:$G,MATCH($B1580,Data!$A:$A,0),MATCH($C$7,Data!$4:$4,0))))</f>
        <v>45.5</v>
      </c>
      <c r="D1580" s="148">
        <f t="shared" ca="1" si="54"/>
        <v>19.5</v>
      </c>
      <c r="E1580" s="148">
        <f t="shared" ca="1" si="55"/>
        <v>0</v>
      </c>
    </row>
    <row r="1581" spans="2:5" x14ac:dyDescent="0.25">
      <c r="B1581" s="8">
        <v>39175</v>
      </c>
      <c r="C1581" s="6">
        <f ca="1">IF(OR($C$7="",$B1581&gt;NOW()),"",IF(INDEX(Data!$A:$G,MATCH($B1581,Data!$A:$A,0),MATCH($C$7,Data!$4:$4,0))="","",INDEX(Data!$A:$G,MATCH($B1581,Data!$A:$A,0),MATCH($C$7,Data!$4:$4,0))))</f>
        <v>49.5</v>
      </c>
      <c r="D1581" s="148">
        <f t="shared" ca="1" si="54"/>
        <v>15.5</v>
      </c>
      <c r="E1581" s="148">
        <f t="shared" ca="1" si="55"/>
        <v>0</v>
      </c>
    </row>
    <row r="1582" spans="2:5" x14ac:dyDescent="0.25">
      <c r="B1582" s="8">
        <v>39176</v>
      </c>
      <c r="C1582" s="6">
        <f ca="1">IF(OR($C$7="",$B1582&gt;NOW()),"",IF(INDEX(Data!$A:$G,MATCH($B1582,Data!$A:$A,0),MATCH($C$7,Data!$4:$4,0))="","",INDEX(Data!$A:$G,MATCH($B1582,Data!$A:$A,0),MATCH($C$7,Data!$4:$4,0))))</f>
        <v>43.5</v>
      </c>
      <c r="D1582" s="148">
        <f t="shared" ca="1" si="54"/>
        <v>21.5</v>
      </c>
      <c r="E1582" s="148">
        <f t="shared" ca="1" si="55"/>
        <v>0</v>
      </c>
    </row>
    <row r="1583" spans="2:5" x14ac:dyDescent="0.25">
      <c r="B1583" s="8">
        <v>39177</v>
      </c>
      <c r="C1583" s="6">
        <f ca="1">IF(OR($C$7="",$B1583&gt;NOW()),"",IF(INDEX(Data!$A:$G,MATCH($B1583,Data!$A:$A,0),MATCH($C$7,Data!$4:$4,0))="","",INDEX(Data!$A:$G,MATCH($B1583,Data!$A:$A,0),MATCH($C$7,Data!$4:$4,0))))</f>
        <v>42.4</v>
      </c>
      <c r="D1583" s="148">
        <f t="shared" ca="1" si="54"/>
        <v>22.6</v>
      </c>
      <c r="E1583" s="148">
        <f t="shared" ca="1" si="55"/>
        <v>0</v>
      </c>
    </row>
    <row r="1584" spans="2:5" x14ac:dyDescent="0.25">
      <c r="B1584" s="8">
        <v>39178</v>
      </c>
      <c r="C1584" s="6">
        <f ca="1">IF(OR($C$7="",$B1584&gt;NOW()),"",IF(INDEX(Data!$A:$G,MATCH($B1584,Data!$A:$A,0),MATCH($C$7,Data!$4:$4,0))="","",INDEX(Data!$A:$G,MATCH($B1584,Data!$A:$A,0),MATCH($C$7,Data!$4:$4,0))))</f>
        <v>37.6</v>
      </c>
      <c r="D1584" s="148">
        <f t="shared" ca="1" si="54"/>
        <v>27.4</v>
      </c>
      <c r="E1584" s="148">
        <f t="shared" ca="1" si="55"/>
        <v>0</v>
      </c>
    </row>
    <row r="1585" spans="2:5" x14ac:dyDescent="0.25">
      <c r="B1585" s="8">
        <v>39179</v>
      </c>
      <c r="C1585" s="6">
        <f ca="1">IF(OR($C$7="",$B1585&gt;NOW()),"",IF(INDEX(Data!$A:$G,MATCH($B1585,Data!$A:$A,0),MATCH($C$7,Data!$4:$4,0))="","",INDEX(Data!$A:$G,MATCH($B1585,Data!$A:$A,0),MATCH($C$7,Data!$4:$4,0))))</f>
        <v>38.200000000000003</v>
      </c>
      <c r="D1585" s="148">
        <f t="shared" ca="1" si="54"/>
        <v>26.799999999999997</v>
      </c>
      <c r="E1585" s="148">
        <f t="shared" ca="1" si="55"/>
        <v>0</v>
      </c>
    </row>
    <row r="1586" spans="2:5" x14ac:dyDescent="0.25">
      <c r="B1586" s="8">
        <v>39180</v>
      </c>
      <c r="C1586" s="6">
        <f ca="1">IF(OR($C$7="",$B1586&gt;NOW()),"",IF(INDEX(Data!$A:$G,MATCH($B1586,Data!$A:$A,0),MATCH($C$7,Data!$4:$4,0))="","",INDEX(Data!$A:$G,MATCH($B1586,Data!$A:$A,0),MATCH($C$7,Data!$4:$4,0))))</f>
        <v>37.1</v>
      </c>
      <c r="D1586" s="148">
        <f t="shared" ca="1" si="54"/>
        <v>27.9</v>
      </c>
      <c r="E1586" s="148">
        <f t="shared" ca="1" si="55"/>
        <v>0</v>
      </c>
    </row>
    <row r="1587" spans="2:5" x14ac:dyDescent="0.25">
      <c r="B1587" s="8">
        <v>39181</v>
      </c>
      <c r="C1587" s="6">
        <f ca="1">IF(OR($C$7="",$B1587&gt;NOW()),"",IF(INDEX(Data!$A:$G,MATCH($B1587,Data!$A:$A,0),MATCH($C$7,Data!$4:$4,0))="","",INDEX(Data!$A:$G,MATCH($B1587,Data!$A:$A,0),MATCH($C$7,Data!$4:$4,0))))</f>
        <v>40.6</v>
      </c>
      <c r="D1587" s="148">
        <f t="shared" ca="1" si="54"/>
        <v>24.4</v>
      </c>
      <c r="E1587" s="148">
        <f t="shared" ca="1" si="55"/>
        <v>0</v>
      </c>
    </row>
    <row r="1588" spans="2:5" x14ac:dyDescent="0.25">
      <c r="B1588" s="8">
        <v>39182</v>
      </c>
      <c r="C1588" s="6">
        <f ca="1">IF(OR($C$7="",$B1588&gt;NOW()),"",IF(INDEX(Data!$A:$G,MATCH($B1588,Data!$A:$A,0),MATCH($C$7,Data!$4:$4,0))="","",INDEX(Data!$A:$G,MATCH($B1588,Data!$A:$A,0),MATCH($C$7,Data!$4:$4,0))))</f>
        <v>42.5</v>
      </c>
      <c r="D1588" s="148">
        <f t="shared" ca="1" si="54"/>
        <v>22.5</v>
      </c>
      <c r="E1588" s="148">
        <f t="shared" ca="1" si="55"/>
        <v>0</v>
      </c>
    </row>
    <row r="1589" spans="2:5" x14ac:dyDescent="0.25">
      <c r="B1589" s="8">
        <v>39183</v>
      </c>
      <c r="C1589" s="6">
        <f ca="1">IF(OR($C$7="",$B1589&gt;NOW()),"",IF(INDEX(Data!$A:$G,MATCH($B1589,Data!$A:$A,0),MATCH($C$7,Data!$4:$4,0))="","",INDEX(Data!$A:$G,MATCH($B1589,Data!$A:$A,0),MATCH($C$7,Data!$4:$4,0))))</f>
        <v>44.4</v>
      </c>
      <c r="D1589" s="148">
        <f t="shared" ca="1" si="54"/>
        <v>20.6</v>
      </c>
      <c r="E1589" s="148">
        <f t="shared" ca="1" si="55"/>
        <v>0</v>
      </c>
    </row>
    <row r="1590" spans="2:5" x14ac:dyDescent="0.25">
      <c r="B1590" s="8">
        <v>39184</v>
      </c>
      <c r="C1590" s="6">
        <f ca="1">IF(OR($C$7="",$B1590&gt;NOW()),"",IF(INDEX(Data!$A:$G,MATCH($B1590,Data!$A:$A,0),MATCH($C$7,Data!$4:$4,0))="","",INDEX(Data!$A:$G,MATCH($B1590,Data!$A:$A,0),MATCH($C$7,Data!$4:$4,0))))</f>
        <v>43.4</v>
      </c>
      <c r="D1590" s="148">
        <f t="shared" ca="1" si="54"/>
        <v>21.6</v>
      </c>
      <c r="E1590" s="148">
        <f t="shared" ca="1" si="55"/>
        <v>0</v>
      </c>
    </row>
    <row r="1591" spans="2:5" x14ac:dyDescent="0.25">
      <c r="B1591" s="8">
        <v>39185</v>
      </c>
      <c r="C1591" s="6">
        <f ca="1">IF(OR($C$7="",$B1591&gt;NOW()),"",IF(INDEX(Data!$A:$G,MATCH($B1591,Data!$A:$A,0),MATCH($C$7,Data!$4:$4,0))="","",INDEX(Data!$A:$G,MATCH($B1591,Data!$A:$A,0),MATCH($C$7,Data!$4:$4,0))))</f>
        <v>46.3</v>
      </c>
      <c r="D1591" s="148">
        <f t="shared" ca="1" si="54"/>
        <v>18.700000000000003</v>
      </c>
      <c r="E1591" s="148">
        <f t="shared" ca="1" si="55"/>
        <v>0</v>
      </c>
    </row>
    <row r="1592" spans="2:5" x14ac:dyDescent="0.25">
      <c r="B1592" s="8">
        <v>39186</v>
      </c>
      <c r="C1592" s="6">
        <f ca="1">IF(OR($C$7="",$B1592&gt;NOW()),"",IF(INDEX(Data!$A:$G,MATCH($B1592,Data!$A:$A,0),MATCH($C$7,Data!$4:$4,0))="","",INDEX(Data!$A:$G,MATCH($B1592,Data!$A:$A,0),MATCH($C$7,Data!$4:$4,0))))</f>
        <v>47.5</v>
      </c>
      <c r="D1592" s="148">
        <f t="shared" ca="1" si="54"/>
        <v>17.5</v>
      </c>
      <c r="E1592" s="148">
        <f t="shared" ca="1" si="55"/>
        <v>0</v>
      </c>
    </row>
    <row r="1593" spans="2:5" x14ac:dyDescent="0.25">
      <c r="B1593" s="8">
        <v>39187</v>
      </c>
      <c r="C1593" s="6">
        <f ca="1">IF(OR($C$7="",$B1593&gt;NOW()),"",IF(INDEX(Data!$A:$G,MATCH($B1593,Data!$A:$A,0),MATCH($C$7,Data!$4:$4,0))="","",INDEX(Data!$A:$G,MATCH($B1593,Data!$A:$A,0),MATCH($C$7,Data!$4:$4,0))))</f>
        <v>47.4</v>
      </c>
      <c r="D1593" s="148">
        <f t="shared" ca="1" si="54"/>
        <v>17.600000000000001</v>
      </c>
      <c r="E1593" s="148">
        <f t="shared" ca="1" si="55"/>
        <v>0</v>
      </c>
    </row>
    <row r="1594" spans="2:5" x14ac:dyDescent="0.25">
      <c r="B1594" s="8">
        <v>39188</v>
      </c>
      <c r="C1594" s="6">
        <f ca="1">IF(OR($C$7="",$B1594&gt;NOW()),"",IF(INDEX(Data!$A:$G,MATCH($B1594,Data!$A:$A,0),MATCH($C$7,Data!$4:$4,0))="","",INDEX(Data!$A:$G,MATCH($B1594,Data!$A:$A,0),MATCH($C$7,Data!$4:$4,0))))</f>
        <v>47</v>
      </c>
      <c r="D1594" s="148">
        <f t="shared" ca="1" si="54"/>
        <v>18</v>
      </c>
      <c r="E1594" s="148">
        <f t="shared" ca="1" si="55"/>
        <v>0</v>
      </c>
    </row>
    <row r="1595" spans="2:5" x14ac:dyDescent="0.25">
      <c r="B1595" s="8">
        <v>39189</v>
      </c>
      <c r="C1595" s="6">
        <f ca="1">IF(OR($C$7="",$B1595&gt;NOW()),"",IF(INDEX(Data!$A:$G,MATCH($B1595,Data!$A:$A,0),MATCH($C$7,Data!$4:$4,0))="","",INDEX(Data!$A:$G,MATCH($B1595,Data!$A:$A,0),MATCH($C$7,Data!$4:$4,0))))</f>
        <v>45.8</v>
      </c>
      <c r="D1595" s="148">
        <f t="shared" ca="1" si="54"/>
        <v>19.200000000000003</v>
      </c>
      <c r="E1595" s="148">
        <f t="shared" ca="1" si="55"/>
        <v>0</v>
      </c>
    </row>
    <row r="1596" spans="2:5" x14ac:dyDescent="0.25">
      <c r="B1596" s="8">
        <v>39190</v>
      </c>
      <c r="C1596" s="6">
        <f ca="1">IF(OR($C$7="",$B1596&gt;NOW()),"",IF(INDEX(Data!$A:$G,MATCH($B1596,Data!$A:$A,0),MATCH($C$7,Data!$4:$4,0))="","",INDEX(Data!$A:$G,MATCH($B1596,Data!$A:$A,0),MATCH($C$7,Data!$4:$4,0))))</f>
        <v>47.4</v>
      </c>
      <c r="D1596" s="148">
        <f t="shared" ca="1" si="54"/>
        <v>17.600000000000001</v>
      </c>
      <c r="E1596" s="148">
        <f t="shared" ca="1" si="55"/>
        <v>0</v>
      </c>
    </row>
    <row r="1597" spans="2:5" x14ac:dyDescent="0.25">
      <c r="B1597" s="8">
        <v>39191</v>
      </c>
      <c r="C1597" s="6">
        <f ca="1">IF(OR($C$7="",$B1597&gt;NOW()),"",IF(INDEX(Data!$A:$G,MATCH($B1597,Data!$A:$A,0),MATCH($C$7,Data!$4:$4,0))="","",INDEX(Data!$A:$G,MATCH($B1597,Data!$A:$A,0),MATCH($C$7,Data!$4:$4,0))))</f>
        <v>51.1</v>
      </c>
      <c r="D1597" s="148">
        <f t="shared" ca="1" si="54"/>
        <v>13.899999999999999</v>
      </c>
      <c r="E1597" s="148">
        <f t="shared" ca="1" si="55"/>
        <v>0</v>
      </c>
    </row>
    <row r="1598" spans="2:5" x14ac:dyDescent="0.25">
      <c r="B1598" s="8">
        <v>39192</v>
      </c>
      <c r="C1598" s="6">
        <f ca="1">IF(OR($C$7="",$B1598&gt;NOW()),"",IF(INDEX(Data!$A:$G,MATCH($B1598,Data!$A:$A,0),MATCH($C$7,Data!$4:$4,0))="","",INDEX(Data!$A:$G,MATCH($B1598,Data!$A:$A,0),MATCH($C$7,Data!$4:$4,0))))</f>
        <v>55.1</v>
      </c>
      <c r="D1598" s="148">
        <f t="shared" ca="1" si="54"/>
        <v>9.8999999999999986</v>
      </c>
      <c r="E1598" s="148">
        <f t="shared" ca="1" si="55"/>
        <v>0</v>
      </c>
    </row>
    <row r="1599" spans="2:5" x14ac:dyDescent="0.25">
      <c r="B1599" s="8">
        <v>39193</v>
      </c>
      <c r="C1599" s="6">
        <f ca="1">IF(OR($C$7="",$B1599&gt;NOW()),"",IF(INDEX(Data!$A:$G,MATCH($B1599,Data!$A:$A,0),MATCH($C$7,Data!$4:$4,0))="","",INDEX(Data!$A:$G,MATCH($B1599,Data!$A:$A,0),MATCH($C$7,Data!$4:$4,0))))</f>
        <v>59.4</v>
      </c>
      <c r="D1599" s="148">
        <f t="shared" ca="1" si="54"/>
        <v>5.6000000000000014</v>
      </c>
      <c r="E1599" s="148">
        <f t="shared" ca="1" si="55"/>
        <v>0</v>
      </c>
    </row>
    <row r="1600" spans="2:5" x14ac:dyDescent="0.25">
      <c r="B1600" s="8">
        <v>39194</v>
      </c>
      <c r="C1600" s="6">
        <f ca="1">IF(OR($C$7="",$B1600&gt;NOW()),"",IF(INDEX(Data!$A:$G,MATCH($B1600,Data!$A:$A,0),MATCH($C$7,Data!$4:$4,0))="","",INDEX(Data!$A:$G,MATCH($B1600,Data!$A:$A,0),MATCH($C$7,Data!$4:$4,0))))</f>
        <v>63.7</v>
      </c>
      <c r="D1600" s="148">
        <f t="shared" ca="1" si="54"/>
        <v>1.2999999999999972</v>
      </c>
      <c r="E1600" s="148">
        <f t="shared" ca="1" si="55"/>
        <v>0</v>
      </c>
    </row>
    <row r="1601" spans="2:5" x14ac:dyDescent="0.25">
      <c r="B1601" s="8">
        <v>39195</v>
      </c>
      <c r="C1601" s="6">
        <f ca="1">IF(OR($C$7="",$B1601&gt;NOW()),"",IF(INDEX(Data!$A:$G,MATCH($B1601,Data!$A:$A,0),MATCH($C$7,Data!$4:$4,0))="","",INDEX(Data!$A:$G,MATCH($B1601,Data!$A:$A,0),MATCH($C$7,Data!$4:$4,0))))</f>
        <v>67.900000000000006</v>
      </c>
      <c r="D1601" s="148">
        <f t="shared" ca="1" si="54"/>
        <v>0</v>
      </c>
      <c r="E1601" s="148">
        <f t="shared" ca="1" si="55"/>
        <v>2.9000000000000057</v>
      </c>
    </row>
    <row r="1602" spans="2:5" x14ac:dyDescent="0.25">
      <c r="B1602" s="8">
        <v>39196</v>
      </c>
      <c r="C1602" s="6">
        <f ca="1">IF(OR($C$7="",$B1602&gt;NOW()),"",IF(INDEX(Data!$A:$G,MATCH($B1602,Data!$A:$A,0),MATCH($C$7,Data!$4:$4,0))="","",INDEX(Data!$A:$G,MATCH($B1602,Data!$A:$A,0),MATCH($C$7,Data!$4:$4,0))))</f>
        <v>72.099999999999994</v>
      </c>
      <c r="D1602" s="148">
        <f t="shared" ca="1" si="54"/>
        <v>0</v>
      </c>
      <c r="E1602" s="148">
        <f t="shared" ca="1" si="55"/>
        <v>7.0999999999999943</v>
      </c>
    </row>
    <row r="1603" spans="2:5" x14ac:dyDescent="0.25">
      <c r="B1603" s="8">
        <v>39197</v>
      </c>
      <c r="C1603" s="6">
        <f ca="1">IF(OR($C$7="",$B1603&gt;NOW()),"",IF(INDEX(Data!$A:$G,MATCH($B1603,Data!$A:$A,0),MATCH($C$7,Data!$4:$4,0))="","",INDEX(Data!$A:$G,MATCH($B1603,Data!$A:$A,0),MATCH($C$7,Data!$4:$4,0))))</f>
        <v>58.5</v>
      </c>
      <c r="D1603" s="148">
        <f t="shared" ca="1" si="54"/>
        <v>6.5</v>
      </c>
      <c r="E1603" s="148">
        <f t="shared" ca="1" si="55"/>
        <v>0</v>
      </c>
    </row>
    <row r="1604" spans="2:5" x14ac:dyDescent="0.25">
      <c r="B1604" s="8">
        <v>39198</v>
      </c>
      <c r="C1604" s="6">
        <f ca="1">IF(OR($C$7="",$B1604&gt;NOW()),"",IF(INDEX(Data!$A:$G,MATCH($B1604,Data!$A:$A,0),MATCH($C$7,Data!$4:$4,0))="","",INDEX(Data!$A:$G,MATCH($B1604,Data!$A:$A,0),MATCH($C$7,Data!$4:$4,0))))</f>
        <v>51.9</v>
      </c>
      <c r="D1604" s="148">
        <f t="shared" ca="1" si="54"/>
        <v>13.100000000000001</v>
      </c>
      <c r="E1604" s="148">
        <f t="shared" ca="1" si="55"/>
        <v>0</v>
      </c>
    </row>
    <row r="1605" spans="2:5" x14ac:dyDescent="0.25">
      <c r="B1605" s="8">
        <v>39199</v>
      </c>
      <c r="C1605" s="6">
        <f ca="1">IF(OR($C$7="",$B1605&gt;NOW()),"",IF(INDEX(Data!$A:$G,MATCH($B1605,Data!$A:$A,0),MATCH($C$7,Data!$4:$4,0))="","",INDEX(Data!$A:$G,MATCH($B1605,Data!$A:$A,0),MATCH($C$7,Data!$4:$4,0))))</f>
        <v>51.2</v>
      </c>
      <c r="D1605" s="148">
        <f t="shared" ca="1" si="54"/>
        <v>13.799999999999997</v>
      </c>
      <c r="E1605" s="148">
        <f t="shared" ca="1" si="55"/>
        <v>0</v>
      </c>
    </row>
    <row r="1606" spans="2:5" x14ac:dyDescent="0.25">
      <c r="B1606" s="8">
        <v>39200</v>
      </c>
      <c r="C1606" s="6">
        <f ca="1">IF(OR($C$7="",$B1606&gt;NOW()),"",IF(INDEX(Data!$A:$G,MATCH($B1606,Data!$A:$A,0),MATCH($C$7,Data!$4:$4,0))="","",INDEX(Data!$A:$G,MATCH($B1606,Data!$A:$A,0),MATCH($C$7,Data!$4:$4,0))))</f>
        <v>60.6</v>
      </c>
      <c r="D1606" s="148">
        <f t="shared" ca="1" si="54"/>
        <v>4.3999999999999986</v>
      </c>
      <c r="E1606" s="148">
        <f t="shared" ca="1" si="55"/>
        <v>0</v>
      </c>
    </row>
    <row r="1607" spans="2:5" x14ac:dyDescent="0.25">
      <c r="B1607" s="8">
        <v>39201</v>
      </c>
      <c r="C1607" s="6">
        <f ca="1">IF(OR($C$7="",$B1607&gt;NOW()),"",IF(INDEX(Data!$A:$G,MATCH($B1607,Data!$A:$A,0),MATCH($C$7,Data!$4:$4,0))="","",INDEX(Data!$A:$G,MATCH($B1607,Data!$A:$A,0),MATCH($C$7,Data!$4:$4,0))))</f>
        <v>60.7</v>
      </c>
      <c r="D1607" s="148">
        <f t="shared" ca="1" si="54"/>
        <v>4.2999999999999972</v>
      </c>
      <c r="E1607" s="148">
        <f t="shared" ca="1" si="55"/>
        <v>0</v>
      </c>
    </row>
    <row r="1608" spans="2:5" x14ac:dyDescent="0.25">
      <c r="B1608" s="8">
        <v>39202</v>
      </c>
      <c r="C1608" s="6">
        <f ca="1">IF(OR($C$7="",$B1608&gt;NOW()),"",IF(INDEX(Data!$A:$G,MATCH($B1608,Data!$A:$A,0),MATCH($C$7,Data!$4:$4,0))="","",INDEX(Data!$A:$G,MATCH($B1608,Data!$A:$A,0),MATCH($C$7,Data!$4:$4,0))))</f>
        <v>64.599999999999994</v>
      </c>
      <c r="D1608" s="148">
        <f t="shared" ca="1" si="54"/>
        <v>0.40000000000000568</v>
      </c>
      <c r="E1608" s="148">
        <f t="shared" ca="1" si="55"/>
        <v>0</v>
      </c>
    </row>
    <row r="1609" spans="2:5" x14ac:dyDescent="0.25">
      <c r="B1609" s="8">
        <v>39203</v>
      </c>
      <c r="C1609" s="6">
        <f ca="1">IF(OR($C$7="",$B1609&gt;NOW()),"",IF(INDEX(Data!$A:$G,MATCH($B1609,Data!$A:$A,0),MATCH($C$7,Data!$4:$4,0))="","",INDEX(Data!$A:$G,MATCH($B1609,Data!$A:$A,0),MATCH($C$7,Data!$4:$4,0))))</f>
        <v>62.4</v>
      </c>
      <c r="D1609" s="148">
        <f t="shared" ca="1" si="54"/>
        <v>2.6000000000000014</v>
      </c>
      <c r="E1609" s="148">
        <f t="shared" ca="1" si="55"/>
        <v>0</v>
      </c>
    </row>
    <row r="1610" spans="2:5" x14ac:dyDescent="0.25">
      <c r="B1610" s="8">
        <v>39204</v>
      </c>
      <c r="C1610" s="6">
        <f ca="1">IF(OR($C$7="",$B1610&gt;NOW()),"",IF(INDEX(Data!$A:$G,MATCH($B1610,Data!$A:$A,0),MATCH($C$7,Data!$4:$4,0))="","",INDEX(Data!$A:$G,MATCH($B1610,Data!$A:$A,0),MATCH($C$7,Data!$4:$4,0))))</f>
        <v>57.6</v>
      </c>
      <c r="D1610" s="148">
        <f t="shared" ca="1" si="54"/>
        <v>7.3999999999999986</v>
      </c>
      <c r="E1610" s="148">
        <f t="shared" ca="1" si="55"/>
        <v>0</v>
      </c>
    </row>
    <row r="1611" spans="2:5" x14ac:dyDescent="0.25">
      <c r="B1611" s="8">
        <v>39205</v>
      </c>
      <c r="C1611" s="6">
        <f ca="1">IF(OR($C$7="",$B1611&gt;NOW()),"",IF(INDEX(Data!$A:$G,MATCH($B1611,Data!$A:$A,0),MATCH($C$7,Data!$4:$4,0))="","",INDEX(Data!$A:$G,MATCH($B1611,Data!$A:$A,0),MATCH($C$7,Data!$4:$4,0))))</f>
        <v>61.4</v>
      </c>
      <c r="D1611" s="148">
        <f t="shared" ca="1" si="54"/>
        <v>3.6000000000000014</v>
      </c>
      <c r="E1611" s="148">
        <f t="shared" ca="1" si="55"/>
        <v>0</v>
      </c>
    </row>
    <row r="1612" spans="2:5" x14ac:dyDescent="0.25">
      <c r="B1612" s="8">
        <v>39206</v>
      </c>
      <c r="C1612" s="6">
        <f ca="1">IF(OR($C$7="",$B1612&gt;NOW()),"",IF(INDEX(Data!$A:$G,MATCH($B1612,Data!$A:$A,0),MATCH($C$7,Data!$4:$4,0))="","",INDEX(Data!$A:$G,MATCH($B1612,Data!$A:$A,0),MATCH($C$7,Data!$4:$4,0))))</f>
        <v>60.7</v>
      </c>
      <c r="D1612" s="148">
        <f t="shared" ca="1" si="54"/>
        <v>4.2999999999999972</v>
      </c>
      <c r="E1612" s="148">
        <f t="shared" ca="1" si="55"/>
        <v>0</v>
      </c>
    </row>
    <row r="1613" spans="2:5" x14ac:dyDescent="0.25">
      <c r="B1613" s="8">
        <v>39207</v>
      </c>
      <c r="C1613" s="6">
        <f ca="1">IF(OR($C$7="",$B1613&gt;NOW()),"",IF(INDEX(Data!$A:$G,MATCH($B1613,Data!$A:$A,0),MATCH($C$7,Data!$4:$4,0))="","",INDEX(Data!$A:$G,MATCH($B1613,Data!$A:$A,0),MATCH($C$7,Data!$4:$4,0))))</f>
        <v>61.7</v>
      </c>
      <c r="D1613" s="148">
        <f t="shared" ca="1" si="54"/>
        <v>3.2999999999999972</v>
      </c>
      <c r="E1613" s="148">
        <f t="shared" ca="1" si="55"/>
        <v>0</v>
      </c>
    </row>
    <row r="1614" spans="2:5" x14ac:dyDescent="0.25">
      <c r="B1614" s="8">
        <v>39208</v>
      </c>
      <c r="C1614" s="6">
        <f ca="1">IF(OR($C$7="",$B1614&gt;NOW()),"",IF(INDEX(Data!$A:$G,MATCH($B1614,Data!$A:$A,0),MATCH($C$7,Data!$4:$4,0))="","",INDEX(Data!$A:$G,MATCH($B1614,Data!$A:$A,0),MATCH($C$7,Data!$4:$4,0))))</f>
        <v>57.1</v>
      </c>
      <c r="D1614" s="148">
        <f t="shared" ca="1" si="54"/>
        <v>7.8999999999999986</v>
      </c>
      <c r="E1614" s="148">
        <f t="shared" ca="1" si="55"/>
        <v>0</v>
      </c>
    </row>
    <row r="1615" spans="2:5" x14ac:dyDescent="0.25">
      <c r="B1615" s="8">
        <v>39209</v>
      </c>
      <c r="C1615" s="6">
        <f ca="1">IF(OR($C$7="",$B1615&gt;NOW()),"",IF(INDEX(Data!$A:$G,MATCH($B1615,Data!$A:$A,0),MATCH($C$7,Data!$4:$4,0))="","",INDEX(Data!$A:$G,MATCH($B1615,Data!$A:$A,0),MATCH($C$7,Data!$4:$4,0))))</f>
        <v>54.3</v>
      </c>
      <c r="D1615" s="148">
        <f t="shared" ca="1" si="54"/>
        <v>10.700000000000003</v>
      </c>
      <c r="E1615" s="148">
        <f t="shared" ca="1" si="55"/>
        <v>0</v>
      </c>
    </row>
    <row r="1616" spans="2:5" x14ac:dyDescent="0.25">
      <c r="B1616" s="8">
        <v>39210</v>
      </c>
      <c r="C1616" s="6">
        <f ca="1">IF(OR($C$7="",$B1616&gt;NOW()),"",IF(INDEX(Data!$A:$G,MATCH($B1616,Data!$A:$A,0),MATCH($C$7,Data!$4:$4,0))="","",INDEX(Data!$A:$G,MATCH($B1616,Data!$A:$A,0),MATCH($C$7,Data!$4:$4,0))))</f>
        <v>57.8</v>
      </c>
      <c r="D1616" s="148">
        <f t="shared" ca="1" si="54"/>
        <v>7.2000000000000028</v>
      </c>
      <c r="E1616" s="148">
        <f t="shared" ca="1" si="55"/>
        <v>0</v>
      </c>
    </row>
    <row r="1617" spans="2:5" x14ac:dyDescent="0.25">
      <c r="B1617" s="8">
        <v>39211</v>
      </c>
      <c r="C1617" s="6">
        <f ca="1">IF(OR($C$7="",$B1617&gt;NOW()),"",IF(INDEX(Data!$A:$G,MATCH($B1617,Data!$A:$A,0),MATCH($C$7,Data!$4:$4,0))="","",INDEX(Data!$A:$G,MATCH($B1617,Data!$A:$A,0),MATCH($C$7,Data!$4:$4,0))))</f>
        <v>66.7</v>
      </c>
      <c r="D1617" s="148">
        <f t="shared" ca="1" si="54"/>
        <v>0</v>
      </c>
      <c r="E1617" s="148">
        <f t="shared" ca="1" si="55"/>
        <v>1.7000000000000028</v>
      </c>
    </row>
    <row r="1618" spans="2:5" x14ac:dyDescent="0.25">
      <c r="B1618" s="8">
        <v>39212</v>
      </c>
      <c r="C1618" s="6">
        <f ca="1">IF(OR($C$7="",$B1618&gt;NOW()),"",IF(INDEX(Data!$A:$G,MATCH($B1618,Data!$A:$A,0),MATCH($C$7,Data!$4:$4,0))="","",INDEX(Data!$A:$G,MATCH($B1618,Data!$A:$A,0),MATCH($C$7,Data!$4:$4,0))))</f>
        <v>70.3</v>
      </c>
      <c r="D1618" s="148">
        <f t="shared" ca="1" si="54"/>
        <v>0</v>
      </c>
      <c r="E1618" s="148">
        <f t="shared" ca="1" si="55"/>
        <v>5.2999999999999972</v>
      </c>
    </row>
    <row r="1619" spans="2:5" x14ac:dyDescent="0.25">
      <c r="B1619" s="8">
        <v>39213</v>
      </c>
      <c r="C1619" s="6">
        <f ca="1">IF(OR($C$7="",$B1619&gt;NOW()),"",IF(INDEX(Data!$A:$G,MATCH($B1619,Data!$A:$A,0),MATCH($C$7,Data!$4:$4,0))="","",INDEX(Data!$A:$G,MATCH($B1619,Data!$A:$A,0),MATCH($C$7,Data!$4:$4,0))))</f>
        <v>67</v>
      </c>
      <c r="D1619" s="148">
        <f t="shared" ca="1" si="54"/>
        <v>0</v>
      </c>
      <c r="E1619" s="148">
        <f t="shared" ca="1" si="55"/>
        <v>2</v>
      </c>
    </row>
    <row r="1620" spans="2:5" x14ac:dyDescent="0.25">
      <c r="B1620" s="8">
        <v>39214</v>
      </c>
      <c r="C1620" s="6">
        <f ca="1">IF(OR($C$7="",$B1620&gt;NOW()),"",IF(INDEX(Data!$A:$G,MATCH($B1620,Data!$A:$A,0),MATCH($C$7,Data!$4:$4,0))="","",INDEX(Data!$A:$G,MATCH($B1620,Data!$A:$A,0),MATCH($C$7,Data!$4:$4,0))))</f>
        <v>66.599999999999994</v>
      </c>
      <c r="D1620" s="148">
        <f t="shared" ca="1" si="54"/>
        <v>0</v>
      </c>
      <c r="E1620" s="148">
        <f t="shared" ca="1" si="55"/>
        <v>1.5999999999999943</v>
      </c>
    </row>
    <row r="1621" spans="2:5" x14ac:dyDescent="0.25">
      <c r="B1621" s="8">
        <v>39215</v>
      </c>
      <c r="C1621" s="6">
        <f ca="1">IF(OR($C$7="",$B1621&gt;NOW()),"",IF(INDEX(Data!$A:$G,MATCH($B1621,Data!$A:$A,0),MATCH($C$7,Data!$4:$4,0))="","",INDEX(Data!$A:$G,MATCH($B1621,Data!$A:$A,0),MATCH($C$7,Data!$4:$4,0))))</f>
        <v>59.5</v>
      </c>
      <c r="D1621" s="148">
        <f t="shared" ca="1" si="54"/>
        <v>5.5</v>
      </c>
      <c r="E1621" s="148">
        <f t="shared" ca="1" si="55"/>
        <v>0</v>
      </c>
    </row>
    <row r="1622" spans="2:5" x14ac:dyDescent="0.25">
      <c r="B1622" s="8">
        <v>39216</v>
      </c>
      <c r="C1622" s="6">
        <f ca="1">IF(OR($C$7="",$B1622&gt;NOW()),"",IF(INDEX(Data!$A:$G,MATCH($B1622,Data!$A:$A,0),MATCH($C$7,Data!$4:$4,0))="","",INDEX(Data!$A:$G,MATCH($B1622,Data!$A:$A,0),MATCH($C$7,Data!$4:$4,0))))</f>
        <v>61.7</v>
      </c>
      <c r="D1622" s="148">
        <f t="shared" ca="1" si="54"/>
        <v>3.2999999999999972</v>
      </c>
      <c r="E1622" s="148">
        <f t="shared" ca="1" si="55"/>
        <v>0</v>
      </c>
    </row>
    <row r="1623" spans="2:5" x14ac:dyDescent="0.25">
      <c r="B1623" s="8">
        <v>39217</v>
      </c>
      <c r="C1623" s="6">
        <f ca="1">IF(OR($C$7="",$B1623&gt;NOW()),"",IF(INDEX(Data!$A:$G,MATCH($B1623,Data!$A:$A,0),MATCH($C$7,Data!$4:$4,0))="","",INDEX(Data!$A:$G,MATCH($B1623,Data!$A:$A,0),MATCH($C$7,Data!$4:$4,0))))</f>
        <v>69.099999999999994</v>
      </c>
      <c r="D1623" s="148">
        <f t="shared" ca="1" si="54"/>
        <v>0</v>
      </c>
      <c r="E1623" s="148">
        <f t="shared" ca="1" si="55"/>
        <v>4.0999999999999943</v>
      </c>
    </row>
    <row r="1624" spans="2:5" x14ac:dyDescent="0.25">
      <c r="B1624" s="8">
        <v>39218</v>
      </c>
      <c r="C1624" s="6">
        <f ca="1">IF(OR($C$7="",$B1624&gt;NOW()),"",IF(INDEX(Data!$A:$G,MATCH($B1624,Data!$A:$A,0),MATCH($C$7,Data!$4:$4,0))="","",INDEX(Data!$A:$G,MATCH($B1624,Data!$A:$A,0),MATCH($C$7,Data!$4:$4,0))))</f>
        <v>77.2</v>
      </c>
      <c r="D1624" s="148">
        <f t="shared" ca="1" si="54"/>
        <v>0</v>
      </c>
      <c r="E1624" s="148">
        <f t="shared" ca="1" si="55"/>
        <v>12.200000000000003</v>
      </c>
    </row>
    <row r="1625" spans="2:5" x14ac:dyDescent="0.25">
      <c r="B1625" s="8">
        <v>39219</v>
      </c>
      <c r="C1625" s="6">
        <f ca="1">IF(OR($C$7="",$B1625&gt;NOW()),"",IF(INDEX(Data!$A:$G,MATCH($B1625,Data!$A:$A,0),MATCH($C$7,Data!$4:$4,0))="","",INDEX(Data!$A:$G,MATCH($B1625,Data!$A:$A,0),MATCH($C$7,Data!$4:$4,0))))</f>
        <v>64</v>
      </c>
      <c r="D1625" s="148">
        <f t="shared" ca="1" si="54"/>
        <v>1</v>
      </c>
      <c r="E1625" s="148">
        <f t="shared" ca="1" si="55"/>
        <v>0</v>
      </c>
    </row>
    <row r="1626" spans="2:5" x14ac:dyDescent="0.25">
      <c r="B1626" s="8">
        <v>39220</v>
      </c>
      <c r="C1626" s="6">
        <f ca="1">IF(OR($C$7="",$B1626&gt;NOW()),"",IF(INDEX(Data!$A:$G,MATCH($B1626,Data!$A:$A,0),MATCH($C$7,Data!$4:$4,0))="","",INDEX(Data!$A:$G,MATCH($B1626,Data!$A:$A,0),MATCH($C$7,Data!$4:$4,0))))</f>
        <v>53.6</v>
      </c>
      <c r="D1626" s="148">
        <f t="shared" ca="1" si="54"/>
        <v>11.399999999999999</v>
      </c>
      <c r="E1626" s="148">
        <f t="shared" ca="1" si="55"/>
        <v>0</v>
      </c>
    </row>
    <row r="1627" spans="2:5" x14ac:dyDescent="0.25">
      <c r="B1627" s="8">
        <v>39221</v>
      </c>
      <c r="C1627" s="6">
        <f ca="1">IF(OR($C$7="",$B1627&gt;NOW()),"",IF(INDEX(Data!$A:$G,MATCH($B1627,Data!$A:$A,0),MATCH($C$7,Data!$4:$4,0))="","",INDEX(Data!$A:$G,MATCH($B1627,Data!$A:$A,0),MATCH($C$7,Data!$4:$4,0))))</f>
        <v>54.1</v>
      </c>
      <c r="D1627" s="148">
        <f t="shared" ca="1" si="54"/>
        <v>10.899999999999999</v>
      </c>
      <c r="E1627" s="148">
        <f t="shared" ca="1" si="55"/>
        <v>0</v>
      </c>
    </row>
    <row r="1628" spans="2:5" x14ac:dyDescent="0.25">
      <c r="B1628" s="8">
        <v>39222</v>
      </c>
      <c r="C1628" s="6">
        <f ca="1">IF(OR($C$7="",$B1628&gt;NOW()),"",IF(INDEX(Data!$A:$G,MATCH($B1628,Data!$A:$A,0),MATCH($C$7,Data!$4:$4,0))="","",INDEX(Data!$A:$G,MATCH($B1628,Data!$A:$A,0),MATCH($C$7,Data!$4:$4,0))))</f>
        <v>61.6</v>
      </c>
      <c r="D1628" s="148">
        <f t="shared" ca="1" si="54"/>
        <v>3.3999999999999986</v>
      </c>
      <c r="E1628" s="148">
        <f t="shared" ca="1" si="55"/>
        <v>0</v>
      </c>
    </row>
    <row r="1629" spans="2:5" x14ac:dyDescent="0.25">
      <c r="B1629" s="8">
        <v>39223</v>
      </c>
      <c r="C1629" s="6">
        <f ca="1">IF(OR($C$7="",$B1629&gt;NOW()),"",IF(INDEX(Data!$A:$G,MATCH($B1629,Data!$A:$A,0),MATCH($C$7,Data!$4:$4,0))="","",INDEX(Data!$A:$G,MATCH($B1629,Data!$A:$A,0),MATCH($C$7,Data!$4:$4,0))))</f>
        <v>63.3</v>
      </c>
      <c r="D1629" s="148">
        <f t="shared" ref="D1629:D1692" ca="1" si="56">IF($C1629="","",IF($C1629&gt;$D$26,0,$D$26-$C1629))</f>
        <v>1.7000000000000028</v>
      </c>
      <c r="E1629" s="148">
        <f t="shared" ref="E1629:E1692" ca="1" si="57">IF($C1629="","",IF($C1629&lt;$E$26,0,$C1629-$E$26))</f>
        <v>0</v>
      </c>
    </row>
    <row r="1630" spans="2:5" x14ac:dyDescent="0.25">
      <c r="B1630" s="8">
        <v>39224</v>
      </c>
      <c r="C1630" s="6">
        <f ca="1">IF(OR($C$7="",$B1630&gt;NOW()),"",IF(INDEX(Data!$A:$G,MATCH($B1630,Data!$A:$A,0),MATCH($C$7,Data!$4:$4,0))="","",INDEX(Data!$A:$G,MATCH($B1630,Data!$A:$A,0),MATCH($C$7,Data!$4:$4,0))))</f>
        <v>63.1</v>
      </c>
      <c r="D1630" s="148">
        <f t="shared" ca="1" si="56"/>
        <v>1.8999999999999986</v>
      </c>
      <c r="E1630" s="148">
        <f t="shared" ca="1" si="57"/>
        <v>0</v>
      </c>
    </row>
    <row r="1631" spans="2:5" x14ac:dyDescent="0.25">
      <c r="B1631" s="8">
        <v>39225</v>
      </c>
      <c r="C1631" s="6">
        <f ca="1">IF(OR($C$7="",$B1631&gt;NOW()),"",IF(INDEX(Data!$A:$G,MATCH($B1631,Data!$A:$A,0),MATCH($C$7,Data!$4:$4,0))="","",INDEX(Data!$A:$G,MATCH($B1631,Data!$A:$A,0),MATCH($C$7,Data!$4:$4,0))))</f>
        <v>64.400000000000006</v>
      </c>
      <c r="D1631" s="148">
        <f t="shared" ca="1" si="56"/>
        <v>0.59999999999999432</v>
      </c>
      <c r="E1631" s="148">
        <f t="shared" ca="1" si="57"/>
        <v>0</v>
      </c>
    </row>
    <row r="1632" spans="2:5" x14ac:dyDescent="0.25">
      <c r="B1632" s="8">
        <v>39226</v>
      </c>
      <c r="C1632" s="6">
        <f ca="1">IF(OR($C$7="",$B1632&gt;NOW()),"",IF(INDEX(Data!$A:$G,MATCH($B1632,Data!$A:$A,0),MATCH($C$7,Data!$4:$4,0))="","",INDEX(Data!$A:$G,MATCH($B1632,Data!$A:$A,0),MATCH($C$7,Data!$4:$4,0))))</f>
        <v>70.599999999999994</v>
      </c>
      <c r="D1632" s="148">
        <f t="shared" ca="1" si="56"/>
        <v>0</v>
      </c>
      <c r="E1632" s="148">
        <f t="shared" ca="1" si="57"/>
        <v>5.5999999999999943</v>
      </c>
    </row>
    <row r="1633" spans="2:5" x14ac:dyDescent="0.25">
      <c r="B1633" s="8">
        <v>39227</v>
      </c>
      <c r="C1633" s="6">
        <f ca="1">IF(OR($C$7="",$B1633&gt;NOW()),"",IF(INDEX(Data!$A:$G,MATCH($B1633,Data!$A:$A,0),MATCH($C$7,Data!$4:$4,0))="","",INDEX(Data!$A:$G,MATCH($B1633,Data!$A:$A,0),MATCH($C$7,Data!$4:$4,0))))</f>
        <v>80.3</v>
      </c>
      <c r="D1633" s="148">
        <f t="shared" ca="1" si="56"/>
        <v>0</v>
      </c>
      <c r="E1633" s="148">
        <f t="shared" ca="1" si="57"/>
        <v>15.299999999999997</v>
      </c>
    </row>
    <row r="1634" spans="2:5" x14ac:dyDescent="0.25">
      <c r="B1634" s="8">
        <v>39228</v>
      </c>
      <c r="C1634" s="6">
        <f ca="1">IF(OR($C$7="",$B1634&gt;NOW()),"",IF(INDEX(Data!$A:$G,MATCH($B1634,Data!$A:$A,0),MATCH($C$7,Data!$4:$4,0))="","",INDEX(Data!$A:$G,MATCH($B1634,Data!$A:$A,0),MATCH($C$7,Data!$4:$4,0))))</f>
        <v>80.7</v>
      </c>
      <c r="D1634" s="148">
        <f t="shared" ca="1" si="56"/>
        <v>0</v>
      </c>
      <c r="E1634" s="148">
        <f t="shared" ca="1" si="57"/>
        <v>15.700000000000003</v>
      </c>
    </row>
    <row r="1635" spans="2:5" x14ac:dyDescent="0.25">
      <c r="B1635" s="8">
        <v>39229</v>
      </c>
      <c r="C1635" s="6">
        <f ca="1">IF(OR($C$7="",$B1635&gt;NOW()),"",IF(INDEX(Data!$A:$G,MATCH($B1635,Data!$A:$A,0),MATCH($C$7,Data!$4:$4,0))="","",INDEX(Data!$A:$G,MATCH($B1635,Data!$A:$A,0),MATCH($C$7,Data!$4:$4,0))))</f>
        <v>75.7</v>
      </c>
      <c r="D1635" s="148">
        <f t="shared" ca="1" si="56"/>
        <v>0</v>
      </c>
      <c r="E1635" s="148">
        <f t="shared" ca="1" si="57"/>
        <v>10.700000000000003</v>
      </c>
    </row>
    <row r="1636" spans="2:5" x14ac:dyDescent="0.25">
      <c r="B1636" s="8">
        <v>39230</v>
      </c>
      <c r="C1636" s="6">
        <f ca="1">IF(OR($C$7="",$B1636&gt;NOW()),"",IF(INDEX(Data!$A:$G,MATCH($B1636,Data!$A:$A,0),MATCH($C$7,Data!$4:$4,0))="","",INDEX(Data!$A:$G,MATCH($B1636,Data!$A:$A,0),MATCH($C$7,Data!$4:$4,0))))</f>
        <v>77.400000000000006</v>
      </c>
      <c r="D1636" s="148">
        <f t="shared" ca="1" si="56"/>
        <v>0</v>
      </c>
      <c r="E1636" s="148">
        <f t="shared" ca="1" si="57"/>
        <v>12.400000000000006</v>
      </c>
    </row>
    <row r="1637" spans="2:5" x14ac:dyDescent="0.25">
      <c r="B1637" s="8">
        <v>39231</v>
      </c>
      <c r="C1637" s="6">
        <f ca="1">IF(OR($C$7="",$B1637&gt;NOW()),"",IF(INDEX(Data!$A:$G,MATCH($B1637,Data!$A:$A,0),MATCH($C$7,Data!$4:$4,0))="","",INDEX(Data!$A:$G,MATCH($B1637,Data!$A:$A,0),MATCH($C$7,Data!$4:$4,0))))</f>
        <v>72.900000000000006</v>
      </c>
      <c r="D1637" s="148">
        <f t="shared" ca="1" si="56"/>
        <v>0</v>
      </c>
      <c r="E1637" s="148">
        <f t="shared" ca="1" si="57"/>
        <v>7.9000000000000057</v>
      </c>
    </row>
    <row r="1638" spans="2:5" x14ac:dyDescent="0.25">
      <c r="B1638" s="8">
        <v>39232</v>
      </c>
      <c r="C1638" s="6">
        <f ca="1">IF(OR($C$7="",$B1638&gt;NOW()),"",IF(INDEX(Data!$A:$G,MATCH($B1638,Data!$A:$A,0),MATCH($C$7,Data!$4:$4,0))="","",INDEX(Data!$A:$G,MATCH($B1638,Data!$A:$A,0),MATCH($C$7,Data!$4:$4,0))))</f>
        <v>73.099999999999994</v>
      </c>
      <c r="D1638" s="148">
        <f t="shared" ca="1" si="56"/>
        <v>0</v>
      </c>
      <c r="E1638" s="148">
        <f t="shared" ca="1" si="57"/>
        <v>8.0999999999999943</v>
      </c>
    </row>
    <row r="1639" spans="2:5" x14ac:dyDescent="0.25">
      <c r="B1639" s="8">
        <v>39233</v>
      </c>
      <c r="C1639" s="6">
        <f ca="1">IF(OR($C$7="",$B1639&gt;NOW()),"",IF(INDEX(Data!$A:$G,MATCH($B1639,Data!$A:$A,0),MATCH($C$7,Data!$4:$4,0))="","",INDEX(Data!$A:$G,MATCH($B1639,Data!$A:$A,0),MATCH($C$7,Data!$4:$4,0))))</f>
        <v>78.3</v>
      </c>
      <c r="D1639" s="148">
        <f t="shared" ca="1" si="56"/>
        <v>0</v>
      </c>
      <c r="E1639" s="148">
        <f t="shared" ca="1" si="57"/>
        <v>13.299999999999997</v>
      </c>
    </row>
    <row r="1640" spans="2:5" x14ac:dyDescent="0.25">
      <c r="B1640" s="8">
        <v>39234</v>
      </c>
      <c r="C1640" s="6">
        <f ca="1">IF(OR($C$7="",$B1640&gt;NOW()),"",IF(INDEX(Data!$A:$G,MATCH($B1640,Data!$A:$A,0),MATCH($C$7,Data!$4:$4,0))="","",INDEX(Data!$A:$G,MATCH($B1640,Data!$A:$A,0),MATCH($C$7,Data!$4:$4,0))))</f>
        <v>75.8</v>
      </c>
      <c r="D1640" s="148">
        <f t="shared" ca="1" si="56"/>
        <v>0</v>
      </c>
      <c r="E1640" s="148">
        <f t="shared" ca="1" si="57"/>
        <v>10.799999999999997</v>
      </c>
    </row>
    <row r="1641" spans="2:5" x14ac:dyDescent="0.25">
      <c r="B1641" s="8">
        <v>39235</v>
      </c>
      <c r="C1641" s="6">
        <f ca="1">IF(OR($C$7="",$B1641&gt;NOW()),"",IF(INDEX(Data!$A:$G,MATCH($B1641,Data!$A:$A,0),MATCH($C$7,Data!$4:$4,0))="","",INDEX(Data!$A:$G,MATCH($B1641,Data!$A:$A,0),MATCH($C$7,Data!$4:$4,0))))</f>
        <v>80.900000000000006</v>
      </c>
      <c r="D1641" s="148">
        <f t="shared" ca="1" si="56"/>
        <v>0</v>
      </c>
      <c r="E1641" s="148">
        <f t="shared" ca="1" si="57"/>
        <v>15.900000000000006</v>
      </c>
    </row>
    <row r="1642" spans="2:5" x14ac:dyDescent="0.25">
      <c r="B1642" s="8">
        <v>39236</v>
      </c>
      <c r="C1642" s="6">
        <f ca="1">IF(OR($C$7="",$B1642&gt;NOW()),"",IF(INDEX(Data!$A:$G,MATCH($B1642,Data!$A:$A,0),MATCH($C$7,Data!$4:$4,0))="","",INDEX(Data!$A:$G,MATCH($B1642,Data!$A:$A,0),MATCH($C$7,Data!$4:$4,0))))</f>
        <v>75.400000000000006</v>
      </c>
      <c r="D1642" s="148">
        <f t="shared" ca="1" si="56"/>
        <v>0</v>
      </c>
      <c r="E1642" s="148">
        <f t="shared" ca="1" si="57"/>
        <v>10.400000000000006</v>
      </c>
    </row>
    <row r="1643" spans="2:5" x14ac:dyDescent="0.25">
      <c r="B1643" s="8">
        <v>39237</v>
      </c>
      <c r="C1643" s="6">
        <f ca="1">IF(OR($C$7="",$B1643&gt;NOW()),"",IF(INDEX(Data!$A:$G,MATCH($B1643,Data!$A:$A,0),MATCH($C$7,Data!$4:$4,0))="","",INDEX(Data!$A:$G,MATCH($B1643,Data!$A:$A,0),MATCH($C$7,Data!$4:$4,0))))</f>
        <v>64.8</v>
      </c>
      <c r="D1643" s="148">
        <f t="shared" ca="1" si="56"/>
        <v>0.20000000000000284</v>
      </c>
      <c r="E1643" s="148">
        <f t="shared" ca="1" si="57"/>
        <v>0</v>
      </c>
    </row>
    <row r="1644" spans="2:5" x14ac:dyDescent="0.25">
      <c r="B1644" s="8">
        <v>39238</v>
      </c>
      <c r="C1644" s="6">
        <f ca="1">IF(OR($C$7="",$B1644&gt;NOW()),"",IF(INDEX(Data!$A:$G,MATCH($B1644,Data!$A:$A,0),MATCH($C$7,Data!$4:$4,0))="","",INDEX(Data!$A:$G,MATCH($B1644,Data!$A:$A,0),MATCH($C$7,Data!$4:$4,0))))</f>
        <v>75.5</v>
      </c>
      <c r="D1644" s="148">
        <f t="shared" ca="1" si="56"/>
        <v>0</v>
      </c>
      <c r="E1644" s="148">
        <f t="shared" ca="1" si="57"/>
        <v>10.5</v>
      </c>
    </row>
    <row r="1645" spans="2:5" x14ac:dyDescent="0.25">
      <c r="B1645" s="8">
        <v>39239</v>
      </c>
      <c r="C1645" s="6">
        <f ca="1">IF(OR($C$7="",$B1645&gt;NOW()),"",IF(INDEX(Data!$A:$G,MATCH($B1645,Data!$A:$A,0),MATCH($C$7,Data!$4:$4,0))="","",INDEX(Data!$A:$G,MATCH($B1645,Data!$A:$A,0),MATCH($C$7,Data!$4:$4,0))))</f>
        <v>67.7</v>
      </c>
      <c r="D1645" s="148">
        <f t="shared" ca="1" si="56"/>
        <v>0</v>
      </c>
      <c r="E1645" s="148">
        <f t="shared" ca="1" si="57"/>
        <v>2.7000000000000028</v>
      </c>
    </row>
    <row r="1646" spans="2:5" x14ac:dyDescent="0.25">
      <c r="B1646" s="8">
        <v>39240</v>
      </c>
      <c r="C1646" s="6">
        <f ca="1">IF(OR($C$7="",$B1646&gt;NOW()),"",IF(INDEX(Data!$A:$G,MATCH($B1646,Data!$A:$A,0),MATCH($C$7,Data!$4:$4,0))="","",INDEX(Data!$A:$G,MATCH($B1646,Data!$A:$A,0),MATCH($C$7,Data!$4:$4,0))))</f>
        <v>66.2</v>
      </c>
      <c r="D1646" s="148">
        <f t="shared" ca="1" si="56"/>
        <v>0</v>
      </c>
      <c r="E1646" s="148">
        <f t="shared" ca="1" si="57"/>
        <v>1.2000000000000028</v>
      </c>
    </row>
    <row r="1647" spans="2:5" x14ac:dyDescent="0.25">
      <c r="B1647" s="8">
        <v>39241</v>
      </c>
      <c r="C1647" s="6">
        <f ca="1">IF(OR($C$7="",$B1647&gt;NOW()),"",IF(INDEX(Data!$A:$G,MATCH($B1647,Data!$A:$A,0),MATCH($C$7,Data!$4:$4,0))="","",INDEX(Data!$A:$G,MATCH($B1647,Data!$A:$A,0),MATCH($C$7,Data!$4:$4,0))))</f>
        <v>72.900000000000006</v>
      </c>
      <c r="D1647" s="148">
        <f t="shared" ca="1" si="56"/>
        <v>0</v>
      </c>
      <c r="E1647" s="148">
        <f t="shared" ca="1" si="57"/>
        <v>7.9000000000000057</v>
      </c>
    </row>
    <row r="1648" spans="2:5" x14ac:dyDescent="0.25">
      <c r="B1648" s="8">
        <v>39242</v>
      </c>
      <c r="C1648" s="6">
        <f ca="1">IF(OR($C$7="",$B1648&gt;NOW()),"",IF(INDEX(Data!$A:$G,MATCH($B1648,Data!$A:$A,0),MATCH($C$7,Data!$4:$4,0))="","",INDEX(Data!$A:$G,MATCH($B1648,Data!$A:$A,0),MATCH($C$7,Data!$4:$4,0))))</f>
        <v>71.8</v>
      </c>
      <c r="D1648" s="148">
        <f t="shared" ca="1" si="56"/>
        <v>0</v>
      </c>
      <c r="E1648" s="148">
        <f t="shared" ca="1" si="57"/>
        <v>6.7999999999999972</v>
      </c>
    </row>
    <row r="1649" spans="2:5" x14ac:dyDescent="0.25">
      <c r="B1649" s="8">
        <v>39243</v>
      </c>
      <c r="C1649" s="6">
        <f ca="1">IF(OR($C$7="",$B1649&gt;NOW()),"",IF(INDEX(Data!$A:$G,MATCH($B1649,Data!$A:$A,0),MATCH($C$7,Data!$4:$4,0))="","",INDEX(Data!$A:$G,MATCH($B1649,Data!$A:$A,0),MATCH($C$7,Data!$4:$4,0))))</f>
        <v>66.599999999999994</v>
      </c>
      <c r="D1649" s="148">
        <f t="shared" ca="1" si="56"/>
        <v>0</v>
      </c>
      <c r="E1649" s="148">
        <f t="shared" ca="1" si="57"/>
        <v>1.5999999999999943</v>
      </c>
    </row>
    <row r="1650" spans="2:5" x14ac:dyDescent="0.25">
      <c r="B1650" s="8">
        <v>39244</v>
      </c>
      <c r="C1650" s="6">
        <f ca="1">IF(OR($C$7="",$B1650&gt;NOW()),"",IF(INDEX(Data!$A:$G,MATCH($B1650,Data!$A:$A,0),MATCH($C$7,Data!$4:$4,0))="","",INDEX(Data!$A:$G,MATCH($B1650,Data!$A:$A,0),MATCH($C$7,Data!$4:$4,0))))</f>
        <v>73.099999999999994</v>
      </c>
      <c r="D1650" s="148">
        <f t="shared" ca="1" si="56"/>
        <v>0</v>
      </c>
      <c r="E1650" s="148">
        <f t="shared" ca="1" si="57"/>
        <v>8.0999999999999943</v>
      </c>
    </row>
    <row r="1651" spans="2:5" x14ac:dyDescent="0.25">
      <c r="B1651" s="8">
        <v>39245</v>
      </c>
      <c r="C1651" s="6">
        <f ca="1">IF(OR($C$7="",$B1651&gt;NOW()),"",IF(INDEX(Data!$A:$G,MATCH($B1651,Data!$A:$A,0),MATCH($C$7,Data!$4:$4,0))="","",INDEX(Data!$A:$G,MATCH($B1651,Data!$A:$A,0),MATCH($C$7,Data!$4:$4,0))))</f>
        <v>74.7</v>
      </c>
      <c r="D1651" s="148">
        <f t="shared" ca="1" si="56"/>
        <v>0</v>
      </c>
      <c r="E1651" s="148">
        <f t="shared" ca="1" si="57"/>
        <v>9.7000000000000028</v>
      </c>
    </row>
    <row r="1652" spans="2:5" x14ac:dyDescent="0.25">
      <c r="B1652" s="8">
        <v>39246</v>
      </c>
      <c r="C1652" s="6">
        <f ca="1">IF(OR($C$7="",$B1652&gt;NOW()),"",IF(INDEX(Data!$A:$G,MATCH($B1652,Data!$A:$A,0),MATCH($C$7,Data!$4:$4,0))="","",INDEX(Data!$A:$G,MATCH($B1652,Data!$A:$A,0),MATCH($C$7,Data!$4:$4,0))))</f>
        <v>67.7</v>
      </c>
      <c r="D1652" s="148">
        <f t="shared" ca="1" si="56"/>
        <v>0</v>
      </c>
      <c r="E1652" s="148">
        <f t="shared" ca="1" si="57"/>
        <v>2.7000000000000028</v>
      </c>
    </row>
    <row r="1653" spans="2:5" x14ac:dyDescent="0.25">
      <c r="B1653" s="8">
        <v>39247</v>
      </c>
      <c r="C1653" s="6">
        <f ca="1">IF(OR($C$7="",$B1653&gt;NOW()),"",IF(INDEX(Data!$A:$G,MATCH($B1653,Data!$A:$A,0),MATCH($C$7,Data!$4:$4,0))="","",INDEX(Data!$A:$G,MATCH($B1653,Data!$A:$A,0),MATCH($C$7,Data!$4:$4,0))))</f>
        <v>61.9</v>
      </c>
      <c r="D1653" s="148">
        <f t="shared" ca="1" si="56"/>
        <v>3.1000000000000014</v>
      </c>
      <c r="E1653" s="148">
        <f t="shared" ca="1" si="57"/>
        <v>0</v>
      </c>
    </row>
    <row r="1654" spans="2:5" x14ac:dyDescent="0.25">
      <c r="B1654" s="8">
        <v>39248</v>
      </c>
      <c r="C1654" s="6">
        <f ca="1">IF(OR($C$7="",$B1654&gt;NOW()),"",IF(INDEX(Data!$A:$G,MATCH($B1654,Data!$A:$A,0),MATCH($C$7,Data!$4:$4,0))="","",INDEX(Data!$A:$G,MATCH($B1654,Data!$A:$A,0),MATCH($C$7,Data!$4:$4,0))))</f>
        <v>65.400000000000006</v>
      </c>
      <c r="D1654" s="148">
        <f t="shared" ca="1" si="56"/>
        <v>0</v>
      </c>
      <c r="E1654" s="148">
        <f t="shared" ca="1" si="57"/>
        <v>0.40000000000000568</v>
      </c>
    </row>
    <row r="1655" spans="2:5" x14ac:dyDescent="0.25">
      <c r="B1655" s="8">
        <v>39249</v>
      </c>
      <c r="C1655" s="6">
        <f ca="1">IF(OR($C$7="",$B1655&gt;NOW()),"",IF(INDEX(Data!$A:$G,MATCH($B1655,Data!$A:$A,0),MATCH($C$7,Data!$4:$4,0))="","",INDEX(Data!$A:$G,MATCH($B1655,Data!$A:$A,0),MATCH($C$7,Data!$4:$4,0))))</f>
        <v>70</v>
      </c>
      <c r="D1655" s="148">
        <f t="shared" ca="1" si="56"/>
        <v>0</v>
      </c>
      <c r="E1655" s="148">
        <f t="shared" ca="1" si="57"/>
        <v>5</v>
      </c>
    </row>
    <row r="1656" spans="2:5" x14ac:dyDescent="0.25">
      <c r="B1656" s="8">
        <v>39250</v>
      </c>
      <c r="C1656" s="6">
        <f ca="1">IF(OR($C$7="",$B1656&gt;NOW()),"",IF(INDEX(Data!$A:$G,MATCH($B1656,Data!$A:$A,0),MATCH($C$7,Data!$4:$4,0))="","",INDEX(Data!$A:$G,MATCH($B1656,Data!$A:$A,0),MATCH($C$7,Data!$4:$4,0))))</f>
        <v>77.7</v>
      </c>
      <c r="D1656" s="148">
        <f t="shared" ca="1" si="56"/>
        <v>0</v>
      </c>
      <c r="E1656" s="148">
        <f t="shared" ca="1" si="57"/>
        <v>12.700000000000003</v>
      </c>
    </row>
    <row r="1657" spans="2:5" x14ac:dyDescent="0.25">
      <c r="B1657" s="8">
        <v>39251</v>
      </c>
      <c r="C1657" s="6">
        <f ca="1">IF(OR($C$7="",$B1657&gt;NOW()),"",IF(INDEX(Data!$A:$G,MATCH($B1657,Data!$A:$A,0),MATCH($C$7,Data!$4:$4,0))="","",INDEX(Data!$A:$G,MATCH($B1657,Data!$A:$A,0),MATCH($C$7,Data!$4:$4,0))))</f>
        <v>79.8</v>
      </c>
      <c r="D1657" s="148">
        <f t="shared" ca="1" si="56"/>
        <v>0</v>
      </c>
      <c r="E1657" s="148">
        <f t="shared" ca="1" si="57"/>
        <v>14.799999999999997</v>
      </c>
    </row>
    <row r="1658" spans="2:5" x14ac:dyDescent="0.25">
      <c r="B1658" s="8">
        <v>39252</v>
      </c>
      <c r="C1658" s="6">
        <f ca="1">IF(OR($C$7="",$B1658&gt;NOW()),"",IF(INDEX(Data!$A:$G,MATCH($B1658,Data!$A:$A,0),MATCH($C$7,Data!$4:$4,0))="","",INDEX(Data!$A:$G,MATCH($B1658,Data!$A:$A,0),MATCH($C$7,Data!$4:$4,0))))</f>
        <v>74.8</v>
      </c>
      <c r="D1658" s="148">
        <f t="shared" ca="1" si="56"/>
        <v>0</v>
      </c>
      <c r="E1658" s="148">
        <f t="shared" ca="1" si="57"/>
        <v>9.7999999999999972</v>
      </c>
    </row>
    <row r="1659" spans="2:5" x14ac:dyDescent="0.25">
      <c r="B1659" s="8">
        <v>39253</v>
      </c>
      <c r="C1659" s="6">
        <f ca="1">IF(OR($C$7="",$B1659&gt;NOW()),"",IF(INDEX(Data!$A:$G,MATCH($B1659,Data!$A:$A,0),MATCH($C$7,Data!$4:$4,0))="","",INDEX(Data!$A:$G,MATCH($B1659,Data!$A:$A,0),MATCH($C$7,Data!$4:$4,0))))</f>
        <v>74.900000000000006</v>
      </c>
      <c r="D1659" s="148">
        <f t="shared" ca="1" si="56"/>
        <v>0</v>
      </c>
      <c r="E1659" s="148">
        <f t="shared" ca="1" si="57"/>
        <v>9.9000000000000057</v>
      </c>
    </row>
    <row r="1660" spans="2:5" x14ac:dyDescent="0.25">
      <c r="B1660" s="8">
        <v>39254</v>
      </c>
      <c r="C1660" s="6">
        <f ca="1">IF(OR($C$7="",$B1660&gt;NOW()),"",IF(INDEX(Data!$A:$G,MATCH($B1660,Data!$A:$A,0),MATCH($C$7,Data!$4:$4,0))="","",INDEX(Data!$A:$G,MATCH($B1660,Data!$A:$A,0),MATCH($C$7,Data!$4:$4,0))))</f>
        <v>73.599999999999994</v>
      </c>
      <c r="D1660" s="148">
        <f t="shared" ca="1" si="56"/>
        <v>0</v>
      </c>
      <c r="E1660" s="148">
        <f t="shared" ca="1" si="57"/>
        <v>8.5999999999999943</v>
      </c>
    </row>
    <row r="1661" spans="2:5" x14ac:dyDescent="0.25">
      <c r="B1661" s="8">
        <v>39255</v>
      </c>
      <c r="C1661" s="6">
        <f ca="1">IF(OR($C$7="",$B1661&gt;NOW()),"",IF(INDEX(Data!$A:$G,MATCH($B1661,Data!$A:$A,0),MATCH($C$7,Data!$4:$4,0))="","",INDEX(Data!$A:$G,MATCH($B1661,Data!$A:$A,0),MATCH($C$7,Data!$4:$4,0))))</f>
        <v>70.2</v>
      </c>
      <c r="D1661" s="148">
        <f t="shared" ca="1" si="56"/>
        <v>0</v>
      </c>
      <c r="E1661" s="148">
        <f t="shared" ca="1" si="57"/>
        <v>5.2000000000000028</v>
      </c>
    </row>
    <row r="1662" spans="2:5" x14ac:dyDescent="0.25">
      <c r="B1662" s="8">
        <v>39256</v>
      </c>
      <c r="C1662" s="6">
        <f ca="1">IF(OR($C$7="",$B1662&gt;NOW()),"",IF(INDEX(Data!$A:$G,MATCH($B1662,Data!$A:$A,0),MATCH($C$7,Data!$4:$4,0))="","",INDEX(Data!$A:$G,MATCH($B1662,Data!$A:$A,0),MATCH($C$7,Data!$4:$4,0))))</f>
        <v>68.400000000000006</v>
      </c>
      <c r="D1662" s="148">
        <f t="shared" ca="1" si="56"/>
        <v>0</v>
      </c>
      <c r="E1662" s="148">
        <f t="shared" ca="1" si="57"/>
        <v>3.4000000000000057</v>
      </c>
    </row>
    <row r="1663" spans="2:5" x14ac:dyDescent="0.25">
      <c r="B1663" s="8">
        <v>39257</v>
      </c>
      <c r="C1663" s="6">
        <f ca="1">IF(OR($C$7="",$B1663&gt;NOW()),"",IF(INDEX(Data!$A:$G,MATCH($B1663,Data!$A:$A,0),MATCH($C$7,Data!$4:$4,0))="","",INDEX(Data!$A:$G,MATCH($B1663,Data!$A:$A,0),MATCH($C$7,Data!$4:$4,0))))</f>
        <v>71.900000000000006</v>
      </c>
      <c r="D1663" s="148">
        <f t="shared" ca="1" si="56"/>
        <v>0</v>
      </c>
      <c r="E1663" s="148">
        <f t="shared" ca="1" si="57"/>
        <v>6.9000000000000057</v>
      </c>
    </row>
    <row r="1664" spans="2:5" x14ac:dyDescent="0.25">
      <c r="B1664" s="8">
        <v>39258</v>
      </c>
      <c r="C1664" s="6">
        <f ca="1">IF(OR($C$7="",$B1664&gt;NOW()),"",IF(INDEX(Data!$A:$G,MATCH($B1664,Data!$A:$A,0),MATCH($C$7,Data!$4:$4,0))="","",INDEX(Data!$A:$G,MATCH($B1664,Data!$A:$A,0),MATCH($C$7,Data!$4:$4,0))))</f>
        <v>77.5</v>
      </c>
      <c r="D1664" s="148">
        <f t="shared" ca="1" si="56"/>
        <v>0</v>
      </c>
      <c r="E1664" s="148">
        <f t="shared" ca="1" si="57"/>
        <v>12.5</v>
      </c>
    </row>
    <row r="1665" spans="2:5" x14ac:dyDescent="0.25">
      <c r="B1665" s="8">
        <v>39259</v>
      </c>
      <c r="C1665" s="6">
        <f ca="1">IF(OR($C$7="",$B1665&gt;NOW()),"",IF(INDEX(Data!$A:$G,MATCH($B1665,Data!$A:$A,0),MATCH($C$7,Data!$4:$4,0))="","",INDEX(Data!$A:$G,MATCH($B1665,Data!$A:$A,0),MATCH($C$7,Data!$4:$4,0))))</f>
        <v>82.1</v>
      </c>
      <c r="D1665" s="148">
        <f t="shared" ca="1" si="56"/>
        <v>0</v>
      </c>
      <c r="E1665" s="148">
        <f t="shared" ca="1" si="57"/>
        <v>17.099999999999994</v>
      </c>
    </row>
    <row r="1666" spans="2:5" x14ac:dyDescent="0.25">
      <c r="B1666" s="8">
        <v>39260</v>
      </c>
      <c r="C1666" s="6">
        <f ca="1">IF(OR($C$7="",$B1666&gt;NOW()),"",IF(INDEX(Data!$A:$G,MATCH($B1666,Data!$A:$A,0),MATCH($C$7,Data!$4:$4,0))="","",INDEX(Data!$A:$G,MATCH($B1666,Data!$A:$A,0),MATCH($C$7,Data!$4:$4,0))))</f>
        <v>85.9</v>
      </c>
      <c r="D1666" s="148">
        <f t="shared" ca="1" si="56"/>
        <v>0</v>
      </c>
      <c r="E1666" s="148">
        <f t="shared" ca="1" si="57"/>
        <v>20.900000000000006</v>
      </c>
    </row>
    <row r="1667" spans="2:5" x14ac:dyDescent="0.25">
      <c r="B1667" s="8">
        <v>39261</v>
      </c>
      <c r="C1667" s="6">
        <f ca="1">IF(OR($C$7="",$B1667&gt;NOW()),"",IF(INDEX(Data!$A:$G,MATCH($B1667,Data!$A:$A,0),MATCH($C$7,Data!$4:$4,0))="","",INDEX(Data!$A:$G,MATCH($B1667,Data!$A:$A,0),MATCH($C$7,Data!$4:$4,0))))</f>
        <v>81</v>
      </c>
      <c r="D1667" s="148">
        <f t="shared" ca="1" si="56"/>
        <v>0</v>
      </c>
      <c r="E1667" s="148">
        <f t="shared" ca="1" si="57"/>
        <v>16</v>
      </c>
    </row>
    <row r="1668" spans="2:5" x14ac:dyDescent="0.25">
      <c r="B1668" s="8">
        <v>39262</v>
      </c>
      <c r="C1668" s="6">
        <f ca="1">IF(OR($C$7="",$B1668&gt;NOW()),"",IF(INDEX(Data!$A:$G,MATCH($B1668,Data!$A:$A,0),MATCH($C$7,Data!$4:$4,0))="","",INDEX(Data!$A:$G,MATCH($B1668,Data!$A:$A,0),MATCH($C$7,Data!$4:$4,0))))</f>
        <v>74.599999999999994</v>
      </c>
      <c r="D1668" s="148">
        <f t="shared" ca="1" si="56"/>
        <v>0</v>
      </c>
      <c r="E1668" s="148">
        <f t="shared" ca="1" si="57"/>
        <v>9.5999999999999943</v>
      </c>
    </row>
    <row r="1669" spans="2:5" x14ac:dyDescent="0.25">
      <c r="B1669" s="8">
        <v>39263</v>
      </c>
      <c r="C1669" s="6">
        <f ca="1">IF(OR($C$7="",$B1669&gt;NOW()),"",IF(INDEX(Data!$A:$G,MATCH($B1669,Data!$A:$A,0),MATCH($C$7,Data!$4:$4,0))="","",INDEX(Data!$A:$G,MATCH($B1669,Data!$A:$A,0),MATCH($C$7,Data!$4:$4,0))))</f>
        <v>74.400000000000006</v>
      </c>
      <c r="D1669" s="148">
        <f t="shared" ca="1" si="56"/>
        <v>0</v>
      </c>
      <c r="E1669" s="148">
        <f t="shared" ca="1" si="57"/>
        <v>9.4000000000000057</v>
      </c>
    </row>
    <row r="1670" spans="2:5" x14ac:dyDescent="0.25">
      <c r="B1670" s="8">
        <v>39264</v>
      </c>
      <c r="C1670" s="6">
        <f ca="1">IF(OR($C$7="",$B1670&gt;NOW()),"",IF(INDEX(Data!$A:$G,MATCH($B1670,Data!$A:$A,0),MATCH($C$7,Data!$4:$4,0))="","",INDEX(Data!$A:$G,MATCH($B1670,Data!$A:$A,0),MATCH($C$7,Data!$4:$4,0))))</f>
        <v>70.599999999999994</v>
      </c>
      <c r="D1670" s="148">
        <f t="shared" ca="1" si="56"/>
        <v>0</v>
      </c>
      <c r="E1670" s="148">
        <f t="shared" ca="1" si="57"/>
        <v>5.5999999999999943</v>
      </c>
    </row>
    <row r="1671" spans="2:5" x14ac:dyDescent="0.25">
      <c r="B1671" s="8">
        <v>39265</v>
      </c>
      <c r="C1671" s="6">
        <f ca="1">IF(OR($C$7="",$B1671&gt;NOW()),"",IF(INDEX(Data!$A:$G,MATCH($B1671,Data!$A:$A,0),MATCH($C$7,Data!$4:$4,0))="","",INDEX(Data!$A:$G,MATCH($B1671,Data!$A:$A,0),MATCH($C$7,Data!$4:$4,0))))</f>
        <v>68.5</v>
      </c>
      <c r="D1671" s="148">
        <f t="shared" ca="1" si="56"/>
        <v>0</v>
      </c>
      <c r="E1671" s="148">
        <f t="shared" ca="1" si="57"/>
        <v>3.5</v>
      </c>
    </row>
    <row r="1672" spans="2:5" x14ac:dyDescent="0.25">
      <c r="B1672" s="8">
        <v>39266</v>
      </c>
      <c r="C1672" s="6">
        <f ca="1">IF(OR($C$7="",$B1672&gt;NOW()),"",IF(INDEX(Data!$A:$G,MATCH($B1672,Data!$A:$A,0),MATCH($C$7,Data!$4:$4,0))="","",INDEX(Data!$A:$G,MATCH($B1672,Data!$A:$A,0),MATCH($C$7,Data!$4:$4,0))))</f>
        <v>72.599999999999994</v>
      </c>
      <c r="D1672" s="148">
        <f t="shared" ca="1" si="56"/>
        <v>0</v>
      </c>
      <c r="E1672" s="148">
        <f t="shared" ca="1" si="57"/>
        <v>7.5999999999999943</v>
      </c>
    </row>
    <row r="1673" spans="2:5" x14ac:dyDescent="0.25">
      <c r="B1673" s="8">
        <v>39267</v>
      </c>
      <c r="C1673" s="6">
        <f ca="1">IF(OR($C$7="",$B1673&gt;NOW()),"",IF(INDEX(Data!$A:$G,MATCH($B1673,Data!$A:$A,0),MATCH($C$7,Data!$4:$4,0))="","",INDEX(Data!$A:$G,MATCH($B1673,Data!$A:$A,0),MATCH($C$7,Data!$4:$4,0))))</f>
        <v>71.400000000000006</v>
      </c>
      <c r="D1673" s="148">
        <f t="shared" ca="1" si="56"/>
        <v>0</v>
      </c>
      <c r="E1673" s="148">
        <f t="shared" ca="1" si="57"/>
        <v>6.4000000000000057</v>
      </c>
    </row>
    <row r="1674" spans="2:5" x14ac:dyDescent="0.25">
      <c r="B1674" s="8">
        <v>39268</v>
      </c>
      <c r="C1674" s="6">
        <f ca="1">IF(OR($C$7="",$B1674&gt;NOW()),"",IF(INDEX(Data!$A:$G,MATCH($B1674,Data!$A:$A,0),MATCH($C$7,Data!$4:$4,0))="","",INDEX(Data!$A:$G,MATCH($B1674,Data!$A:$A,0),MATCH($C$7,Data!$4:$4,0))))</f>
        <v>74.5</v>
      </c>
      <c r="D1674" s="148">
        <f t="shared" ca="1" si="56"/>
        <v>0</v>
      </c>
      <c r="E1674" s="148">
        <f t="shared" ca="1" si="57"/>
        <v>9.5</v>
      </c>
    </row>
    <row r="1675" spans="2:5" x14ac:dyDescent="0.25">
      <c r="B1675" s="8">
        <v>39269</v>
      </c>
      <c r="C1675" s="6">
        <f ca="1">IF(OR($C$7="",$B1675&gt;NOW()),"",IF(INDEX(Data!$A:$G,MATCH($B1675,Data!$A:$A,0),MATCH($C$7,Data!$4:$4,0))="","",INDEX(Data!$A:$G,MATCH($B1675,Data!$A:$A,0),MATCH($C$7,Data!$4:$4,0))))</f>
        <v>77.400000000000006</v>
      </c>
      <c r="D1675" s="148">
        <f t="shared" ca="1" si="56"/>
        <v>0</v>
      </c>
      <c r="E1675" s="148">
        <f t="shared" ca="1" si="57"/>
        <v>12.400000000000006</v>
      </c>
    </row>
    <row r="1676" spans="2:5" x14ac:dyDescent="0.25">
      <c r="B1676" s="8">
        <v>39270</v>
      </c>
      <c r="C1676" s="6">
        <f ca="1">IF(OR($C$7="",$B1676&gt;NOW()),"",IF(INDEX(Data!$A:$G,MATCH($B1676,Data!$A:$A,0),MATCH($C$7,Data!$4:$4,0))="","",INDEX(Data!$A:$G,MATCH($B1676,Data!$A:$A,0),MATCH($C$7,Data!$4:$4,0))))</f>
        <v>79.099999999999994</v>
      </c>
      <c r="D1676" s="148">
        <f t="shared" ca="1" si="56"/>
        <v>0</v>
      </c>
      <c r="E1676" s="148">
        <f t="shared" ca="1" si="57"/>
        <v>14.099999999999994</v>
      </c>
    </row>
    <row r="1677" spans="2:5" x14ac:dyDescent="0.25">
      <c r="B1677" s="8">
        <v>39271</v>
      </c>
      <c r="C1677" s="6">
        <f ca="1">IF(OR($C$7="",$B1677&gt;NOW()),"",IF(INDEX(Data!$A:$G,MATCH($B1677,Data!$A:$A,0),MATCH($C$7,Data!$4:$4,0))="","",INDEX(Data!$A:$G,MATCH($B1677,Data!$A:$A,0),MATCH($C$7,Data!$4:$4,0))))</f>
        <v>84.8</v>
      </c>
      <c r="D1677" s="148">
        <f t="shared" ca="1" si="56"/>
        <v>0</v>
      </c>
      <c r="E1677" s="148">
        <f t="shared" ca="1" si="57"/>
        <v>19.799999999999997</v>
      </c>
    </row>
    <row r="1678" spans="2:5" x14ac:dyDescent="0.25">
      <c r="B1678" s="8">
        <v>39272</v>
      </c>
      <c r="C1678" s="6">
        <f ca="1">IF(OR($C$7="",$B1678&gt;NOW()),"",IF(INDEX(Data!$A:$G,MATCH($B1678,Data!$A:$A,0),MATCH($C$7,Data!$4:$4,0))="","",INDEX(Data!$A:$G,MATCH($B1678,Data!$A:$A,0),MATCH($C$7,Data!$4:$4,0))))</f>
        <v>84.4</v>
      </c>
      <c r="D1678" s="148">
        <f t="shared" ca="1" si="56"/>
        <v>0</v>
      </c>
      <c r="E1678" s="148">
        <f t="shared" ca="1" si="57"/>
        <v>19.400000000000006</v>
      </c>
    </row>
    <row r="1679" spans="2:5" x14ac:dyDescent="0.25">
      <c r="B1679" s="8">
        <v>39273</v>
      </c>
      <c r="C1679" s="6">
        <f ca="1">IF(OR($C$7="",$B1679&gt;NOW()),"",IF(INDEX(Data!$A:$G,MATCH($B1679,Data!$A:$A,0),MATCH($C$7,Data!$4:$4,0))="","",INDEX(Data!$A:$G,MATCH($B1679,Data!$A:$A,0),MATCH($C$7,Data!$4:$4,0))))</f>
        <v>88.4</v>
      </c>
      <c r="D1679" s="148">
        <f t="shared" ca="1" si="56"/>
        <v>0</v>
      </c>
      <c r="E1679" s="148">
        <f t="shared" ca="1" si="57"/>
        <v>23.400000000000006</v>
      </c>
    </row>
    <row r="1680" spans="2:5" x14ac:dyDescent="0.25">
      <c r="B1680" s="8">
        <v>39274</v>
      </c>
      <c r="C1680" s="6">
        <f ca="1">IF(OR($C$7="",$B1680&gt;NOW()),"",IF(INDEX(Data!$A:$G,MATCH($B1680,Data!$A:$A,0),MATCH($C$7,Data!$4:$4,0))="","",INDEX(Data!$A:$G,MATCH($B1680,Data!$A:$A,0),MATCH($C$7,Data!$4:$4,0))))</f>
        <v>79.599999999999994</v>
      </c>
      <c r="D1680" s="148">
        <f t="shared" ca="1" si="56"/>
        <v>0</v>
      </c>
      <c r="E1680" s="148">
        <f t="shared" ca="1" si="57"/>
        <v>14.599999999999994</v>
      </c>
    </row>
    <row r="1681" spans="2:5" x14ac:dyDescent="0.25">
      <c r="B1681" s="8">
        <v>39275</v>
      </c>
      <c r="C1681" s="6">
        <f ca="1">IF(OR($C$7="",$B1681&gt;NOW()),"",IF(INDEX(Data!$A:$G,MATCH($B1681,Data!$A:$A,0),MATCH($C$7,Data!$4:$4,0))="","",INDEX(Data!$A:$G,MATCH($B1681,Data!$A:$A,0),MATCH($C$7,Data!$4:$4,0))))</f>
        <v>76</v>
      </c>
      <c r="D1681" s="148">
        <f t="shared" ca="1" si="56"/>
        <v>0</v>
      </c>
      <c r="E1681" s="148">
        <f t="shared" ca="1" si="57"/>
        <v>11</v>
      </c>
    </row>
    <row r="1682" spans="2:5" x14ac:dyDescent="0.25">
      <c r="B1682" s="8">
        <v>39276</v>
      </c>
      <c r="C1682" s="6">
        <f ca="1">IF(OR($C$7="",$B1682&gt;NOW()),"",IF(INDEX(Data!$A:$G,MATCH($B1682,Data!$A:$A,0),MATCH($C$7,Data!$4:$4,0))="","",INDEX(Data!$A:$G,MATCH($B1682,Data!$A:$A,0),MATCH($C$7,Data!$4:$4,0))))</f>
        <v>80</v>
      </c>
      <c r="D1682" s="148">
        <f t="shared" ca="1" si="56"/>
        <v>0</v>
      </c>
      <c r="E1682" s="148">
        <f t="shared" ca="1" si="57"/>
        <v>15</v>
      </c>
    </row>
    <row r="1683" spans="2:5" x14ac:dyDescent="0.25">
      <c r="B1683" s="8">
        <v>39277</v>
      </c>
      <c r="C1683" s="6">
        <f ca="1">IF(OR($C$7="",$B1683&gt;NOW()),"",IF(INDEX(Data!$A:$G,MATCH($B1683,Data!$A:$A,0),MATCH($C$7,Data!$4:$4,0))="","",INDEX(Data!$A:$G,MATCH($B1683,Data!$A:$A,0),MATCH($C$7,Data!$4:$4,0))))</f>
        <v>78.099999999999994</v>
      </c>
      <c r="D1683" s="148">
        <f t="shared" ca="1" si="56"/>
        <v>0</v>
      </c>
      <c r="E1683" s="148">
        <f t="shared" ca="1" si="57"/>
        <v>13.099999999999994</v>
      </c>
    </row>
    <row r="1684" spans="2:5" x14ac:dyDescent="0.25">
      <c r="B1684" s="8">
        <v>39278</v>
      </c>
      <c r="C1684" s="6">
        <f ca="1">IF(OR($C$7="",$B1684&gt;NOW()),"",IF(INDEX(Data!$A:$G,MATCH($B1684,Data!$A:$A,0),MATCH($C$7,Data!$4:$4,0))="","",INDEX(Data!$A:$G,MATCH($B1684,Data!$A:$A,0),MATCH($C$7,Data!$4:$4,0))))</f>
        <v>81.099999999999994</v>
      </c>
      <c r="D1684" s="148">
        <f t="shared" ca="1" si="56"/>
        <v>0</v>
      </c>
      <c r="E1684" s="148">
        <f t="shared" ca="1" si="57"/>
        <v>16.099999999999994</v>
      </c>
    </row>
    <row r="1685" spans="2:5" x14ac:dyDescent="0.25">
      <c r="B1685" s="8">
        <v>39279</v>
      </c>
      <c r="C1685" s="6">
        <f ca="1">IF(OR($C$7="",$B1685&gt;NOW()),"",IF(INDEX(Data!$A:$G,MATCH($B1685,Data!$A:$A,0),MATCH($C$7,Data!$4:$4,0))="","",INDEX(Data!$A:$G,MATCH($B1685,Data!$A:$A,0),MATCH($C$7,Data!$4:$4,0))))</f>
        <v>78.599999999999994</v>
      </c>
      <c r="D1685" s="148">
        <f t="shared" ca="1" si="56"/>
        <v>0</v>
      </c>
      <c r="E1685" s="148">
        <f t="shared" ca="1" si="57"/>
        <v>13.599999999999994</v>
      </c>
    </row>
    <row r="1686" spans="2:5" x14ac:dyDescent="0.25">
      <c r="B1686" s="8">
        <v>39280</v>
      </c>
      <c r="C1686" s="6">
        <f ca="1">IF(OR($C$7="",$B1686&gt;NOW()),"",IF(INDEX(Data!$A:$G,MATCH($B1686,Data!$A:$A,0),MATCH($C$7,Data!$4:$4,0))="","",INDEX(Data!$A:$G,MATCH($B1686,Data!$A:$A,0),MATCH($C$7,Data!$4:$4,0))))</f>
        <v>78.7</v>
      </c>
      <c r="D1686" s="148">
        <f t="shared" ca="1" si="56"/>
        <v>0</v>
      </c>
      <c r="E1686" s="148">
        <f t="shared" ca="1" si="57"/>
        <v>13.700000000000003</v>
      </c>
    </row>
    <row r="1687" spans="2:5" x14ac:dyDescent="0.25">
      <c r="B1687" s="8">
        <v>39281</v>
      </c>
      <c r="C1687" s="6">
        <f ca="1">IF(OR($C$7="",$B1687&gt;NOW()),"",IF(INDEX(Data!$A:$G,MATCH($B1687,Data!$A:$A,0),MATCH($C$7,Data!$4:$4,0))="","",INDEX(Data!$A:$G,MATCH($B1687,Data!$A:$A,0),MATCH($C$7,Data!$4:$4,0))))</f>
        <v>75.8</v>
      </c>
      <c r="D1687" s="148">
        <f t="shared" ca="1" si="56"/>
        <v>0</v>
      </c>
      <c r="E1687" s="148">
        <f t="shared" ca="1" si="57"/>
        <v>10.799999999999997</v>
      </c>
    </row>
    <row r="1688" spans="2:5" x14ac:dyDescent="0.25">
      <c r="B1688" s="8">
        <v>39282</v>
      </c>
      <c r="C1688" s="6">
        <f ca="1">IF(OR($C$7="",$B1688&gt;NOW()),"",IF(INDEX(Data!$A:$G,MATCH($B1688,Data!$A:$A,0),MATCH($C$7,Data!$4:$4,0))="","",INDEX(Data!$A:$G,MATCH($B1688,Data!$A:$A,0),MATCH($C$7,Data!$4:$4,0))))</f>
        <v>78.099999999999994</v>
      </c>
      <c r="D1688" s="148">
        <f t="shared" ca="1" si="56"/>
        <v>0</v>
      </c>
      <c r="E1688" s="148">
        <f t="shared" ca="1" si="57"/>
        <v>13.099999999999994</v>
      </c>
    </row>
    <row r="1689" spans="2:5" x14ac:dyDescent="0.25">
      <c r="B1689" s="8">
        <v>39283</v>
      </c>
      <c r="C1689" s="6">
        <f ca="1">IF(OR($C$7="",$B1689&gt;NOW()),"",IF(INDEX(Data!$A:$G,MATCH($B1689,Data!$A:$A,0),MATCH($C$7,Data!$4:$4,0))="","",INDEX(Data!$A:$G,MATCH($B1689,Data!$A:$A,0),MATCH($C$7,Data!$4:$4,0))))</f>
        <v>79.2</v>
      </c>
      <c r="D1689" s="148">
        <f t="shared" ca="1" si="56"/>
        <v>0</v>
      </c>
      <c r="E1689" s="148">
        <f t="shared" ca="1" si="57"/>
        <v>14.200000000000003</v>
      </c>
    </row>
    <row r="1690" spans="2:5" x14ac:dyDescent="0.25">
      <c r="B1690" s="8">
        <v>39284</v>
      </c>
      <c r="C1690" s="6">
        <f ca="1">IF(OR($C$7="",$B1690&gt;NOW()),"",IF(INDEX(Data!$A:$G,MATCH($B1690,Data!$A:$A,0),MATCH($C$7,Data!$4:$4,0))="","",INDEX(Data!$A:$G,MATCH($B1690,Data!$A:$A,0),MATCH($C$7,Data!$4:$4,0))))</f>
        <v>74.099999999999994</v>
      </c>
      <c r="D1690" s="148">
        <f t="shared" ca="1" si="56"/>
        <v>0</v>
      </c>
      <c r="E1690" s="148">
        <f t="shared" ca="1" si="57"/>
        <v>9.0999999999999943</v>
      </c>
    </row>
    <row r="1691" spans="2:5" x14ac:dyDescent="0.25">
      <c r="B1691" s="8">
        <v>39285</v>
      </c>
      <c r="C1691" s="6">
        <f ca="1">IF(OR($C$7="",$B1691&gt;NOW()),"",IF(INDEX(Data!$A:$G,MATCH($B1691,Data!$A:$A,0),MATCH($C$7,Data!$4:$4,0))="","",INDEX(Data!$A:$G,MATCH($B1691,Data!$A:$A,0),MATCH($C$7,Data!$4:$4,0))))</f>
        <v>77.099999999999994</v>
      </c>
      <c r="D1691" s="148">
        <f t="shared" ca="1" si="56"/>
        <v>0</v>
      </c>
      <c r="E1691" s="148">
        <f t="shared" ca="1" si="57"/>
        <v>12.099999999999994</v>
      </c>
    </row>
    <row r="1692" spans="2:5" x14ac:dyDescent="0.25">
      <c r="B1692" s="8">
        <v>39286</v>
      </c>
      <c r="C1692" s="6">
        <f ca="1">IF(OR($C$7="",$B1692&gt;NOW()),"",IF(INDEX(Data!$A:$G,MATCH($B1692,Data!$A:$A,0),MATCH($C$7,Data!$4:$4,0))="","",INDEX(Data!$A:$G,MATCH($B1692,Data!$A:$A,0),MATCH($C$7,Data!$4:$4,0))))</f>
        <v>71.2</v>
      </c>
      <c r="D1692" s="148">
        <f t="shared" ca="1" si="56"/>
        <v>0</v>
      </c>
      <c r="E1692" s="148">
        <f t="shared" ca="1" si="57"/>
        <v>6.2000000000000028</v>
      </c>
    </row>
    <row r="1693" spans="2:5" x14ac:dyDescent="0.25">
      <c r="B1693" s="8">
        <v>39287</v>
      </c>
      <c r="C1693" s="6">
        <f ca="1">IF(OR($C$7="",$B1693&gt;NOW()),"",IF(INDEX(Data!$A:$G,MATCH($B1693,Data!$A:$A,0),MATCH($C$7,Data!$4:$4,0))="","",INDEX(Data!$A:$G,MATCH($B1693,Data!$A:$A,0),MATCH($C$7,Data!$4:$4,0))))</f>
        <v>70.599999999999994</v>
      </c>
      <c r="D1693" s="148">
        <f t="shared" ref="D1693:D1756" ca="1" si="58">IF($C1693="","",IF($C1693&gt;$D$26,0,$D$26-$C1693))</f>
        <v>0</v>
      </c>
      <c r="E1693" s="148">
        <f t="shared" ref="E1693:E1756" ca="1" si="59">IF($C1693="","",IF($C1693&lt;$E$26,0,$C1693-$E$26))</f>
        <v>5.5999999999999943</v>
      </c>
    </row>
    <row r="1694" spans="2:5" x14ac:dyDescent="0.25">
      <c r="B1694" s="8">
        <v>39288</v>
      </c>
      <c r="C1694" s="6">
        <f ca="1">IF(OR($C$7="",$B1694&gt;NOW()),"",IF(INDEX(Data!$A:$G,MATCH($B1694,Data!$A:$A,0),MATCH($C$7,Data!$4:$4,0))="","",INDEX(Data!$A:$G,MATCH($B1694,Data!$A:$A,0),MATCH($C$7,Data!$4:$4,0))))</f>
        <v>77</v>
      </c>
      <c r="D1694" s="148">
        <f t="shared" ca="1" si="58"/>
        <v>0</v>
      </c>
      <c r="E1694" s="148">
        <f t="shared" ca="1" si="59"/>
        <v>12</v>
      </c>
    </row>
    <row r="1695" spans="2:5" x14ac:dyDescent="0.25">
      <c r="B1695" s="8">
        <v>39289</v>
      </c>
      <c r="C1695" s="6">
        <f ca="1">IF(OR($C$7="",$B1695&gt;NOW()),"",IF(INDEX(Data!$A:$G,MATCH($B1695,Data!$A:$A,0),MATCH($C$7,Data!$4:$4,0))="","",INDEX(Data!$A:$G,MATCH($B1695,Data!$A:$A,0),MATCH($C$7,Data!$4:$4,0))))</f>
        <v>78.400000000000006</v>
      </c>
      <c r="D1695" s="148">
        <f t="shared" ca="1" si="58"/>
        <v>0</v>
      </c>
      <c r="E1695" s="148">
        <f t="shared" ca="1" si="59"/>
        <v>13.400000000000006</v>
      </c>
    </row>
    <row r="1696" spans="2:5" x14ac:dyDescent="0.25">
      <c r="B1696" s="8">
        <v>39290</v>
      </c>
      <c r="C1696" s="6">
        <f ca="1">IF(OR($C$7="",$B1696&gt;NOW()),"",IF(INDEX(Data!$A:$G,MATCH($B1696,Data!$A:$A,0),MATCH($C$7,Data!$4:$4,0))="","",INDEX(Data!$A:$G,MATCH($B1696,Data!$A:$A,0),MATCH($C$7,Data!$4:$4,0))))</f>
        <v>79.099999999999994</v>
      </c>
      <c r="D1696" s="148">
        <f t="shared" ca="1" si="58"/>
        <v>0</v>
      </c>
      <c r="E1696" s="148">
        <f t="shared" ca="1" si="59"/>
        <v>14.099999999999994</v>
      </c>
    </row>
    <row r="1697" spans="2:5" x14ac:dyDescent="0.25">
      <c r="B1697" s="8">
        <v>39291</v>
      </c>
      <c r="C1697" s="6">
        <f ca="1">IF(OR($C$7="",$B1697&gt;NOW()),"",IF(INDEX(Data!$A:$G,MATCH($B1697,Data!$A:$A,0),MATCH($C$7,Data!$4:$4,0))="","",INDEX(Data!$A:$G,MATCH($B1697,Data!$A:$A,0),MATCH($C$7,Data!$4:$4,0))))</f>
        <v>80.3</v>
      </c>
      <c r="D1697" s="148">
        <f t="shared" ca="1" si="58"/>
        <v>0</v>
      </c>
      <c r="E1697" s="148">
        <f t="shared" ca="1" si="59"/>
        <v>15.299999999999997</v>
      </c>
    </row>
    <row r="1698" spans="2:5" x14ac:dyDescent="0.25">
      <c r="B1698" s="8">
        <v>39292</v>
      </c>
      <c r="C1698" s="6">
        <f ca="1">IF(OR($C$7="",$B1698&gt;NOW()),"",IF(INDEX(Data!$A:$G,MATCH($B1698,Data!$A:$A,0),MATCH($C$7,Data!$4:$4,0))="","",INDEX(Data!$A:$G,MATCH($B1698,Data!$A:$A,0),MATCH($C$7,Data!$4:$4,0))))</f>
        <v>77.400000000000006</v>
      </c>
      <c r="D1698" s="148">
        <f t="shared" ca="1" si="58"/>
        <v>0</v>
      </c>
      <c r="E1698" s="148">
        <f t="shared" ca="1" si="59"/>
        <v>12.400000000000006</v>
      </c>
    </row>
    <row r="1699" spans="2:5" x14ac:dyDescent="0.25">
      <c r="B1699" s="8">
        <v>39293</v>
      </c>
      <c r="C1699" s="6">
        <f ca="1">IF(OR($C$7="",$B1699&gt;NOW()),"",IF(INDEX(Data!$A:$G,MATCH($B1699,Data!$A:$A,0),MATCH($C$7,Data!$4:$4,0))="","",INDEX(Data!$A:$G,MATCH($B1699,Data!$A:$A,0),MATCH($C$7,Data!$4:$4,0))))</f>
        <v>77.900000000000006</v>
      </c>
      <c r="D1699" s="148">
        <f t="shared" ca="1" si="58"/>
        <v>0</v>
      </c>
      <c r="E1699" s="148">
        <f t="shared" ca="1" si="59"/>
        <v>12.900000000000006</v>
      </c>
    </row>
    <row r="1700" spans="2:5" x14ac:dyDescent="0.25">
      <c r="B1700" s="8">
        <v>39294</v>
      </c>
      <c r="C1700" s="6">
        <f ca="1">IF(OR($C$7="",$B1700&gt;NOW()),"",IF(INDEX(Data!$A:$G,MATCH($B1700,Data!$A:$A,0),MATCH($C$7,Data!$4:$4,0))="","",INDEX(Data!$A:$G,MATCH($B1700,Data!$A:$A,0),MATCH($C$7,Data!$4:$4,0))))</f>
        <v>81.400000000000006</v>
      </c>
      <c r="D1700" s="148">
        <f t="shared" ca="1" si="58"/>
        <v>0</v>
      </c>
      <c r="E1700" s="148">
        <f t="shared" ca="1" si="59"/>
        <v>16.400000000000006</v>
      </c>
    </row>
    <row r="1701" spans="2:5" x14ac:dyDescent="0.25">
      <c r="B1701" s="8">
        <v>39295</v>
      </c>
      <c r="C1701" s="6">
        <f ca="1">IF(OR($C$7="",$B1701&gt;NOW()),"",IF(INDEX(Data!$A:$G,MATCH($B1701,Data!$A:$A,0),MATCH($C$7,Data!$4:$4,0))="","",INDEX(Data!$A:$G,MATCH($B1701,Data!$A:$A,0),MATCH($C$7,Data!$4:$4,0))))</f>
        <v>83.6</v>
      </c>
      <c r="D1701" s="148">
        <f t="shared" ca="1" si="58"/>
        <v>0</v>
      </c>
      <c r="E1701" s="148">
        <f t="shared" ca="1" si="59"/>
        <v>18.599999999999994</v>
      </c>
    </row>
    <row r="1702" spans="2:5" x14ac:dyDescent="0.25">
      <c r="B1702" s="8">
        <v>39296</v>
      </c>
      <c r="C1702" s="6">
        <f ca="1">IF(OR($C$7="",$B1702&gt;NOW()),"",IF(INDEX(Data!$A:$G,MATCH($B1702,Data!$A:$A,0),MATCH($C$7,Data!$4:$4,0))="","",INDEX(Data!$A:$G,MATCH($B1702,Data!$A:$A,0),MATCH($C$7,Data!$4:$4,0))))</f>
        <v>86.5</v>
      </c>
      <c r="D1702" s="148">
        <f t="shared" ca="1" si="58"/>
        <v>0</v>
      </c>
      <c r="E1702" s="148">
        <f t="shared" ca="1" si="59"/>
        <v>21.5</v>
      </c>
    </row>
    <row r="1703" spans="2:5" x14ac:dyDescent="0.25">
      <c r="B1703" s="8">
        <v>39297</v>
      </c>
      <c r="C1703" s="6">
        <f ca="1">IF(OR($C$7="",$B1703&gt;NOW()),"",IF(INDEX(Data!$A:$G,MATCH($B1703,Data!$A:$A,0),MATCH($C$7,Data!$4:$4,0))="","",INDEX(Data!$A:$G,MATCH($B1703,Data!$A:$A,0),MATCH($C$7,Data!$4:$4,0))))</f>
        <v>86.2</v>
      </c>
      <c r="D1703" s="148">
        <f t="shared" ca="1" si="58"/>
        <v>0</v>
      </c>
      <c r="E1703" s="148">
        <f t="shared" ca="1" si="59"/>
        <v>21.200000000000003</v>
      </c>
    </row>
    <row r="1704" spans="2:5" x14ac:dyDescent="0.25">
      <c r="B1704" s="8">
        <v>39298</v>
      </c>
      <c r="C1704" s="6">
        <f ca="1">IF(OR($C$7="",$B1704&gt;NOW()),"",IF(INDEX(Data!$A:$G,MATCH($B1704,Data!$A:$A,0),MATCH($C$7,Data!$4:$4,0))="","",INDEX(Data!$A:$G,MATCH($B1704,Data!$A:$A,0),MATCH($C$7,Data!$4:$4,0))))</f>
        <v>82.7</v>
      </c>
      <c r="D1704" s="148">
        <f t="shared" ca="1" si="58"/>
        <v>0</v>
      </c>
      <c r="E1704" s="148">
        <f t="shared" ca="1" si="59"/>
        <v>17.700000000000003</v>
      </c>
    </row>
    <row r="1705" spans="2:5" x14ac:dyDescent="0.25">
      <c r="B1705" s="8">
        <v>39299</v>
      </c>
      <c r="C1705" s="6">
        <f ca="1">IF(OR($C$7="",$B1705&gt;NOW()),"",IF(INDEX(Data!$A:$G,MATCH($B1705,Data!$A:$A,0),MATCH($C$7,Data!$4:$4,0))="","",INDEX(Data!$A:$G,MATCH($B1705,Data!$A:$A,0),MATCH($C$7,Data!$4:$4,0))))</f>
        <v>78.5</v>
      </c>
      <c r="D1705" s="148">
        <f t="shared" ca="1" si="58"/>
        <v>0</v>
      </c>
      <c r="E1705" s="148">
        <f t="shared" ca="1" si="59"/>
        <v>13.5</v>
      </c>
    </row>
    <row r="1706" spans="2:5" x14ac:dyDescent="0.25">
      <c r="B1706" s="8">
        <v>39300</v>
      </c>
      <c r="C1706" s="6">
        <f ca="1">IF(OR($C$7="",$B1706&gt;NOW()),"",IF(INDEX(Data!$A:$G,MATCH($B1706,Data!$A:$A,0),MATCH($C$7,Data!$4:$4,0))="","",INDEX(Data!$A:$G,MATCH($B1706,Data!$A:$A,0),MATCH($C$7,Data!$4:$4,0))))</f>
        <v>78.3</v>
      </c>
      <c r="D1706" s="148">
        <f t="shared" ca="1" si="58"/>
        <v>0</v>
      </c>
      <c r="E1706" s="148">
        <f t="shared" ca="1" si="59"/>
        <v>13.299999999999997</v>
      </c>
    </row>
    <row r="1707" spans="2:5" x14ac:dyDescent="0.25">
      <c r="B1707" s="8">
        <v>39301</v>
      </c>
      <c r="C1707" s="6">
        <f ca="1">IF(OR($C$7="",$B1707&gt;NOW()),"",IF(INDEX(Data!$A:$G,MATCH($B1707,Data!$A:$A,0),MATCH($C$7,Data!$4:$4,0))="","",INDEX(Data!$A:$G,MATCH($B1707,Data!$A:$A,0),MATCH($C$7,Data!$4:$4,0))))</f>
        <v>84.5</v>
      </c>
      <c r="D1707" s="148">
        <f t="shared" ca="1" si="58"/>
        <v>0</v>
      </c>
      <c r="E1707" s="148">
        <f t="shared" ca="1" si="59"/>
        <v>19.5</v>
      </c>
    </row>
    <row r="1708" spans="2:5" x14ac:dyDescent="0.25">
      <c r="B1708" s="8">
        <v>39302</v>
      </c>
      <c r="C1708" s="6">
        <f ca="1">IF(OR($C$7="",$B1708&gt;NOW()),"",IF(INDEX(Data!$A:$G,MATCH($B1708,Data!$A:$A,0),MATCH($C$7,Data!$4:$4,0))="","",INDEX(Data!$A:$G,MATCH($B1708,Data!$A:$A,0),MATCH($C$7,Data!$4:$4,0))))</f>
        <v>85.7</v>
      </c>
      <c r="D1708" s="148">
        <f t="shared" ca="1" si="58"/>
        <v>0</v>
      </c>
      <c r="E1708" s="148">
        <f t="shared" ca="1" si="59"/>
        <v>20.700000000000003</v>
      </c>
    </row>
    <row r="1709" spans="2:5" x14ac:dyDescent="0.25">
      <c r="B1709" s="8">
        <v>39303</v>
      </c>
      <c r="C1709" s="6">
        <f ca="1">IF(OR($C$7="",$B1709&gt;NOW()),"",IF(INDEX(Data!$A:$G,MATCH($B1709,Data!$A:$A,0),MATCH($C$7,Data!$4:$4,0))="","",INDEX(Data!$A:$G,MATCH($B1709,Data!$A:$A,0),MATCH($C$7,Data!$4:$4,0))))</f>
        <v>81.8</v>
      </c>
      <c r="D1709" s="148">
        <f t="shared" ca="1" si="58"/>
        <v>0</v>
      </c>
      <c r="E1709" s="148">
        <f t="shared" ca="1" si="59"/>
        <v>16.799999999999997</v>
      </c>
    </row>
    <row r="1710" spans="2:5" x14ac:dyDescent="0.25">
      <c r="B1710" s="8">
        <v>39304</v>
      </c>
      <c r="C1710" s="6">
        <f ca="1">IF(OR($C$7="",$B1710&gt;NOW()),"",IF(INDEX(Data!$A:$G,MATCH($B1710,Data!$A:$A,0),MATCH($C$7,Data!$4:$4,0))="","",INDEX(Data!$A:$G,MATCH($B1710,Data!$A:$A,0),MATCH($C$7,Data!$4:$4,0))))</f>
        <v>69.599999999999994</v>
      </c>
      <c r="D1710" s="148">
        <f t="shared" ca="1" si="58"/>
        <v>0</v>
      </c>
      <c r="E1710" s="148">
        <f t="shared" ca="1" si="59"/>
        <v>4.5999999999999943</v>
      </c>
    </row>
    <row r="1711" spans="2:5" x14ac:dyDescent="0.25">
      <c r="B1711" s="8">
        <v>39305</v>
      </c>
      <c r="C1711" s="6">
        <f ca="1">IF(OR($C$7="",$B1711&gt;NOW()),"",IF(INDEX(Data!$A:$G,MATCH($B1711,Data!$A:$A,0),MATCH($C$7,Data!$4:$4,0))="","",INDEX(Data!$A:$G,MATCH($B1711,Data!$A:$A,0),MATCH($C$7,Data!$4:$4,0))))</f>
        <v>68.2</v>
      </c>
      <c r="D1711" s="148">
        <f t="shared" ca="1" si="58"/>
        <v>0</v>
      </c>
      <c r="E1711" s="148">
        <f t="shared" ca="1" si="59"/>
        <v>3.2000000000000028</v>
      </c>
    </row>
    <row r="1712" spans="2:5" x14ac:dyDescent="0.25">
      <c r="B1712" s="8">
        <v>39306</v>
      </c>
      <c r="C1712" s="6">
        <f ca="1">IF(OR($C$7="",$B1712&gt;NOW()),"",IF(INDEX(Data!$A:$G,MATCH($B1712,Data!$A:$A,0),MATCH($C$7,Data!$4:$4,0))="","",INDEX(Data!$A:$G,MATCH($B1712,Data!$A:$A,0),MATCH($C$7,Data!$4:$4,0))))</f>
        <v>79.900000000000006</v>
      </c>
      <c r="D1712" s="148">
        <f t="shared" ca="1" si="58"/>
        <v>0</v>
      </c>
      <c r="E1712" s="148">
        <f t="shared" ca="1" si="59"/>
        <v>14.900000000000006</v>
      </c>
    </row>
    <row r="1713" spans="2:5" x14ac:dyDescent="0.25">
      <c r="B1713" s="8">
        <v>39307</v>
      </c>
      <c r="C1713" s="6">
        <f ca="1">IF(OR($C$7="",$B1713&gt;NOW()),"",IF(INDEX(Data!$A:$G,MATCH($B1713,Data!$A:$A,0),MATCH($C$7,Data!$4:$4,0))="","",INDEX(Data!$A:$G,MATCH($B1713,Data!$A:$A,0),MATCH($C$7,Data!$4:$4,0))))</f>
        <v>81.400000000000006</v>
      </c>
      <c r="D1713" s="148">
        <f t="shared" ca="1" si="58"/>
        <v>0</v>
      </c>
      <c r="E1713" s="148">
        <f t="shared" ca="1" si="59"/>
        <v>16.400000000000006</v>
      </c>
    </row>
    <row r="1714" spans="2:5" x14ac:dyDescent="0.25">
      <c r="B1714" s="8">
        <v>39308</v>
      </c>
      <c r="C1714" s="6">
        <f ca="1">IF(OR($C$7="",$B1714&gt;NOW()),"",IF(INDEX(Data!$A:$G,MATCH($B1714,Data!$A:$A,0),MATCH($C$7,Data!$4:$4,0))="","",INDEX(Data!$A:$G,MATCH($B1714,Data!$A:$A,0),MATCH($C$7,Data!$4:$4,0))))</f>
        <v>77.599999999999994</v>
      </c>
      <c r="D1714" s="148">
        <f t="shared" ca="1" si="58"/>
        <v>0</v>
      </c>
      <c r="E1714" s="148">
        <f t="shared" ca="1" si="59"/>
        <v>12.599999999999994</v>
      </c>
    </row>
    <row r="1715" spans="2:5" x14ac:dyDescent="0.25">
      <c r="B1715" s="8">
        <v>39309</v>
      </c>
      <c r="C1715" s="6">
        <f ca="1">IF(OR($C$7="",$B1715&gt;NOW()),"",IF(INDEX(Data!$A:$G,MATCH($B1715,Data!$A:$A,0),MATCH($C$7,Data!$4:$4,0))="","",INDEX(Data!$A:$G,MATCH($B1715,Data!$A:$A,0),MATCH($C$7,Data!$4:$4,0))))</f>
        <v>79.7</v>
      </c>
      <c r="D1715" s="148">
        <f t="shared" ca="1" si="58"/>
        <v>0</v>
      </c>
      <c r="E1715" s="148">
        <f t="shared" ca="1" si="59"/>
        <v>14.700000000000003</v>
      </c>
    </row>
    <row r="1716" spans="2:5" x14ac:dyDescent="0.25">
      <c r="B1716" s="8">
        <v>39310</v>
      </c>
      <c r="C1716" s="6">
        <f ca="1">IF(OR($C$7="",$B1716&gt;NOW()),"",IF(INDEX(Data!$A:$G,MATCH($B1716,Data!$A:$A,0),MATCH($C$7,Data!$4:$4,0))="","",INDEX(Data!$A:$G,MATCH($B1716,Data!$A:$A,0),MATCH($C$7,Data!$4:$4,0))))</f>
        <v>82.3</v>
      </c>
      <c r="D1716" s="148">
        <f t="shared" ca="1" si="58"/>
        <v>0</v>
      </c>
      <c r="E1716" s="148">
        <f t="shared" ca="1" si="59"/>
        <v>17.299999999999997</v>
      </c>
    </row>
    <row r="1717" spans="2:5" x14ac:dyDescent="0.25">
      <c r="B1717" s="8">
        <v>39311</v>
      </c>
      <c r="C1717" s="6">
        <f ca="1">IF(OR($C$7="",$B1717&gt;NOW()),"",IF(INDEX(Data!$A:$G,MATCH($B1717,Data!$A:$A,0),MATCH($C$7,Data!$4:$4,0))="","",INDEX(Data!$A:$G,MATCH($B1717,Data!$A:$A,0),MATCH($C$7,Data!$4:$4,0))))</f>
        <v>80.8</v>
      </c>
      <c r="D1717" s="148">
        <f t="shared" ca="1" si="58"/>
        <v>0</v>
      </c>
      <c r="E1717" s="148">
        <f t="shared" ca="1" si="59"/>
        <v>15.799999999999997</v>
      </c>
    </row>
    <row r="1718" spans="2:5" x14ac:dyDescent="0.25">
      <c r="B1718" s="8">
        <v>39312</v>
      </c>
      <c r="C1718" s="6">
        <f ca="1">IF(OR($C$7="",$B1718&gt;NOW()),"",IF(INDEX(Data!$A:$G,MATCH($B1718,Data!$A:$A,0),MATCH($C$7,Data!$4:$4,0))="","",INDEX(Data!$A:$G,MATCH($B1718,Data!$A:$A,0),MATCH($C$7,Data!$4:$4,0))))</f>
        <v>69.400000000000006</v>
      </c>
      <c r="D1718" s="148">
        <f t="shared" ca="1" si="58"/>
        <v>0</v>
      </c>
      <c r="E1718" s="148">
        <f t="shared" ca="1" si="59"/>
        <v>4.4000000000000057</v>
      </c>
    </row>
    <row r="1719" spans="2:5" x14ac:dyDescent="0.25">
      <c r="B1719" s="8">
        <v>39313</v>
      </c>
      <c r="C1719" s="6">
        <f ca="1">IF(OR($C$7="",$B1719&gt;NOW()),"",IF(INDEX(Data!$A:$G,MATCH($B1719,Data!$A:$A,0),MATCH($C$7,Data!$4:$4,0))="","",INDEX(Data!$A:$G,MATCH($B1719,Data!$A:$A,0),MATCH($C$7,Data!$4:$4,0))))</f>
        <v>70.400000000000006</v>
      </c>
      <c r="D1719" s="148">
        <f t="shared" ca="1" si="58"/>
        <v>0</v>
      </c>
      <c r="E1719" s="148">
        <f t="shared" ca="1" si="59"/>
        <v>5.4000000000000057</v>
      </c>
    </row>
    <row r="1720" spans="2:5" x14ac:dyDescent="0.25">
      <c r="B1720" s="8">
        <v>39314</v>
      </c>
      <c r="C1720" s="6">
        <f ca="1">IF(OR($C$7="",$B1720&gt;NOW()),"",IF(INDEX(Data!$A:$G,MATCH($B1720,Data!$A:$A,0),MATCH($C$7,Data!$4:$4,0))="","",INDEX(Data!$A:$G,MATCH($B1720,Data!$A:$A,0),MATCH($C$7,Data!$4:$4,0))))</f>
        <v>67.400000000000006</v>
      </c>
      <c r="D1720" s="148">
        <f t="shared" ca="1" si="58"/>
        <v>0</v>
      </c>
      <c r="E1720" s="148">
        <f t="shared" ca="1" si="59"/>
        <v>2.4000000000000057</v>
      </c>
    </row>
    <row r="1721" spans="2:5" x14ac:dyDescent="0.25">
      <c r="B1721" s="8">
        <v>39315</v>
      </c>
      <c r="C1721" s="6">
        <f ca="1">IF(OR($C$7="",$B1721&gt;NOW()),"",IF(INDEX(Data!$A:$G,MATCH($B1721,Data!$A:$A,0),MATCH($C$7,Data!$4:$4,0))="","",INDEX(Data!$A:$G,MATCH($B1721,Data!$A:$A,0),MATCH($C$7,Data!$4:$4,0))))</f>
        <v>61.9</v>
      </c>
      <c r="D1721" s="148">
        <f t="shared" ca="1" si="58"/>
        <v>3.1000000000000014</v>
      </c>
      <c r="E1721" s="148">
        <f t="shared" ca="1" si="59"/>
        <v>0</v>
      </c>
    </row>
    <row r="1722" spans="2:5" x14ac:dyDescent="0.25">
      <c r="B1722" s="8">
        <v>39316</v>
      </c>
      <c r="C1722" s="6">
        <f ca="1">IF(OR($C$7="",$B1722&gt;NOW()),"",IF(INDEX(Data!$A:$G,MATCH($B1722,Data!$A:$A,0),MATCH($C$7,Data!$4:$4,0))="","",INDEX(Data!$A:$G,MATCH($B1722,Data!$A:$A,0),MATCH($C$7,Data!$4:$4,0))))</f>
        <v>62.7</v>
      </c>
      <c r="D1722" s="148">
        <f t="shared" ca="1" si="58"/>
        <v>2.2999999999999972</v>
      </c>
      <c r="E1722" s="148">
        <f t="shared" ca="1" si="59"/>
        <v>0</v>
      </c>
    </row>
    <row r="1723" spans="2:5" x14ac:dyDescent="0.25">
      <c r="B1723" s="8">
        <v>39317</v>
      </c>
      <c r="C1723" s="6">
        <f ca="1">IF(OR($C$7="",$B1723&gt;NOW()),"",IF(INDEX(Data!$A:$G,MATCH($B1723,Data!$A:$A,0),MATCH($C$7,Data!$4:$4,0))="","",INDEX(Data!$A:$G,MATCH($B1723,Data!$A:$A,0),MATCH($C$7,Data!$4:$4,0))))</f>
        <v>68.5</v>
      </c>
      <c r="D1723" s="148">
        <f t="shared" ca="1" si="58"/>
        <v>0</v>
      </c>
      <c r="E1723" s="148">
        <f t="shared" ca="1" si="59"/>
        <v>3.5</v>
      </c>
    </row>
    <row r="1724" spans="2:5" x14ac:dyDescent="0.25">
      <c r="B1724" s="8">
        <v>39318</v>
      </c>
      <c r="C1724" s="6">
        <f ca="1">IF(OR($C$7="",$B1724&gt;NOW()),"",IF(INDEX(Data!$A:$G,MATCH($B1724,Data!$A:$A,0),MATCH($C$7,Data!$4:$4,0))="","",INDEX(Data!$A:$G,MATCH($B1724,Data!$A:$A,0),MATCH($C$7,Data!$4:$4,0))))</f>
        <v>74.099999999999994</v>
      </c>
      <c r="D1724" s="148">
        <f t="shared" ca="1" si="58"/>
        <v>0</v>
      </c>
      <c r="E1724" s="148">
        <f t="shared" ca="1" si="59"/>
        <v>9.0999999999999943</v>
      </c>
    </row>
    <row r="1725" spans="2:5" x14ac:dyDescent="0.25">
      <c r="B1725" s="8">
        <v>39319</v>
      </c>
      <c r="C1725" s="6">
        <f ca="1">IF(OR($C$7="",$B1725&gt;NOW()),"",IF(INDEX(Data!$A:$G,MATCH($B1725,Data!$A:$A,0),MATCH($C$7,Data!$4:$4,0))="","",INDEX(Data!$A:$G,MATCH($B1725,Data!$A:$A,0),MATCH($C$7,Data!$4:$4,0))))</f>
        <v>80.3</v>
      </c>
      <c r="D1725" s="148">
        <f t="shared" ca="1" si="58"/>
        <v>0</v>
      </c>
      <c r="E1725" s="148">
        <f t="shared" ca="1" si="59"/>
        <v>15.299999999999997</v>
      </c>
    </row>
    <row r="1726" spans="2:5" x14ac:dyDescent="0.25">
      <c r="B1726" s="8">
        <v>39320</v>
      </c>
      <c r="C1726" s="6">
        <f ca="1">IF(OR($C$7="",$B1726&gt;NOW()),"",IF(INDEX(Data!$A:$G,MATCH($B1726,Data!$A:$A,0),MATCH($C$7,Data!$4:$4,0))="","",INDEX(Data!$A:$G,MATCH($B1726,Data!$A:$A,0),MATCH($C$7,Data!$4:$4,0))))</f>
        <v>81.599999999999994</v>
      </c>
      <c r="D1726" s="148">
        <f t="shared" ca="1" si="58"/>
        <v>0</v>
      </c>
      <c r="E1726" s="148">
        <f t="shared" ca="1" si="59"/>
        <v>16.599999999999994</v>
      </c>
    </row>
    <row r="1727" spans="2:5" x14ac:dyDescent="0.25">
      <c r="B1727" s="8">
        <v>39321</v>
      </c>
      <c r="C1727" s="6">
        <f ca="1">IF(OR($C$7="",$B1727&gt;NOW()),"",IF(INDEX(Data!$A:$G,MATCH($B1727,Data!$A:$A,0),MATCH($C$7,Data!$4:$4,0))="","",INDEX(Data!$A:$G,MATCH($B1727,Data!$A:$A,0),MATCH($C$7,Data!$4:$4,0))))</f>
        <v>76.7</v>
      </c>
      <c r="D1727" s="148">
        <f t="shared" ca="1" si="58"/>
        <v>0</v>
      </c>
      <c r="E1727" s="148">
        <f t="shared" ca="1" si="59"/>
        <v>11.700000000000003</v>
      </c>
    </row>
    <row r="1728" spans="2:5" x14ac:dyDescent="0.25">
      <c r="B1728" s="8">
        <v>39322</v>
      </c>
      <c r="C1728" s="6">
        <f ca="1">IF(OR($C$7="",$B1728&gt;NOW()),"",IF(INDEX(Data!$A:$G,MATCH($B1728,Data!$A:$A,0),MATCH($C$7,Data!$4:$4,0))="","",INDEX(Data!$A:$G,MATCH($B1728,Data!$A:$A,0),MATCH($C$7,Data!$4:$4,0))))</f>
        <v>76.5</v>
      </c>
      <c r="D1728" s="148">
        <f t="shared" ca="1" si="58"/>
        <v>0</v>
      </c>
      <c r="E1728" s="148">
        <f t="shared" ca="1" si="59"/>
        <v>11.5</v>
      </c>
    </row>
    <row r="1729" spans="2:5" x14ac:dyDescent="0.25">
      <c r="B1729" s="8">
        <v>39323</v>
      </c>
      <c r="C1729" s="6">
        <f ca="1">IF(OR($C$7="",$B1729&gt;NOW()),"",IF(INDEX(Data!$A:$G,MATCH($B1729,Data!$A:$A,0),MATCH($C$7,Data!$4:$4,0))="","",INDEX(Data!$A:$G,MATCH($B1729,Data!$A:$A,0),MATCH($C$7,Data!$4:$4,0))))</f>
        <v>77.3</v>
      </c>
      <c r="D1729" s="148">
        <f t="shared" ca="1" si="58"/>
        <v>0</v>
      </c>
      <c r="E1729" s="148">
        <f t="shared" ca="1" si="59"/>
        <v>12.299999999999997</v>
      </c>
    </row>
    <row r="1730" spans="2:5" x14ac:dyDescent="0.25">
      <c r="B1730" s="8">
        <v>39324</v>
      </c>
      <c r="C1730" s="6">
        <f ca="1">IF(OR($C$7="",$B1730&gt;NOW()),"",IF(INDEX(Data!$A:$G,MATCH($B1730,Data!$A:$A,0),MATCH($C$7,Data!$4:$4,0))="","",INDEX(Data!$A:$G,MATCH($B1730,Data!$A:$A,0),MATCH($C$7,Data!$4:$4,0))))</f>
        <v>78.599999999999994</v>
      </c>
      <c r="D1730" s="148">
        <f t="shared" ca="1" si="58"/>
        <v>0</v>
      </c>
      <c r="E1730" s="148">
        <f t="shared" ca="1" si="59"/>
        <v>13.599999999999994</v>
      </c>
    </row>
    <row r="1731" spans="2:5" x14ac:dyDescent="0.25">
      <c r="B1731" s="8">
        <v>39325</v>
      </c>
      <c r="C1731" s="6">
        <f ca="1">IF(OR($C$7="",$B1731&gt;NOW()),"",IF(INDEX(Data!$A:$G,MATCH($B1731,Data!$A:$A,0),MATCH($C$7,Data!$4:$4,0))="","",INDEX(Data!$A:$G,MATCH($B1731,Data!$A:$A,0),MATCH($C$7,Data!$4:$4,0))))</f>
        <v>76.3</v>
      </c>
      <c r="D1731" s="148">
        <f t="shared" ca="1" si="58"/>
        <v>0</v>
      </c>
      <c r="E1731" s="148">
        <f t="shared" ca="1" si="59"/>
        <v>11.299999999999997</v>
      </c>
    </row>
    <row r="1732" spans="2:5" x14ac:dyDescent="0.25">
      <c r="B1732" s="8">
        <v>39326</v>
      </c>
      <c r="C1732" s="6">
        <f ca="1">IF(OR($C$7="",$B1732&gt;NOW()),"",IF(INDEX(Data!$A:$G,MATCH($B1732,Data!$A:$A,0),MATCH($C$7,Data!$4:$4,0))="","",INDEX(Data!$A:$G,MATCH($B1732,Data!$A:$A,0),MATCH($C$7,Data!$4:$4,0))))</f>
        <v>73.400000000000006</v>
      </c>
      <c r="D1732" s="148">
        <f t="shared" ca="1" si="58"/>
        <v>0</v>
      </c>
      <c r="E1732" s="148">
        <f t="shared" ca="1" si="59"/>
        <v>8.4000000000000057</v>
      </c>
    </row>
    <row r="1733" spans="2:5" x14ac:dyDescent="0.25">
      <c r="B1733" s="8">
        <v>39327</v>
      </c>
      <c r="C1733" s="6">
        <f ca="1">IF(OR($C$7="",$B1733&gt;NOW()),"",IF(INDEX(Data!$A:$G,MATCH($B1733,Data!$A:$A,0),MATCH($C$7,Data!$4:$4,0))="","",INDEX(Data!$A:$G,MATCH($B1733,Data!$A:$A,0),MATCH($C$7,Data!$4:$4,0))))</f>
        <v>71.099999999999994</v>
      </c>
      <c r="D1733" s="148">
        <f t="shared" ca="1" si="58"/>
        <v>0</v>
      </c>
      <c r="E1733" s="148">
        <f t="shared" ca="1" si="59"/>
        <v>6.0999999999999943</v>
      </c>
    </row>
    <row r="1734" spans="2:5" x14ac:dyDescent="0.25">
      <c r="B1734" s="8">
        <v>39328</v>
      </c>
      <c r="C1734" s="6">
        <f ca="1">IF(OR($C$7="",$B1734&gt;NOW()),"",IF(INDEX(Data!$A:$G,MATCH($B1734,Data!$A:$A,0),MATCH($C$7,Data!$4:$4,0))="","",INDEX(Data!$A:$G,MATCH($B1734,Data!$A:$A,0),MATCH($C$7,Data!$4:$4,0))))</f>
        <v>75</v>
      </c>
      <c r="D1734" s="148">
        <f t="shared" ca="1" si="58"/>
        <v>0</v>
      </c>
      <c r="E1734" s="148">
        <f t="shared" ca="1" si="59"/>
        <v>10</v>
      </c>
    </row>
    <row r="1735" spans="2:5" x14ac:dyDescent="0.25">
      <c r="B1735" s="8">
        <v>39329</v>
      </c>
      <c r="C1735" s="6">
        <f ca="1">IF(OR($C$7="",$B1735&gt;NOW()),"",IF(INDEX(Data!$A:$G,MATCH($B1735,Data!$A:$A,0),MATCH($C$7,Data!$4:$4,0))="","",INDEX(Data!$A:$G,MATCH($B1735,Data!$A:$A,0),MATCH($C$7,Data!$4:$4,0))))</f>
        <v>79.8</v>
      </c>
      <c r="D1735" s="148">
        <f t="shared" ca="1" si="58"/>
        <v>0</v>
      </c>
      <c r="E1735" s="148">
        <f t="shared" ca="1" si="59"/>
        <v>14.799999999999997</v>
      </c>
    </row>
    <row r="1736" spans="2:5" x14ac:dyDescent="0.25">
      <c r="B1736" s="8">
        <v>39330</v>
      </c>
      <c r="C1736" s="6">
        <f ca="1">IF(OR($C$7="",$B1736&gt;NOW()),"",IF(INDEX(Data!$A:$G,MATCH($B1736,Data!$A:$A,0),MATCH($C$7,Data!$4:$4,0))="","",INDEX(Data!$A:$G,MATCH($B1736,Data!$A:$A,0),MATCH($C$7,Data!$4:$4,0))))</f>
        <v>74.3</v>
      </c>
      <c r="D1736" s="148">
        <f t="shared" ca="1" si="58"/>
        <v>0</v>
      </c>
      <c r="E1736" s="148">
        <f t="shared" ca="1" si="59"/>
        <v>9.2999999999999972</v>
      </c>
    </row>
    <row r="1737" spans="2:5" x14ac:dyDescent="0.25">
      <c r="B1737" s="8">
        <v>39331</v>
      </c>
      <c r="C1737" s="6">
        <f ca="1">IF(OR($C$7="",$B1737&gt;NOW()),"",IF(INDEX(Data!$A:$G,MATCH($B1737,Data!$A:$A,0),MATCH($C$7,Data!$4:$4,0))="","",INDEX(Data!$A:$G,MATCH($B1737,Data!$A:$A,0),MATCH($C$7,Data!$4:$4,0))))</f>
        <v>74.900000000000006</v>
      </c>
      <c r="D1737" s="148">
        <f t="shared" ca="1" si="58"/>
        <v>0</v>
      </c>
      <c r="E1737" s="148">
        <f t="shared" ca="1" si="59"/>
        <v>9.9000000000000057</v>
      </c>
    </row>
    <row r="1738" spans="2:5" x14ac:dyDescent="0.25">
      <c r="B1738" s="8">
        <v>39332</v>
      </c>
      <c r="C1738" s="6">
        <f ca="1">IF(OR($C$7="",$B1738&gt;NOW()),"",IF(INDEX(Data!$A:$G,MATCH($B1738,Data!$A:$A,0),MATCH($C$7,Data!$4:$4,0))="","",INDEX(Data!$A:$G,MATCH($B1738,Data!$A:$A,0),MATCH($C$7,Data!$4:$4,0))))</f>
        <v>78.5</v>
      </c>
      <c r="D1738" s="148">
        <f t="shared" ca="1" si="58"/>
        <v>0</v>
      </c>
      <c r="E1738" s="148">
        <f t="shared" ca="1" si="59"/>
        <v>13.5</v>
      </c>
    </row>
    <row r="1739" spans="2:5" x14ac:dyDescent="0.25">
      <c r="B1739" s="8">
        <v>39333</v>
      </c>
      <c r="C1739" s="6">
        <f ca="1">IF(OR($C$7="",$B1739&gt;NOW()),"",IF(INDEX(Data!$A:$G,MATCH($B1739,Data!$A:$A,0),MATCH($C$7,Data!$4:$4,0))="","",INDEX(Data!$A:$G,MATCH($B1739,Data!$A:$A,0),MATCH($C$7,Data!$4:$4,0))))</f>
        <v>79.900000000000006</v>
      </c>
      <c r="D1739" s="148">
        <f t="shared" ca="1" si="58"/>
        <v>0</v>
      </c>
      <c r="E1739" s="148">
        <f t="shared" ca="1" si="59"/>
        <v>14.900000000000006</v>
      </c>
    </row>
    <row r="1740" spans="2:5" x14ac:dyDescent="0.25">
      <c r="B1740" s="8">
        <v>39334</v>
      </c>
      <c r="C1740" s="6">
        <f ca="1">IF(OR($C$7="",$B1740&gt;NOW()),"",IF(INDEX(Data!$A:$G,MATCH($B1740,Data!$A:$A,0),MATCH($C$7,Data!$4:$4,0))="","",INDEX(Data!$A:$G,MATCH($B1740,Data!$A:$A,0),MATCH($C$7,Data!$4:$4,0))))</f>
        <v>79</v>
      </c>
      <c r="D1740" s="148">
        <f t="shared" ca="1" si="58"/>
        <v>0</v>
      </c>
      <c r="E1740" s="148">
        <f t="shared" ca="1" si="59"/>
        <v>14</v>
      </c>
    </row>
    <row r="1741" spans="2:5" x14ac:dyDescent="0.25">
      <c r="B1741" s="8">
        <v>39335</v>
      </c>
      <c r="C1741" s="6">
        <f ca="1">IF(OR($C$7="",$B1741&gt;NOW()),"",IF(INDEX(Data!$A:$G,MATCH($B1741,Data!$A:$A,0),MATCH($C$7,Data!$4:$4,0))="","",INDEX(Data!$A:$G,MATCH($B1741,Data!$A:$A,0),MATCH($C$7,Data!$4:$4,0))))</f>
        <v>76.400000000000006</v>
      </c>
      <c r="D1741" s="148">
        <f t="shared" ca="1" si="58"/>
        <v>0</v>
      </c>
      <c r="E1741" s="148">
        <f t="shared" ca="1" si="59"/>
        <v>11.400000000000006</v>
      </c>
    </row>
    <row r="1742" spans="2:5" x14ac:dyDescent="0.25">
      <c r="B1742" s="8">
        <v>39336</v>
      </c>
      <c r="C1742" s="6">
        <f ca="1">IF(OR($C$7="",$B1742&gt;NOW()),"",IF(INDEX(Data!$A:$G,MATCH($B1742,Data!$A:$A,0),MATCH($C$7,Data!$4:$4,0))="","",INDEX(Data!$A:$G,MATCH($B1742,Data!$A:$A,0),MATCH($C$7,Data!$4:$4,0))))</f>
        <v>75.2</v>
      </c>
      <c r="D1742" s="148">
        <f t="shared" ca="1" si="58"/>
        <v>0</v>
      </c>
      <c r="E1742" s="148">
        <f t="shared" ca="1" si="59"/>
        <v>10.200000000000003</v>
      </c>
    </row>
    <row r="1743" spans="2:5" x14ac:dyDescent="0.25">
      <c r="B1743" s="8">
        <v>39337</v>
      </c>
      <c r="C1743" s="6">
        <f ca="1">IF(OR($C$7="",$B1743&gt;NOW()),"",IF(INDEX(Data!$A:$G,MATCH($B1743,Data!$A:$A,0),MATCH($C$7,Data!$4:$4,0))="","",INDEX(Data!$A:$G,MATCH($B1743,Data!$A:$A,0),MATCH($C$7,Data!$4:$4,0))))</f>
        <v>71.900000000000006</v>
      </c>
      <c r="D1743" s="148">
        <f t="shared" ca="1" si="58"/>
        <v>0</v>
      </c>
      <c r="E1743" s="148">
        <f t="shared" ca="1" si="59"/>
        <v>6.9000000000000057</v>
      </c>
    </row>
    <row r="1744" spans="2:5" x14ac:dyDescent="0.25">
      <c r="B1744" s="8">
        <v>39338</v>
      </c>
      <c r="C1744" s="6">
        <f ca="1">IF(OR($C$7="",$B1744&gt;NOW()),"",IF(INDEX(Data!$A:$G,MATCH($B1744,Data!$A:$A,0),MATCH($C$7,Data!$4:$4,0))="","",INDEX(Data!$A:$G,MATCH($B1744,Data!$A:$A,0),MATCH($C$7,Data!$4:$4,0))))</f>
        <v>70.3</v>
      </c>
      <c r="D1744" s="148">
        <f t="shared" ca="1" si="58"/>
        <v>0</v>
      </c>
      <c r="E1744" s="148">
        <f t="shared" ca="1" si="59"/>
        <v>5.2999999999999972</v>
      </c>
    </row>
    <row r="1745" spans="2:5" x14ac:dyDescent="0.25">
      <c r="B1745" s="8">
        <v>39339</v>
      </c>
      <c r="C1745" s="6">
        <f ca="1">IF(OR($C$7="",$B1745&gt;NOW()),"",IF(INDEX(Data!$A:$G,MATCH($B1745,Data!$A:$A,0),MATCH($C$7,Data!$4:$4,0))="","",INDEX(Data!$A:$G,MATCH($B1745,Data!$A:$A,0),MATCH($C$7,Data!$4:$4,0))))</f>
        <v>71.3</v>
      </c>
      <c r="D1745" s="148">
        <f t="shared" ca="1" si="58"/>
        <v>0</v>
      </c>
      <c r="E1745" s="148">
        <f t="shared" ca="1" si="59"/>
        <v>6.2999999999999972</v>
      </c>
    </row>
    <row r="1746" spans="2:5" x14ac:dyDescent="0.25">
      <c r="B1746" s="8">
        <v>39340</v>
      </c>
      <c r="C1746" s="6">
        <f ca="1">IF(OR($C$7="",$B1746&gt;NOW()),"",IF(INDEX(Data!$A:$G,MATCH($B1746,Data!$A:$A,0),MATCH($C$7,Data!$4:$4,0))="","",INDEX(Data!$A:$G,MATCH($B1746,Data!$A:$A,0),MATCH($C$7,Data!$4:$4,0))))</f>
        <v>68</v>
      </c>
      <c r="D1746" s="148">
        <f t="shared" ca="1" si="58"/>
        <v>0</v>
      </c>
      <c r="E1746" s="148">
        <f t="shared" ca="1" si="59"/>
        <v>3</v>
      </c>
    </row>
    <row r="1747" spans="2:5" x14ac:dyDescent="0.25">
      <c r="B1747" s="8">
        <v>39341</v>
      </c>
      <c r="C1747" s="6">
        <f ca="1">IF(OR($C$7="",$B1747&gt;NOW()),"",IF(INDEX(Data!$A:$G,MATCH($B1747,Data!$A:$A,0),MATCH($C$7,Data!$4:$4,0))="","",INDEX(Data!$A:$G,MATCH($B1747,Data!$A:$A,0),MATCH($C$7,Data!$4:$4,0))))</f>
        <v>60.9</v>
      </c>
      <c r="D1747" s="148">
        <f t="shared" ca="1" si="58"/>
        <v>4.1000000000000014</v>
      </c>
      <c r="E1747" s="148">
        <f t="shared" ca="1" si="59"/>
        <v>0</v>
      </c>
    </row>
    <row r="1748" spans="2:5" x14ac:dyDescent="0.25">
      <c r="B1748" s="8">
        <v>39342</v>
      </c>
      <c r="C1748" s="6">
        <f ca="1">IF(OR($C$7="",$B1748&gt;NOW()),"",IF(INDEX(Data!$A:$G,MATCH($B1748,Data!$A:$A,0),MATCH($C$7,Data!$4:$4,0))="","",INDEX(Data!$A:$G,MATCH($B1748,Data!$A:$A,0),MATCH($C$7,Data!$4:$4,0))))</f>
        <v>62.6</v>
      </c>
      <c r="D1748" s="148">
        <f t="shared" ca="1" si="58"/>
        <v>2.3999999999999986</v>
      </c>
      <c r="E1748" s="148">
        <f t="shared" ca="1" si="59"/>
        <v>0</v>
      </c>
    </row>
    <row r="1749" spans="2:5" x14ac:dyDescent="0.25">
      <c r="B1749" s="8">
        <v>39343</v>
      </c>
      <c r="C1749" s="6">
        <f ca="1">IF(OR($C$7="",$B1749&gt;NOW()),"",IF(INDEX(Data!$A:$G,MATCH($B1749,Data!$A:$A,0),MATCH($C$7,Data!$4:$4,0))="","",INDEX(Data!$A:$G,MATCH($B1749,Data!$A:$A,0),MATCH($C$7,Data!$4:$4,0))))</f>
        <v>63.7</v>
      </c>
      <c r="D1749" s="148">
        <f t="shared" ca="1" si="58"/>
        <v>1.2999999999999972</v>
      </c>
      <c r="E1749" s="148">
        <f t="shared" ca="1" si="59"/>
        <v>0</v>
      </c>
    </row>
    <row r="1750" spans="2:5" x14ac:dyDescent="0.25">
      <c r="B1750" s="8">
        <v>39344</v>
      </c>
      <c r="C1750" s="6">
        <f ca="1">IF(OR($C$7="",$B1750&gt;NOW()),"",IF(INDEX(Data!$A:$G,MATCH($B1750,Data!$A:$A,0),MATCH($C$7,Data!$4:$4,0))="","",INDEX(Data!$A:$G,MATCH($B1750,Data!$A:$A,0),MATCH($C$7,Data!$4:$4,0))))</f>
        <v>65.599999999999994</v>
      </c>
      <c r="D1750" s="148">
        <f t="shared" ca="1" si="58"/>
        <v>0</v>
      </c>
      <c r="E1750" s="148">
        <f t="shared" ca="1" si="59"/>
        <v>0.59999999999999432</v>
      </c>
    </row>
    <row r="1751" spans="2:5" x14ac:dyDescent="0.25">
      <c r="B1751" s="8">
        <v>39345</v>
      </c>
      <c r="C1751" s="6">
        <f ca="1">IF(OR($C$7="",$B1751&gt;NOW()),"",IF(INDEX(Data!$A:$G,MATCH($B1751,Data!$A:$A,0),MATCH($C$7,Data!$4:$4,0))="","",INDEX(Data!$A:$G,MATCH($B1751,Data!$A:$A,0),MATCH($C$7,Data!$4:$4,0))))</f>
        <v>71.5</v>
      </c>
      <c r="D1751" s="148">
        <f t="shared" ca="1" si="58"/>
        <v>0</v>
      </c>
      <c r="E1751" s="148">
        <f t="shared" ca="1" si="59"/>
        <v>6.5</v>
      </c>
    </row>
    <row r="1752" spans="2:5" x14ac:dyDescent="0.25">
      <c r="B1752" s="8">
        <v>39346</v>
      </c>
      <c r="C1752" s="6">
        <f ca="1">IF(OR($C$7="",$B1752&gt;NOW()),"",IF(INDEX(Data!$A:$G,MATCH($B1752,Data!$A:$A,0),MATCH($C$7,Data!$4:$4,0))="","",INDEX(Data!$A:$G,MATCH($B1752,Data!$A:$A,0),MATCH($C$7,Data!$4:$4,0))))</f>
        <v>74.8</v>
      </c>
      <c r="D1752" s="148">
        <f t="shared" ca="1" si="58"/>
        <v>0</v>
      </c>
      <c r="E1752" s="148">
        <f t="shared" ca="1" si="59"/>
        <v>9.7999999999999972</v>
      </c>
    </row>
    <row r="1753" spans="2:5" x14ac:dyDescent="0.25">
      <c r="B1753" s="8">
        <v>39347</v>
      </c>
      <c r="C1753" s="6">
        <f ca="1">IF(OR($C$7="",$B1753&gt;NOW()),"",IF(INDEX(Data!$A:$G,MATCH($B1753,Data!$A:$A,0),MATCH($C$7,Data!$4:$4,0))="","",INDEX(Data!$A:$G,MATCH($B1753,Data!$A:$A,0),MATCH($C$7,Data!$4:$4,0))))</f>
        <v>71.3</v>
      </c>
      <c r="D1753" s="148">
        <f t="shared" ca="1" si="58"/>
        <v>0</v>
      </c>
      <c r="E1753" s="148">
        <f t="shared" ca="1" si="59"/>
        <v>6.2999999999999972</v>
      </c>
    </row>
    <row r="1754" spans="2:5" x14ac:dyDescent="0.25">
      <c r="B1754" s="8">
        <v>39348</v>
      </c>
      <c r="C1754" s="6">
        <f ca="1">IF(OR($C$7="",$B1754&gt;NOW()),"",IF(INDEX(Data!$A:$G,MATCH($B1754,Data!$A:$A,0),MATCH($C$7,Data!$4:$4,0))="","",INDEX(Data!$A:$G,MATCH($B1754,Data!$A:$A,0),MATCH($C$7,Data!$4:$4,0))))</f>
        <v>73.7</v>
      </c>
      <c r="D1754" s="148">
        <f t="shared" ca="1" si="58"/>
        <v>0</v>
      </c>
      <c r="E1754" s="148">
        <f t="shared" ca="1" si="59"/>
        <v>8.7000000000000028</v>
      </c>
    </row>
    <row r="1755" spans="2:5" x14ac:dyDescent="0.25">
      <c r="B1755" s="8">
        <v>39349</v>
      </c>
      <c r="C1755" s="6">
        <f ca="1">IF(OR($C$7="",$B1755&gt;NOW()),"",IF(INDEX(Data!$A:$G,MATCH($B1755,Data!$A:$A,0),MATCH($C$7,Data!$4:$4,0))="","",INDEX(Data!$A:$G,MATCH($B1755,Data!$A:$A,0),MATCH($C$7,Data!$4:$4,0))))</f>
        <v>72.7</v>
      </c>
      <c r="D1755" s="148">
        <f t="shared" ca="1" si="58"/>
        <v>0</v>
      </c>
      <c r="E1755" s="148">
        <f t="shared" ca="1" si="59"/>
        <v>7.7000000000000028</v>
      </c>
    </row>
    <row r="1756" spans="2:5" x14ac:dyDescent="0.25">
      <c r="B1756" s="8">
        <v>39350</v>
      </c>
      <c r="C1756" s="6">
        <f ca="1">IF(OR($C$7="",$B1756&gt;NOW()),"",IF(INDEX(Data!$A:$G,MATCH($B1756,Data!$A:$A,0),MATCH($C$7,Data!$4:$4,0))="","",INDEX(Data!$A:$G,MATCH($B1756,Data!$A:$A,0),MATCH($C$7,Data!$4:$4,0))))</f>
        <v>75.2</v>
      </c>
      <c r="D1756" s="148">
        <f t="shared" ca="1" si="58"/>
        <v>0</v>
      </c>
      <c r="E1756" s="148">
        <f t="shared" ca="1" si="59"/>
        <v>10.200000000000003</v>
      </c>
    </row>
    <row r="1757" spans="2:5" x14ac:dyDescent="0.25">
      <c r="B1757" s="8">
        <v>39351</v>
      </c>
      <c r="C1757" s="6">
        <f ca="1">IF(OR($C$7="",$B1757&gt;NOW()),"",IF(INDEX(Data!$A:$G,MATCH($B1757,Data!$A:$A,0),MATCH($C$7,Data!$4:$4,0))="","",INDEX(Data!$A:$G,MATCH($B1757,Data!$A:$A,0),MATCH($C$7,Data!$4:$4,0))))</f>
        <v>79</v>
      </c>
      <c r="D1757" s="148">
        <f t="shared" ref="D1757:D1820" ca="1" si="60">IF($C1757="","",IF($C1757&gt;$D$26,0,$D$26-$C1757))</f>
        <v>0</v>
      </c>
      <c r="E1757" s="148">
        <f t="shared" ref="E1757:E1820" ca="1" si="61">IF($C1757="","",IF($C1757&lt;$E$26,0,$C1757-$E$26))</f>
        <v>14</v>
      </c>
    </row>
    <row r="1758" spans="2:5" x14ac:dyDescent="0.25">
      <c r="B1758" s="8">
        <v>39352</v>
      </c>
      <c r="C1758" s="6">
        <f ca="1">IF(OR($C$7="",$B1758&gt;NOW()),"",IF(INDEX(Data!$A:$G,MATCH($B1758,Data!$A:$A,0),MATCH($C$7,Data!$4:$4,0))="","",INDEX(Data!$A:$G,MATCH($B1758,Data!$A:$A,0),MATCH($C$7,Data!$4:$4,0))))</f>
        <v>78.099999999999994</v>
      </c>
      <c r="D1758" s="148">
        <f t="shared" ca="1" si="60"/>
        <v>0</v>
      </c>
      <c r="E1758" s="148">
        <f t="shared" ca="1" si="61"/>
        <v>13.099999999999994</v>
      </c>
    </row>
    <row r="1759" spans="2:5" x14ac:dyDescent="0.25">
      <c r="B1759" s="8">
        <v>39353</v>
      </c>
      <c r="C1759" s="6">
        <f ca="1">IF(OR($C$7="",$B1759&gt;NOW()),"",IF(INDEX(Data!$A:$G,MATCH($B1759,Data!$A:$A,0),MATCH($C$7,Data!$4:$4,0))="","",INDEX(Data!$A:$G,MATCH($B1759,Data!$A:$A,0),MATCH($C$7,Data!$4:$4,0))))</f>
        <v>74.099999999999994</v>
      </c>
      <c r="D1759" s="148">
        <f t="shared" ca="1" si="60"/>
        <v>0</v>
      </c>
      <c r="E1759" s="148">
        <f t="shared" ca="1" si="61"/>
        <v>9.0999999999999943</v>
      </c>
    </row>
    <row r="1760" spans="2:5" x14ac:dyDescent="0.25">
      <c r="B1760" s="8">
        <v>39354</v>
      </c>
      <c r="C1760" s="6">
        <f ca="1">IF(OR($C$7="",$B1760&gt;NOW()),"",IF(INDEX(Data!$A:$G,MATCH($B1760,Data!$A:$A,0),MATCH($C$7,Data!$4:$4,0))="","",INDEX(Data!$A:$G,MATCH($B1760,Data!$A:$A,0),MATCH($C$7,Data!$4:$4,0))))</f>
        <v>67.900000000000006</v>
      </c>
      <c r="D1760" s="148">
        <f t="shared" ca="1" si="60"/>
        <v>0</v>
      </c>
      <c r="E1760" s="148">
        <f t="shared" ca="1" si="61"/>
        <v>2.9000000000000057</v>
      </c>
    </row>
    <row r="1761" spans="2:5" x14ac:dyDescent="0.25">
      <c r="B1761" s="8">
        <v>39355</v>
      </c>
      <c r="C1761" s="6">
        <f ca="1">IF(OR($C$7="",$B1761&gt;NOW()),"",IF(INDEX(Data!$A:$G,MATCH($B1761,Data!$A:$A,0),MATCH($C$7,Data!$4:$4,0))="","",INDEX(Data!$A:$G,MATCH($B1761,Data!$A:$A,0),MATCH($C$7,Data!$4:$4,0))))</f>
        <v>67.3</v>
      </c>
      <c r="D1761" s="148">
        <f t="shared" ca="1" si="60"/>
        <v>0</v>
      </c>
      <c r="E1761" s="148">
        <f t="shared" ca="1" si="61"/>
        <v>2.2999999999999972</v>
      </c>
    </row>
    <row r="1762" spans="2:5" x14ac:dyDescent="0.25">
      <c r="B1762" s="8">
        <v>39356</v>
      </c>
      <c r="C1762" s="6">
        <f ca="1">IF(OR($C$7="",$B1762&gt;NOW()),"",IF(INDEX(Data!$A:$G,MATCH($B1762,Data!$A:$A,0),MATCH($C$7,Data!$4:$4,0))="","",INDEX(Data!$A:$G,MATCH($B1762,Data!$A:$A,0),MATCH($C$7,Data!$4:$4,0))))</f>
        <v>66.2</v>
      </c>
      <c r="D1762" s="148">
        <f t="shared" ca="1" si="60"/>
        <v>0</v>
      </c>
      <c r="E1762" s="148">
        <f t="shared" ca="1" si="61"/>
        <v>1.2000000000000028</v>
      </c>
    </row>
    <row r="1763" spans="2:5" x14ac:dyDescent="0.25">
      <c r="B1763" s="8">
        <v>39357</v>
      </c>
      <c r="C1763" s="6">
        <f ca="1">IF(OR($C$7="",$B1763&gt;NOW()),"",IF(INDEX(Data!$A:$G,MATCH($B1763,Data!$A:$A,0),MATCH($C$7,Data!$4:$4,0))="","",INDEX(Data!$A:$G,MATCH($B1763,Data!$A:$A,0),MATCH($C$7,Data!$4:$4,0))))</f>
        <v>66.599999999999994</v>
      </c>
      <c r="D1763" s="148">
        <f t="shared" ca="1" si="60"/>
        <v>0</v>
      </c>
      <c r="E1763" s="148">
        <f t="shared" ca="1" si="61"/>
        <v>1.5999999999999943</v>
      </c>
    </row>
    <row r="1764" spans="2:5" x14ac:dyDescent="0.25">
      <c r="B1764" s="8">
        <v>39358</v>
      </c>
      <c r="C1764" s="6">
        <f ca="1">IF(OR($C$7="",$B1764&gt;NOW()),"",IF(INDEX(Data!$A:$G,MATCH($B1764,Data!$A:$A,0),MATCH($C$7,Data!$4:$4,0))="","",INDEX(Data!$A:$G,MATCH($B1764,Data!$A:$A,0),MATCH($C$7,Data!$4:$4,0))))</f>
        <v>70.3</v>
      </c>
      <c r="D1764" s="148">
        <f t="shared" ca="1" si="60"/>
        <v>0</v>
      </c>
      <c r="E1764" s="148">
        <f t="shared" ca="1" si="61"/>
        <v>5.2999999999999972</v>
      </c>
    </row>
    <row r="1765" spans="2:5" x14ac:dyDescent="0.25">
      <c r="B1765" s="8">
        <v>39359</v>
      </c>
      <c r="C1765" s="6">
        <f ca="1">IF(OR($C$7="",$B1765&gt;NOW()),"",IF(INDEX(Data!$A:$G,MATCH($B1765,Data!$A:$A,0),MATCH($C$7,Data!$4:$4,0))="","",INDEX(Data!$A:$G,MATCH($B1765,Data!$A:$A,0),MATCH($C$7,Data!$4:$4,0))))</f>
        <v>74.400000000000006</v>
      </c>
      <c r="D1765" s="148">
        <f t="shared" ca="1" si="60"/>
        <v>0</v>
      </c>
      <c r="E1765" s="148">
        <f t="shared" ca="1" si="61"/>
        <v>9.4000000000000057</v>
      </c>
    </row>
    <row r="1766" spans="2:5" x14ac:dyDescent="0.25">
      <c r="B1766" s="8">
        <v>39360</v>
      </c>
      <c r="C1766" s="6">
        <f ca="1">IF(OR($C$7="",$B1766&gt;NOW()),"",IF(INDEX(Data!$A:$G,MATCH($B1766,Data!$A:$A,0),MATCH($C$7,Data!$4:$4,0))="","",INDEX(Data!$A:$G,MATCH($B1766,Data!$A:$A,0),MATCH($C$7,Data!$4:$4,0))))</f>
        <v>72.8</v>
      </c>
      <c r="D1766" s="148">
        <f t="shared" ca="1" si="60"/>
        <v>0</v>
      </c>
      <c r="E1766" s="148">
        <f t="shared" ca="1" si="61"/>
        <v>7.7999999999999972</v>
      </c>
    </row>
    <row r="1767" spans="2:5" x14ac:dyDescent="0.25">
      <c r="B1767" s="8">
        <v>39361</v>
      </c>
      <c r="C1767" s="6">
        <f ca="1">IF(OR($C$7="",$B1767&gt;NOW()),"",IF(INDEX(Data!$A:$G,MATCH($B1767,Data!$A:$A,0),MATCH($C$7,Data!$4:$4,0))="","",INDEX(Data!$A:$G,MATCH($B1767,Data!$A:$A,0),MATCH($C$7,Data!$4:$4,0))))</f>
        <v>74.3</v>
      </c>
      <c r="D1767" s="148">
        <f t="shared" ca="1" si="60"/>
        <v>0</v>
      </c>
      <c r="E1767" s="148">
        <f t="shared" ca="1" si="61"/>
        <v>9.2999999999999972</v>
      </c>
    </row>
    <row r="1768" spans="2:5" x14ac:dyDescent="0.25">
      <c r="B1768" s="8">
        <v>39362</v>
      </c>
      <c r="C1768" s="6">
        <f ca="1">IF(OR($C$7="",$B1768&gt;NOW()),"",IF(INDEX(Data!$A:$G,MATCH($B1768,Data!$A:$A,0),MATCH($C$7,Data!$4:$4,0))="","",INDEX(Data!$A:$G,MATCH($B1768,Data!$A:$A,0),MATCH($C$7,Data!$4:$4,0))))</f>
        <v>77.099999999999994</v>
      </c>
      <c r="D1768" s="148">
        <f t="shared" ca="1" si="60"/>
        <v>0</v>
      </c>
      <c r="E1768" s="148">
        <f t="shared" ca="1" si="61"/>
        <v>12.099999999999994</v>
      </c>
    </row>
    <row r="1769" spans="2:5" x14ac:dyDescent="0.25">
      <c r="B1769" s="8">
        <v>39363</v>
      </c>
      <c r="C1769" s="6">
        <f ca="1">IF(OR($C$7="",$B1769&gt;NOW()),"",IF(INDEX(Data!$A:$G,MATCH($B1769,Data!$A:$A,0),MATCH($C$7,Data!$4:$4,0))="","",INDEX(Data!$A:$G,MATCH($B1769,Data!$A:$A,0),MATCH($C$7,Data!$4:$4,0))))</f>
        <v>75</v>
      </c>
      <c r="D1769" s="148">
        <f t="shared" ca="1" si="60"/>
        <v>0</v>
      </c>
      <c r="E1769" s="148">
        <f t="shared" ca="1" si="61"/>
        <v>10</v>
      </c>
    </row>
    <row r="1770" spans="2:5" x14ac:dyDescent="0.25">
      <c r="B1770" s="8">
        <v>39364</v>
      </c>
      <c r="C1770" s="6">
        <f ca="1">IF(OR($C$7="",$B1770&gt;NOW()),"",IF(INDEX(Data!$A:$G,MATCH($B1770,Data!$A:$A,0),MATCH($C$7,Data!$4:$4,0))="","",INDEX(Data!$A:$G,MATCH($B1770,Data!$A:$A,0),MATCH($C$7,Data!$4:$4,0))))</f>
        <v>75.900000000000006</v>
      </c>
      <c r="D1770" s="148">
        <f t="shared" ca="1" si="60"/>
        <v>0</v>
      </c>
      <c r="E1770" s="148">
        <f t="shared" ca="1" si="61"/>
        <v>10.900000000000006</v>
      </c>
    </row>
    <row r="1771" spans="2:5" x14ac:dyDescent="0.25">
      <c r="B1771" s="8">
        <v>39365</v>
      </c>
      <c r="C1771" s="6">
        <f ca="1">IF(OR($C$7="",$B1771&gt;NOW()),"",IF(INDEX(Data!$A:$G,MATCH($B1771,Data!$A:$A,0),MATCH($C$7,Data!$4:$4,0))="","",INDEX(Data!$A:$G,MATCH($B1771,Data!$A:$A,0),MATCH($C$7,Data!$4:$4,0))))</f>
        <v>65.3</v>
      </c>
      <c r="D1771" s="148">
        <f t="shared" ca="1" si="60"/>
        <v>0</v>
      </c>
      <c r="E1771" s="148">
        <f t="shared" ca="1" si="61"/>
        <v>0.29999999999999716</v>
      </c>
    </row>
    <row r="1772" spans="2:5" x14ac:dyDescent="0.25">
      <c r="B1772" s="8">
        <v>39366</v>
      </c>
      <c r="C1772" s="6">
        <f ca="1">IF(OR($C$7="",$B1772&gt;NOW()),"",IF(INDEX(Data!$A:$G,MATCH($B1772,Data!$A:$A,0),MATCH($C$7,Data!$4:$4,0))="","",INDEX(Data!$A:$G,MATCH($B1772,Data!$A:$A,0),MATCH($C$7,Data!$4:$4,0))))</f>
        <v>65.3</v>
      </c>
      <c r="D1772" s="148">
        <f t="shared" ca="1" si="60"/>
        <v>0</v>
      </c>
      <c r="E1772" s="148">
        <f t="shared" ca="1" si="61"/>
        <v>0.29999999999999716</v>
      </c>
    </row>
    <row r="1773" spans="2:5" x14ac:dyDescent="0.25">
      <c r="B1773" s="8">
        <v>39367</v>
      </c>
      <c r="C1773" s="6">
        <f ca="1">IF(OR($C$7="",$B1773&gt;NOW()),"",IF(INDEX(Data!$A:$G,MATCH($B1773,Data!$A:$A,0),MATCH($C$7,Data!$4:$4,0))="","",INDEX(Data!$A:$G,MATCH($B1773,Data!$A:$A,0),MATCH($C$7,Data!$4:$4,0))))</f>
        <v>59.2</v>
      </c>
      <c r="D1773" s="148">
        <f t="shared" ca="1" si="60"/>
        <v>5.7999999999999972</v>
      </c>
      <c r="E1773" s="148">
        <f t="shared" ca="1" si="61"/>
        <v>0</v>
      </c>
    </row>
    <row r="1774" spans="2:5" x14ac:dyDescent="0.25">
      <c r="B1774" s="8">
        <v>39368</v>
      </c>
      <c r="C1774" s="6">
        <f ca="1">IF(OR($C$7="",$B1774&gt;NOW()),"",IF(INDEX(Data!$A:$G,MATCH($B1774,Data!$A:$A,0),MATCH($C$7,Data!$4:$4,0))="","",INDEX(Data!$A:$G,MATCH($B1774,Data!$A:$A,0),MATCH($C$7,Data!$4:$4,0))))</f>
        <v>54.6</v>
      </c>
      <c r="D1774" s="148">
        <f t="shared" ca="1" si="60"/>
        <v>10.399999999999999</v>
      </c>
      <c r="E1774" s="148">
        <f t="shared" ca="1" si="61"/>
        <v>0</v>
      </c>
    </row>
    <row r="1775" spans="2:5" x14ac:dyDescent="0.25">
      <c r="B1775" s="8">
        <v>39369</v>
      </c>
      <c r="C1775" s="6">
        <f ca="1">IF(OR($C$7="",$B1775&gt;NOW()),"",IF(INDEX(Data!$A:$G,MATCH($B1775,Data!$A:$A,0),MATCH($C$7,Data!$4:$4,0))="","",INDEX(Data!$A:$G,MATCH($B1775,Data!$A:$A,0),MATCH($C$7,Data!$4:$4,0))))</f>
        <v>58.4</v>
      </c>
      <c r="D1775" s="148">
        <f t="shared" ca="1" si="60"/>
        <v>6.6000000000000014</v>
      </c>
      <c r="E1775" s="148">
        <f t="shared" ca="1" si="61"/>
        <v>0</v>
      </c>
    </row>
    <row r="1776" spans="2:5" x14ac:dyDescent="0.25">
      <c r="B1776" s="8">
        <v>39370</v>
      </c>
      <c r="C1776" s="6">
        <f ca="1">IF(OR($C$7="",$B1776&gt;NOW()),"",IF(INDEX(Data!$A:$G,MATCH($B1776,Data!$A:$A,0),MATCH($C$7,Data!$4:$4,0))="","",INDEX(Data!$A:$G,MATCH($B1776,Data!$A:$A,0),MATCH($C$7,Data!$4:$4,0))))</f>
        <v>59.6</v>
      </c>
      <c r="D1776" s="148">
        <f t="shared" ca="1" si="60"/>
        <v>5.3999999999999986</v>
      </c>
      <c r="E1776" s="148">
        <f t="shared" ca="1" si="61"/>
        <v>0</v>
      </c>
    </row>
    <row r="1777" spans="2:5" x14ac:dyDescent="0.25">
      <c r="B1777" s="8">
        <v>39371</v>
      </c>
      <c r="C1777" s="6">
        <f ca="1">IF(OR($C$7="",$B1777&gt;NOW()),"",IF(INDEX(Data!$A:$G,MATCH($B1777,Data!$A:$A,0),MATCH($C$7,Data!$4:$4,0))="","",INDEX(Data!$A:$G,MATCH($B1777,Data!$A:$A,0),MATCH($C$7,Data!$4:$4,0))))</f>
        <v>62.9</v>
      </c>
      <c r="D1777" s="148">
        <f t="shared" ca="1" si="60"/>
        <v>2.1000000000000014</v>
      </c>
      <c r="E1777" s="148">
        <f t="shared" ca="1" si="61"/>
        <v>0</v>
      </c>
    </row>
    <row r="1778" spans="2:5" x14ac:dyDescent="0.25">
      <c r="B1778" s="8">
        <v>39372</v>
      </c>
      <c r="C1778" s="6">
        <f ca="1">IF(OR($C$7="",$B1778&gt;NOW()),"",IF(INDEX(Data!$A:$G,MATCH($B1778,Data!$A:$A,0),MATCH($C$7,Data!$4:$4,0))="","",INDEX(Data!$A:$G,MATCH($B1778,Data!$A:$A,0),MATCH($C$7,Data!$4:$4,0))))</f>
        <v>65.400000000000006</v>
      </c>
      <c r="D1778" s="148">
        <f t="shared" ca="1" si="60"/>
        <v>0</v>
      </c>
      <c r="E1778" s="148">
        <f t="shared" ca="1" si="61"/>
        <v>0.40000000000000568</v>
      </c>
    </row>
    <row r="1779" spans="2:5" x14ac:dyDescent="0.25">
      <c r="B1779" s="8">
        <v>39373</v>
      </c>
      <c r="C1779" s="6">
        <f ca="1">IF(OR($C$7="",$B1779&gt;NOW()),"",IF(INDEX(Data!$A:$G,MATCH($B1779,Data!$A:$A,0),MATCH($C$7,Data!$4:$4,0))="","",INDEX(Data!$A:$G,MATCH($B1779,Data!$A:$A,0),MATCH($C$7,Data!$4:$4,0))))</f>
        <v>69.7</v>
      </c>
      <c r="D1779" s="148">
        <f t="shared" ca="1" si="60"/>
        <v>0</v>
      </c>
      <c r="E1779" s="148">
        <f t="shared" ca="1" si="61"/>
        <v>4.7000000000000028</v>
      </c>
    </row>
    <row r="1780" spans="2:5" x14ac:dyDescent="0.25">
      <c r="B1780" s="8">
        <v>39374</v>
      </c>
      <c r="C1780" s="6">
        <f ca="1">IF(OR($C$7="",$B1780&gt;NOW()),"",IF(INDEX(Data!$A:$G,MATCH($B1780,Data!$A:$A,0),MATCH($C$7,Data!$4:$4,0))="","",INDEX(Data!$A:$G,MATCH($B1780,Data!$A:$A,0),MATCH($C$7,Data!$4:$4,0))))</f>
        <v>71</v>
      </c>
      <c r="D1780" s="148">
        <f t="shared" ca="1" si="60"/>
        <v>0</v>
      </c>
      <c r="E1780" s="148">
        <f t="shared" ca="1" si="61"/>
        <v>6</v>
      </c>
    </row>
    <row r="1781" spans="2:5" x14ac:dyDescent="0.25">
      <c r="B1781" s="8">
        <v>39375</v>
      </c>
      <c r="C1781" s="6">
        <f ca="1">IF(OR($C$7="",$B1781&gt;NOW()),"",IF(INDEX(Data!$A:$G,MATCH($B1781,Data!$A:$A,0),MATCH($C$7,Data!$4:$4,0))="","",INDEX(Data!$A:$G,MATCH($B1781,Data!$A:$A,0),MATCH($C$7,Data!$4:$4,0))))</f>
        <v>68.400000000000006</v>
      </c>
      <c r="D1781" s="148">
        <f t="shared" ca="1" si="60"/>
        <v>0</v>
      </c>
      <c r="E1781" s="148">
        <f t="shared" ca="1" si="61"/>
        <v>3.4000000000000057</v>
      </c>
    </row>
    <row r="1782" spans="2:5" x14ac:dyDescent="0.25">
      <c r="B1782" s="8">
        <v>39376</v>
      </c>
      <c r="C1782" s="6">
        <f ca="1">IF(OR($C$7="",$B1782&gt;NOW()),"",IF(INDEX(Data!$A:$G,MATCH($B1782,Data!$A:$A,0),MATCH($C$7,Data!$4:$4,0))="","",INDEX(Data!$A:$G,MATCH($B1782,Data!$A:$A,0),MATCH($C$7,Data!$4:$4,0))))</f>
        <v>67.2</v>
      </c>
      <c r="D1782" s="148">
        <f t="shared" ca="1" si="60"/>
        <v>0</v>
      </c>
      <c r="E1782" s="148">
        <f t="shared" ca="1" si="61"/>
        <v>2.2000000000000028</v>
      </c>
    </row>
    <row r="1783" spans="2:5" x14ac:dyDescent="0.25">
      <c r="B1783" s="8">
        <v>39377</v>
      </c>
      <c r="C1783" s="6">
        <f ca="1">IF(OR($C$7="",$B1783&gt;NOW()),"",IF(INDEX(Data!$A:$G,MATCH($B1783,Data!$A:$A,0),MATCH($C$7,Data!$4:$4,0))="","",INDEX(Data!$A:$G,MATCH($B1783,Data!$A:$A,0),MATCH($C$7,Data!$4:$4,0))))</f>
        <v>68.7</v>
      </c>
      <c r="D1783" s="148">
        <f t="shared" ca="1" si="60"/>
        <v>0</v>
      </c>
      <c r="E1783" s="148">
        <f t="shared" ca="1" si="61"/>
        <v>3.7000000000000028</v>
      </c>
    </row>
    <row r="1784" spans="2:5" x14ac:dyDescent="0.25">
      <c r="B1784" s="8">
        <v>39378</v>
      </c>
      <c r="C1784" s="6">
        <f ca="1">IF(OR($C$7="",$B1784&gt;NOW()),"",IF(INDEX(Data!$A:$G,MATCH($B1784,Data!$A:$A,0),MATCH($C$7,Data!$4:$4,0))="","",INDEX(Data!$A:$G,MATCH($B1784,Data!$A:$A,0),MATCH($C$7,Data!$4:$4,0))))</f>
        <v>71.5</v>
      </c>
      <c r="D1784" s="148">
        <f t="shared" ca="1" si="60"/>
        <v>0</v>
      </c>
      <c r="E1784" s="148">
        <f t="shared" ca="1" si="61"/>
        <v>6.5</v>
      </c>
    </row>
    <row r="1785" spans="2:5" x14ac:dyDescent="0.25">
      <c r="B1785" s="8">
        <v>39379</v>
      </c>
      <c r="C1785" s="6">
        <f ca="1">IF(OR($C$7="",$B1785&gt;NOW()),"",IF(INDEX(Data!$A:$G,MATCH($B1785,Data!$A:$A,0),MATCH($C$7,Data!$4:$4,0))="","",INDEX(Data!$A:$G,MATCH($B1785,Data!$A:$A,0),MATCH($C$7,Data!$4:$4,0))))</f>
        <v>66.3</v>
      </c>
      <c r="D1785" s="148">
        <f t="shared" ca="1" si="60"/>
        <v>0</v>
      </c>
      <c r="E1785" s="148">
        <f t="shared" ca="1" si="61"/>
        <v>1.2999999999999972</v>
      </c>
    </row>
    <row r="1786" spans="2:5" x14ac:dyDescent="0.25">
      <c r="B1786" s="8">
        <v>39380</v>
      </c>
      <c r="C1786" s="6">
        <f ca="1">IF(OR($C$7="",$B1786&gt;NOW()),"",IF(INDEX(Data!$A:$G,MATCH($B1786,Data!$A:$A,0),MATCH($C$7,Data!$4:$4,0))="","",INDEX(Data!$A:$G,MATCH($B1786,Data!$A:$A,0),MATCH($C$7,Data!$4:$4,0))))</f>
        <v>55.8</v>
      </c>
      <c r="D1786" s="148">
        <f t="shared" ca="1" si="60"/>
        <v>9.2000000000000028</v>
      </c>
      <c r="E1786" s="148">
        <f t="shared" ca="1" si="61"/>
        <v>0</v>
      </c>
    </row>
    <row r="1787" spans="2:5" x14ac:dyDescent="0.25">
      <c r="B1787" s="8">
        <v>39381</v>
      </c>
      <c r="C1787" s="6">
        <f ca="1">IF(OR($C$7="",$B1787&gt;NOW()),"",IF(INDEX(Data!$A:$G,MATCH($B1787,Data!$A:$A,0),MATCH($C$7,Data!$4:$4,0))="","",INDEX(Data!$A:$G,MATCH($B1787,Data!$A:$A,0),MATCH($C$7,Data!$4:$4,0))))</f>
        <v>56.4</v>
      </c>
      <c r="D1787" s="148">
        <f t="shared" ca="1" si="60"/>
        <v>8.6000000000000014</v>
      </c>
      <c r="E1787" s="148">
        <f t="shared" ca="1" si="61"/>
        <v>0</v>
      </c>
    </row>
    <row r="1788" spans="2:5" x14ac:dyDescent="0.25">
      <c r="B1788" s="8">
        <v>39382</v>
      </c>
      <c r="C1788" s="6">
        <f ca="1">IF(OR($C$7="",$B1788&gt;NOW()),"",IF(INDEX(Data!$A:$G,MATCH($B1788,Data!$A:$A,0),MATCH($C$7,Data!$4:$4,0))="","",INDEX(Data!$A:$G,MATCH($B1788,Data!$A:$A,0),MATCH($C$7,Data!$4:$4,0))))</f>
        <v>64.400000000000006</v>
      </c>
      <c r="D1788" s="148">
        <f t="shared" ca="1" si="60"/>
        <v>0.59999999999999432</v>
      </c>
      <c r="E1788" s="148">
        <f t="shared" ca="1" si="61"/>
        <v>0</v>
      </c>
    </row>
    <row r="1789" spans="2:5" x14ac:dyDescent="0.25">
      <c r="B1789" s="8">
        <v>39383</v>
      </c>
      <c r="C1789" s="6">
        <f ca="1">IF(OR($C$7="",$B1789&gt;NOW()),"",IF(INDEX(Data!$A:$G,MATCH($B1789,Data!$A:$A,0),MATCH($C$7,Data!$4:$4,0))="","",INDEX(Data!$A:$G,MATCH($B1789,Data!$A:$A,0),MATCH($C$7,Data!$4:$4,0))))</f>
        <v>57.2</v>
      </c>
      <c r="D1789" s="148">
        <f t="shared" ca="1" si="60"/>
        <v>7.7999999999999972</v>
      </c>
      <c r="E1789" s="148">
        <f t="shared" ca="1" si="61"/>
        <v>0</v>
      </c>
    </row>
    <row r="1790" spans="2:5" x14ac:dyDescent="0.25">
      <c r="B1790" s="8">
        <v>39384</v>
      </c>
      <c r="C1790" s="6">
        <f ca="1">IF(OR($C$7="",$B1790&gt;NOW()),"",IF(INDEX(Data!$A:$G,MATCH($B1790,Data!$A:$A,0),MATCH($C$7,Data!$4:$4,0))="","",INDEX(Data!$A:$G,MATCH($B1790,Data!$A:$A,0),MATCH($C$7,Data!$4:$4,0))))</f>
        <v>48.3</v>
      </c>
      <c r="D1790" s="148">
        <f t="shared" ca="1" si="60"/>
        <v>16.700000000000003</v>
      </c>
      <c r="E1790" s="148">
        <f t="shared" ca="1" si="61"/>
        <v>0</v>
      </c>
    </row>
    <row r="1791" spans="2:5" x14ac:dyDescent="0.25">
      <c r="B1791" s="8">
        <v>39385</v>
      </c>
      <c r="C1791" s="6">
        <f ca="1">IF(OR($C$7="",$B1791&gt;NOW()),"",IF(INDEX(Data!$A:$G,MATCH($B1791,Data!$A:$A,0),MATCH($C$7,Data!$4:$4,0))="","",INDEX(Data!$A:$G,MATCH($B1791,Data!$A:$A,0),MATCH($C$7,Data!$4:$4,0))))</f>
        <v>54.7</v>
      </c>
      <c r="D1791" s="148">
        <f t="shared" ca="1" si="60"/>
        <v>10.299999999999997</v>
      </c>
      <c r="E1791" s="148">
        <f t="shared" ca="1" si="61"/>
        <v>0</v>
      </c>
    </row>
    <row r="1792" spans="2:5" x14ac:dyDescent="0.25">
      <c r="B1792" s="8">
        <v>39386</v>
      </c>
      <c r="C1792" s="6">
        <f ca="1">IF(OR($C$7="",$B1792&gt;NOW()),"",IF(INDEX(Data!$A:$G,MATCH($B1792,Data!$A:$A,0),MATCH($C$7,Data!$4:$4,0))="","",INDEX(Data!$A:$G,MATCH($B1792,Data!$A:$A,0),MATCH($C$7,Data!$4:$4,0))))</f>
        <v>57.4</v>
      </c>
      <c r="D1792" s="148">
        <f t="shared" ca="1" si="60"/>
        <v>7.6000000000000014</v>
      </c>
      <c r="E1792" s="148">
        <f t="shared" ca="1" si="61"/>
        <v>0</v>
      </c>
    </row>
    <row r="1793" spans="2:5" x14ac:dyDescent="0.25">
      <c r="B1793" s="8">
        <v>39387</v>
      </c>
      <c r="C1793" s="6">
        <f ca="1">IF(OR($C$7="",$B1793&gt;NOW()),"",IF(INDEX(Data!$A:$G,MATCH($B1793,Data!$A:$A,0),MATCH($C$7,Data!$4:$4,0))="","",INDEX(Data!$A:$G,MATCH($B1793,Data!$A:$A,0),MATCH($C$7,Data!$4:$4,0))))</f>
        <v>59.8</v>
      </c>
      <c r="D1793" s="148">
        <f t="shared" ca="1" si="60"/>
        <v>5.2000000000000028</v>
      </c>
      <c r="E1793" s="148">
        <f t="shared" ca="1" si="61"/>
        <v>0</v>
      </c>
    </row>
    <row r="1794" spans="2:5" x14ac:dyDescent="0.25">
      <c r="B1794" s="8">
        <v>39388</v>
      </c>
      <c r="C1794" s="6">
        <f ca="1">IF(OR($C$7="",$B1794&gt;NOW()),"",IF(INDEX(Data!$A:$G,MATCH($B1794,Data!$A:$A,0),MATCH($C$7,Data!$4:$4,0))="","",INDEX(Data!$A:$G,MATCH($B1794,Data!$A:$A,0),MATCH($C$7,Data!$4:$4,0))))</f>
        <v>51.7</v>
      </c>
      <c r="D1794" s="148">
        <f t="shared" ca="1" si="60"/>
        <v>13.299999999999997</v>
      </c>
      <c r="E1794" s="148">
        <f t="shared" ca="1" si="61"/>
        <v>0</v>
      </c>
    </row>
    <row r="1795" spans="2:5" x14ac:dyDescent="0.25">
      <c r="B1795" s="8">
        <v>39389</v>
      </c>
      <c r="C1795" s="6">
        <f ca="1">IF(OR($C$7="",$B1795&gt;NOW()),"",IF(INDEX(Data!$A:$G,MATCH($B1795,Data!$A:$A,0),MATCH($C$7,Data!$4:$4,0))="","",INDEX(Data!$A:$G,MATCH($B1795,Data!$A:$A,0),MATCH($C$7,Data!$4:$4,0))))</f>
        <v>49.7</v>
      </c>
      <c r="D1795" s="148">
        <f t="shared" ca="1" si="60"/>
        <v>15.299999999999997</v>
      </c>
      <c r="E1795" s="148">
        <f t="shared" ca="1" si="61"/>
        <v>0</v>
      </c>
    </row>
    <row r="1796" spans="2:5" x14ac:dyDescent="0.25">
      <c r="B1796" s="8">
        <v>39390</v>
      </c>
      <c r="C1796" s="6">
        <f ca="1">IF(OR($C$7="",$B1796&gt;NOW()),"",IF(INDEX(Data!$A:$G,MATCH($B1796,Data!$A:$A,0),MATCH($C$7,Data!$4:$4,0))="","",INDEX(Data!$A:$G,MATCH($B1796,Data!$A:$A,0),MATCH($C$7,Data!$4:$4,0))))</f>
        <v>52.2</v>
      </c>
      <c r="D1796" s="148">
        <f t="shared" ca="1" si="60"/>
        <v>12.799999999999997</v>
      </c>
      <c r="E1796" s="148">
        <f t="shared" ca="1" si="61"/>
        <v>0</v>
      </c>
    </row>
    <row r="1797" spans="2:5" x14ac:dyDescent="0.25">
      <c r="B1797" s="8">
        <v>39391</v>
      </c>
      <c r="C1797" s="6">
        <f ca="1">IF(OR($C$7="",$B1797&gt;NOW()),"",IF(INDEX(Data!$A:$G,MATCH($B1797,Data!$A:$A,0),MATCH($C$7,Data!$4:$4,0))="","",INDEX(Data!$A:$G,MATCH($B1797,Data!$A:$A,0),MATCH($C$7,Data!$4:$4,0))))</f>
        <v>53.2</v>
      </c>
      <c r="D1797" s="148">
        <f t="shared" ca="1" si="60"/>
        <v>11.799999999999997</v>
      </c>
      <c r="E1797" s="148">
        <f t="shared" ca="1" si="61"/>
        <v>0</v>
      </c>
    </row>
    <row r="1798" spans="2:5" x14ac:dyDescent="0.25">
      <c r="B1798" s="8">
        <v>39392</v>
      </c>
      <c r="C1798" s="6">
        <f ca="1">IF(OR($C$7="",$B1798&gt;NOW()),"",IF(INDEX(Data!$A:$G,MATCH($B1798,Data!$A:$A,0),MATCH($C$7,Data!$4:$4,0))="","",INDEX(Data!$A:$G,MATCH($B1798,Data!$A:$A,0),MATCH($C$7,Data!$4:$4,0))))</f>
        <v>53.5</v>
      </c>
      <c r="D1798" s="148">
        <f t="shared" ca="1" si="60"/>
        <v>11.5</v>
      </c>
      <c r="E1798" s="148">
        <f t="shared" ca="1" si="61"/>
        <v>0</v>
      </c>
    </row>
    <row r="1799" spans="2:5" x14ac:dyDescent="0.25">
      <c r="B1799" s="8">
        <v>39393</v>
      </c>
      <c r="C1799" s="6">
        <f ca="1">IF(OR($C$7="",$B1799&gt;NOW()),"",IF(INDEX(Data!$A:$G,MATCH($B1799,Data!$A:$A,0),MATCH($C$7,Data!$4:$4,0))="","",INDEX(Data!$A:$G,MATCH($B1799,Data!$A:$A,0),MATCH($C$7,Data!$4:$4,0))))</f>
        <v>46.6</v>
      </c>
      <c r="D1799" s="148">
        <f t="shared" ca="1" si="60"/>
        <v>18.399999999999999</v>
      </c>
      <c r="E1799" s="148">
        <f t="shared" ca="1" si="61"/>
        <v>0</v>
      </c>
    </row>
    <row r="1800" spans="2:5" x14ac:dyDescent="0.25">
      <c r="B1800" s="8">
        <v>39394</v>
      </c>
      <c r="C1800" s="6">
        <f ca="1">IF(OR($C$7="",$B1800&gt;NOW()),"",IF(INDEX(Data!$A:$G,MATCH($B1800,Data!$A:$A,0),MATCH($C$7,Data!$4:$4,0))="","",INDEX(Data!$A:$G,MATCH($B1800,Data!$A:$A,0),MATCH($C$7,Data!$4:$4,0))))</f>
        <v>42.8</v>
      </c>
      <c r="D1800" s="148">
        <f t="shared" ca="1" si="60"/>
        <v>22.200000000000003</v>
      </c>
      <c r="E1800" s="148">
        <f t="shared" ca="1" si="61"/>
        <v>0</v>
      </c>
    </row>
    <row r="1801" spans="2:5" x14ac:dyDescent="0.25">
      <c r="B1801" s="8">
        <v>39395</v>
      </c>
      <c r="C1801" s="6">
        <f ca="1">IF(OR($C$7="",$B1801&gt;NOW()),"",IF(INDEX(Data!$A:$G,MATCH($B1801,Data!$A:$A,0),MATCH($C$7,Data!$4:$4,0))="","",INDEX(Data!$A:$G,MATCH($B1801,Data!$A:$A,0),MATCH($C$7,Data!$4:$4,0))))</f>
        <v>44.3</v>
      </c>
      <c r="D1801" s="148">
        <f t="shared" ca="1" si="60"/>
        <v>20.700000000000003</v>
      </c>
      <c r="E1801" s="148">
        <f t="shared" ca="1" si="61"/>
        <v>0</v>
      </c>
    </row>
    <row r="1802" spans="2:5" x14ac:dyDescent="0.25">
      <c r="B1802" s="8">
        <v>39396</v>
      </c>
      <c r="C1802" s="6">
        <f ca="1">IF(OR($C$7="",$B1802&gt;NOW()),"",IF(INDEX(Data!$A:$G,MATCH($B1802,Data!$A:$A,0),MATCH($C$7,Data!$4:$4,0))="","",INDEX(Data!$A:$G,MATCH($B1802,Data!$A:$A,0),MATCH($C$7,Data!$4:$4,0))))</f>
        <v>43.3</v>
      </c>
      <c r="D1802" s="148">
        <f t="shared" ca="1" si="60"/>
        <v>21.700000000000003</v>
      </c>
      <c r="E1802" s="148">
        <f t="shared" ca="1" si="61"/>
        <v>0</v>
      </c>
    </row>
    <row r="1803" spans="2:5" x14ac:dyDescent="0.25">
      <c r="B1803" s="8">
        <v>39397</v>
      </c>
      <c r="C1803" s="6">
        <f ca="1">IF(OR($C$7="",$B1803&gt;NOW()),"",IF(INDEX(Data!$A:$G,MATCH($B1803,Data!$A:$A,0),MATCH($C$7,Data!$4:$4,0))="","",INDEX(Data!$A:$G,MATCH($B1803,Data!$A:$A,0),MATCH($C$7,Data!$4:$4,0))))</f>
        <v>40.5</v>
      </c>
      <c r="D1803" s="148">
        <f t="shared" ca="1" si="60"/>
        <v>24.5</v>
      </c>
      <c r="E1803" s="148">
        <f t="shared" ca="1" si="61"/>
        <v>0</v>
      </c>
    </row>
    <row r="1804" spans="2:5" x14ac:dyDescent="0.25">
      <c r="B1804" s="8">
        <v>39398</v>
      </c>
      <c r="C1804" s="6">
        <f ca="1">IF(OR($C$7="",$B1804&gt;NOW()),"",IF(INDEX(Data!$A:$G,MATCH($B1804,Data!$A:$A,0),MATCH($C$7,Data!$4:$4,0))="","",INDEX(Data!$A:$G,MATCH($B1804,Data!$A:$A,0),MATCH($C$7,Data!$4:$4,0))))</f>
        <v>45</v>
      </c>
      <c r="D1804" s="148">
        <f t="shared" ca="1" si="60"/>
        <v>20</v>
      </c>
      <c r="E1804" s="148">
        <f t="shared" ca="1" si="61"/>
        <v>0</v>
      </c>
    </row>
    <row r="1805" spans="2:5" x14ac:dyDescent="0.25">
      <c r="B1805" s="8">
        <v>39399</v>
      </c>
      <c r="C1805" s="6">
        <f ca="1">IF(OR($C$7="",$B1805&gt;NOW()),"",IF(INDEX(Data!$A:$G,MATCH($B1805,Data!$A:$A,0),MATCH($C$7,Data!$4:$4,0))="","",INDEX(Data!$A:$G,MATCH($B1805,Data!$A:$A,0),MATCH($C$7,Data!$4:$4,0))))</f>
        <v>53.3</v>
      </c>
      <c r="D1805" s="148">
        <f t="shared" ca="1" si="60"/>
        <v>11.700000000000003</v>
      </c>
      <c r="E1805" s="148">
        <f t="shared" ca="1" si="61"/>
        <v>0</v>
      </c>
    </row>
    <row r="1806" spans="2:5" x14ac:dyDescent="0.25">
      <c r="B1806" s="8">
        <v>39400</v>
      </c>
      <c r="C1806" s="6">
        <f ca="1">IF(OR($C$7="",$B1806&gt;NOW()),"",IF(INDEX(Data!$A:$G,MATCH($B1806,Data!$A:$A,0),MATCH($C$7,Data!$4:$4,0))="","",INDEX(Data!$A:$G,MATCH($B1806,Data!$A:$A,0),MATCH($C$7,Data!$4:$4,0))))</f>
        <v>53.2</v>
      </c>
      <c r="D1806" s="148">
        <f t="shared" ca="1" si="60"/>
        <v>11.799999999999997</v>
      </c>
      <c r="E1806" s="148">
        <f t="shared" ca="1" si="61"/>
        <v>0</v>
      </c>
    </row>
    <row r="1807" spans="2:5" x14ac:dyDescent="0.25">
      <c r="B1807" s="8">
        <v>39401</v>
      </c>
      <c r="C1807" s="6">
        <f ca="1">IF(OR($C$7="",$B1807&gt;NOW()),"",IF(INDEX(Data!$A:$G,MATCH($B1807,Data!$A:$A,0),MATCH($C$7,Data!$4:$4,0))="","",INDEX(Data!$A:$G,MATCH($B1807,Data!$A:$A,0),MATCH($C$7,Data!$4:$4,0))))</f>
        <v>54.8</v>
      </c>
      <c r="D1807" s="148">
        <f t="shared" ca="1" si="60"/>
        <v>10.200000000000003</v>
      </c>
      <c r="E1807" s="148">
        <f t="shared" ca="1" si="61"/>
        <v>0</v>
      </c>
    </row>
    <row r="1808" spans="2:5" x14ac:dyDescent="0.25">
      <c r="B1808" s="8">
        <v>39402</v>
      </c>
      <c r="C1808" s="6">
        <f ca="1">IF(OR($C$7="",$B1808&gt;NOW()),"",IF(INDEX(Data!$A:$G,MATCH($B1808,Data!$A:$A,0),MATCH($C$7,Data!$4:$4,0))="","",INDEX(Data!$A:$G,MATCH($B1808,Data!$A:$A,0),MATCH($C$7,Data!$4:$4,0))))</f>
        <v>45.4</v>
      </c>
      <c r="D1808" s="148">
        <f t="shared" ca="1" si="60"/>
        <v>19.600000000000001</v>
      </c>
      <c r="E1808" s="148">
        <f t="shared" ca="1" si="61"/>
        <v>0</v>
      </c>
    </row>
    <row r="1809" spans="2:5" x14ac:dyDescent="0.25">
      <c r="B1809" s="8">
        <v>39403</v>
      </c>
      <c r="C1809" s="6">
        <f ca="1">IF(OR($C$7="",$B1809&gt;NOW()),"",IF(INDEX(Data!$A:$G,MATCH($B1809,Data!$A:$A,0),MATCH($C$7,Data!$4:$4,0))="","",INDEX(Data!$A:$G,MATCH($B1809,Data!$A:$A,0),MATCH($C$7,Data!$4:$4,0))))</f>
        <v>41.9</v>
      </c>
      <c r="D1809" s="148">
        <f t="shared" ca="1" si="60"/>
        <v>23.1</v>
      </c>
      <c r="E1809" s="148">
        <f t="shared" ca="1" si="61"/>
        <v>0</v>
      </c>
    </row>
    <row r="1810" spans="2:5" x14ac:dyDescent="0.25">
      <c r="B1810" s="8">
        <v>39404</v>
      </c>
      <c r="C1810" s="6">
        <f ca="1">IF(OR($C$7="",$B1810&gt;NOW()),"",IF(INDEX(Data!$A:$G,MATCH($B1810,Data!$A:$A,0),MATCH($C$7,Data!$4:$4,0))="","",INDEX(Data!$A:$G,MATCH($B1810,Data!$A:$A,0),MATCH($C$7,Data!$4:$4,0))))</f>
        <v>43.3</v>
      </c>
      <c r="D1810" s="148">
        <f t="shared" ca="1" si="60"/>
        <v>21.700000000000003</v>
      </c>
      <c r="E1810" s="148">
        <f t="shared" ca="1" si="61"/>
        <v>0</v>
      </c>
    </row>
    <row r="1811" spans="2:5" x14ac:dyDescent="0.25">
      <c r="B1811" s="8">
        <v>39405</v>
      </c>
      <c r="C1811" s="6">
        <f ca="1">IF(OR($C$7="",$B1811&gt;NOW()),"",IF(INDEX(Data!$A:$G,MATCH($B1811,Data!$A:$A,0),MATCH($C$7,Data!$4:$4,0))="","",INDEX(Data!$A:$G,MATCH($B1811,Data!$A:$A,0),MATCH($C$7,Data!$4:$4,0))))</f>
        <v>43.4</v>
      </c>
      <c r="D1811" s="148">
        <f t="shared" ca="1" si="60"/>
        <v>21.6</v>
      </c>
      <c r="E1811" s="148">
        <f t="shared" ca="1" si="61"/>
        <v>0</v>
      </c>
    </row>
    <row r="1812" spans="2:5" x14ac:dyDescent="0.25">
      <c r="B1812" s="8">
        <v>39406</v>
      </c>
      <c r="C1812" s="6">
        <f ca="1">IF(OR($C$7="",$B1812&gt;NOW()),"",IF(INDEX(Data!$A:$G,MATCH($B1812,Data!$A:$A,0),MATCH($C$7,Data!$4:$4,0))="","",INDEX(Data!$A:$G,MATCH($B1812,Data!$A:$A,0),MATCH($C$7,Data!$4:$4,0))))</f>
        <v>44.2</v>
      </c>
      <c r="D1812" s="148">
        <f t="shared" ca="1" si="60"/>
        <v>20.799999999999997</v>
      </c>
      <c r="E1812" s="148">
        <f t="shared" ca="1" si="61"/>
        <v>0</v>
      </c>
    </row>
    <row r="1813" spans="2:5" x14ac:dyDescent="0.25">
      <c r="B1813" s="8">
        <v>39407</v>
      </c>
      <c r="C1813" s="6">
        <f ca="1">IF(OR($C$7="",$B1813&gt;NOW()),"",IF(INDEX(Data!$A:$G,MATCH($B1813,Data!$A:$A,0),MATCH($C$7,Data!$4:$4,0))="","",INDEX(Data!$A:$G,MATCH($B1813,Data!$A:$A,0),MATCH($C$7,Data!$4:$4,0))))</f>
        <v>50.3</v>
      </c>
      <c r="D1813" s="148">
        <f t="shared" ca="1" si="60"/>
        <v>14.700000000000003</v>
      </c>
      <c r="E1813" s="148">
        <f t="shared" ca="1" si="61"/>
        <v>0</v>
      </c>
    </row>
    <row r="1814" spans="2:5" x14ac:dyDescent="0.25">
      <c r="B1814" s="8">
        <v>39408</v>
      </c>
      <c r="C1814" s="6">
        <f ca="1">IF(OR($C$7="",$B1814&gt;NOW()),"",IF(INDEX(Data!$A:$G,MATCH($B1814,Data!$A:$A,0),MATCH($C$7,Data!$4:$4,0))="","",INDEX(Data!$A:$G,MATCH($B1814,Data!$A:$A,0),MATCH($C$7,Data!$4:$4,0))))</f>
        <v>57.4</v>
      </c>
      <c r="D1814" s="148">
        <f t="shared" ca="1" si="60"/>
        <v>7.6000000000000014</v>
      </c>
      <c r="E1814" s="148">
        <f t="shared" ca="1" si="61"/>
        <v>0</v>
      </c>
    </row>
    <row r="1815" spans="2:5" x14ac:dyDescent="0.25">
      <c r="B1815" s="8">
        <v>39409</v>
      </c>
      <c r="C1815" s="6">
        <f ca="1">IF(OR($C$7="",$B1815&gt;NOW()),"",IF(INDEX(Data!$A:$G,MATCH($B1815,Data!$A:$A,0),MATCH($C$7,Data!$4:$4,0))="","",INDEX(Data!$A:$G,MATCH($B1815,Data!$A:$A,0),MATCH($C$7,Data!$4:$4,0))))</f>
        <v>41.4</v>
      </c>
      <c r="D1815" s="148">
        <f t="shared" ca="1" si="60"/>
        <v>23.6</v>
      </c>
      <c r="E1815" s="148">
        <f t="shared" ca="1" si="61"/>
        <v>0</v>
      </c>
    </row>
    <row r="1816" spans="2:5" x14ac:dyDescent="0.25">
      <c r="B1816" s="8">
        <v>39410</v>
      </c>
      <c r="C1816" s="6">
        <f ca="1">IF(OR($C$7="",$B1816&gt;NOW()),"",IF(INDEX(Data!$A:$G,MATCH($B1816,Data!$A:$A,0),MATCH($C$7,Data!$4:$4,0))="","",INDEX(Data!$A:$G,MATCH($B1816,Data!$A:$A,0),MATCH($C$7,Data!$4:$4,0))))</f>
        <v>33.299999999999997</v>
      </c>
      <c r="D1816" s="148">
        <f t="shared" ca="1" si="60"/>
        <v>31.700000000000003</v>
      </c>
      <c r="E1816" s="148">
        <f t="shared" ca="1" si="61"/>
        <v>0</v>
      </c>
    </row>
    <row r="1817" spans="2:5" x14ac:dyDescent="0.25">
      <c r="B1817" s="8">
        <v>39411</v>
      </c>
      <c r="C1817" s="6">
        <f ca="1">IF(OR($C$7="",$B1817&gt;NOW()),"",IF(INDEX(Data!$A:$G,MATCH($B1817,Data!$A:$A,0),MATCH($C$7,Data!$4:$4,0))="","",INDEX(Data!$A:$G,MATCH($B1817,Data!$A:$A,0),MATCH($C$7,Data!$4:$4,0))))</f>
        <v>41.6</v>
      </c>
      <c r="D1817" s="148">
        <f t="shared" ca="1" si="60"/>
        <v>23.4</v>
      </c>
      <c r="E1817" s="148">
        <f t="shared" ca="1" si="61"/>
        <v>0</v>
      </c>
    </row>
    <row r="1818" spans="2:5" x14ac:dyDescent="0.25">
      <c r="B1818" s="8">
        <v>39412</v>
      </c>
      <c r="C1818" s="6">
        <f ca="1">IF(OR($C$7="",$B1818&gt;NOW()),"",IF(INDEX(Data!$A:$G,MATCH($B1818,Data!$A:$A,0),MATCH($C$7,Data!$4:$4,0))="","",INDEX(Data!$A:$G,MATCH($B1818,Data!$A:$A,0),MATCH($C$7,Data!$4:$4,0))))</f>
        <v>46.8</v>
      </c>
      <c r="D1818" s="148">
        <f t="shared" ca="1" si="60"/>
        <v>18.200000000000003</v>
      </c>
      <c r="E1818" s="148">
        <f t="shared" ca="1" si="61"/>
        <v>0</v>
      </c>
    </row>
    <row r="1819" spans="2:5" x14ac:dyDescent="0.25">
      <c r="B1819" s="8">
        <v>39413</v>
      </c>
      <c r="C1819" s="6">
        <f ca="1">IF(OR($C$7="",$B1819&gt;NOW()),"",IF(INDEX(Data!$A:$G,MATCH($B1819,Data!$A:$A,0),MATCH($C$7,Data!$4:$4,0))="","",INDEX(Data!$A:$G,MATCH($B1819,Data!$A:$A,0),MATCH($C$7,Data!$4:$4,0))))</f>
        <v>56.4</v>
      </c>
      <c r="D1819" s="148">
        <f t="shared" ca="1" si="60"/>
        <v>8.6000000000000014</v>
      </c>
      <c r="E1819" s="148">
        <f t="shared" ca="1" si="61"/>
        <v>0</v>
      </c>
    </row>
    <row r="1820" spans="2:5" x14ac:dyDescent="0.25">
      <c r="B1820" s="8">
        <v>39414</v>
      </c>
      <c r="C1820" s="6">
        <f ca="1">IF(OR($C$7="",$B1820&gt;NOW()),"",IF(INDEX(Data!$A:$G,MATCH($B1820,Data!$A:$A,0),MATCH($C$7,Data!$4:$4,0))="","",INDEX(Data!$A:$G,MATCH($B1820,Data!$A:$A,0),MATCH($C$7,Data!$4:$4,0))))</f>
        <v>43.4</v>
      </c>
      <c r="D1820" s="148">
        <f t="shared" ca="1" si="60"/>
        <v>21.6</v>
      </c>
      <c r="E1820" s="148">
        <f t="shared" ca="1" si="61"/>
        <v>0</v>
      </c>
    </row>
    <row r="1821" spans="2:5" x14ac:dyDescent="0.25">
      <c r="B1821" s="8">
        <v>39415</v>
      </c>
      <c r="C1821" s="6">
        <f ca="1">IF(OR($C$7="",$B1821&gt;NOW()),"",IF(INDEX(Data!$A:$G,MATCH($B1821,Data!$A:$A,0),MATCH($C$7,Data!$4:$4,0))="","",INDEX(Data!$A:$G,MATCH($B1821,Data!$A:$A,0),MATCH($C$7,Data!$4:$4,0))))</f>
        <v>45.9</v>
      </c>
      <c r="D1821" s="148">
        <f t="shared" ref="D1821:D1884" ca="1" si="62">IF($C1821="","",IF($C1821&gt;$D$26,0,$D$26-$C1821))</f>
        <v>19.100000000000001</v>
      </c>
      <c r="E1821" s="148">
        <f t="shared" ref="E1821:E1884" ca="1" si="63">IF($C1821="","",IF($C1821&lt;$E$26,0,$C1821-$E$26))</f>
        <v>0</v>
      </c>
    </row>
    <row r="1822" spans="2:5" x14ac:dyDescent="0.25">
      <c r="B1822" s="8">
        <v>39416</v>
      </c>
      <c r="C1822" s="6">
        <f ca="1">IF(OR($C$7="",$B1822&gt;NOW()),"",IF(INDEX(Data!$A:$G,MATCH($B1822,Data!$A:$A,0),MATCH($C$7,Data!$4:$4,0))="","",INDEX(Data!$A:$G,MATCH($B1822,Data!$A:$A,0),MATCH($C$7,Data!$4:$4,0))))</f>
        <v>41.8</v>
      </c>
      <c r="D1822" s="148">
        <f t="shared" ca="1" si="62"/>
        <v>23.200000000000003</v>
      </c>
      <c r="E1822" s="148">
        <f t="shared" ca="1" si="63"/>
        <v>0</v>
      </c>
    </row>
    <row r="1823" spans="2:5" x14ac:dyDescent="0.25">
      <c r="B1823" s="8">
        <v>39417</v>
      </c>
      <c r="C1823" s="6">
        <f ca="1">IF(OR($C$7="",$B1823&gt;NOW()),"",IF(INDEX(Data!$A:$G,MATCH($B1823,Data!$A:$A,0),MATCH($C$7,Data!$4:$4,0))="","",INDEX(Data!$A:$G,MATCH($B1823,Data!$A:$A,0),MATCH($C$7,Data!$4:$4,0))))</f>
        <v>36.700000000000003</v>
      </c>
      <c r="D1823" s="148">
        <f t="shared" ca="1" si="62"/>
        <v>28.299999999999997</v>
      </c>
      <c r="E1823" s="148">
        <f t="shared" ca="1" si="63"/>
        <v>0</v>
      </c>
    </row>
    <row r="1824" spans="2:5" x14ac:dyDescent="0.25">
      <c r="B1824" s="8">
        <v>39418</v>
      </c>
      <c r="C1824" s="6">
        <f ca="1">IF(OR($C$7="",$B1824&gt;NOW()),"",IF(INDEX(Data!$A:$G,MATCH($B1824,Data!$A:$A,0),MATCH($C$7,Data!$4:$4,0))="","",INDEX(Data!$A:$G,MATCH($B1824,Data!$A:$A,0),MATCH($C$7,Data!$4:$4,0))))</f>
        <v>26.3</v>
      </c>
      <c r="D1824" s="148">
        <f t="shared" ca="1" si="62"/>
        <v>38.700000000000003</v>
      </c>
      <c r="E1824" s="148">
        <f t="shared" ca="1" si="63"/>
        <v>0</v>
      </c>
    </row>
    <row r="1825" spans="2:5" x14ac:dyDescent="0.25">
      <c r="B1825" s="8">
        <v>39419</v>
      </c>
      <c r="C1825" s="6">
        <f ca="1">IF(OR($C$7="",$B1825&gt;NOW()),"",IF(INDEX(Data!$A:$G,MATCH($B1825,Data!$A:$A,0),MATCH($C$7,Data!$4:$4,0))="","",INDEX(Data!$A:$G,MATCH($B1825,Data!$A:$A,0),MATCH($C$7,Data!$4:$4,0))))</f>
        <v>42.1</v>
      </c>
      <c r="D1825" s="148">
        <f t="shared" ca="1" si="62"/>
        <v>22.9</v>
      </c>
      <c r="E1825" s="148">
        <f t="shared" ca="1" si="63"/>
        <v>0</v>
      </c>
    </row>
    <row r="1826" spans="2:5" x14ac:dyDescent="0.25">
      <c r="B1826" s="8">
        <v>39420</v>
      </c>
      <c r="C1826" s="6">
        <f ca="1">IF(OR($C$7="",$B1826&gt;NOW()),"",IF(INDEX(Data!$A:$G,MATCH($B1826,Data!$A:$A,0),MATCH($C$7,Data!$4:$4,0))="","",INDEX(Data!$A:$G,MATCH($B1826,Data!$A:$A,0),MATCH($C$7,Data!$4:$4,0))))</f>
        <v>34.299999999999997</v>
      </c>
      <c r="D1826" s="148">
        <f t="shared" ca="1" si="62"/>
        <v>30.700000000000003</v>
      </c>
      <c r="E1826" s="148">
        <f t="shared" ca="1" si="63"/>
        <v>0</v>
      </c>
    </row>
    <row r="1827" spans="2:5" x14ac:dyDescent="0.25">
      <c r="B1827" s="8">
        <v>39421</v>
      </c>
      <c r="C1827" s="6">
        <f ca="1">IF(OR($C$7="",$B1827&gt;NOW()),"",IF(INDEX(Data!$A:$G,MATCH($B1827,Data!$A:$A,0),MATCH($C$7,Data!$4:$4,0))="","",INDEX(Data!$A:$G,MATCH($B1827,Data!$A:$A,0),MATCH($C$7,Data!$4:$4,0))))</f>
        <v>31</v>
      </c>
      <c r="D1827" s="148">
        <f t="shared" ca="1" si="62"/>
        <v>34</v>
      </c>
      <c r="E1827" s="148">
        <f t="shared" ca="1" si="63"/>
        <v>0</v>
      </c>
    </row>
    <row r="1828" spans="2:5" x14ac:dyDescent="0.25">
      <c r="B1828" s="8">
        <v>39422</v>
      </c>
      <c r="C1828" s="6">
        <f ca="1">IF(OR($C$7="",$B1828&gt;NOW()),"",IF(INDEX(Data!$A:$G,MATCH($B1828,Data!$A:$A,0),MATCH($C$7,Data!$4:$4,0))="","",INDEX(Data!$A:$G,MATCH($B1828,Data!$A:$A,0),MATCH($C$7,Data!$4:$4,0))))</f>
        <v>29.2</v>
      </c>
      <c r="D1828" s="148">
        <f t="shared" ca="1" si="62"/>
        <v>35.799999999999997</v>
      </c>
      <c r="E1828" s="148">
        <f t="shared" ca="1" si="63"/>
        <v>0</v>
      </c>
    </row>
    <row r="1829" spans="2:5" x14ac:dyDescent="0.25">
      <c r="B1829" s="8">
        <v>39423</v>
      </c>
      <c r="C1829" s="6">
        <f ca="1">IF(OR($C$7="",$B1829&gt;NOW()),"",IF(INDEX(Data!$A:$G,MATCH($B1829,Data!$A:$A,0),MATCH($C$7,Data!$4:$4,0))="","",INDEX(Data!$A:$G,MATCH($B1829,Data!$A:$A,0),MATCH($C$7,Data!$4:$4,0))))</f>
        <v>32.200000000000003</v>
      </c>
      <c r="D1829" s="148">
        <f t="shared" ca="1" si="62"/>
        <v>32.799999999999997</v>
      </c>
      <c r="E1829" s="148">
        <f t="shared" ca="1" si="63"/>
        <v>0</v>
      </c>
    </row>
    <row r="1830" spans="2:5" x14ac:dyDescent="0.25">
      <c r="B1830" s="8">
        <v>39424</v>
      </c>
      <c r="C1830" s="6">
        <f ca="1">IF(OR($C$7="",$B1830&gt;NOW()),"",IF(INDEX(Data!$A:$G,MATCH($B1830,Data!$A:$A,0),MATCH($C$7,Data!$4:$4,0))="","",INDEX(Data!$A:$G,MATCH($B1830,Data!$A:$A,0),MATCH($C$7,Data!$4:$4,0))))</f>
        <v>38.299999999999997</v>
      </c>
      <c r="D1830" s="148">
        <f t="shared" ca="1" si="62"/>
        <v>26.700000000000003</v>
      </c>
      <c r="E1830" s="148">
        <f t="shared" ca="1" si="63"/>
        <v>0</v>
      </c>
    </row>
    <row r="1831" spans="2:5" x14ac:dyDescent="0.25">
      <c r="B1831" s="8">
        <v>39425</v>
      </c>
      <c r="C1831" s="6">
        <f ca="1">IF(OR($C$7="",$B1831&gt;NOW()),"",IF(INDEX(Data!$A:$G,MATCH($B1831,Data!$A:$A,0),MATCH($C$7,Data!$4:$4,0))="","",INDEX(Data!$A:$G,MATCH($B1831,Data!$A:$A,0),MATCH($C$7,Data!$4:$4,0))))</f>
        <v>39</v>
      </c>
      <c r="D1831" s="148">
        <f t="shared" ca="1" si="62"/>
        <v>26</v>
      </c>
      <c r="E1831" s="148">
        <f t="shared" ca="1" si="63"/>
        <v>0</v>
      </c>
    </row>
    <row r="1832" spans="2:5" x14ac:dyDescent="0.25">
      <c r="B1832" s="8">
        <v>39426</v>
      </c>
      <c r="C1832" s="6">
        <f ca="1">IF(OR($C$7="",$B1832&gt;NOW()),"",IF(INDEX(Data!$A:$G,MATCH($B1832,Data!$A:$A,0),MATCH($C$7,Data!$4:$4,0))="","",INDEX(Data!$A:$G,MATCH($B1832,Data!$A:$A,0),MATCH($C$7,Data!$4:$4,0))))</f>
        <v>39.1</v>
      </c>
      <c r="D1832" s="148">
        <f t="shared" ca="1" si="62"/>
        <v>25.9</v>
      </c>
      <c r="E1832" s="148">
        <f t="shared" ca="1" si="63"/>
        <v>0</v>
      </c>
    </row>
    <row r="1833" spans="2:5" x14ac:dyDescent="0.25">
      <c r="B1833" s="8">
        <v>39427</v>
      </c>
      <c r="C1833" s="6">
        <f ca="1">IF(OR($C$7="",$B1833&gt;NOW()),"",IF(INDEX(Data!$A:$G,MATCH($B1833,Data!$A:$A,0),MATCH($C$7,Data!$4:$4,0))="","",INDEX(Data!$A:$G,MATCH($B1833,Data!$A:$A,0),MATCH($C$7,Data!$4:$4,0))))</f>
        <v>39</v>
      </c>
      <c r="D1833" s="148">
        <f t="shared" ca="1" si="62"/>
        <v>26</v>
      </c>
      <c r="E1833" s="148">
        <f t="shared" ca="1" si="63"/>
        <v>0</v>
      </c>
    </row>
    <row r="1834" spans="2:5" x14ac:dyDescent="0.25">
      <c r="B1834" s="8">
        <v>39428</v>
      </c>
      <c r="C1834" s="6">
        <f ca="1">IF(OR($C$7="",$B1834&gt;NOW()),"",IF(INDEX(Data!$A:$G,MATCH($B1834,Data!$A:$A,0),MATCH($C$7,Data!$4:$4,0))="","",INDEX(Data!$A:$G,MATCH($B1834,Data!$A:$A,0),MATCH($C$7,Data!$4:$4,0))))</f>
        <v>47.1</v>
      </c>
      <c r="D1834" s="148">
        <f t="shared" ca="1" si="62"/>
        <v>17.899999999999999</v>
      </c>
      <c r="E1834" s="148">
        <f t="shared" ca="1" si="63"/>
        <v>0</v>
      </c>
    </row>
    <row r="1835" spans="2:5" x14ac:dyDescent="0.25">
      <c r="B1835" s="8">
        <v>39429</v>
      </c>
      <c r="C1835" s="6">
        <f ca="1">IF(OR($C$7="",$B1835&gt;NOW()),"",IF(INDEX(Data!$A:$G,MATCH($B1835,Data!$A:$A,0),MATCH($C$7,Data!$4:$4,0))="","",INDEX(Data!$A:$G,MATCH($B1835,Data!$A:$A,0),MATCH($C$7,Data!$4:$4,0))))</f>
        <v>35.5</v>
      </c>
      <c r="D1835" s="148">
        <f t="shared" ca="1" si="62"/>
        <v>29.5</v>
      </c>
      <c r="E1835" s="148">
        <f t="shared" ca="1" si="63"/>
        <v>0</v>
      </c>
    </row>
    <row r="1836" spans="2:5" x14ac:dyDescent="0.25">
      <c r="B1836" s="8">
        <v>39430</v>
      </c>
      <c r="C1836" s="6">
        <f ca="1">IF(OR($C$7="",$B1836&gt;NOW()),"",IF(INDEX(Data!$A:$G,MATCH($B1836,Data!$A:$A,0),MATCH($C$7,Data!$4:$4,0))="","",INDEX(Data!$A:$G,MATCH($B1836,Data!$A:$A,0),MATCH($C$7,Data!$4:$4,0))))</f>
        <v>37.1</v>
      </c>
      <c r="D1836" s="148">
        <f t="shared" ca="1" si="62"/>
        <v>27.9</v>
      </c>
      <c r="E1836" s="148">
        <f t="shared" ca="1" si="63"/>
        <v>0</v>
      </c>
    </row>
    <row r="1837" spans="2:5" x14ac:dyDescent="0.25">
      <c r="B1837" s="8">
        <v>39431</v>
      </c>
      <c r="C1837" s="6">
        <f ca="1">IF(OR($C$7="",$B1837&gt;NOW()),"",IF(INDEX(Data!$A:$G,MATCH($B1837,Data!$A:$A,0),MATCH($C$7,Data!$4:$4,0))="","",INDEX(Data!$A:$G,MATCH($B1837,Data!$A:$A,0),MATCH($C$7,Data!$4:$4,0))))</f>
        <v>34.4</v>
      </c>
      <c r="D1837" s="148">
        <f t="shared" ca="1" si="62"/>
        <v>30.6</v>
      </c>
      <c r="E1837" s="148">
        <f t="shared" ca="1" si="63"/>
        <v>0</v>
      </c>
    </row>
    <row r="1838" spans="2:5" x14ac:dyDescent="0.25">
      <c r="B1838" s="8">
        <v>39432</v>
      </c>
      <c r="C1838" s="6">
        <f ca="1">IF(OR($C$7="",$B1838&gt;NOW()),"",IF(INDEX(Data!$A:$G,MATCH($B1838,Data!$A:$A,0),MATCH($C$7,Data!$4:$4,0))="","",INDEX(Data!$A:$G,MATCH($B1838,Data!$A:$A,0),MATCH($C$7,Data!$4:$4,0))))</f>
        <v>34.200000000000003</v>
      </c>
      <c r="D1838" s="148">
        <f t="shared" ca="1" si="62"/>
        <v>30.799999999999997</v>
      </c>
      <c r="E1838" s="148">
        <f t="shared" ca="1" si="63"/>
        <v>0</v>
      </c>
    </row>
    <row r="1839" spans="2:5" x14ac:dyDescent="0.25">
      <c r="B1839" s="8">
        <v>39433</v>
      </c>
      <c r="C1839" s="6">
        <f ca="1">IF(OR($C$7="",$B1839&gt;NOW()),"",IF(INDEX(Data!$A:$G,MATCH($B1839,Data!$A:$A,0),MATCH($C$7,Data!$4:$4,0))="","",INDEX(Data!$A:$G,MATCH($B1839,Data!$A:$A,0),MATCH($C$7,Data!$4:$4,0))))</f>
        <v>32.299999999999997</v>
      </c>
      <c r="D1839" s="148">
        <f t="shared" ca="1" si="62"/>
        <v>32.700000000000003</v>
      </c>
      <c r="E1839" s="148">
        <f t="shared" ca="1" si="63"/>
        <v>0</v>
      </c>
    </row>
    <row r="1840" spans="2:5" x14ac:dyDescent="0.25">
      <c r="B1840" s="8">
        <v>39434</v>
      </c>
      <c r="C1840" s="6">
        <f ca="1">IF(OR($C$7="",$B1840&gt;NOW()),"",IF(INDEX(Data!$A:$G,MATCH($B1840,Data!$A:$A,0),MATCH($C$7,Data!$4:$4,0))="","",INDEX(Data!$A:$G,MATCH($B1840,Data!$A:$A,0),MATCH($C$7,Data!$4:$4,0))))</f>
        <v>33.4</v>
      </c>
      <c r="D1840" s="148">
        <f t="shared" ca="1" si="62"/>
        <v>31.6</v>
      </c>
      <c r="E1840" s="148">
        <f t="shared" ca="1" si="63"/>
        <v>0</v>
      </c>
    </row>
    <row r="1841" spans="2:5" x14ac:dyDescent="0.25">
      <c r="B1841" s="8">
        <v>39435</v>
      </c>
      <c r="C1841" s="6">
        <f ca="1">IF(OR($C$7="",$B1841&gt;NOW()),"",IF(INDEX(Data!$A:$G,MATCH($B1841,Data!$A:$A,0),MATCH($C$7,Data!$4:$4,0))="","",INDEX(Data!$A:$G,MATCH($B1841,Data!$A:$A,0),MATCH($C$7,Data!$4:$4,0))))</f>
        <v>38.9</v>
      </c>
      <c r="D1841" s="148">
        <f t="shared" ca="1" si="62"/>
        <v>26.1</v>
      </c>
      <c r="E1841" s="148">
        <f t="shared" ca="1" si="63"/>
        <v>0</v>
      </c>
    </row>
    <row r="1842" spans="2:5" x14ac:dyDescent="0.25">
      <c r="B1842" s="8">
        <v>39436</v>
      </c>
      <c r="C1842" s="6">
        <f ca="1">IF(OR($C$7="",$B1842&gt;NOW()),"",IF(INDEX(Data!$A:$G,MATCH($B1842,Data!$A:$A,0),MATCH($C$7,Data!$4:$4,0))="","",INDEX(Data!$A:$G,MATCH($B1842,Data!$A:$A,0),MATCH($C$7,Data!$4:$4,0))))</f>
        <v>39.9</v>
      </c>
      <c r="D1842" s="148">
        <f t="shared" ca="1" si="62"/>
        <v>25.1</v>
      </c>
      <c r="E1842" s="148">
        <f t="shared" ca="1" si="63"/>
        <v>0</v>
      </c>
    </row>
    <row r="1843" spans="2:5" x14ac:dyDescent="0.25">
      <c r="B1843" s="8">
        <v>39437</v>
      </c>
      <c r="C1843" s="6">
        <f ca="1">IF(OR($C$7="",$B1843&gt;NOW()),"",IF(INDEX(Data!$A:$G,MATCH($B1843,Data!$A:$A,0),MATCH($C$7,Data!$4:$4,0))="","",INDEX(Data!$A:$G,MATCH($B1843,Data!$A:$A,0),MATCH($C$7,Data!$4:$4,0))))</f>
        <v>39.1</v>
      </c>
      <c r="D1843" s="148">
        <f t="shared" ca="1" si="62"/>
        <v>25.9</v>
      </c>
      <c r="E1843" s="148">
        <f t="shared" ca="1" si="63"/>
        <v>0</v>
      </c>
    </row>
    <row r="1844" spans="2:5" x14ac:dyDescent="0.25">
      <c r="B1844" s="8">
        <v>39438</v>
      </c>
      <c r="C1844" s="6">
        <f ca="1">IF(OR($C$7="",$B1844&gt;NOW()),"",IF(INDEX(Data!$A:$G,MATCH($B1844,Data!$A:$A,0),MATCH($C$7,Data!$4:$4,0))="","",INDEX(Data!$A:$G,MATCH($B1844,Data!$A:$A,0),MATCH($C$7,Data!$4:$4,0))))</f>
        <v>37.6</v>
      </c>
      <c r="D1844" s="148">
        <f t="shared" ca="1" si="62"/>
        <v>27.4</v>
      </c>
      <c r="E1844" s="148">
        <f t="shared" ca="1" si="63"/>
        <v>0</v>
      </c>
    </row>
    <row r="1845" spans="2:5" x14ac:dyDescent="0.25">
      <c r="B1845" s="8">
        <v>39439</v>
      </c>
      <c r="C1845" s="6">
        <f ca="1">IF(OR($C$7="",$B1845&gt;NOW()),"",IF(INDEX(Data!$A:$G,MATCH($B1845,Data!$A:$A,0),MATCH($C$7,Data!$4:$4,0))="","",INDEX(Data!$A:$G,MATCH($B1845,Data!$A:$A,0),MATCH($C$7,Data!$4:$4,0))))</f>
        <v>46.2</v>
      </c>
      <c r="D1845" s="148">
        <f t="shared" ca="1" si="62"/>
        <v>18.799999999999997</v>
      </c>
      <c r="E1845" s="148">
        <f t="shared" ca="1" si="63"/>
        <v>0</v>
      </c>
    </row>
    <row r="1846" spans="2:5" x14ac:dyDescent="0.25">
      <c r="B1846" s="8">
        <v>39440</v>
      </c>
      <c r="C1846" s="6">
        <f ca="1">IF(OR($C$7="",$B1846&gt;NOW()),"",IF(INDEX(Data!$A:$G,MATCH($B1846,Data!$A:$A,0),MATCH($C$7,Data!$4:$4,0))="","",INDEX(Data!$A:$G,MATCH($B1846,Data!$A:$A,0),MATCH($C$7,Data!$4:$4,0))))</f>
        <v>46.6</v>
      </c>
      <c r="D1846" s="148">
        <f t="shared" ca="1" si="62"/>
        <v>18.399999999999999</v>
      </c>
      <c r="E1846" s="148">
        <f t="shared" ca="1" si="63"/>
        <v>0</v>
      </c>
    </row>
    <row r="1847" spans="2:5" x14ac:dyDescent="0.25">
      <c r="B1847" s="8">
        <v>39441</v>
      </c>
      <c r="C1847" s="6">
        <f ca="1">IF(OR($C$7="",$B1847&gt;NOW()),"",IF(INDEX(Data!$A:$G,MATCH($B1847,Data!$A:$A,0),MATCH($C$7,Data!$4:$4,0))="","",INDEX(Data!$A:$G,MATCH($B1847,Data!$A:$A,0),MATCH($C$7,Data!$4:$4,0))))</f>
        <v>41.4</v>
      </c>
      <c r="D1847" s="148">
        <f t="shared" ca="1" si="62"/>
        <v>23.6</v>
      </c>
      <c r="E1847" s="148">
        <f t="shared" ca="1" si="63"/>
        <v>0</v>
      </c>
    </row>
    <row r="1848" spans="2:5" x14ac:dyDescent="0.25">
      <c r="B1848" s="8">
        <v>39442</v>
      </c>
      <c r="C1848" s="6">
        <f ca="1">IF(OR($C$7="",$B1848&gt;NOW()),"",IF(INDEX(Data!$A:$G,MATCH($B1848,Data!$A:$A,0),MATCH($C$7,Data!$4:$4,0))="","",INDEX(Data!$A:$G,MATCH($B1848,Data!$A:$A,0),MATCH($C$7,Data!$4:$4,0))))</f>
        <v>37.4</v>
      </c>
      <c r="D1848" s="148">
        <f t="shared" ca="1" si="62"/>
        <v>27.6</v>
      </c>
      <c r="E1848" s="148">
        <f t="shared" ca="1" si="63"/>
        <v>0</v>
      </c>
    </row>
    <row r="1849" spans="2:5" x14ac:dyDescent="0.25">
      <c r="B1849" s="8">
        <v>39443</v>
      </c>
      <c r="C1849" s="6">
        <f ca="1">IF(OR($C$7="",$B1849&gt;NOW()),"",IF(INDEX(Data!$A:$G,MATCH($B1849,Data!$A:$A,0),MATCH($C$7,Data!$4:$4,0))="","",INDEX(Data!$A:$G,MATCH($B1849,Data!$A:$A,0),MATCH($C$7,Data!$4:$4,0))))</f>
        <v>38.4</v>
      </c>
      <c r="D1849" s="148">
        <f t="shared" ca="1" si="62"/>
        <v>26.6</v>
      </c>
      <c r="E1849" s="148">
        <f t="shared" ca="1" si="63"/>
        <v>0</v>
      </c>
    </row>
    <row r="1850" spans="2:5" x14ac:dyDescent="0.25">
      <c r="B1850" s="8">
        <v>39444</v>
      </c>
      <c r="C1850" s="6">
        <f ca="1">IF(OR($C$7="",$B1850&gt;NOW()),"",IF(INDEX(Data!$A:$G,MATCH($B1850,Data!$A:$A,0),MATCH($C$7,Data!$4:$4,0))="","",INDEX(Data!$A:$G,MATCH($B1850,Data!$A:$A,0),MATCH($C$7,Data!$4:$4,0))))</f>
        <v>45.1</v>
      </c>
      <c r="D1850" s="148">
        <f t="shared" ca="1" si="62"/>
        <v>19.899999999999999</v>
      </c>
      <c r="E1850" s="148">
        <f t="shared" ca="1" si="63"/>
        <v>0</v>
      </c>
    </row>
    <row r="1851" spans="2:5" x14ac:dyDescent="0.25">
      <c r="B1851" s="8">
        <v>39445</v>
      </c>
      <c r="C1851" s="6">
        <f ca="1">IF(OR($C$7="",$B1851&gt;NOW()),"",IF(INDEX(Data!$A:$G,MATCH($B1851,Data!$A:$A,0),MATCH($C$7,Data!$4:$4,0))="","",INDEX(Data!$A:$G,MATCH($B1851,Data!$A:$A,0),MATCH($C$7,Data!$4:$4,0))))</f>
        <v>48.6</v>
      </c>
      <c r="D1851" s="148">
        <f t="shared" ca="1" si="62"/>
        <v>16.399999999999999</v>
      </c>
      <c r="E1851" s="148">
        <f t="shared" ca="1" si="63"/>
        <v>0</v>
      </c>
    </row>
    <row r="1852" spans="2:5" x14ac:dyDescent="0.25">
      <c r="B1852" s="8">
        <v>39446</v>
      </c>
      <c r="C1852" s="6">
        <f ca="1">IF(OR($C$7="",$B1852&gt;NOW()),"",IF(INDEX(Data!$A:$G,MATCH($B1852,Data!$A:$A,0),MATCH($C$7,Data!$4:$4,0))="","",INDEX(Data!$A:$G,MATCH($B1852,Data!$A:$A,0),MATCH($C$7,Data!$4:$4,0))))</f>
        <v>41.8</v>
      </c>
      <c r="D1852" s="148">
        <f t="shared" ca="1" si="62"/>
        <v>23.200000000000003</v>
      </c>
      <c r="E1852" s="148">
        <f t="shared" ca="1" si="63"/>
        <v>0</v>
      </c>
    </row>
    <row r="1853" spans="2:5" x14ac:dyDescent="0.25">
      <c r="B1853" s="8">
        <v>39447</v>
      </c>
      <c r="C1853" s="6">
        <f ca="1">IF(OR($C$7="",$B1853&gt;NOW()),"",IF(INDEX(Data!$A:$G,MATCH($B1853,Data!$A:$A,0),MATCH($C$7,Data!$4:$4,0))="","",INDEX(Data!$A:$G,MATCH($B1853,Data!$A:$A,0),MATCH($C$7,Data!$4:$4,0))))</f>
        <v>40.1</v>
      </c>
      <c r="D1853" s="148">
        <f t="shared" ca="1" si="62"/>
        <v>24.9</v>
      </c>
      <c r="E1853" s="148">
        <f t="shared" ca="1" si="63"/>
        <v>0</v>
      </c>
    </row>
    <row r="1854" spans="2:5" x14ac:dyDescent="0.25">
      <c r="B1854" s="8">
        <v>39448</v>
      </c>
      <c r="C1854" s="6">
        <f ca="1">IF(OR($C$7="",$B1854&gt;NOW()),"",IF(INDEX(Data!$A:$G,MATCH($B1854,Data!$A:$A,0),MATCH($C$7,Data!$4:$4,0))="","",INDEX(Data!$A:$G,MATCH($B1854,Data!$A:$A,0),MATCH($C$7,Data!$4:$4,0))))</f>
        <v>41.9</v>
      </c>
      <c r="D1854" s="148">
        <f t="shared" ca="1" si="62"/>
        <v>23.1</v>
      </c>
      <c r="E1854" s="148">
        <f t="shared" ca="1" si="63"/>
        <v>0</v>
      </c>
    </row>
    <row r="1855" spans="2:5" x14ac:dyDescent="0.25">
      <c r="B1855" s="8">
        <v>39449</v>
      </c>
      <c r="C1855" s="6">
        <f ca="1">IF(OR($C$7="",$B1855&gt;NOW()),"",IF(INDEX(Data!$A:$G,MATCH($B1855,Data!$A:$A,0),MATCH($C$7,Data!$4:$4,0))="","",INDEX(Data!$A:$G,MATCH($B1855,Data!$A:$A,0),MATCH($C$7,Data!$4:$4,0))))</f>
        <v>35.1</v>
      </c>
      <c r="D1855" s="148">
        <f t="shared" ca="1" si="62"/>
        <v>29.9</v>
      </c>
      <c r="E1855" s="148">
        <f t="shared" ca="1" si="63"/>
        <v>0</v>
      </c>
    </row>
    <row r="1856" spans="2:5" x14ac:dyDescent="0.25">
      <c r="B1856" s="8">
        <v>39450</v>
      </c>
      <c r="C1856" s="6">
        <f ca="1">IF(OR($C$7="",$B1856&gt;NOW()),"",IF(INDEX(Data!$A:$G,MATCH($B1856,Data!$A:$A,0),MATCH($C$7,Data!$4:$4,0))="","",INDEX(Data!$A:$G,MATCH($B1856,Data!$A:$A,0),MATCH($C$7,Data!$4:$4,0))))</f>
        <v>19.100000000000001</v>
      </c>
      <c r="D1856" s="148">
        <f t="shared" ca="1" si="62"/>
        <v>45.9</v>
      </c>
      <c r="E1856" s="148">
        <f t="shared" ca="1" si="63"/>
        <v>0</v>
      </c>
    </row>
    <row r="1857" spans="2:5" x14ac:dyDescent="0.25">
      <c r="B1857" s="8">
        <v>39451</v>
      </c>
      <c r="C1857" s="6">
        <f ca="1">IF(OR($C$7="",$B1857&gt;NOW()),"",IF(INDEX(Data!$A:$G,MATCH($B1857,Data!$A:$A,0),MATCH($C$7,Data!$4:$4,0))="","",INDEX(Data!$A:$G,MATCH($B1857,Data!$A:$A,0),MATCH($C$7,Data!$4:$4,0))))</f>
        <v>25.5</v>
      </c>
      <c r="D1857" s="148">
        <f t="shared" ca="1" si="62"/>
        <v>39.5</v>
      </c>
      <c r="E1857" s="148">
        <f t="shared" ca="1" si="63"/>
        <v>0</v>
      </c>
    </row>
    <row r="1858" spans="2:5" x14ac:dyDescent="0.25">
      <c r="B1858" s="8">
        <v>39452</v>
      </c>
      <c r="C1858" s="6">
        <f ca="1">IF(OR($C$7="",$B1858&gt;NOW()),"",IF(INDEX(Data!$A:$G,MATCH($B1858,Data!$A:$A,0),MATCH($C$7,Data!$4:$4,0))="","",INDEX(Data!$A:$G,MATCH($B1858,Data!$A:$A,0),MATCH($C$7,Data!$4:$4,0))))</f>
        <v>37.4</v>
      </c>
      <c r="D1858" s="148">
        <f t="shared" ca="1" si="62"/>
        <v>27.6</v>
      </c>
      <c r="E1858" s="148">
        <f t="shared" ca="1" si="63"/>
        <v>0</v>
      </c>
    </row>
    <row r="1859" spans="2:5" x14ac:dyDescent="0.25">
      <c r="B1859" s="8">
        <v>39453</v>
      </c>
      <c r="C1859" s="6">
        <f ca="1">IF(OR($C$7="",$B1859&gt;NOW()),"",IF(INDEX(Data!$A:$G,MATCH($B1859,Data!$A:$A,0),MATCH($C$7,Data!$4:$4,0))="","",INDEX(Data!$A:$G,MATCH($B1859,Data!$A:$A,0),MATCH($C$7,Data!$4:$4,0))))</f>
        <v>41</v>
      </c>
      <c r="D1859" s="148">
        <f t="shared" ca="1" si="62"/>
        <v>24</v>
      </c>
      <c r="E1859" s="148">
        <f t="shared" ca="1" si="63"/>
        <v>0</v>
      </c>
    </row>
    <row r="1860" spans="2:5" x14ac:dyDescent="0.25">
      <c r="B1860" s="8">
        <v>39454</v>
      </c>
      <c r="C1860" s="6">
        <f ca="1">IF(OR($C$7="",$B1860&gt;NOW()),"",IF(INDEX(Data!$A:$G,MATCH($B1860,Data!$A:$A,0),MATCH($C$7,Data!$4:$4,0))="","",INDEX(Data!$A:$G,MATCH($B1860,Data!$A:$A,0),MATCH($C$7,Data!$4:$4,0))))</f>
        <v>49.7</v>
      </c>
      <c r="D1860" s="148">
        <f t="shared" ca="1" si="62"/>
        <v>15.299999999999997</v>
      </c>
      <c r="E1860" s="148">
        <f t="shared" ca="1" si="63"/>
        <v>0</v>
      </c>
    </row>
    <row r="1861" spans="2:5" x14ac:dyDescent="0.25">
      <c r="B1861" s="8">
        <v>39455</v>
      </c>
      <c r="C1861" s="6">
        <f ca="1">IF(OR($C$7="",$B1861&gt;NOW()),"",IF(INDEX(Data!$A:$G,MATCH($B1861,Data!$A:$A,0),MATCH($C$7,Data!$4:$4,0))="","",INDEX(Data!$A:$G,MATCH($B1861,Data!$A:$A,0),MATCH($C$7,Data!$4:$4,0))))</f>
        <v>57.5</v>
      </c>
      <c r="D1861" s="148">
        <f t="shared" ca="1" si="62"/>
        <v>7.5</v>
      </c>
      <c r="E1861" s="148">
        <f t="shared" ca="1" si="63"/>
        <v>0</v>
      </c>
    </row>
    <row r="1862" spans="2:5" x14ac:dyDescent="0.25">
      <c r="B1862" s="8">
        <v>39456</v>
      </c>
      <c r="C1862" s="6">
        <f ca="1">IF(OR($C$7="",$B1862&gt;NOW()),"",IF(INDEX(Data!$A:$G,MATCH($B1862,Data!$A:$A,0),MATCH($C$7,Data!$4:$4,0))="","",INDEX(Data!$A:$G,MATCH($B1862,Data!$A:$A,0),MATCH($C$7,Data!$4:$4,0))))</f>
        <v>54.7</v>
      </c>
      <c r="D1862" s="148">
        <f t="shared" ca="1" si="62"/>
        <v>10.299999999999997</v>
      </c>
      <c r="E1862" s="148">
        <f t="shared" ca="1" si="63"/>
        <v>0</v>
      </c>
    </row>
    <row r="1863" spans="2:5" x14ac:dyDescent="0.25">
      <c r="B1863" s="8">
        <v>39457</v>
      </c>
      <c r="C1863" s="6">
        <f ca="1">IF(OR($C$7="",$B1863&gt;NOW()),"",IF(INDEX(Data!$A:$G,MATCH($B1863,Data!$A:$A,0),MATCH($C$7,Data!$4:$4,0))="","",INDEX(Data!$A:$G,MATCH($B1863,Data!$A:$A,0),MATCH($C$7,Data!$4:$4,0))))</f>
        <v>47.6</v>
      </c>
      <c r="D1863" s="148">
        <f t="shared" ca="1" si="62"/>
        <v>17.399999999999999</v>
      </c>
      <c r="E1863" s="148">
        <f t="shared" ca="1" si="63"/>
        <v>0</v>
      </c>
    </row>
    <row r="1864" spans="2:5" x14ac:dyDescent="0.25">
      <c r="B1864" s="8">
        <v>39458</v>
      </c>
      <c r="C1864" s="6">
        <f ca="1">IF(OR($C$7="",$B1864&gt;NOW()),"",IF(INDEX(Data!$A:$G,MATCH($B1864,Data!$A:$A,0),MATCH($C$7,Data!$4:$4,0))="","",INDEX(Data!$A:$G,MATCH($B1864,Data!$A:$A,0),MATCH($C$7,Data!$4:$4,0))))</f>
        <v>47.7</v>
      </c>
      <c r="D1864" s="148">
        <f t="shared" ca="1" si="62"/>
        <v>17.299999999999997</v>
      </c>
      <c r="E1864" s="148">
        <f t="shared" ca="1" si="63"/>
        <v>0</v>
      </c>
    </row>
    <row r="1865" spans="2:5" x14ac:dyDescent="0.25">
      <c r="B1865" s="8">
        <v>39459</v>
      </c>
      <c r="C1865" s="6">
        <f ca="1">IF(OR($C$7="",$B1865&gt;NOW()),"",IF(INDEX(Data!$A:$G,MATCH($B1865,Data!$A:$A,0),MATCH($C$7,Data!$4:$4,0))="","",INDEX(Data!$A:$G,MATCH($B1865,Data!$A:$A,0),MATCH($C$7,Data!$4:$4,0))))</f>
        <v>47.7</v>
      </c>
      <c r="D1865" s="148">
        <f t="shared" ca="1" si="62"/>
        <v>17.299999999999997</v>
      </c>
      <c r="E1865" s="148">
        <f t="shared" ca="1" si="63"/>
        <v>0</v>
      </c>
    </row>
    <row r="1866" spans="2:5" x14ac:dyDescent="0.25">
      <c r="B1866" s="8">
        <v>39460</v>
      </c>
      <c r="C1866" s="6">
        <f ca="1">IF(OR($C$7="",$B1866&gt;NOW()),"",IF(INDEX(Data!$A:$G,MATCH($B1866,Data!$A:$A,0),MATCH($C$7,Data!$4:$4,0))="","",INDEX(Data!$A:$G,MATCH($B1866,Data!$A:$A,0),MATCH($C$7,Data!$4:$4,0))))</f>
        <v>41.7</v>
      </c>
      <c r="D1866" s="148">
        <f t="shared" ca="1" si="62"/>
        <v>23.299999999999997</v>
      </c>
      <c r="E1866" s="148">
        <f t="shared" ca="1" si="63"/>
        <v>0</v>
      </c>
    </row>
    <row r="1867" spans="2:5" x14ac:dyDescent="0.25">
      <c r="B1867" s="8">
        <v>39461</v>
      </c>
      <c r="C1867" s="6">
        <f ca="1">IF(OR($C$7="",$B1867&gt;NOW()),"",IF(INDEX(Data!$A:$G,MATCH($B1867,Data!$A:$A,0),MATCH($C$7,Data!$4:$4,0))="","",INDEX(Data!$A:$G,MATCH($B1867,Data!$A:$A,0),MATCH($C$7,Data!$4:$4,0))))</f>
        <v>38.4</v>
      </c>
      <c r="D1867" s="148">
        <f t="shared" ca="1" si="62"/>
        <v>26.6</v>
      </c>
      <c r="E1867" s="148">
        <f t="shared" ca="1" si="63"/>
        <v>0</v>
      </c>
    </row>
    <row r="1868" spans="2:5" x14ac:dyDescent="0.25">
      <c r="B1868" s="8">
        <v>39462</v>
      </c>
      <c r="C1868" s="6">
        <f ca="1">IF(OR($C$7="",$B1868&gt;NOW()),"",IF(INDEX(Data!$A:$G,MATCH($B1868,Data!$A:$A,0),MATCH($C$7,Data!$4:$4,0))="","",INDEX(Data!$A:$G,MATCH($B1868,Data!$A:$A,0),MATCH($C$7,Data!$4:$4,0))))</f>
        <v>37</v>
      </c>
      <c r="D1868" s="148">
        <f t="shared" ca="1" si="62"/>
        <v>28</v>
      </c>
      <c r="E1868" s="148">
        <f t="shared" ca="1" si="63"/>
        <v>0</v>
      </c>
    </row>
    <row r="1869" spans="2:5" x14ac:dyDescent="0.25">
      <c r="B1869" s="8">
        <v>39463</v>
      </c>
      <c r="C1869" s="6">
        <f ca="1">IF(OR($C$7="",$B1869&gt;NOW()),"",IF(INDEX(Data!$A:$G,MATCH($B1869,Data!$A:$A,0),MATCH($C$7,Data!$4:$4,0))="","",INDEX(Data!$A:$G,MATCH($B1869,Data!$A:$A,0),MATCH($C$7,Data!$4:$4,0))))</f>
        <v>34.9</v>
      </c>
      <c r="D1869" s="148">
        <f t="shared" ca="1" si="62"/>
        <v>30.1</v>
      </c>
      <c r="E1869" s="148">
        <f t="shared" ca="1" si="63"/>
        <v>0</v>
      </c>
    </row>
    <row r="1870" spans="2:5" x14ac:dyDescent="0.25">
      <c r="B1870" s="8">
        <v>39464</v>
      </c>
      <c r="C1870" s="6">
        <f ca="1">IF(OR($C$7="",$B1870&gt;NOW()),"",IF(INDEX(Data!$A:$G,MATCH($B1870,Data!$A:$A,0),MATCH($C$7,Data!$4:$4,0))="","",INDEX(Data!$A:$G,MATCH($B1870,Data!$A:$A,0),MATCH($C$7,Data!$4:$4,0))))</f>
        <v>34.6</v>
      </c>
      <c r="D1870" s="148">
        <f t="shared" ca="1" si="62"/>
        <v>30.4</v>
      </c>
      <c r="E1870" s="148">
        <f t="shared" ca="1" si="63"/>
        <v>0</v>
      </c>
    </row>
    <row r="1871" spans="2:5" x14ac:dyDescent="0.25">
      <c r="B1871" s="8">
        <v>39465</v>
      </c>
      <c r="C1871" s="6">
        <f ca="1">IF(OR($C$7="",$B1871&gt;NOW()),"",IF(INDEX(Data!$A:$G,MATCH($B1871,Data!$A:$A,0),MATCH($C$7,Data!$4:$4,0))="","",INDEX(Data!$A:$G,MATCH($B1871,Data!$A:$A,0),MATCH($C$7,Data!$4:$4,0))))</f>
        <v>41.4</v>
      </c>
      <c r="D1871" s="148">
        <f t="shared" ca="1" si="62"/>
        <v>23.6</v>
      </c>
      <c r="E1871" s="148">
        <f t="shared" ca="1" si="63"/>
        <v>0</v>
      </c>
    </row>
    <row r="1872" spans="2:5" x14ac:dyDescent="0.25">
      <c r="B1872" s="8">
        <v>39466</v>
      </c>
      <c r="C1872" s="6">
        <f ca="1">IF(OR($C$7="",$B1872&gt;NOW()),"",IF(INDEX(Data!$A:$G,MATCH($B1872,Data!$A:$A,0),MATCH($C$7,Data!$4:$4,0))="","",INDEX(Data!$A:$G,MATCH($B1872,Data!$A:$A,0),MATCH($C$7,Data!$4:$4,0))))</f>
        <v>36.799999999999997</v>
      </c>
      <c r="D1872" s="148">
        <f t="shared" ca="1" si="62"/>
        <v>28.200000000000003</v>
      </c>
      <c r="E1872" s="148">
        <f t="shared" ca="1" si="63"/>
        <v>0</v>
      </c>
    </row>
    <row r="1873" spans="2:5" x14ac:dyDescent="0.25">
      <c r="B1873" s="8">
        <v>39467</v>
      </c>
      <c r="C1873" s="6">
        <f ca="1">IF(OR($C$7="",$B1873&gt;NOW()),"",IF(INDEX(Data!$A:$G,MATCH($B1873,Data!$A:$A,0),MATCH($C$7,Data!$4:$4,0))="","",INDEX(Data!$A:$G,MATCH($B1873,Data!$A:$A,0),MATCH($C$7,Data!$4:$4,0))))</f>
        <v>29.4</v>
      </c>
      <c r="D1873" s="148">
        <f t="shared" ca="1" si="62"/>
        <v>35.6</v>
      </c>
      <c r="E1873" s="148">
        <f t="shared" ca="1" si="63"/>
        <v>0</v>
      </c>
    </row>
    <row r="1874" spans="2:5" x14ac:dyDescent="0.25">
      <c r="B1874" s="8">
        <v>39468</v>
      </c>
      <c r="C1874" s="6">
        <f ca="1">IF(OR($C$7="",$B1874&gt;NOW()),"",IF(INDEX(Data!$A:$G,MATCH($B1874,Data!$A:$A,0),MATCH($C$7,Data!$4:$4,0))="","",INDEX(Data!$A:$G,MATCH($B1874,Data!$A:$A,0),MATCH($C$7,Data!$4:$4,0))))</f>
        <v>20.8</v>
      </c>
      <c r="D1874" s="148">
        <f t="shared" ca="1" si="62"/>
        <v>44.2</v>
      </c>
      <c r="E1874" s="148">
        <f t="shared" ca="1" si="63"/>
        <v>0</v>
      </c>
    </row>
    <row r="1875" spans="2:5" x14ac:dyDescent="0.25">
      <c r="B1875" s="8">
        <v>39469</v>
      </c>
      <c r="C1875" s="6">
        <f ca="1">IF(OR($C$7="",$B1875&gt;NOW()),"",IF(INDEX(Data!$A:$G,MATCH($B1875,Data!$A:$A,0),MATCH($C$7,Data!$4:$4,0))="","",INDEX(Data!$A:$G,MATCH($B1875,Data!$A:$A,0),MATCH($C$7,Data!$4:$4,0))))</f>
        <v>30.5</v>
      </c>
      <c r="D1875" s="148">
        <f t="shared" ca="1" si="62"/>
        <v>34.5</v>
      </c>
      <c r="E1875" s="148">
        <f t="shared" ca="1" si="63"/>
        <v>0</v>
      </c>
    </row>
    <row r="1876" spans="2:5" x14ac:dyDescent="0.25">
      <c r="B1876" s="8">
        <v>39470</v>
      </c>
      <c r="C1876" s="6">
        <f ca="1">IF(OR($C$7="",$B1876&gt;NOW()),"",IF(INDEX(Data!$A:$G,MATCH($B1876,Data!$A:$A,0),MATCH($C$7,Data!$4:$4,0))="","",INDEX(Data!$A:$G,MATCH($B1876,Data!$A:$A,0),MATCH($C$7,Data!$4:$4,0))))</f>
        <v>37.9</v>
      </c>
      <c r="D1876" s="148">
        <f t="shared" ca="1" si="62"/>
        <v>27.1</v>
      </c>
      <c r="E1876" s="148">
        <f t="shared" ca="1" si="63"/>
        <v>0</v>
      </c>
    </row>
    <row r="1877" spans="2:5" x14ac:dyDescent="0.25">
      <c r="B1877" s="8">
        <v>39471</v>
      </c>
      <c r="C1877" s="6">
        <f ca="1">IF(OR($C$7="",$B1877&gt;NOW()),"",IF(INDEX(Data!$A:$G,MATCH($B1877,Data!$A:$A,0),MATCH($C$7,Data!$4:$4,0))="","",INDEX(Data!$A:$G,MATCH($B1877,Data!$A:$A,0),MATCH($C$7,Data!$4:$4,0))))</f>
        <v>31.9</v>
      </c>
      <c r="D1877" s="148">
        <f t="shared" ca="1" si="62"/>
        <v>33.1</v>
      </c>
      <c r="E1877" s="148">
        <f t="shared" ca="1" si="63"/>
        <v>0</v>
      </c>
    </row>
    <row r="1878" spans="2:5" x14ac:dyDescent="0.25">
      <c r="B1878" s="8">
        <v>39472</v>
      </c>
      <c r="C1878" s="6">
        <f ca="1">IF(OR($C$7="",$B1878&gt;NOW()),"",IF(INDEX(Data!$A:$G,MATCH($B1878,Data!$A:$A,0),MATCH($C$7,Data!$4:$4,0))="","",INDEX(Data!$A:$G,MATCH($B1878,Data!$A:$A,0),MATCH($C$7,Data!$4:$4,0))))</f>
        <v>28.1</v>
      </c>
      <c r="D1878" s="148">
        <f t="shared" ca="1" si="62"/>
        <v>36.9</v>
      </c>
      <c r="E1878" s="148">
        <f t="shared" ca="1" si="63"/>
        <v>0</v>
      </c>
    </row>
    <row r="1879" spans="2:5" x14ac:dyDescent="0.25">
      <c r="B1879" s="8">
        <v>39473</v>
      </c>
      <c r="C1879" s="6">
        <f ca="1">IF(OR($C$7="",$B1879&gt;NOW()),"",IF(INDEX(Data!$A:$G,MATCH($B1879,Data!$A:$A,0),MATCH($C$7,Data!$4:$4,0))="","",INDEX(Data!$A:$G,MATCH($B1879,Data!$A:$A,0),MATCH($C$7,Data!$4:$4,0))))</f>
        <v>29.8</v>
      </c>
      <c r="D1879" s="148">
        <f t="shared" ca="1" si="62"/>
        <v>35.200000000000003</v>
      </c>
      <c r="E1879" s="148">
        <f t="shared" ca="1" si="63"/>
        <v>0</v>
      </c>
    </row>
    <row r="1880" spans="2:5" x14ac:dyDescent="0.25">
      <c r="B1880" s="8">
        <v>39474</v>
      </c>
      <c r="C1880" s="6">
        <f ca="1">IF(OR($C$7="",$B1880&gt;NOW()),"",IF(INDEX(Data!$A:$G,MATCH($B1880,Data!$A:$A,0),MATCH($C$7,Data!$4:$4,0))="","",INDEX(Data!$A:$G,MATCH($B1880,Data!$A:$A,0),MATCH($C$7,Data!$4:$4,0))))</f>
        <v>33.700000000000003</v>
      </c>
      <c r="D1880" s="148">
        <f t="shared" ca="1" si="62"/>
        <v>31.299999999999997</v>
      </c>
      <c r="E1880" s="148">
        <f t="shared" ca="1" si="63"/>
        <v>0</v>
      </c>
    </row>
    <row r="1881" spans="2:5" x14ac:dyDescent="0.25">
      <c r="B1881" s="8">
        <v>39475</v>
      </c>
      <c r="C1881" s="6">
        <f ca="1">IF(OR($C$7="",$B1881&gt;NOW()),"",IF(INDEX(Data!$A:$G,MATCH($B1881,Data!$A:$A,0),MATCH($C$7,Data!$4:$4,0))="","",INDEX(Data!$A:$G,MATCH($B1881,Data!$A:$A,0),MATCH($C$7,Data!$4:$4,0))))</f>
        <v>34.9</v>
      </c>
      <c r="D1881" s="148">
        <f t="shared" ca="1" si="62"/>
        <v>30.1</v>
      </c>
      <c r="E1881" s="148">
        <f t="shared" ca="1" si="63"/>
        <v>0</v>
      </c>
    </row>
    <row r="1882" spans="2:5" x14ac:dyDescent="0.25">
      <c r="B1882" s="8">
        <v>39476</v>
      </c>
      <c r="C1882" s="6">
        <f ca="1">IF(OR($C$7="",$B1882&gt;NOW()),"",IF(INDEX(Data!$A:$G,MATCH($B1882,Data!$A:$A,0),MATCH($C$7,Data!$4:$4,0))="","",INDEX(Data!$A:$G,MATCH($B1882,Data!$A:$A,0),MATCH($C$7,Data!$4:$4,0))))</f>
        <v>37.299999999999997</v>
      </c>
      <c r="D1882" s="148">
        <f t="shared" ca="1" si="62"/>
        <v>27.700000000000003</v>
      </c>
      <c r="E1882" s="148">
        <f t="shared" ca="1" si="63"/>
        <v>0</v>
      </c>
    </row>
    <row r="1883" spans="2:5" x14ac:dyDescent="0.25">
      <c r="B1883" s="8">
        <v>39477</v>
      </c>
      <c r="C1883" s="6">
        <f ca="1">IF(OR($C$7="",$B1883&gt;NOW()),"",IF(INDEX(Data!$A:$G,MATCH($B1883,Data!$A:$A,0),MATCH($C$7,Data!$4:$4,0))="","",INDEX(Data!$A:$G,MATCH($B1883,Data!$A:$A,0),MATCH($C$7,Data!$4:$4,0))))</f>
        <v>43</v>
      </c>
      <c r="D1883" s="148">
        <f t="shared" ca="1" si="62"/>
        <v>22</v>
      </c>
      <c r="E1883" s="148">
        <f t="shared" ca="1" si="63"/>
        <v>0</v>
      </c>
    </row>
    <row r="1884" spans="2:5" x14ac:dyDescent="0.25">
      <c r="B1884" s="8">
        <v>39478</v>
      </c>
      <c r="C1884" s="6">
        <f ca="1">IF(OR($C$7="",$B1884&gt;NOW()),"",IF(INDEX(Data!$A:$G,MATCH($B1884,Data!$A:$A,0),MATCH($C$7,Data!$4:$4,0))="","",INDEX(Data!$A:$G,MATCH($B1884,Data!$A:$A,0),MATCH($C$7,Data!$4:$4,0))))</f>
        <v>34.299999999999997</v>
      </c>
      <c r="D1884" s="148">
        <f t="shared" ca="1" si="62"/>
        <v>30.700000000000003</v>
      </c>
      <c r="E1884" s="148">
        <f t="shared" ca="1" si="63"/>
        <v>0</v>
      </c>
    </row>
    <row r="1885" spans="2:5" x14ac:dyDescent="0.25">
      <c r="B1885" s="8">
        <v>39479</v>
      </c>
      <c r="C1885" s="6">
        <f ca="1">IF(OR($C$7="",$B1885&gt;NOW()),"",IF(INDEX(Data!$A:$G,MATCH($B1885,Data!$A:$A,0),MATCH($C$7,Data!$4:$4,0))="","",INDEX(Data!$A:$G,MATCH($B1885,Data!$A:$A,0),MATCH($C$7,Data!$4:$4,0))))</f>
        <v>35.9</v>
      </c>
      <c r="D1885" s="148">
        <f t="shared" ref="D1885:D1948" ca="1" si="64">IF($C1885="","",IF($C1885&gt;$D$26,0,$D$26-$C1885))</f>
        <v>29.1</v>
      </c>
      <c r="E1885" s="148">
        <f t="shared" ref="E1885:E1948" ca="1" si="65">IF($C1885="","",IF($C1885&lt;$E$26,0,$C1885-$E$26))</f>
        <v>0</v>
      </c>
    </row>
    <row r="1886" spans="2:5" x14ac:dyDescent="0.25">
      <c r="B1886" s="8">
        <v>39480</v>
      </c>
      <c r="C1886" s="6">
        <f ca="1">IF(OR($C$7="",$B1886&gt;NOW()),"",IF(INDEX(Data!$A:$G,MATCH($B1886,Data!$A:$A,0),MATCH($C$7,Data!$4:$4,0))="","",INDEX(Data!$A:$G,MATCH($B1886,Data!$A:$A,0),MATCH($C$7,Data!$4:$4,0))))</f>
        <v>43.8</v>
      </c>
      <c r="D1886" s="148">
        <f t="shared" ca="1" si="64"/>
        <v>21.200000000000003</v>
      </c>
      <c r="E1886" s="148">
        <f t="shared" ca="1" si="65"/>
        <v>0</v>
      </c>
    </row>
    <row r="1887" spans="2:5" x14ac:dyDescent="0.25">
      <c r="B1887" s="8">
        <v>39481</v>
      </c>
      <c r="C1887" s="6">
        <f ca="1">IF(OR($C$7="",$B1887&gt;NOW()),"",IF(INDEX(Data!$A:$G,MATCH($B1887,Data!$A:$A,0),MATCH($C$7,Data!$4:$4,0))="","",INDEX(Data!$A:$G,MATCH($B1887,Data!$A:$A,0),MATCH($C$7,Data!$4:$4,0))))</f>
        <v>40.200000000000003</v>
      </c>
      <c r="D1887" s="148">
        <f t="shared" ca="1" si="64"/>
        <v>24.799999999999997</v>
      </c>
      <c r="E1887" s="148">
        <f t="shared" ca="1" si="65"/>
        <v>0</v>
      </c>
    </row>
    <row r="1888" spans="2:5" x14ac:dyDescent="0.25">
      <c r="B1888" s="8">
        <v>39482</v>
      </c>
      <c r="C1888" s="6">
        <f ca="1">IF(OR($C$7="",$B1888&gt;NOW()),"",IF(INDEX(Data!$A:$G,MATCH($B1888,Data!$A:$A,0),MATCH($C$7,Data!$4:$4,0))="","",INDEX(Data!$A:$G,MATCH($B1888,Data!$A:$A,0),MATCH($C$7,Data!$4:$4,0))))</f>
        <v>39.4</v>
      </c>
      <c r="D1888" s="148">
        <f t="shared" ca="1" si="64"/>
        <v>25.6</v>
      </c>
      <c r="E1888" s="148">
        <f t="shared" ca="1" si="65"/>
        <v>0</v>
      </c>
    </row>
    <row r="1889" spans="2:5" x14ac:dyDescent="0.25">
      <c r="B1889" s="8">
        <v>39483</v>
      </c>
      <c r="C1889" s="6">
        <f ca="1">IF(OR($C$7="",$B1889&gt;NOW()),"",IF(INDEX(Data!$A:$G,MATCH($B1889,Data!$A:$A,0),MATCH($C$7,Data!$4:$4,0))="","",INDEX(Data!$A:$G,MATCH($B1889,Data!$A:$A,0),MATCH($C$7,Data!$4:$4,0))))</f>
        <v>44.7</v>
      </c>
      <c r="D1889" s="148">
        <f t="shared" ca="1" si="64"/>
        <v>20.299999999999997</v>
      </c>
      <c r="E1889" s="148">
        <f t="shared" ca="1" si="65"/>
        <v>0</v>
      </c>
    </row>
    <row r="1890" spans="2:5" x14ac:dyDescent="0.25">
      <c r="B1890" s="8">
        <v>39484</v>
      </c>
      <c r="C1890" s="6">
        <f ca="1">IF(OR($C$7="",$B1890&gt;NOW()),"",IF(INDEX(Data!$A:$G,MATCH($B1890,Data!$A:$A,0),MATCH($C$7,Data!$4:$4,0))="","",INDEX(Data!$A:$G,MATCH($B1890,Data!$A:$A,0),MATCH($C$7,Data!$4:$4,0))))</f>
        <v>53.7</v>
      </c>
      <c r="D1890" s="148">
        <f t="shared" ca="1" si="64"/>
        <v>11.299999999999997</v>
      </c>
      <c r="E1890" s="148">
        <f t="shared" ca="1" si="65"/>
        <v>0</v>
      </c>
    </row>
    <row r="1891" spans="2:5" x14ac:dyDescent="0.25">
      <c r="B1891" s="8">
        <v>39485</v>
      </c>
      <c r="C1891" s="6">
        <f ca="1">IF(OR($C$7="",$B1891&gt;NOW()),"",IF(INDEX(Data!$A:$G,MATCH($B1891,Data!$A:$A,0),MATCH($C$7,Data!$4:$4,0))="","",INDEX(Data!$A:$G,MATCH($B1891,Data!$A:$A,0),MATCH($C$7,Data!$4:$4,0))))</f>
        <v>44.1</v>
      </c>
      <c r="D1891" s="148">
        <f t="shared" ca="1" si="64"/>
        <v>20.9</v>
      </c>
      <c r="E1891" s="148">
        <f t="shared" ca="1" si="65"/>
        <v>0</v>
      </c>
    </row>
    <row r="1892" spans="2:5" x14ac:dyDescent="0.25">
      <c r="B1892" s="8">
        <v>39486</v>
      </c>
      <c r="C1892" s="6">
        <f ca="1">IF(OR($C$7="",$B1892&gt;NOW()),"",IF(INDEX(Data!$A:$G,MATCH($B1892,Data!$A:$A,0),MATCH($C$7,Data!$4:$4,0))="","",INDEX(Data!$A:$G,MATCH($B1892,Data!$A:$A,0),MATCH($C$7,Data!$4:$4,0))))</f>
        <v>40</v>
      </c>
      <c r="D1892" s="148">
        <f t="shared" ca="1" si="64"/>
        <v>25</v>
      </c>
      <c r="E1892" s="148">
        <f t="shared" ca="1" si="65"/>
        <v>0</v>
      </c>
    </row>
    <row r="1893" spans="2:5" x14ac:dyDescent="0.25">
      <c r="B1893" s="8">
        <v>39487</v>
      </c>
      <c r="C1893" s="6">
        <f ca="1">IF(OR($C$7="",$B1893&gt;NOW()),"",IF(INDEX(Data!$A:$G,MATCH($B1893,Data!$A:$A,0),MATCH($C$7,Data!$4:$4,0))="","",INDEX(Data!$A:$G,MATCH($B1893,Data!$A:$A,0),MATCH($C$7,Data!$4:$4,0))))</f>
        <v>40.799999999999997</v>
      </c>
      <c r="D1893" s="148">
        <f t="shared" ca="1" si="64"/>
        <v>24.200000000000003</v>
      </c>
      <c r="E1893" s="148">
        <f t="shared" ca="1" si="65"/>
        <v>0</v>
      </c>
    </row>
    <row r="1894" spans="2:5" x14ac:dyDescent="0.25">
      <c r="B1894" s="8">
        <v>39488</v>
      </c>
      <c r="C1894" s="6">
        <f ca="1">IF(OR($C$7="",$B1894&gt;NOW()),"",IF(INDEX(Data!$A:$G,MATCH($B1894,Data!$A:$A,0),MATCH($C$7,Data!$4:$4,0))="","",INDEX(Data!$A:$G,MATCH($B1894,Data!$A:$A,0),MATCH($C$7,Data!$4:$4,0))))</f>
        <v>39.799999999999997</v>
      </c>
      <c r="D1894" s="148">
        <f t="shared" ca="1" si="64"/>
        <v>25.200000000000003</v>
      </c>
      <c r="E1894" s="148">
        <f t="shared" ca="1" si="65"/>
        <v>0</v>
      </c>
    </row>
    <row r="1895" spans="2:5" x14ac:dyDescent="0.25">
      <c r="B1895" s="8">
        <v>39489</v>
      </c>
      <c r="C1895" s="6">
        <f ca="1">IF(OR($C$7="",$B1895&gt;NOW()),"",IF(INDEX(Data!$A:$G,MATCH($B1895,Data!$A:$A,0),MATCH($C$7,Data!$4:$4,0))="","",INDEX(Data!$A:$G,MATCH($B1895,Data!$A:$A,0),MATCH($C$7,Data!$4:$4,0))))</f>
        <v>18.5</v>
      </c>
      <c r="D1895" s="148">
        <f t="shared" ca="1" si="64"/>
        <v>46.5</v>
      </c>
      <c r="E1895" s="148">
        <f t="shared" ca="1" si="65"/>
        <v>0</v>
      </c>
    </row>
    <row r="1896" spans="2:5" x14ac:dyDescent="0.25">
      <c r="B1896" s="8">
        <v>39490</v>
      </c>
      <c r="C1896" s="6">
        <f ca="1">IF(OR($C$7="",$B1896&gt;NOW()),"",IF(INDEX(Data!$A:$G,MATCH($B1896,Data!$A:$A,0),MATCH($C$7,Data!$4:$4,0))="","",INDEX(Data!$A:$G,MATCH($B1896,Data!$A:$A,0),MATCH($C$7,Data!$4:$4,0))))</f>
        <v>22.1</v>
      </c>
      <c r="D1896" s="148">
        <f t="shared" ca="1" si="64"/>
        <v>42.9</v>
      </c>
      <c r="E1896" s="148">
        <f t="shared" ca="1" si="65"/>
        <v>0</v>
      </c>
    </row>
    <row r="1897" spans="2:5" x14ac:dyDescent="0.25">
      <c r="B1897" s="8">
        <v>39491</v>
      </c>
      <c r="C1897" s="6">
        <f ca="1">IF(OR($C$7="",$B1897&gt;NOW()),"",IF(INDEX(Data!$A:$G,MATCH($B1897,Data!$A:$A,0),MATCH($C$7,Data!$4:$4,0))="","",INDEX(Data!$A:$G,MATCH($B1897,Data!$A:$A,0),MATCH($C$7,Data!$4:$4,0))))</f>
        <v>40.1</v>
      </c>
      <c r="D1897" s="148">
        <f t="shared" ca="1" si="64"/>
        <v>24.9</v>
      </c>
      <c r="E1897" s="148">
        <f t="shared" ca="1" si="65"/>
        <v>0</v>
      </c>
    </row>
    <row r="1898" spans="2:5" x14ac:dyDescent="0.25">
      <c r="B1898" s="8">
        <v>39492</v>
      </c>
      <c r="C1898" s="6">
        <f ca="1">IF(OR($C$7="",$B1898&gt;NOW()),"",IF(INDEX(Data!$A:$G,MATCH($B1898,Data!$A:$A,0),MATCH($C$7,Data!$4:$4,0))="","",INDEX(Data!$A:$G,MATCH($B1898,Data!$A:$A,0),MATCH($C$7,Data!$4:$4,0))))</f>
        <v>36.200000000000003</v>
      </c>
      <c r="D1898" s="148">
        <f t="shared" ca="1" si="64"/>
        <v>28.799999999999997</v>
      </c>
      <c r="E1898" s="148">
        <f t="shared" ca="1" si="65"/>
        <v>0</v>
      </c>
    </row>
    <row r="1899" spans="2:5" x14ac:dyDescent="0.25">
      <c r="B1899" s="8">
        <v>39493</v>
      </c>
      <c r="C1899" s="6">
        <f ca="1">IF(OR($C$7="",$B1899&gt;NOW()),"",IF(INDEX(Data!$A:$G,MATCH($B1899,Data!$A:$A,0),MATCH($C$7,Data!$4:$4,0))="","",INDEX(Data!$A:$G,MATCH($B1899,Data!$A:$A,0),MATCH($C$7,Data!$4:$4,0))))</f>
        <v>39.299999999999997</v>
      </c>
      <c r="D1899" s="148">
        <f t="shared" ca="1" si="64"/>
        <v>25.700000000000003</v>
      </c>
      <c r="E1899" s="148">
        <f t="shared" ca="1" si="65"/>
        <v>0</v>
      </c>
    </row>
    <row r="1900" spans="2:5" x14ac:dyDescent="0.25">
      <c r="B1900" s="8">
        <v>39494</v>
      </c>
      <c r="C1900" s="6">
        <f ca="1">IF(OR($C$7="",$B1900&gt;NOW()),"",IF(INDEX(Data!$A:$G,MATCH($B1900,Data!$A:$A,0),MATCH($C$7,Data!$4:$4,0))="","",INDEX(Data!$A:$G,MATCH($B1900,Data!$A:$A,0),MATCH($C$7,Data!$4:$4,0))))</f>
        <v>31.5</v>
      </c>
      <c r="D1900" s="148">
        <f t="shared" ca="1" si="64"/>
        <v>33.5</v>
      </c>
      <c r="E1900" s="148">
        <f t="shared" ca="1" si="65"/>
        <v>0</v>
      </c>
    </row>
    <row r="1901" spans="2:5" x14ac:dyDescent="0.25">
      <c r="B1901" s="8">
        <v>39495</v>
      </c>
      <c r="C1901" s="6">
        <f ca="1">IF(OR($C$7="",$B1901&gt;NOW()),"",IF(INDEX(Data!$A:$G,MATCH($B1901,Data!$A:$A,0),MATCH($C$7,Data!$4:$4,0))="","",INDEX(Data!$A:$G,MATCH($B1901,Data!$A:$A,0),MATCH($C$7,Data!$4:$4,0))))</f>
        <v>35.700000000000003</v>
      </c>
      <c r="D1901" s="148">
        <f t="shared" ca="1" si="64"/>
        <v>29.299999999999997</v>
      </c>
      <c r="E1901" s="148">
        <f t="shared" ca="1" si="65"/>
        <v>0</v>
      </c>
    </row>
    <row r="1902" spans="2:5" x14ac:dyDescent="0.25">
      <c r="B1902" s="8">
        <v>39496</v>
      </c>
      <c r="C1902" s="6">
        <f ca="1">IF(OR($C$7="",$B1902&gt;NOW()),"",IF(INDEX(Data!$A:$G,MATCH($B1902,Data!$A:$A,0),MATCH($C$7,Data!$4:$4,0))="","",INDEX(Data!$A:$G,MATCH($B1902,Data!$A:$A,0),MATCH($C$7,Data!$4:$4,0))))</f>
        <v>54.2</v>
      </c>
      <c r="D1902" s="148">
        <f t="shared" ca="1" si="64"/>
        <v>10.799999999999997</v>
      </c>
      <c r="E1902" s="148">
        <f t="shared" ca="1" si="65"/>
        <v>0</v>
      </c>
    </row>
    <row r="1903" spans="2:5" x14ac:dyDescent="0.25">
      <c r="B1903" s="8">
        <v>39497</v>
      </c>
      <c r="C1903" s="6">
        <f ca="1">IF(OR($C$7="",$B1903&gt;NOW()),"",IF(INDEX(Data!$A:$G,MATCH($B1903,Data!$A:$A,0),MATCH($C$7,Data!$4:$4,0))="","",INDEX(Data!$A:$G,MATCH($B1903,Data!$A:$A,0),MATCH($C$7,Data!$4:$4,0))))</f>
        <v>41.3</v>
      </c>
      <c r="D1903" s="148">
        <f t="shared" ca="1" si="64"/>
        <v>23.700000000000003</v>
      </c>
      <c r="E1903" s="148">
        <f t="shared" ca="1" si="65"/>
        <v>0</v>
      </c>
    </row>
    <row r="1904" spans="2:5" x14ac:dyDescent="0.25">
      <c r="B1904" s="8">
        <v>39498</v>
      </c>
      <c r="C1904" s="6">
        <f ca="1">IF(OR($C$7="",$B1904&gt;NOW()),"",IF(INDEX(Data!$A:$G,MATCH($B1904,Data!$A:$A,0),MATCH($C$7,Data!$4:$4,0))="","",INDEX(Data!$A:$G,MATCH($B1904,Data!$A:$A,0),MATCH($C$7,Data!$4:$4,0))))</f>
        <v>29.9</v>
      </c>
      <c r="D1904" s="148">
        <f t="shared" ca="1" si="64"/>
        <v>35.1</v>
      </c>
      <c r="E1904" s="148">
        <f t="shared" ca="1" si="65"/>
        <v>0</v>
      </c>
    </row>
    <row r="1905" spans="2:5" x14ac:dyDescent="0.25">
      <c r="B1905" s="8">
        <v>39499</v>
      </c>
      <c r="C1905" s="6">
        <f ca="1">IF(OR($C$7="",$B1905&gt;NOW()),"",IF(INDEX(Data!$A:$G,MATCH($B1905,Data!$A:$A,0),MATCH($C$7,Data!$4:$4,0))="","",INDEX(Data!$A:$G,MATCH($B1905,Data!$A:$A,0),MATCH($C$7,Data!$4:$4,0))))</f>
        <v>28.3</v>
      </c>
      <c r="D1905" s="148">
        <f t="shared" ca="1" si="64"/>
        <v>36.700000000000003</v>
      </c>
      <c r="E1905" s="148">
        <f t="shared" ca="1" si="65"/>
        <v>0</v>
      </c>
    </row>
    <row r="1906" spans="2:5" x14ac:dyDescent="0.25">
      <c r="B1906" s="8">
        <v>39500</v>
      </c>
      <c r="C1906" s="6">
        <f ca="1">IF(OR($C$7="",$B1906&gt;NOW()),"",IF(INDEX(Data!$A:$G,MATCH($B1906,Data!$A:$A,0),MATCH($C$7,Data!$4:$4,0))="","",INDEX(Data!$A:$G,MATCH($B1906,Data!$A:$A,0),MATCH($C$7,Data!$4:$4,0))))</f>
        <v>30.5</v>
      </c>
      <c r="D1906" s="148">
        <f t="shared" ca="1" si="64"/>
        <v>34.5</v>
      </c>
      <c r="E1906" s="148">
        <f t="shared" ca="1" si="65"/>
        <v>0</v>
      </c>
    </row>
    <row r="1907" spans="2:5" x14ac:dyDescent="0.25">
      <c r="B1907" s="8">
        <v>39501</v>
      </c>
      <c r="C1907" s="6">
        <f ca="1">IF(OR($C$7="",$B1907&gt;NOW()),"",IF(INDEX(Data!$A:$G,MATCH($B1907,Data!$A:$A,0),MATCH($C$7,Data!$4:$4,0))="","",INDEX(Data!$A:$G,MATCH($B1907,Data!$A:$A,0),MATCH($C$7,Data!$4:$4,0))))</f>
        <v>33</v>
      </c>
      <c r="D1907" s="148">
        <f t="shared" ca="1" si="64"/>
        <v>32</v>
      </c>
      <c r="E1907" s="148">
        <f t="shared" ca="1" si="65"/>
        <v>0</v>
      </c>
    </row>
    <row r="1908" spans="2:5" x14ac:dyDescent="0.25">
      <c r="B1908" s="8">
        <v>39502</v>
      </c>
      <c r="C1908" s="6">
        <f ca="1">IF(OR($C$7="",$B1908&gt;NOW()),"",IF(INDEX(Data!$A:$G,MATCH($B1908,Data!$A:$A,0),MATCH($C$7,Data!$4:$4,0))="","",INDEX(Data!$A:$G,MATCH($B1908,Data!$A:$A,0),MATCH($C$7,Data!$4:$4,0))))</f>
        <v>32.4</v>
      </c>
      <c r="D1908" s="148">
        <f t="shared" ca="1" si="64"/>
        <v>32.6</v>
      </c>
      <c r="E1908" s="148">
        <f t="shared" ca="1" si="65"/>
        <v>0</v>
      </c>
    </row>
    <row r="1909" spans="2:5" x14ac:dyDescent="0.25">
      <c r="B1909" s="8">
        <v>39503</v>
      </c>
      <c r="C1909" s="6">
        <f ca="1">IF(OR($C$7="",$B1909&gt;NOW()),"",IF(INDEX(Data!$A:$G,MATCH($B1909,Data!$A:$A,0),MATCH($C$7,Data!$4:$4,0))="","",INDEX(Data!$A:$G,MATCH($B1909,Data!$A:$A,0),MATCH($C$7,Data!$4:$4,0))))</f>
        <v>39</v>
      </c>
      <c r="D1909" s="148">
        <f t="shared" ca="1" si="64"/>
        <v>26</v>
      </c>
      <c r="E1909" s="148">
        <f t="shared" ca="1" si="65"/>
        <v>0</v>
      </c>
    </row>
    <row r="1910" spans="2:5" x14ac:dyDescent="0.25">
      <c r="B1910" s="8">
        <v>39504</v>
      </c>
      <c r="C1910" s="6">
        <f ca="1">IF(OR($C$7="",$B1910&gt;NOW()),"",IF(INDEX(Data!$A:$G,MATCH($B1910,Data!$A:$A,0),MATCH($C$7,Data!$4:$4,0))="","",INDEX(Data!$A:$G,MATCH($B1910,Data!$A:$A,0),MATCH($C$7,Data!$4:$4,0))))</f>
        <v>42.9</v>
      </c>
      <c r="D1910" s="148">
        <f t="shared" ca="1" si="64"/>
        <v>22.1</v>
      </c>
      <c r="E1910" s="148">
        <f t="shared" ca="1" si="65"/>
        <v>0</v>
      </c>
    </row>
    <row r="1911" spans="2:5" x14ac:dyDescent="0.25">
      <c r="B1911" s="8">
        <v>39505</v>
      </c>
      <c r="C1911" s="6">
        <f ca="1">IF(OR($C$7="",$B1911&gt;NOW()),"",IF(INDEX(Data!$A:$G,MATCH($B1911,Data!$A:$A,0),MATCH($C$7,Data!$4:$4,0))="","",INDEX(Data!$A:$G,MATCH($B1911,Data!$A:$A,0),MATCH($C$7,Data!$4:$4,0))))</f>
        <v>40.9</v>
      </c>
      <c r="D1911" s="148">
        <f t="shared" ca="1" si="64"/>
        <v>24.1</v>
      </c>
      <c r="E1911" s="148">
        <f t="shared" ca="1" si="65"/>
        <v>0</v>
      </c>
    </row>
    <row r="1912" spans="2:5" x14ac:dyDescent="0.25">
      <c r="B1912" s="8">
        <v>39506</v>
      </c>
      <c r="C1912" s="6">
        <f ca="1">IF(OR($C$7="",$B1912&gt;NOW()),"",IF(INDEX(Data!$A:$G,MATCH($B1912,Data!$A:$A,0),MATCH($C$7,Data!$4:$4,0))="","",INDEX(Data!$A:$G,MATCH($B1912,Data!$A:$A,0),MATCH($C$7,Data!$4:$4,0))))</f>
        <v>24.6</v>
      </c>
      <c r="D1912" s="148">
        <f t="shared" ca="1" si="64"/>
        <v>40.4</v>
      </c>
      <c r="E1912" s="148">
        <f t="shared" ca="1" si="65"/>
        <v>0</v>
      </c>
    </row>
    <row r="1913" spans="2:5" x14ac:dyDescent="0.25">
      <c r="B1913" s="8">
        <v>39507</v>
      </c>
      <c r="C1913" s="6">
        <f ca="1">IF(OR($C$7="",$B1913&gt;NOW()),"",IF(INDEX(Data!$A:$G,MATCH($B1913,Data!$A:$A,0),MATCH($C$7,Data!$4:$4,0))="","",INDEX(Data!$A:$G,MATCH($B1913,Data!$A:$A,0),MATCH($C$7,Data!$4:$4,0))))</f>
        <v>24</v>
      </c>
      <c r="D1913" s="148">
        <f t="shared" ca="1" si="64"/>
        <v>41</v>
      </c>
      <c r="E1913" s="148">
        <f t="shared" ca="1" si="65"/>
        <v>0</v>
      </c>
    </row>
    <row r="1914" spans="2:5" x14ac:dyDescent="0.25">
      <c r="B1914" s="8">
        <v>39508</v>
      </c>
      <c r="C1914" s="6">
        <f ca="1">IF(OR($C$7="",$B1914&gt;NOW()),"",IF(INDEX(Data!$A:$G,MATCH($B1914,Data!$A:$A,0),MATCH($C$7,Data!$4:$4,0))="","",INDEX(Data!$A:$G,MATCH($B1914,Data!$A:$A,0),MATCH($C$7,Data!$4:$4,0))))</f>
        <v>39.200000000000003</v>
      </c>
      <c r="D1914" s="148">
        <f t="shared" ca="1" si="64"/>
        <v>25.799999999999997</v>
      </c>
      <c r="E1914" s="148">
        <f t="shared" ca="1" si="65"/>
        <v>0</v>
      </c>
    </row>
    <row r="1915" spans="2:5" x14ac:dyDescent="0.25">
      <c r="B1915" s="8">
        <v>39509</v>
      </c>
      <c r="C1915" s="6">
        <f ca="1">IF(OR($C$7="",$B1915&gt;NOW()),"",IF(INDEX(Data!$A:$G,MATCH($B1915,Data!$A:$A,0),MATCH($C$7,Data!$4:$4,0))="","",INDEX(Data!$A:$G,MATCH($B1915,Data!$A:$A,0),MATCH($C$7,Data!$4:$4,0))))</f>
        <v>35.799999999999997</v>
      </c>
      <c r="D1915" s="148">
        <f t="shared" ca="1" si="64"/>
        <v>29.200000000000003</v>
      </c>
      <c r="E1915" s="148">
        <f t="shared" ca="1" si="65"/>
        <v>0</v>
      </c>
    </row>
    <row r="1916" spans="2:5" x14ac:dyDescent="0.25">
      <c r="B1916" s="8">
        <v>39510</v>
      </c>
      <c r="C1916" s="6">
        <f ca="1">IF(OR($C$7="",$B1916&gt;NOW()),"",IF(INDEX(Data!$A:$G,MATCH($B1916,Data!$A:$A,0),MATCH($C$7,Data!$4:$4,0))="","",INDEX(Data!$A:$G,MATCH($B1916,Data!$A:$A,0),MATCH($C$7,Data!$4:$4,0))))</f>
        <v>43.5</v>
      </c>
      <c r="D1916" s="148">
        <f t="shared" ca="1" si="64"/>
        <v>21.5</v>
      </c>
      <c r="E1916" s="148">
        <f t="shared" ca="1" si="65"/>
        <v>0</v>
      </c>
    </row>
    <row r="1917" spans="2:5" x14ac:dyDescent="0.25">
      <c r="B1917" s="8">
        <v>39511</v>
      </c>
      <c r="C1917" s="6">
        <f ca="1">IF(OR($C$7="",$B1917&gt;NOW()),"",IF(INDEX(Data!$A:$G,MATCH($B1917,Data!$A:$A,0),MATCH($C$7,Data!$4:$4,0))="","",INDEX(Data!$A:$G,MATCH($B1917,Data!$A:$A,0),MATCH($C$7,Data!$4:$4,0))))</f>
        <v>51</v>
      </c>
      <c r="D1917" s="148">
        <f t="shared" ca="1" si="64"/>
        <v>14</v>
      </c>
      <c r="E1917" s="148">
        <f t="shared" ca="1" si="65"/>
        <v>0</v>
      </c>
    </row>
    <row r="1918" spans="2:5" x14ac:dyDescent="0.25">
      <c r="B1918" s="8">
        <v>39512</v>
      </c>
      <c r="C1918" s="6">
        <f ca="1">IF(OR($C$7="",$B1918&gt;NOW()),"",IF(INDEX(Data!$A:$G,MATCH($B1918,Data!$A:$A,0),MATCH($C$7,Data!$4:$4,0))="","",INDEX(Data!$A:$G,MATCH($B1918,Data!$A:$A,0),MATCH($C$7,Data!$4:$4,0))))</f>
        <v>49.9</v>
      </c>
      <c r="D1918" s="148">
        <f t="shared" ca="1" si="64"/>
        <v>15.100000000000001</v>
      </c>
      <c r="E1918" s="148">
        <f t="shared" ca="1" si="65"/>
        <v>0</v>
      </c>
    </row>
    <row r="1919" spans="2:5" x14ac:dyDescent="0.25">
      <c r="B1919" s="8">
        <v>39513</v>
      </c>
      <c r="C1919" s="6">
        <f ca="1">IF(OR($C$7="",$B1919&gt;NOW()),"",IF(INDEX(Data!$A:$G,MATCH($B1919,Data!$A:$A,0),MATCH($C$7,Data!$4:$4,0))="","",INDEX(Data!$A:$G,MATCH($B1919,Data!$A:$A,0),MATCH($C$7,Data!$4:$4,0))))</f>
        <v>41.1</v>
      </c>
      <c r="D1919" s="148">
        <f t="shared" ca="1" si="64"/>
        <v>23.9</v>
      </c>
      <c r="E1919" s="148">
        <f t="shared" ca="1" si="65"/>
        <v>0</v>
      </c>
    </row>
    <row r="1920" spans="2:5" x14ac:dyDescent="0.25">
      <c r="B1920" s="8">
        <v>39514</v>
      </c>
      <c r="C1920" s="6">
        <f ca="1">IF(OR($C$7="",$B1920&gt;NOW()),"",IF(INDEX(Data!$A:$G,MATCH($B1920,Data!$A:$A,0),MATCH($C$7,Data!$4:$4,0))="","",INDEX(Data!$A:$G,MATCH($B1920,Data!$A:$A,0),MATCH($C$7,Data!$4:$4,0))))</f>
        <v>39.6</v>
      </c>
      <c r="D1920" s="148">
        <f t="shared" ca="1" si="64"/>
        <v>25.4</v>
      </c>
      <c r="E1920" s="148">
        <f t="shared" ca="1" si="65"/>
        <v>0</v>
      </c>
    </row>
    <row r="1921" spans="2:5" x14ac:dyDescent="0.25">
      <c r="B1921" s="8">
        <v>39515</v>
      </c>
      <c r="C1921" s="6">
        <f ca="1">IF(OR($C$7="",$B1921&gt;NOW()),"",IF(INDEX(Data!$A:$G,MATCH($B1921,Data!$A:$A,0),MATCH($C$7,Data!$4:$4,0))="","",INDEX(Data!$A:$G,MATCH($B1921,Data!$A:$A,0),MATCH($C$7,Data!$4:$4,0))))</f>
        <v>45.3</v>
      </c>
      <c r="D1921" s="148">
        <f t="shared" ca="1" si="64"/>
        <v>19.700000000000003</v>
      </c>
      <c r="E1921" s="148">
        <f t="shared" ca="1" si="65"/>
        <v>0</v>
      </c>
    </row>
    <row r="1922" spans="2:5" x14ac:dyDescent="0.25">
      <c r="B1922" s="8">
        <v>39516</v>
      </c>
      <c r="C1922" s="6">
        <f ca="1">IF(OR($C$7="",$B1922&gt;NOW()),"",IF(INDEX(Data!$A:$G,MATCH($B1922,Data!$A:$A,0),MATCH($C$7,Data!$4:$4,0))="","",INDEX(Data!$A:$G,MATCH($B1922,Data!$A:$A,0),MATCH($C$7,Data!$4:$4,0))))</f>
        <v>38.6</v>
      </c>
      <c r="D1922" s="148">
        <f t="shared" ca="1" si="64"/>
        <v>26.4</v>
      </c>
      <c r="E1922" s="148">
        <f t="shared" ca="1" si="65"/>
        <v>0</v>
      </c>
    </row>
    <row r="1923" spans="2:5" x14ac:dyDescent="0.25">
      <c r="B1923" s="8">
        <v>39517</v>
      </c>
      <c r="C1923" s="6">
        <f ca="1">IF(OR($C$7="",$B1923&gt;NOW()),"",IF(INDEX(Data!$A:$G,MATCH($B1923,Data!$A:$A,0),MATCH($C$7,Data!$4:$4,0))="","",INDEX(Data!$A:$G,MATCH($B1923,Data!$A:$A,0),MATCH($C$7,Data!$4:$4,0))))</f>
        <v>36.299999999999997</v>
      </c>
      <c r="D1923" s="148">
        <f t="shared" ca="1" si="64"/>
        <v>28.700000000000003</v>
      </c>
      <c r="E1923" s="148">
        <f t="shared" ca="1" si="65"/>
        <v>0</v>
      </c>
    </row>
    <row r="1924" spans="2:5" x14ac:dyDescent="0.25">
      <c r="B1924" s="8">
        <v>39518</v>
      </c>
      <c r="C1924" s="6">
        <f ca="1">IF(OR($C$7="",$B1924&gt;NOW()),"",IF(INDEX(Data!$A:$G,MATCH($B1924,Data!$A:$A,0),MATCH($C$7,Data!$4:$4,0))="","",INDEX(Data!$A:$G,MATCH($B1924,Data!$A:$A,0),MATCH($C$7,Data!$4:$4,0))))</f>
        <v>40.4</v>
      </c>
      <c r="D1924" s="148">
        <f t="shared" ca="1" si="64"/>
        <v>24.6</v>
      </c>
      <c r="E1924" s="148">
        <f t="shared" ca="1" si="65"/>
        <v>0</v>
      </c>
    </row>
    <row r="1925" spans="2:5" x14ac:dyDescent="0.25">
      <c r="B1925" s="8">
        <v>39519</v>
      </c>
      <c r="C1925" s="6">
        <f ca="1">IF(OR($C$7="",$B1925&gt;NOW()),"",IF(INDEX(Data!$A:$G,MATCH($B1925,Data!$A:$A,0),MATCH($C$7,Data!$4:$4,0))="","",INDEX(Data!$A:$G,MATCH($B1925,Data!$A:$A,0),MATCH($C$7,Data!$4:$4,0))))</f>
        <v>43.5</v>
      </c>
      <c r="D1925" s="148">
        <f t="shared" ca="1" si="64"/>
        <v>21.5</v>
      </c>
      <c r="E1925" s="148">
        <f t="shared" ca="1" si="65"/>
        <v>0</v>
      </c>
    </row>
    <row r="1926" spans="2:5" x14ac:dyDescent="0.25">
      <c r="B1926" s="8">
        <v>39520</v>
      </c>
      <c r="C1926" s="6">
        <f ca="1">IF(OR($C$7="",$B1926&gt;NOW()),"",IF(INDEX(Data!$A:$G,MATCH($B1926,Data!$A:$A,0),MATCH($C$7,Data!$4:$4,0))="","",INDEX(Data!$A:$G,MATCH($B1926,Data!$A:$A,0),MATCH($C$7,Data!$4:$4,0))))</f>
        <v>38.5</v>
      </c>
      <c r="D1926" s="148">
        <f t="shared" ca="1" si="64"/>
        <v>26.5</v>
      </c>
      <c r="E1926" s="148">
        <f t="shared" ca="1" si="65"/>
        <v>0</v>
      </c>
    </row>
    <row r="1927" spans="2:5" x14ac:dyDescent="0.25">
      <c r="B1927" s="8">
        <v>39521</v>
      </c>
      <c r="C1927" s="6">
        <f ca="1">IF(OR($C$7="",$B1927&gt;NOW()),"",IF(INDEX(Data!$A:$G,MATCH($B1927,Data!$A:$A,0),MATCH($C$7,Data!$4:$4,0))="","",INDEX(Data!$A:$G,MATCH($B1927,Data!$A:$A,0),MATCH($C$7,Data!$4:$4,0))))</f>
        <v>43.7</v>
      </c>
      <c r="D1927" s="148">
        <f t="shared" ca="1" si="64"/>
        <v>21.299999999999997</v>
      </c>
      <c r="E1927" s="148">
        <f t="shared" ca="1" si="65"/>
        <v>0</v>
      </c>
    </row>
    <row r="1928" spans="2:5" x14ac:dyDescent="0.25">
      <c r="B1928" s="8">
        <v>39522</v>
      </c>
      <c r="C1928" s="6">
        <f ca="1">IF(OR($C$7="",$B1928&gt;NOW()),"",IF(INDEX(Data!$A:$G,MATCH($B1928,Data!$A:$A,0),MATCH($C$7,Data!$4:$4,0))="","",INDEX(Data!$A:$G,MATCH($B1928,Data!$A:$A,0),MATCH($C$7,Data!$4:$4,0))))</f>
        <v>45.5</v>
      </c>
      <c r="D1928" s="148">
        <f t="shared" ca="1" si="64"/>
        <v>19.5</v>
      </c>
      <c r="E1928" s="148">
        <f t="shared" ca="1" si="65"/>
        <v>0</v>
      </c>
    </row>
    <row r="1929" spans="2:5" x14ac:dyDescent="0.25">
      <c r="B1929" s="8">
        <v>39523</v>
      </c>
      <c r="C1929" s="6">
        <f ca="1">IF(OR($C$7="",$B1929&gt;NOW()),"",IF(INDEX(Data!$A:$G,MATCH($B1929,Data!$A:$A,0),MATCH($C$7,Data!$4:$4,0))="","",INDEX(Data!$A:$G,MATCH($B1929,Data!$A:$A,0),MATCH($C$7,Data!$4:$4,0))))</f>
        <v>43.2</v>
      </c>
      <c r="D1929" s="148">
        <f t="shared" ca="1" si="64"/>
        <v>21.799999999999997</v>
      </c>
      <c r="E1929" s="148">
        <f t="shared" ca="1" si="65"/>
        <v>0</v>
      </c>
    </row>
    <row r="1930" spans="2:5" x14ac:dyDescent="0.25">
      <c r="B1930" s="8">
        <v>39524</v>
      </c>
      <c r="C1930" s="6">
        <f ca="1">IF(OR($C$7="",$B1930&gt;NOW()),"",IF(INDEX(Data!$A:$G,MATCH($B1930,Data!$A:$A,0),MATCH($C$7,Data!$4:$4,0))="","",INDEX(Data!$A:$G,MATCH($B1930,Data!$A:$A,0),MATCH($C$7,Data!$4:$4,0))))</f>
        <v>39.299999999999997</v>
      </c>
      <c r="D1930" s="148">
        <f t="shared" ca="1" si="64"/>
        <v>25.700000000000003</v>
      </c>
      <c r="E1930" s="148">
        <f t="shared" ca="1" si="65"/>
        <v>0</v>
      </c>
    </row>
    <row r="1931" spans="2:5" x14ac:dyDescent="0.25">
      <c r="B1931" s="8">
        <v>39525</v>
      </c>
      <c r="C1931" s="6">
        <f ca="1">IF(OR($C$7="",$B1931&gt;NOW()),"",IF(INDEX(Data!$A:$G,MATCH($B1931,Data!$A:$A,0),MATCH($C$7,Data!$4:$4,0))="","",INDEX(Data!$A:$G,MATCH($B1931,Data!$A:$A,0),MATCH($C$7,Data!$4:$4,0))))</f>
        <v>40.1</v>
      </c>
      <c r="D1931" s="148">
        <f t="shared" ca="1" si="64"/>
        <v>24.9</v>
      </c>
      <c r="E1931" s="148">
        <f t="shared" ca="1" si="65"/>
        <v>0</v>
      </c>
    </row>
    <row r="1932" spans="2:5" x14ac:dyDescent="0.25">
      <c r="B1932" s="8">
        <v>39526</v>
      </c>
      <c r="C1932" s="6">
        <f ca="1">IF(OR($C$7="",$B1932&gt;NOW()),"",IF(INDEX(Data!$A:$G,MATCH($B1932,Data!$A:$A,0),MATCH($C$7,Data!$4:$4,0))="","",INDEX(Data!$A:$G,MATCH($B1932,Data!$A:$A,0),MATCH($C$7,Data!$4:$4,0))))</f>
        <v>42.7</v>
      </c>
      <c r="D1932" s="148">
        <f t="shared" ca="1" si="64"/>
        <v>22.299999999999997</v>
      </c>
      <c r="E1932" s="148">
        <f t="shared" ca="1" si="65"/>
        <v>0</v>
      </c>
    </row>
    <row r="1933" spans="2:5" x14ac:dyDescent="0.25">
      <c r="B1933" s="8">
        <v>39527</v>
      </c>
      <c r="C1933" s="6">
        <f ca="1">IF(OR($C$7="",$B1933&gt;NOW()),"",IF(INDEX(Data!$A:$G,MATCH($B1933,Data!$A:$A,0),MATCH($C$7,Data!$4:$4,0))="","",INDEX(Data!$A:$G,MATCH($B1933,Data!$A:$A,0),MATCH($C$7,Data!$4:$4,0))))</f>
        <v>48.1</v>
      </c>
      <c r="D1933" s="148">
        <f t="shared" ca="1" si="64"/>
        <v>16.899999999999999</v>
      </c>
      <c r="E1933" s="148">
        <f t="shared" ca="1" si="65"/>
        <v>0</v>
      </c>
    </row>
    <row r="1934" spans="2:5" x14ac:dyDescent="0.25">
      <c r="B1934" s="8">
        <v>39528</v>
      </c>
      <c r="C1934" s="6">
        <f ca="1">IF(OR($C$7="",$B1934&gt;NOW()),"",IF(INDEX(Data!$A:$G,MATCH($B1934,Data!$A:$A,0),MATCH($C$7,Data!$4:$4,0))="","",INDEX(Data!$A:$G,MATCH($B1934,Data!$A:$A,0),MATCH($C$7,Data!$4:$4,0))))</f>
        <v>39.5</v>
      </c>
      <c r="D1934" s="148">
        <f t="shared" ca="1" si="64"/>
        <v>25.5</v>
      </c>
      <c r="E1934" s="148">
        <f t="shared" ca="1" si="65"/>
        <v>0</v>
      </c>
    </row>
    <row r="1935" spans="2:5" x14ac:dyDescent="0.25">
      <c r="B1935" s="8">
        <v>39529</v>
      </c>
      <c r="C1935" s="6">
        <f ca="1">IF(OR($C$7="",$B1935&gt;NOW()),"",IF(INDEX(Data!$A:$G,MATCH($B1935,Data!$A:$A,0),MATCH($C$7,Data!$4:$4,0))="","",INDEX(Data!$A:$G,MATCH($B1935,Data!$A:$A,0),MATCH($C$7,Data!$4:$4,0))))</f>
        <v>41.2</v>
      </c>
      <c r="D1935" s="148">
        <f t="shared" ca="1" si="64"/>
        <v>23.799999999999997</v>
      </c>
      <c r="E1935" s="148">
        <f t="shared" ca="1" si="65"/>
        <v>0</v>
      </c>
    </row>
    <row r="1936" spans="2:5" x14ac:dyDescent="0.25">
      <c r="B1936" s="8">
        <v>39530</v>
      </c>
      <c r="C1936" s="6">
        <f ca="1">IF(OR($C$7="",$B1936&gt;NOW()),"",IF(INDEX(Data!$A:$G,MATCH($B1936,Data!$A:$A,0),MATCH($C$7,Data!$4:$4,0))="","",INDEX(Data!$A:$G,MATCH($B1936,Data!$A:$A,0),MATCH($C$7,Data!$4:$4,0))))</f>
        <v>39.6</v>
      </c>
      <c r="D1936" s="148">
        <f t="shared" ca="1" si="64"/>
        <v>25.4</v>
      </c>
      <c r="E1936" s="148">
        <f t="shared" ca="1" si="65"/>
        <v>0</v>
      </c>
    </row>
    <row r="1937" spans="2:5" x14ac:dyDescent="0.25">
      <c r="B1937" s="8">
        <v>39531</v>
      </c>
      <c r="C1937" s="6">
        <f ca="1">IF(OR($C$7="",$B1937&gt;NOW()),"",IF(INDEX(Data!$A:$G,MATCH($B1937,Data!$A:$A,0),MATCH($C$7,Data!$4:$4,0))="","",INDEX(Data!$A:$G,MATCH($B1937,Data!$A:$A,0),MATCH($C$7,Data!$4:$4,0))))</f>
        <v>40.299999999999997</v>
      </c>
      <c r="D1937" s="148">
        <f t="shared" ca="1" si="64"/>
        <v>24.700000000000003</v>
      </c>
      <c r="E1937" s="148">
        <f t="shared" ca="1" si="65"/>
        <v>0</v>
      </c>
    </row>
    <row r="1938" spans="2:5" x14ac:dyDescent="0.25">
      <c r="B1938" s="8">
        <v>39532</v>
      </c>
      <c r="C1938" s="6">
        <f ca="1">IF(OR($C$7="",$B1938&gt;NOW()),"",IF(INDEX(Data!$A:$G,MATCH($B1938,Data!$A:$A,0),MATCH($C$7,Data!$4:$4,0))="","",INDEX(Data!$A:$G,MATCH($B1938,Data!$A:$A,0),MATCH($C$7,Data!$4:$4,0))))</f>
        <v>39.5</v>
      </c>
      <c r="D1938" s="148">
        <f t="shared" ca="1" si="64"/>
        <v>25.5</v>
      </c>
      <c r="E1938" s="148">
        <f t="shared" ca="1" si="65"/>
        <v>0</v>
      </c>
    </row>
    <row r="1939" spans="2:5" x14ac:dyDescent="0.25">
      <c r="B1939" s="8">
        <v>39533</v>
      </c>
      <c r="C1939" s="6">
        <f ca="1">IF(OR($C$7="",$B1939&gt;NOW()),"",IF(INDEX(Data!$A:$G,MATCH($B1939,Data!$A:$A,0),MATCH($C$7,Data!$4:$4,0))="","",INDEX(Data!$A:$G,MATCH($B1939,Data!$A:$A,0),MATCH($C$7,Data!$4:$4,0))))</f>
        <v>49.8</v>
      </c>
      <c r="D1939" s="148">
        <f t="shared" ca="1" si="64"/>
        <v>15.200000000000003</v>
      </c>
      <c r="E1939" s="148">
        <f t="shared" ca="1" si="65"/>
        <v>0</v>
      </c>
    </row>
    <row r="1940" spans="2:5" x14ac:dyDescent="0.25">
      <c r="B1940" s="8">
        <v>39534</v>
      </c>
      <c r="C1940" s="6">
        <f ca="1">IF(OR($C$7="",$B1940&gt;NOW()),"",IF(INDEX(Data!$A:$G,MATCH($B1940,Data!$A:$A,0),MATCH($C$7,Data!$4:$4,0))="","",INDEX(Data!$A:$G,MATCH($B1940,Data!$A:$A,0),MATCH($C$7,Data!$4:$4,0))))</f>
        <v>48.5</v>
      </c>
      <c r="D1940" s="148">
        <f t="shared" ca="1" si="64"/>
        <v>16.5</v>
      </c>
      <c r="E1940" s="148">
        <f t="shared" ca="1" si="65"/>
        <v>0</v>
      </c>
    </row>
    <row r="1941" spans="2:5" x14ac:dyDescent="0.25">
      <c r="B1941" s="8">
        <v>39535</v>
      </c>
      <c r="C1941" s="6">
        <f ca="1">IF(OR($C$7="",$B1941&gt;NOW()),"",IF(INDEX(Data!$A:$G,MATCH($B1941,Data!$A:$A,0),MATCH($C$7,Data!$4:$4,0))="","",INDEX(Data!$A:$G,MATCH($B1941,Data!$A:$A,0),MATCH($C$7,Data!$4:$4,0))))</f>
        <v>44.7</v>
      </c>
      <c r="D1941" s="148">
        <f t="shared" ca="1" si="64"/>
        <v>20.299999999999997</v>
      </c>
      <c r="E1941" s="148">
        <f t="shared" ca="1" si="65"/>
        <v>0</v>
      </c>
    </row>
    <row r="1942" spans="2:5" x14ac:dyDescent="0.25">
      <c r="B1942" s="8">
        <v>39536</v>
      </c>
      <c r="C1942" s="6">
        <f ca="1">IF(OR($C$7="",$B1942&gt;NOW()),"",IF(INDEX(Data!$A:$G,MATCH($B1942,Data!$A:$A,0),MATCH($C$7,Data!$4:$4,0))="","",INDEX(Data!$A:$G,MATCH($B1942,Data!$A:$A,0),MATCH($C$7,Data!$4:$4,0))))</f>
        <v>40.700000000000003</v>
      </c>
      <c r="D1942" s="148">
        <f t="shared" ca="1" si="64"/>
        <v>24.299999999999997</v>
      </c>
      <c r="E1942" s="148">
        <f t="shared" ca="1" si="65"/>
        <v>0</v>
      </c>
    </row>
    <row r="1943" spans="2:5" x14ac:dyDescent="0.25">
      <c r="B1943" s="8">
        <v>39537</v>
      </c>
      <c r="C1943" s="6">
        <f ca="1">IF(OR($C$7="",$B1943&gt;NOW()),"",IF(INDEX(Data!$A:$G,MATCH($B1943,Data!$A:$A,0),MATCH($C$7,Data!$4:$4,0))="","",INDEX(Data!$A:$G,MATCH($B1943,Data!$A:$A,0),MATCH($C$7,Data!$4:$4,0))))</f>
        <v>36.9</v>
      </c>
      <c r="D1943" s="148">
        <f t="shared" ca="1" si="64"/>
        <v>28.1</v>
      </c>
      <c r="E1943" s="148">
        <f t="shared" ca="1" si="65"/>
        <v>0</v>
      </c>
    </row>
    <row r="1944" spans="2:5" x14ac:dyDescent="0.25">
      <c r="B1944" s="8">
        <v>39538</v>
      </c>
      <c r="C1944" s="6">
        <f ca="1">IF(OR($C$7="",$B1944&gt;NOW()),"",IF(INDEX(Data!$A:$G,MATCH($B1944,Data!$A:$A,0),MATCH($C$7,Data!$4:$4,0))="","",INDEX(Data!$A:$G,MATCH($B1944,Data!$A:$A,0),MATCH($C$7,Data!$4:$4,0))))</f>
        <v>43.7</v>
      </c>
      <c r="D1944" s="148">
        <f t="shared" ca="1" si="64"/>
        <v>21.299999999999997</v>
      </c>
      <c r="E1944" s="148">
        <f t="shared" ca="1" si="65"/>
        <v>0</v>
      </c>
    </row>
    <row r="1945" spans="2:5" x14ac:dyDescent="0.25">
      <c r="B1945" s="8">
        <v>39539</v>
      </c>
      <c r="C1945" s="6">
        <f ca="1">IF(OR($C$7="",$B1945&gt;NOW()),"",IF(INDEX(Data!$A:$G,MATCH($B1945,Data!$A:$A,0),MATCH($C$7,Data!$4:$4,0))="","",INDEX(Data!$A:$G,MATCH($B1945,Data!$A:$A,0),MATCH($C$7,Data!$4:$4,0))))</f>
        <v>57.1</v>
      </c>
      <c r="D1945" s="148">
        <f t="shared" ca="1" si="64"/>
        <v>7.8999999999999986</v>
      </c>
      <c r="E1945" s="148">
        <f t="shared" ca="1" si="65"/>
        <v>0</v>
      </c>
    </row>
    <row r="1946" spans="2:5" x14ac:dyDescent="0.25">
      <c r="B1946" s="8">
        <v>39540</v>
      </c>
      <c r="C1946" s="6">
        <f ca="1">IF(OR($C$7="",$B1946&gt;NOW()),"",IF(INDEX(Data!$A:$G,MATCH($B1946,Data!$A:$A,0),MATCH($C$7,Data!$4:$4,0))="","",INDEX(Data!$A:$G,MATCH($B1946,Data!$A:$A,0),MATCH($C$7,Data!$4:$4,0))))</f>
        <v>49</v>
      </c>
      <c r="D1946" s="148">
        <f t="shared" ca="1" si="64"/>
        <v>16</v>
      </c>
      <c r="E1946" s="148">
        <f t="shared" ca="1" si="65"/>
        <v>0</v>
      </c>
    </row>
    <row r="1947" spans="2:5" x14ac:dyDescent="0.25">
      <c r="B1947" s="8">
        <v>39541</v>
      </c>
      <c r="C1947" s="6">
        <f ca="1">IF(OR($C$7="",$B1947&gt;NOW()),"",IF(INDEX(Data!$A:$G,MATCH($B1947,Data!$A:$A,0),MATCH($C$7,Data!$4:$4,0))="","",INDEX(Data!$A:$G,MATCH($B1947,Data!$A:$A,0),MATCH($C$7,Data!$4:$4,0))))</f>
        <v>42.3</v>
      </c>
      <c r="D1947" s="148">
        <f t="shared" ca="1" si="64"/>
        <v>22.700000000000003</v>
      </c>
      <c r="E1947" s="148">
        <f t="shared" ca="1" si="65"/>
        <v>0</v>
      </c>
    </row>
    <row r="1948" spans="2:5" x14ac:dyDescent="0.25">
      <c r="B1948" s="8">
        <v>39542</v>
      </c>
      <c r="C1948" s="6">
        <f ca="1">IF(OR($C$7="",$B1948&gt;NOW()),"",IF(INDEX(Data!$A:$G,MATCH($B1948,Data!$A:$A,0),MATCH($C$7,Data!$4:$4,0))="","",INDEX(Data!$A:$G,MATCH($B1948,Data!$A:$A,0),MATCH($C$7,Data!$4:$4,0))))</f>
        <v>45.1</v>
      </c>
      <c r="D1948" s="148">
        <f t="shared" ca="1" si="64"/>
        <v>19.899999999999999</v>
      </c>
      <c r="E1948" s="148">
        <f t="shared" ca="1" si="65"/>
        <v>0</v>
      </c>
    </row>
    <row r="1949" spans="2:5" x14ac:dyDescent="0.25">
      <c r="B1949" s="8">
        <v>39543</v>
      </c>
      <c r="C1949" s="6">
        <f ca="1">IF(OR($C$7="",$B1949&gt;NOW()),"",IF(INDEX(Data!$A:$G,MATCH($B1949,Data!$A:$A,0),MATCH($C$7,Data!$4:$4,0))="","",INDEX(Data!$A:$G,MATCH($B1949,Data!$A:$A,0),MATCH($C$7,Data!$4:$4,0))))</f>
        <v>53.9</v>
      </c>
      <c r="D1949" s="148">
        <f t="shared" ref="D1949:D2012" ca="1" si="66">IF($C1949="","",IF($C1949&gt;$D$26,0,$D$26-$C1949))</f>
        <v>11.100000000000001</v>
      </c>
      <c r="E1949" s="148">
        <f t="shared" ref="E1949:E2012" ca="1" si="67">IF($C1949="","",IF($C1949&lt;$E$26,0,$C1949-$E$26))</f>
        <v>0</v>
      </c>
    </row>
    <row r="1950" spans="2:5" x14ac:dyDescent="0.25">
      <c r="B1950" s="8">
        <v>39544</v>
      </c>
      <c r="C1950" s="6">
        <f ca="1">IF(OR($C$7="",$B1950&gt;NOW()),"",IF(INDEX(Data!$A:$G,MATCH($B1950,Data!$A:$A,0),MATCH($C$7,Data!$4:$4,0))="","",INDEX(Data!$A:$G,MATCH($B1950,Data!$A:$A,0),MATCH($C$7,Data!$4:$4,0))))</f>
        <v>48.4</v>
      </c>
      <c r="D1950" s="148">
        <f t="shared" ca="1" si="66"/>
        <v>16.600000000000001</v>
      </c>
      <c r="E1950" s="148">
        <f t="shared" ca="1" si="67"/>
        <v>0</v>
      </c>
    </row>
    <row r="1951" spans="2:5" x14ac:dyDescent="0.25">
      <c r="B1951" s="8">
        <v>39545</v>
      </c>
      <c r="C1951" s="6">
        <f ca="1">IF(OR($C$7="",$B1951&gt;NOW()),"",IF(INDEX(Data!$A:$G,MATCH($B1951,Data!$A:$A,0),MATCH($C$7,Data!$4:$4,0))="","",INDEX(Data!$A:$G,MATCH($B1951,Data!$A:$A,0),MATCH($C$7,Data!$4:$4,0))))</f>
        <v>44.4</v>
      </c>
      <c r="D1951" s="148">
        <f t="shared" ca="1" si="66"/>
        <v>20.6</v>
      </c>
      <c r="E1951" s="148">
        <f t="shared" ca="1" si="67"/>
        <v>0</v>
      </c>
    </row>
    <row r="1952" spans="2:5" x14ac:dyDescent="0.25">
      <c r="B1952" s="8">
        <v>39546</v>
      </c>
      <c r="C1952" s="6">
        <f ca="1">IF(OR($C$7="",$B1952&gt;NOW()),"",IF(INDEX(Data!$A:$G,MATCH($B1952,Data!$A:$A,0),MATCH($C$7,Data!$4:$4,0))="","",INDEX(Data!$A:$G,MATCH($B1952,Data!$A:$A,0),MATCH($C$7,Data!$4:$4,0))))</f>
        <v>46.1</v>
      </c>
      <c r="D1952" s="148">
        <f t="shared" ca="1" si="66"/>
        <v>18.899999999999999</v>
      </c>
      <c r="E1952" s="148">
        <f t="shared" ca="1" si="67"/>
        <v>0</v>
      </c>
    </row>
    <row r="1953" spans="2:5" x14ac:dyDescent="0.25">
      <c r="B1953" s="8">
        <v>39547</v>
      </c>
      <c r="C1953" s="6">
        <f ca="1">IF(OR($C$7="",$B1953&gt;NOW()),"",IF(INDEX(Data!$A:$G,MATCH($B1953,Data!$A:$A,0),MATCH($C$7,Data!$4:$4,0))="","",INDEX(Data!$A:$G,MATCH($B1953,Data!$A:$A,0),MATCH($C$7,Data!$4:$4,0))))</f>
        <v>47</v>
      </c>
      <c r="D1953" s="148">
        <f t="shared" ca="1" si="66"/>
        <v>18</v>
      </c>
      <c r="E1953" s="148">
        <f t="shared" ca="1" si="67"/>
        <v>0</v>
      </c>
    </row>
    <row r="1954" spans="2:5" x14ac:dyDescent="0.25">
      <c r="B1954" s="8">
        <v>39548</v>
      </c>
      <c r="C1954" s="6">
        <f ca="1">IF(OR($C$7="",$B1954&gt;NOW()),"",IF(INDEX(Data!$A:$G,MATCH($B1954,Data!$A:$A,0),MATCH($C$7,Data!$4:$4,0))="","",INDEX(Data!$A:$G,MATCH($B1954,Data!$A:$A,0),MATCH($C$7,Data!$4:$4,0))))</f>
        <v>57.5</v>
      </c>
      <c r="D1954" s="148">
        <f t="shared" ca="1" si="66"/>
        <v>7.5</v>
      </c>
      <c r="E1954" s="148">
        <f t="shared" ca="1" si="67"/>
        <v>0</v>
      </c>
    </row>
    <row r="1955" spans="2:5" x14ac:dyDescent="0.25">
      <c r="B1955" s="8">
        <v>39549</v>
      </c>
      <c r="C1955" s="6">
        <f ca="1">IF(OR($C$7="",$B1955&gt;NOW()),"",IF(INDEX(Data!$A:$G,MATCH($B1955,Data!$A:$A,0),MATCH($C$7,Data!$4:$4,0))="","",INDEX(Data!$A:$G,MATCH($B1955,Data!$A:$A,0),MATCH($C$7,Data!$4:$4,0))))</f>
        <v>55.4</v>
      </c>
      <c r="D1955" s="148">
        <f t="shared" ca="1" si="66"/>
        <v>9.6000000000000014</v>
      </c>
      <c r="E1955" s="148">
        <f t="shared" ca="1" si="67"/>
        <v>0</v>
      </c>
    </row>
    <row r="1956" spans="2:5" x14ac:dyDescent="0.25">
      <c r="B1956" s="8">
        <v>39550</v>
      </c>
      <c r="C1956" s="6">
        <f ca="1">IF(OR($C$7="",$B1956&gt;NOW()),"",IF(INDEX(Data!$A:$G,MATCH($B1956,Data!$A:$A,0),MATCH($C$7,Data!$4:$4,0))="","",INDEX(Data!$A:$G,MATCH($B1956,Data!$A:$A,0),MATCH($C$7,Data!$4:$4,0))))</f>
        <v>57.6</v>
      </c>
      <c r="D1956" s="148">
        <f t="shared" ca="1" si="66"/>
        <v>7.3999999999999986</v>
      </c>
      <c r="E1956" s="148">
        <f t="shared" ca="1" si="67"/>
        <v>0</v>
      </c>
    </row>
    <row r="1957" spans="2:5" x14ac:dyDescent="0.25">
      <c r="B1957" s="8">
        <v>39551</v>
      </c>
      <c r="C1957" s="6">
        <f ca="1">IF(OR($C$7="",$B1957&gt;NOW()),"",IF(INDEX(Data!$A:$G,MATCH($B1957,Data!$A:$A,0),MATCH($C$7,Data!$4:$4,0))="","",INDEX(Data!$A:$G,MATCH($B1957,Data!$A:$A,0),MATCH($C$7,Data!$4:$4,0))))</f>
        <v>54.9</v>
      </c>
      <c r="D1957" s="148">
        <f t="shared" ca="1" si="66"/>
        <v>10.100000000000001</v>
      </c>
      <c r="E1957" s="148">
        <f t="shared" ca="1" si="67"/>
        <v>0</v>
      </c>
    </row>
    <row r="1958" spans="2:5" x14ac:dyDescent="0.25">
      <c r="B1958" s="8">
        <v>39552</v>
      </c>
      <c r="C1958" s="6">
        <f ca="1">IF(OR($C$7="",$B1958&gt;NOW()),"",IF(INDEX(Data!$A:$G,MATCH($B1958,Data!$A:$A,0),MATCH($C$7,Data!$4:$4,0))="","",INDEX(Data!$A:$G,MATCH($B1958,Data!$A:$A,0),MATCH($C$7,Data!$4:$4,0))))</f>
        <v>47.6</v>
      </c>
      <c r="D1958" s="148">
        <f t="shared" ca="1" si="66"/>
        <v>17.399999999999999</v>
      </c>
      <c r="E1958" s="148">
        <f t="shared" ca="1" si="67"/>
        <v>0</v>
      </c>
    </row>
    <row r="1959" spans="2:5" x14ac:dyDescent="0.25">
      <c r="B1959" s="8">
        <v>39553</v>
      </c>
      <c r="C1959" s="6">
        <f ca="1">IF(OR($C$7="",$B1959&gt;NOW()),"",IF(INDEX(Data!$A:$G,MATCH($B1959,Data!$A:$A,0),MATCH($C$7,Data!$4:$4,0))="","",INDEX(Data!$A:$G,MATCH($B1959,Data!$A:$A,0),MATCH($C$7,Data!$4:$4,0))))</f>
        <v>50.6</v>
      </c>
      <c r="D1959" s="148">
        <f t="shared" ca="1" si="66"/>
        <v>14.399999999999999</v>
      </c>
      <c r="E1959" s="148">
        <f t="shared" ca="1" si="67"/>
        <v>0</v>
      </c>
    </row>
    <row r="1960" spans="2:5" x14ac:dyDescent="0.25">
      <c r="B1960" s="8">
        <v>39554</v>
      </c>
      <c r="C1960" s="6">
        <f ca="1">IF(OR($C$7="",$B1960&gt;NOW()),"",IF(INDEX(Data!$A:$G,MATCH($B1960,Data!$A:$A,0),MATCH($C$7,Data!$4:$4,0))="","",INDEX(Data!$A:$G,MATCH($B1960,Data!$A:$A,0),MATCH($C$7,Data!$4:$4,0))))</f>
        <v>54.2</v>
      </c>
      <c r="D1960" s="148">
        <f t="shared" ca="1" si="66"/>
        <v>10.799999999999997</v>
      </c>
      <c r="E1960" s="148">
        <f t="shared" ca="1" si="67"/>
        <v>0</v>
      </c>
    </row>
    <row r="1961" spans="2:5" x14ac:dyDescent="0.25">
      <c r="B1961" s="8">
        <v>39555</v>
      </c>
      <c r="C1961" s="6">
        <f ca="1">IF(OR($C$7="",$B1961&gt;NOW()),"",IF(INDEX(Data!$A:$G,MATCH($B1961,Data!$A:$A,0),MATCH($C$7,Data!$4:$4,0))="","",INDEX(Data!$A:$G,MATCH($B1961,Data!$A:$A,0),MATCH($C$7,Data!$4:$4,0))))</f>
        <v>56.1</v>
      </c>
      <c r="D1961" s="148">
        <f t="shared" ca="1" si="66"/>
        <v>8.8999999999999986</v>
      </c>
      <c r="E1961" s="148">
        <f t="shared" ca="1" si="67"/>
        <v>0</v>
      </c>
    </row>
    <row r="1962" spans="2:5" x14ac:dyDescent="0.25">
      <c r="B1962" s="8">
        <v>39556</v>
      </c>
      <c r="C1962" s="6">
        <f ca="1">IF(OR($C$7="",$B1962&gt;NOW()),"",IF(INDEX(Data!$A:$G,MATCH($B1962,Data!$A:$A,0),MATCH($C$7,Data!$4:$4,0))="","",INDEX(Data!$A:$G,MATCH($B1962,Data!$A:$A,0),MATCH($C$7,Data!$4:$4,0))))</f>
        <v>62.5</v>
      </c>
      <c r="D1962" s="148">
        <f t="shared" ca="1" si="66"/>
        <v>2.5</v>
      </c>
      <c r="E1962" s="148">
        <f t="shared" ca="1" si="67"/>
        <v>0</v>
      </c>
    </row>
    <row r="1963" spans="2:5" x14ac:dyDescent="0.25">
      <c r="B1963" s="8">
        <v>39557</v>
      </c>
      <c r="C1963" s="6">
        <f ca="1">IF(OR($C$7="",$B1963&gt;NOW()),"",IF(INDEX(Data!$A:$G,MATCH($B1963,Data!$A:$A,0),MATCH($C$7,Data!$4:$4,0))="","",INDEX(Data!$A:$G,MATCH($B1963,Data!$A:$A,0),MATCH($C$7,Data!$4:$4,0))))</f>
        <v>60.4</v>
      </c>
      <c r="D1963" s="148">
        <f t="shared" ca="1" si="66"/>
        <v>4.6000000000000014</v>
      </c>
      <c r="E1963" s="148">
        <f t="shared" ca="1" si="67"/>
        <v>0</v>
      </c>
    </row>
    <row r="1964" spans="2:5" x14ac:dyDescent="0.25">
      <c r="B1964" s="8">
        <v>39558</v>
      </c>
      <c r="C1964" s="6">
        <f ca="1">IF(OR($C$7="",$B1964&gt;NOW()),"",IF(INDEX(Data!$A:$G,MATCH($B1964,Data!$A:$A,0),MATCH($C$7,Data!$4:$4,0))="","",INDEX(Data!$A:$G,MATCH($B1964,Data!$A:$A,0),MATCH($C$7,Data!$4:$4,0))))</f>
        <v>52.9</v>
      </c>
      <c r="D1964" s="148">
        <f t="shared" ca="1" si="66"/>
        <v>12.100000000000001</v>
      </c>
      <c r="E1964" s="148">
        <f t="shared" ca="1" si="67"/>
        <v>0</v>
      </c>
    </row>
    <row r="1965" spans="2:5" x14ac:dyDescent="0.25">
      <c r="B1965" s="8">
        <v>39559</v>
      </c>
      <c r="C1965" s="6">
        <f ca="1">IF(OR($C$7="",$B1965&gt;NOW()),"",IF(INDEX(Data!$A:$G,MATCH($B1965,Data!$A:$A,0),MATCH($C$7,Data!$4:$4,0))="","",INDEX(Data!$A:$G,MATCH($B1965,Data!$A:$A,0),MATCH($C$7,Data!$4:$4,0))))</f>
        <v>51.2</v>
      </c>
      <c r="D1965" s="148">
        <f t="shared" ca="1" si="66"/>
        <v>13.799999999999997</v>
      </c>
      <c r="E1965" s="148">
        <f t="shared" ca="1" si="67"/>
        <v>0</v>
      </c>
    </row>
    <row r="1966" spans="2:5" x14ac:dyDescent="0.25">
      <c r="B1966" s="8">
        <v>39560</v>
      </c>
      <c r="C1966" s="6">
        <f ca="1">IF(OR($C$7="",$B1966&gt;NOW()),"",IF(INDEX(Data!$A:$G,MATCH($B1966,Data!$A:$A,0),MATCH($C$7,Data!$4:$4,0))="","",INDEX(Data!$A:$G,MATCH($B1966,Data!$A:$A,0),MATCH($C$7,Data!$4:$4,0))))</f>
        <v>53.9</v>
      </c>
      <c r="D1966" s="148">
        <f t="shared" ca="1" si="66"/>
        <v>11.100000000000001</v>
      </c>
      <c r="E1966" s="148">
        <f t="shared" ca="1" si="67"/>
        <v>0</v>
      </c>
    </row>
    <row r="1967" spans="2:5" x14ac:dyDescent="0.25">
      <c r="B1967" s="8">
        <v>39561</v>
      </c>
      <c r="C1967" s="6">
        <f ca="1">IF(OR($C$7="",$B1967&gt;NOW()),"",IF(INDEX(Data!$A:$G,MATCH($B1967,Data!$A:$A,0),MATCH($C$7,Data!$4:$4,0))="","",INDEX(Data!$A:$G,MATCH($B1967,Data!$A:$A,0),MATCH($C$7,Data!$4:$4,0))))</f>
        <v>63</v>
      </c>
      <c r="D1967" s="148">
        <f t="shared" ca="1" si="66"/>
        <v>2</v>
      </c>
      <c r="E1967" s="148">
        <f t="shared" ca="1" si="67"/>
        <v>0</v>
      </c>
    </row>
    <row r="1968" spans="2:5" x14ac:dyDescent="0.25">
      <c r="B1968" s="8">
        <v>39562</v>
      </c>
      <c r="C1968" s="6">
        <f ca="1">IF(OR($C$7="",$B1968&gt;NOW()),"",IF(INDEX(Data!$A:$G,MATCH($B1968,Data!$A:$A,0),MATCH($C$7,Data!$4:$4,0))="","",INDEX(Data!$A:$G,MATCH($B1968,Data!$A:$A,0),MATCH($C$7,Data!$4:$4,0))))</f>
        <v>69.599999999999994</v>
      </c>
      <c r="D1968" s="148">
        <f t="shared" ca="1" si="66"/>
        <v>0</v>
      </c>
      <c r="E1968" s="148">
        <f t="shared" ca="1" si="67"/>
        <v>4.5999999999999943</v>
      </c>
    </row>
    <row r="1969" spans="2:5" x14ac:dyDescent="0.25">
      <c r="B1969" s="8">
        <v>39563</v>
      </c>
      <c r="C1969" s="6">
        <f ca="1">IF(OR($C$7="",$B1969&gt;NOW()),"",IF(INDEX(Data!$A:$G,MATCH($B1969,Data!$A:$A,0),MATCH($C$7,Data!$4:$4,0))="","",INDEX(Data!$A:$G,MATCH($B1969,Data!$A:$A,0),MATCH($C$7,Data!$4:$4,0))))</f>
        <v>63</v>
      </c>
      <c r="D1969" s="148">
        <f t="shared" ca="1" si="66"/>
        <v>2</v>
      </c>
      <c r="E1969" s="148">
        <f t="shared" ca="1" si="67"/>
        <v>0</v>
      </c>
    </row>
    <row r="1970" spans="2:5" x14ac:dyDescent="0.25">
      <c r="B1970" s="8">
        <v>39564</v>
      </c>
      <c r="C1970" s="6">
        <f ca="1">IF(OR($C$7="",$B1970&gt;NOW()),"",IF(INDEX(Data!$A:$G,MATCH($B1970,Data!$A:$A,0),MATCH($C$7,Data!$4:$4,0))="","",INDEX(Data!$A:$G,MATCH($B1970,Data!$A:$A,0),MATCH($C$7,Data!$4:$4,0))))</f>
        <v>59.2</v>
      </c>
      <c r="D1970" s="148">
        <f t="shared" ca="1" si="66"/>
        <v>5.7999999999999972</v>
      </c>
      <c r="E1970" s="148">
        <f t="shared" ca="1" si="67"/>
        <v>0</v>
      </c>
    </row>
    <row r="1971" spans="2:5" x14ac:dyDescent="0.25">
      <c r="B1971" s="8">
        <v>39565</v>
      </c>
      <c r="C1971" s="6">
        <f ca="1">IF(OR($C$7="",$B1971&gt;NOW()),"",IF(INDEX(Data!$A:$G,MATCH($B1971,Data!$A:$A,0),MATCH($C$7,Data!$4:$4,0))="","",INDEX(Data!$A:$G,MATCH($B1971,Data!$A:$A,0),MATCH($C$7,Data!$4:$4,0))))</f>
        <v>52</v>
      </c>
      <c r="D1971" s="148">
        <f t="shared" ca="1" si="66"/>
        <v>13</v>
      </c>
      <c r="E1971" s="148">
        <f t="shared" ca="1" si="67"/>
        <v>0</v>
      </c>
    </row>
    <row r="1972" spans="2:5" x14ac:dyDescent="0.25">
      <c r="B1972" s="8">
        <v>39566</v>
      </c>
      <c r="C1972" s="6">
        <f ca="1">IF(OR($C$7="",$B1972&gt;NOW()),"",IF(INDEX(Data!$A:$G,MATCH($B1972,Data!$A:$A,0),MATCH($C$7,Data!$4:$4,0))="","",INDEX(Data!$A:$G,MATCH($B1972,Data!$A:$A,0),MATCH($C$7,Data!$4:$4,0))))</f>
        <v>51.5</v>
      </c>
      <c r="D1972" s="148">
        <f t="shared" ca="1" si="66"/>
        <v>13.5</v>
      </c>
      <c r="E1972" s="148">
        <f t="shared" ca="1" si="67"/>
        <v>0</v>
      </c>
    </row>
    <row r="1973" spans="2:5" x14ac:dyDescent="0.25">
      <c r="B1973" s="8">
        <v>39567</v>
      </c>
      <c r="C1973" s="6">
        <f ca="1">IF(OR($C$7="",$B1973&gt;NOW()),"",IF(INDEX(Data!$A:$G,MATCH($B1973,Data!$A:$A,0),MATCH($C$7,Data!$4:$4,0))="","",INDEX(Data!$A:$G,MATCH($B1973,Data!$A:$A,0),MATCH($C$7,Data!$4:$4,0))))</f>
        <v>54</v>
      </c>
      <c r="D1973" s="148">
        <f t="shared" ca="1" si="66"/>
        <v>11</v>
      </c>
      <c r="E1973" s="148">
        <f t="shared" ca="1" si="67"/>
        <v>0</v>
      </c>
    </row>
    <row r="1974" spans="2:5" x14ac:dyDescent="0.25">
      <c r="B1974" s="8">
        <v>39568</v>
      </c>
      <c r="C1974" s="6">
        <f ca="1">IF(OR($C$7="",$B1974&gt;NOW()),"",IF(INDEX(Data!$A:$G,MATCH($B1974,Data!$A:$A,0),MATCH($C$7,Data!$4:$4,0))="","",INDEX(Data!$A:$G,MATCH($B1974,Data!$A:$A,0),MATCH($C$7,Data!$4:$4,0))))</f>
        <v>50.7</v>
      </c>
      <c r="D1974" s="148">
        <f t="shared" ca="1" si="66"/>
        <v>14.299999999999997</v>
      </c>
      <c r="E1974" s="148">
        <f t="shared" ca="1" si="67"/>
        <v>0</v>
      </c>
    </row>
    <row r="1975" spans="2:5" x14ac:dyDescent="0.25">
      <c r="B1975" s="8">
        <v>39569</v>
      </c>
      <c r="C1975" s="6">
        <f ca="1">IF(OR($C$7="",$B1975&gt;NOW()),"",IF(INDEX(Data!$A:$G,MATCH($B1975,Data!$A:$A,0),MATCH($C$7,Data!$4:$4,0))="","",INDEX(Data!$A:$G,MATCH($B1975,Data!$A:$A,0),MATCH($C$7,Data!$4:$4,0))))</f>
        <v>51.8</v>
      </c>
      <c r="D1975" s="148">
        <f t="shared" ca="1" si="66"/>
        <v>13.200000000000003</v>
      </c>
      <c r="E1975" s="148">
        <f t="shared" ca="1" si="67"/>
        <v>0</v>
      </c>
    </row>
    <row r="1976" spans="2:5" x14ac:dyDescent="0.25">
      <c r="B1976" s="8">
        <v>39570</v>
      </c>
      <c r="C1976" s="6">
        <f ca="1">IF(OR($C$7="",$B1976&gt;NOW()),"",IF(INDEX(Data!$A:$G,MATCH($B1976,Data!$A:$A,0),MATCH($C$7,Data!$4:$4,0))="","",INDEX(Data!$A:$G,MATCH($B1976,Data!$A:$A,0),MATCH($C$7,Data!$4:$4,0))))</f>
        <v>52.8</v>
      </c>
      <c r="D1976" s="148">
        <f t="shared" ca="1" si="66"/>
        <v>12.200000000000003</v>
      </c>
      <c r="E1976" s="148">
        <f t="shared" ca="1" si="67"/>
        <v>0</v>
      </c>
    </row>
    <row r="1977" spans="2:5" x14ac:dyDescent="0.25">
      <c r="B1977" s="8">
        <v>39571</v>
      </c>
      <c r="C1977" s="6">
        <f ca="1">IF(OR($C$7="",$B1977&gt;NOW()),"",IF(INDEX(Data!$A:$G,MATCH($B1977,Data!$A:$A,0),MATCH($C$7,Data!$4:$4,0))="","",INDEX(Data!$A:$G,MATCH($B1977,Data!$A:$A,0),MATCH($C$7,Data!$4:$4,0))))</f>
        <v>50.9</v>
      </c>
      <c r="D1977" s="148">
        <f t="shared" ca="1" si="66"/>
        <v>14.100000000000001</v>
      </c>
      <c r="E1977" s="148">
        <f t="shared" ca="1" si="67"/>
        <v>0</v>
      </c>
    </row>
    <row r="1978" spans="2:5" x14ac:dyDescent="0.25">
      <c r="B1978" s="8">
        <v>39572</v>
      </c>
      <c r="C1978" s="6">
        <f ca="1">IF(OR($C$7="",$B1978&gt;NOW()),"",IF(INDEX(Data!$A:$G,MATCH($B1978,Data!$A:$A,0),MATCH($C$7,Data!$4:$4,0))="","",INDEX(Data!$A:$G,MATCH($B1978,Data!$A:$A,0),MATCH($C$7,Data!$4:$4,0))))</f>
        <v>55.5</v>
      </c>
      <c r="D1978" s="148">
        <f t="shared" ca="1" si="66"/>
        <v>9.5</v>
      </c>
      <c r="E1978" s="148">
        <f t="shared" ca="1" si="67"/>
        <v>0</v>
      </c>
    </row>
    <row r="1979" spans="2:5" x14ac:dyDescent="0.25">
      <c r="B1979" s="8">
        <v>39573</v>
      </c>
      <c r="C1979" s="6">
        <f ca="1">IF(OR($C$7="",$B1979&gt;NOW()),"",IF(INDEX(Data!$A:$G,MATCH($B1979,Data!$A:$A,0),MATCH($C$7,Data!$4:$4,0))="","",INDEX(Data!$A:$G,MATCH($B1979,Data!$A:$A,0),MATCH($C$7,Data!$4:$4,0))))</f>
        <v>59.8</v>
      </c>
      <c r="D1979" s="148">
        <f t="shared" ca="1" si="66"/>
        <v>5.2000000000000028</v>
      </c>
      <c r="E1979" s="148">
        <f t="shared" ca="1" si="67"/>
        <v>0</v>
      </c>
    </row>
    <row r="1980" spans="2:5" x14ac:dyDescent="0.25">
      <c r="B1980" s="8">
        <v>39574</v>
      </c>
      <c r="C1980" s="6">
        <f ca="1">IF(OR($C$7="",$B1980&gt;NOW()),"",IF(INDEX(Data!$A:$G,MATCH($B1980,Data!$A:$A,0),MATCH($C$7,Data!$4:$4,0))="","",INDEX(Data!$A:$G,MATCH($B1980,Data!$A:$A,0),MATCH($C$7,Data!$4:$4,0))))</f>
        <v>62.9</v>
      </c>
      <c r="D1980" s="148">
        <f t="shared" ca="1" si="66"/>
        <v>2.1000000000000014</v>
      </c>
      <c r="E1980" s="148">
        <f t="shared" ca="1" si="67"/>
        <v>0</v>
      </c>
    </row>
    <row r="1981" spans="2:5" x14ac:dyDescent="0.25">
      <c r="B1981" s="8">
        <v>39575</v>
      </c>
      <c r="C1981" s="6">
        <f ca="1">IF(OR($C$7="",$B1981&gt;NOW()),"",IF(INDEX(Data!$A:$G,MATCH($B1981,Data!$A:$A,0),MATCH($C$7,Data!$4:$4,0))="","",INDEX(Data!$A:$G,MATCH($B1981,Data!$A:$A,0),MATCH($C$7,Data!$4:$4,0))))</f>
        <v>65.5</v>
      </c>
      <c r="D1981" s="148">
        <f t="shared" ca="1" si="66"/>
        <v>0</v>
      </c>
      <c r="E1981" s="148">
        <f t="shared" ca="1" si="67"/>
        <v>0.5</v>
      </c>
    </row>
    <row r="1982" spans="2:5" x14ac:dyDescent="0.25">
      <c r="B1982" s="8">
        <v>39576</v>
      </c>
      <c r="C1982" s="6">
        <f ca="1">IF(OR($C$7="",$B1982&gt;NOW()),"",IF(INDEX(Data!$A:$G,MATCH($B1982,Data!$A:$A,0),MATCH($C$7,Data!$4:$4,0))="","",INDEX(Data!$A:$G,MATCH($B1982,Data!$A:$A,0),MATCH($C$7,Data!$4:$4,0))))</f>
        <v>68.400000000000006</v>
      </c>
      <c r="D1982" s="148">
        <f t="shared" ca="1" si="66"/>
        <v>0</v>
      </c>
      <c r="E1982" s="148">
        <f t="shared" ca="1" si="67"/>
        <v>3.4000000000000057</v>
      </c>
    </row>
    <row r="1983" spans="2:5" x14ac:dyDescent="0.25">
      <c r="B1983" s="8">
        <v>39577</v>
      </c>
      <c r="C1983" s="6">
        <f ca="1">IF(OR($C$7="",$B1983&gt;NOW()),"",IF(INDEX(Data!$A:$G,MATCH($B1983,Data!$A:$A,0),MATCH($C$7,Data!$4:$4,0))="","",INDEX(Data!$A:$G,MATCH($B1983,Data!$A:$A,0),MATCH($C$7,Data!$4:$4,0))))</f>
        <v>57.5</v>
      </c>
      <c r="D1983" s="148">
        <f t="shared" ca="1" si="66"/>
        <v>7.5</v>
      </c>
      <c r="E1983" s="148">
        <f t="shared" ca="1" si="67"/>
        <v>0</v>
      </c>
    </row>
    <row r="1984" spans="2:5" x14ac:dyDescent="0.25">
      <c r="B1984" s="8">
        <v>39578</v>
      </c>
      <c r="C1984" s="6">
        <f ca="1">IF(OR($C$7="",$B1984&gt;NOW()),"",IF(INDEX(Data!$A:$G,MATCH($B1984,Data!$A:$A,0),MATCH($C$7,Data!$4:$4,0))="","",INDEX(Data!$A:$G,MATCH($B1984,Data!$A:$A,0),MATCH($C$7,Data!$4:$4,0))))</f>
        <v>56.4</v>
      </c>
      <c r="D1984" s="148">
        <f t="shared" ca="1" si="66"/>
        <v>8.6000000000000014</v>
      </c>
      <c r="E1984" s="148">
        <f t="shared" ca="1" si="67"/>
        <v>0</v>
      </c>
    </row>
    <row r="1985" spans="2:5" x14ac:dyDescent="0.25">
      <c r="B1985" s="8">
        <v>39579</v>
      </c>
      <c r="C1985" s="6">
        <f ca="1">IF(OR($C$7="",$B1985&gt;NOW()),"",IF(INDEX(Data!$A:$G,MATCH($B1985,Data!$A:$A,0),MATCH($C$7,Data!$4:$4,0))="","",INDEX(Data!$A:$G,MATCH($B1985,Data!$A:$A,0),MATCH($C$7,Data!$4:$4,0))))</f>
        <v>57.5</v>
      </c>
      <c r="D1985" s="148">
        <f t="shared" ca="1" si="66"/>
        <v>7.5</v>
      </c>
      <c r="E1985" s="148">
        <f t="shared" ca="1" si="67"/>
        <v>0</v>
      </c>
    </row>
    <row r="1986" spans="2:5" x14ac:dyDescent="0.25">
      <c r="B1986" s="8">
        <v>39580</v>
      </c>
      <c r="C1986" s="6">
        <f ca="1">IF(OR($C$7="",$B1986&gt;NOW()),"",IF(INDEX(Data!$A:$G,MATCH($B1986,Data!$A:$A,0),MATCH($C$7,Data!$4:$4,0))="","",INDEX(Data!$A:$G,MATCH($B1986,Data!$A:$A,0),MATCH($C$7,Data!$4:$4,0))))</f>
        <v>51.5</v>
      </c>
      <c r="D1986" s="148">
        <f t="shared" ca="1" si="66"/>
        <v>13.5</v>
      </c>
      <c r="E1986" s="148">
        <f t="shared" ca="1" si="67"/>
        <v>0</v>
      </c>
    </row>
    <row r="1987" spans="2:5" x14ac:dyDescent="0.25">
      <c r="B1987" s="8">
        <v>39581</v>
      </c>
      <c r="C1987" s="6">
        <f ca="1">IF(OR($C$7="",$B1987&gt;NOW()),"",IF(INDEX(Data!$A:$G,MATCH($B1987,Data!$A:$A,0),MATCH($C$7,Data!$4:$4,0))="","",INDEX(Data!$A:$G,MATCH($B1987,Data!$A:$A,0),MATCH($C$7,Data!$4:$4,0))))</f>
        <v>58.7</v>
      </c>
      <c r="D1987" s="148">
        <f t="shared" ca="1" si="66"/>
        <v>6.2999999999999972</v>
      </c>
      <c r="E1987" s="148">
        <f t="shared" ca="1" si="67"/>
        <v>0</v>
      </c>
    </row>
    <row r="1988" spans="2:5" x14ac:dyDescent="0.25">
      <c r="B1988" s="8">
        <v>39582</v>
      </c>
      <c r="C1988" s="6">
        <f ca="1">IF(OR($C$7="",$B1988&gt;NOW()),"",IF(INDEX(Data!$A:$G,MATCH($B1988,Data!$A:$A,0),MATCH($C$7,Data!$4:$4,0))="","",INDEX(Data!$A:$G,MATCH($B1988,Data!$A:$A,0),MATCH($C$7,Data!$4:$4,0))))</f>
        <v>59.9</v>
      </c>
      <c r="D1988" s="148">
        <f t="shared" ca="1" si="66"/>
        <v>5.1000000000000014</v>
      </c>
      <c r="E1988" s="148">
        <f t="shared" ca="1" si="67"/>
        <v>0</v>
      </c>
    </row>
    <row r="1989" spans="2:5" x14ac:dyDescent="0.25">
      <c r="B1989" s="8">
        <v>39583</v>
      </c>
      <c r="C1989" s="6">
        <f ca="1">IF(OR($C$7="",$B1989&gt;NOW()),"",IF(INDEX(Data!$A:$G,MATCH($B1989,Data!$A:$A,0),MATCH($C$7,Data!$4:$4,0))="","",INDEX(Data!$A:$G,MATCH($B1989,Data!$A:$A,0),MATCH($C$7,Data!$4:$4,0))))</f>
        <v>60.6</v>
      </c>
      <c r="D1989" s="148">
        <f t="shared" ca="1" si="66"/>
        <v>4.3999999999999986</v>
      </c>
      <c r="E1989" s="148">
        <f t="shared" ca="1" si="67"/>
        <v>0</v>
      </c>
    </row>
    <row r="1990" spans="2:5" x14ac:dyDescent="0.25">
      <c r="B1990" s="8">
        <v>39584</v>
      </c>
      <c r="C1990" s="6">
        <f ca="1">IF(OR($C$7="",$B1990&gt;NOW()),"",IF(INDEX(Data!$A:$G,MATCH($B1990,Data!$A:$A,0),MATCH($C$7,Data!$4:$4,0))="","",INDEX(Data!$A:$G,MATCH($B1990,Data!$A:$A,0),MATCH($C$7,Data!$4:$4,0))))</f>
        <v>58.2</v>
      </c>
      <c r="D1990" s="148">
        <f t="shared" ca="1" si="66"/>
        <v>6.7999999999999972</v>
      </c>
      <c r="E1990" s="148">
        <f t="shared" ca="1" si="67"/>
        <v>0</v>
      </c>
    </row>
    <row r="1991" spans="2:5" x14ac:dyDescent="0.25">
      <c r="B1991" s="8">
        <v>39585</v>
      </c>
      <c r="C1991" s="6">
        <f ca="1">IF(OR($C$7="",$B1991&gt;NOW()),"",IF(INDEX(Data!$A:$G,MATCH($B1991,Data!$A:$A,0),MATCH($C$7,Data!$4:$4,0))="","",INDEX(Data!$A:$G,MATCH($B1991,Data!$A:$A,0),MATCH($C$7,Data!$4:$4,0))))</f>
        <v>59.1</v>
      </c>
      <c r="D1991" s="148">
        <f t="shared" ca="1" si="66"/>
        <v>5.8999999999999986</v>
      </c>
      <c r="E1991" s="148">
        <f t="shared" ca="1" si="67"/>
        <v>0</v>
      </c>
    </row>
    <row r="1992" spans="2:5" x14ac:dyDescent="0.25">
      <c r="B1992" s="8">
        <v>39586</v>
      </c>
      <c r="C1992" s="6">
        <f ca="1">IF(OR($C$7="",$B1992&gt;NOW()),"",IF(INDEX(Data!$A:$G,MATCH($B1992,Data!$A:$A,0),MATCH($C$7,Data!$4:$4,0))="","",INDEX(Data!$A:$G,MATCH($B1992,Data!$A:$A,0),MATCH($C$7,Data!$4:$4,0))))</f>
        <v>61.8</v>
      </c>
      <c r="D1992" s="148">
        <f t="shared" ca="1" si="66"/>
        <v>3.2000000000000028</v>
      </c>
      <c r="E1992" s="148">
        <f t="shared" ca="1" si="67"/>
        <v>0</v>
      </c>
    </row>
    <row r="1993" spans="2:5" x14ac:dyDescent="0.25">
      <c r="B1993" s="8">
        <v>39587</v>
      </c>
      <c r="C1993" s="6">
        <f ca="1">IF(OR($C$7="",$B1993&gt;NOW()),"",IF(INDEX(Data!$A:$G,MATCH($B1993,Data!$A:$A,0),MATCH($C$7,Data!$4:$4,0))="","",INDEX(Data!$A:$G,MATCH($B1993,Data!$A:$A,0),MATCH($C$7,Data!$4:$4,0))))</f>
        <v>56.2</v>
      </c>
      <c r="D1993" s="148">
        <f t="shared" ca="1" si="66"/>
        <v>8.7999999999999972</v>
      </c>
      <c r="E1993" s="148">
        <f t="shared" ca="1" si="67"/>
        <v>0</v>
      </c>
    </row>
    <row r="1994" spans="2:5" x14ac:dyDescent="0.25">
      <c r="B1994" s="8">
        <v>39588</v>
      </c>
      <c r="C1994" s="6">
        <f ca="1">IF(OR($C$7="",$B1994&gt;NOW()),"",IF(INDEX(Data!$A:$G,MATCH($B1994,Data!$A:$A,0),MATCH($C$7,Data!$4:$4,0))="","",INDEX(Data!$A:$G,MATCH($B1994,Data!$A:$A,0),MATCH($C$7,Data!$4:$4,0))))</f>
        <v>53.5</v>
      </c>
      <c r="D1994" s="148">
        <f t="shared" ca="1" si="66"/>
        <v>11.5</v>
      </c>
      <c r="E1994" s="148">
        <f t="shared" ca="1" si="67"/>
        <v>0</v>
      </c>
    </row>
    <row r="1995" spans="2:5" x14ac:dyDescent="0.25">
      <c r="B1995" s="8">
        <v>39589</v>
      </c>
      <c r="C1995" s="6">
        <f ca="1">IF(OR($C$7="",$B1995&gt;NOW()),"",IF(INDEX(Data!$A:$G,MATCH($B1995,Data!$A:$A,0),MATCH($C$7,Data!$4:$4,0))="","",INDEX(Data!$A:$G,MATCH($B1995,Data!$A:$A,0),MATCH($C$7,Data!$4:$4,0))))</f>
        <v>56.6</v>
      </c>
      <c r="D1995" s="148">
        <f t="shared" ca="1" si="66"/>
        <v>8.3999999999999986</v>
      </c>
      <c r="E1995" s="148">
        <f t="shared" ca="1" si="67"/>
        <v>0</v>
      </c>
    </row>
    <row r="1996" spans="2:5" x14ac:dyDescent="0.25">
      <c r="B1996" s="8">
        <v>39590</v>
      </c>
      <c r="C1996" s="6">
        <f ca="1">IF(OR($C$7="",$B1996&gt;NOW()),"",IF(INDEX(Data!$A:$G,MATCH($B1996,Data!$A:$A,0),MATCH($C$7,Data!$4:$4,0))="","",INDEX(Data!$A:$G,MATCH($B1996,Data!$A:$A,0),MATCH($C$7,Data!$4:$4,0))))</f>
        <v>55.1</v>
      </c>
      <c r="D1996" s="148">
        <f t="shared" ca="1" si="66"/>
        <v>9.8999999999999986</v>
      </c>
      <c r="E1996" s="148">
        <f t="shared" ca="1" si="67"/>
        <v>0</v>
      </c>
    </row>
    <row r="1997" spans="2:5" x14ac:dyDescent="0.25">
      <c r="B1997" s="8">
        <v>39591</v>
      </c>
      <c r="C1997" s="6">
        <f ca="1">IF(OR($C$7="",$B1997&gt;NOW()),"",IF(INDEX(Data!$A:$G,MATCH($B1997,Data!$A:$A,0),MATCH($C$7,Data!$4:$4,0))="","",INDEX(Data!$A:$G,MATCH($B1997,Data!$A:$A,0),MATCH($C$7,Data!$4:$4,0))))</f>
        <v>59.3</v>
      </c>
      <c r="D1997" s="148">
        <f t="shared" ca="1" si="66"/>
        <v>5.7000000000000028</v>
      </c>
      <c r="E1997" s="148">
        <f t="shared" ca="1" si="67"/>
        <v>0</v>
      </c>
    </row>
    <row r="1998" spans="2:5" x14ac:dyDescent="0.25">
      <c r="B1998" s="8">
        <v>39592</v>
      </c>
      <c r="C1998" s="6">
        <f ca="1">IF(OR($C$7="",$B1998&gt;NOW()),"",IF(INDEX(Data!$A:$G,MATCH($B1998,Data!$A:$A,0),MATCH($C$7,Data!$4:$4,0))="","",INDEX(Data!$A:$G,MATCH($B1998,Data!$A:$A,0),MATCH($C$7,Data!$4:$4,0))))</f>
        <v>63.2</v>
      </c>
      <c r="D1998" s="148">
        <f t="shared" ca="1" si="66"/>
        <v>1.7999999999999972</v>
      </c>
      <c r="E1998" s="148">
        <f t="shared" ca="1" si="67"/>
        <v>0</v>
      </c>
    </row>
    <row r="1999" spans="2:5" x14ac:dyDescent="0.25">
      <c r="B1999" s="8">
        <v>39593</v>
      </c>
      <c r="C1999" s="6">
        <f ca="1">IF(OR($C$7="",$B1999&gt;NOW()),"",IF(INDEX(Data!$A:$G,MATCH($B1999,Data!$A:$A,0),MATCH($C$7,Data!$4:$4,0))="","",INDEX(Data!$A:$G,MATCH($B1999,Data!$A:$A,0),MATCH($C$7,Data!$4:$4,0))))</f>
        <v>66.2</v>
      </c>
      <c r="D1999" s="148">
        <f t="shared" ca="1" si="66"/>
        <v>0</v>
      </c>
      <c r="E1999" s="148">
        <f t="shared" ca="1" si="67"/>
        <v>1.2000000000000028</v>
      </c>
    </row>
    <row r="2000" spans="2:5" x14ac:dyDescent="0.25">
      <c r="B2000" s="8">
        <v>39594</v>
      </c>
      <c r="C2000" s="6">
        <f ca="1">IF(OR($C$7="",$B2000&gt;NOW()),"",IF(INDEX(Data!$A:$G,MATCH($B2000,Data!$A:$A,0),MATCH($C$7,Data!$4:$4,0))="","",INDEX(Data!$A:$G,MATCH($B2000,Data!$A:$A,0),MATCH($C$7,Data!$4:$4,0))))</f>
        <v>67.900000000000006</v>
      </c>
      <c r="D2000" s="148">
        <f t="shared" ca="1" si="66"/>
        <v>0</v>
      </c>
      <c r="E2000" s="148">
        <f t="shared" ca="1" si="67"/>
        <v>2.9000000000000057</v>
      </c>
    </row>
    <row r="2001" spans="2:5" x14ac:dyDescent="0.25">
      <c r="B2001" s="8">
        <v>39595</v>
      </c>
      <c r="C2001" s="6">
        <f ca="1">IF(OR($C$7="",$B2001&gt;NOW()),"",IF(INDEX(Data!$A:$G,MATCH($B2001,Data!$A:$A,0),MATCH($C$7,Data!$4:$4,0))="","",INDEX(Data!$A:$G,MATCH($B2001,Data!$A:$A,0),MATCH($C$7,Data!$4:$4,0))))</f>
        <v>73.2</v>
      </c>
      <c r="D2001" s="148">
        <f t="shared" ca="1" si="66"/>
        <v>0</v>
      </c>
      <c r="E2001" s="148">
        <f t="shared" ca="1" si="67"/>
        <v>8.2000000000000028</v>
      </c>
    </row>
    <row r="2002" spans="2:5" x14ac:dyDescent="0.25">
      <c r="B2002" s="8">
        <v>39596</v>
      </c>
      <c r="C2002" s="6">
        <f ca="1">IF(OR($C$7="",$B2002&gt;NOW()),"",IF(INDEX(Data!$A:$G,MATCH($B2002,Data!$A:$A,0),MATCH($C$7,Data!$4:$4,0))="","",INDEX(Data!$A:$G,MATCH($B2002,Data!$A:$A,0),MATCH($C$7,Data!$4:$4,0))))</f>
        <v>62</v>
      </c>
      <c r="D2002" s="148">
        <f t="shared" ca="1" si="66"/>
        <v>3</v>
      </c>
      <c r="E2002" s="148">
        <f t="shared" ca="1" si="67"/>
        <v>0</v>
      </c>
    </row>
    <row r="2003" spans="2:5" x14ac:dyDescent="0.25">
      <c r="B2003" s="8">
        <v>39597</v>
      </c>
      <c r="C2003" s="6">
        <f ca="1">IF(OR($C$7="",$B2003&gt;NOW()),"",IF(INDEX(Data!$A:$G,MATCH($B2003,Data!$A:$A,0),MATCH($C$7,Data!$4:$4,0))="","",INDEX(Data!$A:$G,MATCH($B2003,Data!$A:$A,0),MATCH($C$7,Data!$4:$4,0))))</f>
        <v>64</v>
      </c>
      <c r="D2003" s="148">
        <f t="shared" ca="1" si="66"/>
        <v>1</v>
      </c>
      <c r="E2003" s="148">
        <f t="shared" ca="1" si="67"/>
        <v>0</v>
      </c>
    </row>
    <row r="2004" spans="2:5" x14ac:dyDescent="0.25">
      <c r="B2004" s="8">
        <v>39598</v>
      </c>
      <c r="C2004" s="6">
        <f ca="1">IF(OR($C$7="",$B2004&gt;NOW()),"",IF(INDEX(Data!$A:$G,MATCH($B2004,Data!$A:$A,0),MATCH($C$7,Data!$4:$4,0))="","",INDEX(Data!$A:$G,MATCH($B2004,Data!$A:$A,0),MATCH($C$7,Data!$4:$4,0))))</f>
        <v>71.2</v>
      </c>
      <c r="D2004" s="148">
        <f t="shared" ca="1" si="66"/>
        <v>0</v>
      </c>
      <c r="E2004" s="148">
        <f t="shared" ca="1" si="67"/>
        <v>6.2000000000000028</v>
      </c>
    </row>
    <row r="2005" spans="2:5" x14ac:dyDescent="0.25">
      <c r="B2005" s="8">
        <v>39599</v>
      </c>
      <c r="C2005" s="6">
        <f ca="1">IF(OR($C$7="",$B2005&gt;NOW()),"",IF(INDEX(Data!$A:$G,MATCH($B2005,Data!$A:$A,0),MATCH($C$7,Data!$4:$4,0))="","",INDEX(Data!$A:$G,MATCH($B2005,Data!$A:$A,0),MATCH($C$7,Data!$4:$4,0))))</f>
        <v>69.7</v>
      </c>
      <c r="D2005" s="148">
        <f t="shared" ca="1" si="66"/>
        <v>0</v>
      </c>
      <c r="E2005" s="148">
        <f t="shared" ca="1" si="67"/>
        <v>4.7000000000000028</v>
      </c>
    </row>
    <row r="2006" spans="2:5" x14ac:dyDescent="0.25">
      <c r="B2006" s="8">
        <v>39600</v>
      </c>
      <c r="C2006" s="6">
        <f ca="1">IF(OR($C$7="",$B2006&gt;NOW()),"",IF(INDEX(Data!$A:$G,MATCH($B2006,Data!$A:$A,0),MATCH($C$7,Data!$4:$4,0))="","",INDEX(Data!$A:$G,MATCH($B2006,Data!$A:$A,0),MATCH($C$7,Data!$4:$4,0))))</f>
        <v>75</v>
      </c>
      <c r="D2006" s="148">
        <f t="shared" ca="1" si="66"/>
        <v>0</v>
      </c>
      <c r="E2006" s="148">
        <f t="shared" ca="1" si="67"/>
        <v>10</v>
      </c>
    </row>
    <row r="2007" spans="2:5" x14ac:dyDescent="0.25">
      <c r="B2007" s="8">
        <v>39601</v>
      </c>
      <c r="C2007" s="6">
        <f ca="1">IF(OR($C$7="",$B2007&gt;NOW()),"",IF(INDEX(Data!$A:$G,MATCH($B2007,Data!$A:$A,0),MATCH($C$7,Data!$4:$4,0))="","",INDEX(Data!$A:$G,MATCH($B2007,Data!$A:$A,0),MATCH($C$7,Data!$4:$4,0))))</f>
        <v>70.7</v>
      </c>
      <c r="D2007" s="148">
        <f t="shared" ca="1" si="66"/>
        <v>0</v>
      </c>
      <c r="E2007" s="148">
        <f t="shared" ca="1" si="67"/>
        <v>5.7000000000000028</v>
      </c>
    </row>
    <row r="2008" spans="2:5" x14ac:dyDescent="0.25">
      <c r="B2008" s="8">
        <v>39602</v>
      </c>
      <c r="C2008" s="6">
        <f ca="1">IF(OR($C$7="",$B2008&gt;NOW()),"",IF(INDEX(Data!$A:$G,MATCH($B2008,Data!$A:$A,0),MATCH($C$7,Data!$4:$4,0))="","",INDEX(Data!$A:$G,MATCH($B2008,Data!$A:$A,0),MATCH($C$7,Data!$4:$4,0))))</f>
        <v>75.3</v>
      </c>
      <c r="D2008" s="148">
        <f t="shared" ca="1" si="66"/>
        <v>0</v>
      </c>
      <c r="E2008" s="148">
        <f t="shared" ca="1" si="67"/>
        <v>10.299999999999997</v>
      </c>
    </row>
    <row r="2009" spans="2:5" x14ac:dyDescent="0.25">
      <c r="B2009" s="8">
        <v>39603</v>
      </c>
      <c r="C2009" s="6">
        <f ca="1">IF(OR($C$7="",$B2009&gt;NOW()),"",IF(INDEX(Data!$A:$G,MATCH($B2009,Data!$A:$A,0),MATCH($C$7,Data!$4:$4,0))="","",INDEX(Data!$A:$G,MATCH($B2009,Data!$A:$A,0),MATCH($C$7,Data!$4:$4,0))))</f>
        <v>65.599999999999994</v>
      </c>
      <c r="D2009" s="148">
        <f t="shared" ca="1" si="66"/>
        <v>0</v>
      </c>
      <c r="E2009" s="148">
        <f t="shared" ca="1" si="67"/>
        <v>0.59999999999999432</v>
      </c>
    </row>
    <row r="2010" spans="2:5" x14ac:dyDescent="0.25">
      <c r="B2010" s="8">
        <v>39604</v>
      </c>
      <c r="C2010" s="6">
        <f ca="1">IF(OR($C$7="",$B2010&gt;NOW()),"",IF(INDEX(Data!$A:$G,MATCH($B2010,Data!$A:$A,0),MATCH($C$7,Data!$4:$4,0))="","",INDEX(Data!$A:$G,MATCH($B2010,Data!$A:$A,0),MATCH($C$7,Data!$4:$4,0))))</f>
        <v>65.7</v>
      </c>
      <c r="D2010" s="148">
        <f t="shared" ca="1" si="66"/>
        <v>0</v>
      </c>
      <c r="E2010" s="148">
        <f t="shared" ca="1" si="67"/>
        <v>0.70000000000000284</v>
      </c>
    </row>
    <row r="2011" spans="2:5" x14ac:dyDescent="0.25">
      <c r="B2011" s="8">
        <v>39605</v>
      </c>
      <c r="C2011" s="6">
        <f ca="1">IF(OR($C$7="",$B2011&gt;NOW()),"",IF(INDEX(Data!$A:$G,MATCH($B2011,Data!$A:$A,0),MATCH($C$7,Data!$4:$4,0))="","",INDEX(Data!$A:$G,MATCH($B2011,Data!$A:$A,0),MATCH($C$7,Data!$4:$4,0))))</f>
        <v>65.8</v>
      </c>
      <c r="D2011" s="148">
        <f t="shared" ca="1" si="66"/>
        <v>0</v>
      </c>
      <c r="E2011" s="148">
        <f t="shared" ca="1" si="67"/>
        <v>0.79999999999999716</v>
      </c>
    </row>
    <row r="2012" spans="2:5" x14ac:dyDescent="0.25">
      <c r="B2012" s="8">
        <v>39606</v>
      </c>
      <c r="C2012" s="6">
        <f ca="1">IF(OR($C$7="",$B2012&gt;NOW()),"",IF(INDEX(Data!$A:$G,MATCH($B2012,Data!$A:$A,0),MATCH($C$7,Data!$4:$4,0))="","",INDEX(Data!$A:$G,MATCH($B2012,Data!$A:$A,0),MATCH($C$7,Data!$4:$4,0))))</f>
        <v>74.599999999999994</v>
      </c>
      <c r="D2012" s="148">
        <f t="shared" ca="1" si="66"/>
        <v>0</v>
      </c>
      <c r="E2012" s="148">
        <f t="shared" ca="1" si="67"/>
        <v>9.5999999999999943</v>
      </c>
    </row>
    <row r="2013" spans="2:5" x14ac:dyDescent="0.25">
      <c r="B2013" s="8">
        <v>39607</v>
      </c>
      <c r="C2013" s="6">
        <f ca="1">IF(OR($C$7="",$B2013&gt;NOW()),"",IF(INDEX(Data!$A:$G,MATCH($B2013,Data!$A:$A,0),MATCH($C$7,Data!$4:$4,0))="","",INDEX(Data!$A:$G,MATCH($B2013,Data!$A:$A,0),MATCH($C$7,Data!$4:$4,0))))</f>
        <v>87</v>
      </c>
      <c r="D2013" s="148">
        <f t="shared" ref="D2013:D2076" ca="1" si="68">IF($C2013="","",IF($C2013&gt;$D$26,0,$D$26-$C2013))</f>
        <v>0</v>
      </c>
      <c r="E2013" s="148">
        <f t="shared" ref="E2013:E2076" ca="1" si="69">IF($C2013="","",IF($C2013&lt;$E$26,0,$C2013-$E$26))</f>
        <v>22</v>
      </c>
    </row>
    <row r="2014" spans="2:5" x14ac:dyDescent="0.25">
      <c r="B2014" s="8">
        <v>39608</v>
      </c>
      <c r="C2014" s="6">
        <f ca="1">IF(OR($C$7="",$B2014&gt;NOW()),"",IF(INDEX(Data!$A:$G,MATCH($B2014,Data!$A:$A,0),MATCH($C$7,Data!$4:$4,0))="","",INDEX(Data!$A:$G,MATCH($B2014,Data!$A:$A,0),MATCH($C$7,Data!$4:$4,0))))</f>
        <v>86.5</v>
      </c>
      <c r="D2014" s="148">
        <f t="shared" ca="1" si="68"/>
        <v>0</v>
      </c>
      <c r="E2014" s="148">
        <f t="shared" ca="1" si="69"/>
        <v>21.5</v>
      </c>
    </row>
    <row r="2015" spans="2:5" x14ac:dyDescent="0.25">
      <c r="B2015" s="8">
        <v>39609</v>
      </c>
      <c r="C2015" s="6">
        <f ca="1">IF(OR($C$7="",$B2015&gt;NOW()),"",IF(INDEX(Data!$A:$G,MATCH($B2015,Data!$A:$A,0),MATCH($C$7,Data!$4:$4,0))="","",INDEX(Data!$A:$G,MATCH($B2015,Data!$A:$A,0),MATCH($C$7,Data!$4:$4,0))))</f>
        <v>91.3</v>
      </c>
      <c r="D2015" s="148">
        <f t="shared" ca="1" si="68"/>
        <v>0</v>
      </c>
      <c r="E2015" s="148">
        <f t="shared" ca="1" si="69"/>
        <v>26.299999999999997</v>
      </c>
    </row>
    <row r="2016" spans="2:5" x14ac:dyDescent="0.25">
      <c r="B2016" s="8">
        <v>39610</v>
      </c>
      <c r="C2016" s="6">
        <f ca="1">IF(OR($C$7="",$B2016&gt;NOW()),"",IF(INDEX(Data!$A:$G,MATCH($B2016,Data!$A:$A,0),MATCH($C$7,Data!$4:$4,0))="","",INDEX(Data!$A:$G,MATCH($B2016,Data!$A:$A,0),MATCH($C$7,Data!$4:$4,0))))</f>
        <v>79</v>
      </c>
      <c r="D2016" s="148">
        <f t="shared" ca="1" si="68"/>
        <v>0</v>
      </c>
      <c r="E2016" s="148">
        <f t="shared" ca="1" si="69"/>
        <v>14</v>
      </c>
    </row>
    <row r="2017" spans="2:5" x14ac:dyDescent="0.25">
      <c r="B2017" s="8">
        <v>39611</v>
      </c>
      <c r="C2017" s="6">
        <f ca="1">IF(OR($C$7="",$B2017&gt;NOW()),"",IF(INDEX(Data!$A:$G,MATCH($B2017,Data!$A:$A,0),MATCH($C$7,Data!$4:$4,0))="","",INDEX(Data!$A:$G,MATCH($B2017,Data!$A:$A,0),MATCH($C$7,Data!$4:$4,0))))</f>
        <v>78.5</v>
      </c>
      <c r="D2017" s="148">
        <f t="shared" ca="1" si="68"/>
        <v>0</v>
      </c>
      <c r="E2017" s="148">
        <f t="shared" ca="1" si="69"/>
        <v>13.5</v>
      </c>
    </row>
    <row r="2018" spans="2:5" x14ac:dyDescent="0.25">
      <c r="B2018" s="8">
        <v>39612</v>
      </c>
      <c r="C2018" s="6">
        <f ca="1">IF(OR($C$7="",$B2018&gt;NOW()),"",IF(INDEX(Data!$A:$G,MATCH($B2018,Data!$A:$A,0),MATCH($C$7,Data!$4:$4,0))="","",INDEX(Data!$A:$G,MATCH($B2018,Data!$A:$A,0),MATCH($C$7,Data!$4:$4,0))))</f>
        <v>74.2</v>
      </c>
      <c r="D2018" s="148">
        <f t="shared" ca="1" si="68"/>
        <v>0</v>
      </c>
      <c r="E2018" s="148">
        <f t="shared" ca="1" si="69"/>
        <v>9.2000000000000028</v>
      </c>
    </row>
    <row r="2019" spans="2:5" x14ac:dyDescent="0.25">
      <c r="B2019" s="8">
        <v>39613</v>
      </c>
      <c r="C2019" s="6">
        <f ca="1">IF(OR($C$7="",$B2019&gt;NOW()),"",IF(INDEX(Data!$A:$G,MATCH($B2019,Data!$A:$A,0),MATCH($C$7,Data!$4:$4,0))="","",INDEX(Data!$A:$G,MATCH($B2019,Data!$A:$A,0),MATCH($C$7,Data!$4:$4,0))))</f>
        <v>78.3</v>
      </c>
      <c r="D2019" s="148">
        <f t="shared" ca="1" si="68"/>
        <v>0</v>
      </c>
      <c r="E2019" s="148">
        <f t="shared" ca="1" si="69"/>
        <v>13.299999999999997</v>
      </c>
    </row>
    <row r="2020" spans="2:5" x14ac:dyDescent="0.25">
      <c r="B2020" s="8">
        <v>39614</v>
      </c>
      <c r="C2020" s="6">
        <f ca="1">IF(OR($C$7="",$B2020&gt;NOW()),"",IF(INDEX(Data!$A:$G,MATCH($B2020,Data!$A:$A,0),MATCH($C$7,Data!$4:$4,0))="","",INDEX(Data!$A:$G,MATCH($B2020,Data!$A:$A,0),MATCH($C$7,Data!$4:$4,0))))</f>
        <v>73.599999999999994</v>
      </c>
      <c r="D2020" s="148">
        <f t="shared" ca="1" si="68"/>
        <v>0</v>
      </c>
      <c r="E2020" s="148">
        <f t="shared" ca="1" si="69"/>
        <v>8.5999999999999943</v>
      </c>
    </row>
    <row r="2021" spans="2:5" x14ac:dyDescent="0.25">
      <c r="B2021" s="8">
        <v>39615</v>
      </c>
      <c r="C2021" s="6">
        <f ca="1">IF(OR($C$7="",$B2021&gt;NOW()),"",IF(INDEX(Data!$A:$G,MATCH($B2021,Data!$A:$A,0),MATCH($C$7,Data!$4:$4,0))="","",INDEX(Data!$A:$G,MATCH($B2021,Data!$A:$A,0),MATCH($C$7,Data!$4:$4,0))))</f>
        <v>70.400000000000006</v>
      </c>
      <c r="D2021" s="148">
        <f t="shared" ca="1" si="68"/>
        <v>0</v>
      </c>
      <c r="E2021" s="148">
        <f t="shared" ca="1" si="69"/>
        <v>5.4000000000000057</v>
      </c>
    </row>
    <row r="2022" spans="2:5" x14ac:dyDescent="0.25">
      <c r="B2022" s="8">
        <v>39616</v>
      </c>
      <c r="C2022" s="6">
        <f ca="1">IF(OR($C$7="",$B2022&gt;NOW()),"",IF(INDEX(Data!$A:$G,MATCH($B2022,Data!$A:$A,0),MATCH($C$7,Data!$4:$4,0))="","",INDEX(Data!$A:$G,MATCH($B2022,Data!$A:$A,0),MATCH($C$7,Data!$4:$4,0))))</f>
        <v>70</v>
      </c>
      <c r="D2022" s="148">
        <f t="shared" ca="1" si="68"/>
        <v>0</v>
      </c>
      <c r="E2022" s="148">
        <f t="shared" ca="1" si="69"/>
        <v>5</v>
      </c>
    </row>
    <row r="2023" spans="2:5" x14ac:dyDescent="0.25">
      <c r="B2023" s="8">
        <v>39617</v>
      </c>
      <c r="C2023" s="6">
        <f ca="1">IF(OR($C$7="",$B2023&gt;NOW()),"",IF(INDEX(Data!$A:$G,MATCH($B2023,Data!$A:$A,0),MATCH($C$7,Data!$4:$4,0))="","",INDEX(Data!$A:$G,MATCH($B2023,Data!$A:$A,0),MATCH($C$7,Data!$4:$4,0))))</f>
        <v>67.400000000000006</v>
      </c>
      <c r="D2023" s="148">
        <f t="shared" ca="1" si="68"/>
        <v>0</v>
      </c>
      <c r="E2023" s="148">
        <f t="shared" ca="1" si="69"/>
        <v>2.4000000000000057</v>
      </c>
    </row>
    <row r="2024" spans="2:5" x14ac:dyDescent="0.25">
      <c r="B2024" s="8">
        <v>39618</v>
      </c>
      <c r="C2024" s="6">
        <f ca="1">IF(OR($C$7="",$B2024&gt;NOW()),"",IF(INDEX(Data!$A:$G,MATCH($B2024,Data!$A:$A,0),MATCH($C$7,Data!$4:$4,0))="","",INDEX(Data!$A:$G,MATCH($B2024,Data!$A:$A,0),MATCH($C$7,Data!$4:$4,0))))</f>
        <v>65.900000000000006</v>
      </c>
      <c r="D2024" s="148">
        <f t="shared" ca="1" si="68"/>
        <v>0</v>
      </c>
      <c r="E2024" s="148">
        <f t="shared" ca="1" si="69"/>
        <v>0.90000000000000568</v>
      </c>
    </row>
    <row r="2025" spans="2:5" x14ac:dyDescent="0.25">
      <c r="B2025" s="8">
        <v>39619</v>
      </c>
      <c r="C2025" s="6">
        <f ca="1">IF(OR($C$7="",$B2025&gt;NOW()),"",IF(INDEX(Data!$A:$G,MATCH($B2025,Data!$A:$A,0),MATCH($C$7,Data!$4:$4,0))="","",INDEX(Data!$A:$G,MATCH($B2025,Data!$A:$A,0),MATCH($C$7,Data!$4:$4,0))))</f>
        <v>71.900000000000006</v>
      </c>
      <c r="D2025" s="148">
        <f t="shared" ca="1" si="68"/>
        <v>0</v>
      </c>
      <c r="E2025" s="148">
        <f t="shared" ca="1" si="69"/>
        <v>6.9000000000000057</v>
      </c>
    </row>
    <row r="2026" spans="2:5" x14ac:dyDescent="0.25">
      <c r="B2026" s="8">
        <v>39620</v>
      </c>
      <c r="C2026" s="6">
        <f ca="1">IF(OR($C$7="",$B2026&gt;NOW()),"",IF(INDEX(Data!$A:$G,MATCH($B2026,Data!$A:$A,0),MATCH($C$7,Data!$4:$4,0))="","",INDEX(Data!$A:$G,MATCH($B2026,Data!$A:$A,0),MATCH($C$7,Data!$4:$4,0))))</f>
        <v>72.8</v>
      </c>
      <c r="D2026" s="148">
        <f t="shared" ca="1" si="68"/>
        <v>0</v>
      </c>
      <c r="E2026" s="148">
        <f t="shared" ca="1" si="69"/>
        <v>7.7999999999999972</v>
      </c>
    </row>
    <row r="2027" spans="2:5" x14ac:dyDescent="0.25">
      <c r="B2027" s="8">
        <v>39621</v>
      </c>
      <c r="C2027" s="6">
        <f ca="1">IF(OR($C$7="",$B2027&gt;NOW()),"",IF(INDEX(Data!$A:$G,MATCH($B2027,Data!$A:$A,0),MATCH($C$7,Data!$4:$4,0))="","",INDEX(Data!$A:$G,MATCH($B2027,Data!$A:$A,0),MATCH($C$7,Data!$4:$4,0))))</f>
        <v>74.099999999999994</v>
      </c>
      <c r="D2027" s="148">
        <f t="shared" ca="1" si="68"/>
        <v>0</v>
      </c>
      <c r="E2027" s="148">
        <f t="shared" ca="1" si="69"/>
        <v>9.0999999999999943</v>
      </c>
    </row>
    <row r="2028" spans="2:5" x14ac:dyDescent="0.25">
      <c r="B2028" s="8">
        <v>39622</v>
      </c>
      <c r="C2028" s="6">
        <f ca="1">IF(OR($C$7="",$B2028&gt;NOW()),"",IF(INDEX(Data!$A:$G,MATCH($B2028,Data!$A:$A,0),MATCH($C$7,Data!$4:$4,0))="","",INDEX(Data!$A:$G,MATCH($B2028,Data!$A:$A,0),MATCH($C$7,Data!$4:$4,0))))</f>
        <v>74.599999999999994</v>
      </c>
      <c r="D2028" s="148">
        <f t="shared" ca="1" si="68"/>
        <v>0</v>
      </c>
      <c r="E2028" s="148">
        <f t="shared" ca="1" si="69"/>
        <v>9.5999999999999943</v>
      </c>
    </row>
    <row r="2029" spans="2:5" x14ac:dyDescent="0.25">
      <c r="B2029" s="8">
        <v>39623</v>
      </c>
      <c r="C2029" s="6">
        <f ca="1">IF(OR($C$7="",$B2029&gt;NOW()),"",IF(INDEX(Data!$A:$G,MATCH($B2029,Data!$A:$A,0),MATCH($C$7,Data!$4:$4,0))="","",INDEX(Data!$A:$G,MATCH($B2029,Data!$A:$A,0),MATCH($C$7,Data!$4:$4,0))))</f>
        <v>74.900000000000006</v>
      </c>
      <c r="D2029" s="148">
        <f t="shared" ca="1" si="68"/>
        <v>0</v>
      </c>
      <c r="E2029" s="148">
        <f t="shared" ca="1" si="69"/>
        <v>9.9000000000000057</v>
      </c>
    </row>
    <row r="2030" spans="2:5" x14ac:dyDescent="0.25">
      <c r="B2030" s="8">
        <v>39624</v>
      </c>
      <c r="C2030" s="6">
        <f ca="1">IF(OR($C$7="",$B2030&gt;NOW()),"",IF(INDEX(Data!$A:$G,MATCH($B2030,Data!$A:$A,0),MATCH($C$7,Data!$4:$4,0))="","",INDEX(Data!$A:$G,MATCH($B2030,Data!$A:$A,0),MATCH($C$7,Data!$4:$4,0))))</f>
        <v>75.099999999999994</v>
      </c>
      <c r="D2030" s="148">
        <f t="shared" ca="1" si="68"/>
        <v>0</v>
      </c>
      <c r="E2030" s="148">
        <f t="shared" ca="1" si="69"/>
        <v>10.099999999999994</v>
      </c>
    </row>
    <row r="2031" spans="2:5" x14ac:dyDescent="0.25">
      <c r="B2031" s="8">
        <v>39625</v>
      </c>
      <c r="C2031" s="6">
        <f ca="1">IF(OR($C$7="",$B2031&gt;NOW()),"",IF(INDEX(Data!$A:$G,MATCH($B2031,Data!$A:$A,0),MATCH($C$7,Data!$4:$4,0))="","",INDEX(Data!$A:$G,MATCH($B2031,Data!$A:$A,0),MATCH($C$7,Data!$4:$4,0))))</f>
        <v>78.3</v>
      </c>
      <c r="D2031" s="148">
        <f t="shared" ca="1" si="68"/>
        <v>0</v>
      </c>
      <c r="E2031" s="148">
        <f t="shared" ca="1" si="69"/>
        <v>13.299999999999997</v>
      </c>
    </row>
    <row r="2032" spans="2:5" x14ac:dyDescent="0.25">
      <c r="B2032" s="8">
        <v>39626</v>
      </c>
      <c r="C2032" s="6">
        <f ca="1">IF(OR($C$7="",$B2032&gt;NOW()),"",IF(INDEX(Data!$A:$G,MATCH($B2032,Data!$A:$A,0),MATCH($C$7,Data!$4:$4,0))="","",INDEX(Data!$A:$G,MATCH($B2032,Data!$A:$A,0),MATCH($C$7,Data!$4:$4,0))))</f>
        <v>80.3</v>
      </c>
      <c r="D2032" s="148">
        <f t="shared" ca="1" si="68"/>
        <v>0</v>
      </c>
      <c r="E2032" s="148">
        <f t="shared" ca="1" si="69"/>
        <v>15.299999999999997</v>
      </c>
    </row>
    <row r="2033" spans="2:5" x14ac:dyDescent="0.25">
      <c r="B2033" s="8">
        <v>39627</v>
      </c>
      <c r="C2033" s="6">
        <f ca="1">IF(OR($C$7="",$B2033&gt;NOW()),"",IF(INDEX(Data!$A:$G,MATCH($B2033,Data!$A:$A,0),MATCH($C$7,Data!$4:$4,0))="","",INDEX(Data!$A:$G,MATCH($B2033,Data!$A:$A,0),MATCH($C$7,Data!$4:$4,0))))</f>
        <v>80.099999999999994</v>
      </c>
      <c r="D2033" s="148">
        <f t="shared" ca="1" si="68"/>
        <v>0</v>
      </c>
      <c r="E2033" s="148">
        <f t="shared" ca="1" si="69"/>
        <v>15.099999999999994</v>
      </c>
    </row>
    <row r="2034" spans="2:5" x14ac:dyDescent="0.25">
      <c r="B2034" s="8">
        <v>39628</v>
      </c>
      <c r="C2034" s="6">
        <f ca="1">IF(OR($C$7="",$B2034&gt;NOW()),"",IF(INDEX(Data!$A:$G,MATCH($B2034,Data!$A:$A,0),MATCH($C$7,Data!$4:$4,0))="","",INDEX(Data!$A:$G,MATCH($B2034,Data!$A:$A,0),MATCH($C$7,Data!$4:$4,0))))</f>
        <v>79.7</v>
      </c>
      <c r="D2034" s="148">
        <f t="shared" ca="1" si="68"/>
        <v>0</v>
      </c>
      <c r="E2034" s="148">
        <f t="shared" ca="1" si="69"/>
        <v>14.700000000000003</v>
      </c>
    </row>
    <row r="2035" spans="2:5" x14ac:dyDescent="0.25">
      <c r="B2035" s="8">
        <v>39629</v>
      </c>
      <c r="C2035" s="6">
        <f ca="1">IF(OR($C$7="",$B2035&gt;NOW()),"",IF(INDEX(Data!$A:$G,MATCH($B2035,Data!$A:$A,0),MATCH($C$7,Data!$4:$4,0))="","",INDEX(Data!$A:$G,MATCH($B2035,Data!$A:$A,0),MATCH($C$7,Data!$4:$4,0))))</f>
        <v>77.900000000000006</v>
      </c>
      <c r="D2035" s="148">
        <f t="shared" ca="1" si="68"/>
        <v>0</v>
      </c>
      <c r="E2035" s="148">
        <f t="shared" ca="1" si="69"/>
        <v>12.900000000000006</v>
      </c>
    </row>
    <row r="2036" spans="2:5" x14ac:dyDescent="0.25">
      <c r="B2036" s="8">
        <v>39630</v>
      </c>
      <c r="C2036" s="6">
        <f ca="1">IF(OR($C$7="",$B2036&gt;NOW()),"",IF(INDEX(Data!$A:$G,MATCH($B2036,Data!$A:$A,0),MATCH($C$7,Data!$4:$4,0))="","",INDEX(Data!$A:$G,MATCH($B2036,Data!$A:$A,0),MATCH($C$7,Data!$4:$4,0))))</f>
        <v>78.099999999999994</v>
      </c>
      <c r="D2036" s="148">
        <f t="shared" ca="1" si="68"/>
        <v>0</v>
      </c>
      <c r="E2036" s="148">
        <f t="shared" ca="1" si="69"/>
        <v>13.099999999999994</v>
      </c>
    </row>
    <row r="2037" spans="2:5" x14ac:dyDescent="0.25">
      <c r="B2037" s="8">
        <v>39631</v>
      </c>
      <c r="C2037" s="6">
        <f ca="1">IF(OR($C$7="",$B2037&gt;NOW()),"",IF(INDEX(Data!$A:$G,MATCH($B2037,Data!$A:$A,0),MATCH($C$7,Data!$4:$4,0))="","",INDEX(Data!$A:$G,MATCH($B2037,Data!$A:$A,0),MATCH($C$7,Data!$4:$4,0))))</f>
        <v>76.7</v>
      </c>
      <c r="D2037" s="148">
        <f t="shared" ca="1" si="68"/>
        <v>0</v>
      </c>
      <c r="E2037" s="148">
        <f t="shared" ca="1" si="69"/>
        <v>11.700000000000003</v>
      </c>
    </row>
    <row r="2038" spans="2:5" x14ac:dyDescent="0.25">
      <c r="B2038" s="8">
        <v>39632</v>
      </c>
      <c r="C2038" s="6">
        <f ca="1">IF(OR($C$7="",$B2038&gt;NOW()),"",IF(INDEX(Data!$A:$G,MATCH($B2038,Data!$A:$A,0),MATCH($C$7,Data!$4:$4,0))="","",INDEX(Data!$A:$G,MATCH($B2038,Data!$A:$A,0),MATCH($C$7,Data!$4:$4,0))))</f>
        <v>81.7</v>
      </c>
      <c r="D2038" s="148">
        <f t="shared" ca="1" si="68"/>
        <v>0</v>
      </c>
      <c r="E2038" s="148">
        <f t="shared" ca="1" si="69"/>
        <v>16.700000000000003</v>
      </c>
    </row>
    <row r="2039" spans="2:5" x14ac:dyDescent="0.25">
      <c r="B2039" s="8">
        <v>39633</v>
      </c>
      <c r="C2039" s="6">
        <f ca="1">IF(OR($C$7="",$B2039&gt;NOW()),"",IF(INDEX(Data!$A:$G,MATCH($B2039,Data!$A:$A,0),MATCH($C$7,Data!$4:$4,0))="","",INDEX(Data!$A:$G,MATCH($B2039,Data!$A:$A,0),MATCH($C$7,Data!$4:$4,0))))</f>
        <v>75.900000000000006</v>
      </c>
      <c r="D2039" s="148">
        <f t="shared" ca="1" si="68"/>
        <v>0</v>
      </c>
      <c r="E2039" s="148">
        <f t="shared" ca="1" si="69"/>
        <v>10.900000000000006</v>
      </c>
    </row>
    <row r="2040" spans="2:5" x14ac:dyDescent="0.25">
      <c r="B2040" s="8">
        <v>39634</v>
      </c>
      <c r="C2040" s="6">
        <f ca="1">IF(OR($C$7="",$B2040&gt;NOW()),"",IF(INDEX(Data!$A:$G,MATCH($B2040,Data!$A:$A,0),MATCH($C$7,Data!$4:$4,0))="","",INDEX(Data!$A:$G,MATCH($B2040,Data!$A:$A,0),MATCH($C$7,Data!$4:$4,0))))</f>
        <v>71.599999999999994</v>
      </c>
      <c r="D2040" s="148">
        <f t="shared" ca="1" si="68"/>
        <v>0</v>
      </c>
      <c r="E2040" s="148">
        <f t="shared" ca="1" si="69"/>
        <v>6.5999999999999943</v>
      </c>
    </row>
    <row r="2041" spans="2:5" x14ac:dyDescent="0.25">
      <c r="B2041" s="8">
        <v>39635</v>
      </c>
      <c r="C2041" s="6">
        <f ca="1">IF(OR($C$7="",$B2041&gt;NOW()),"",IF(INDEX(Data!$A:$G,MATCH($B2041,Data!$A:$A,0),MATCH($C$7,Data!$4:$4,0))="","",INDEX(Data!$A:$G,MATCH($B2041,Data!$A:$A,0),MATCH($C$7,Data!$4:$4,0))))</f>
        <v>72.400000000000006</v>
      </c>
      <c r="D2041" s="148">
        <f t="shared" ca="1" si="68"/>
        <v>0</v>
      </c>
      <c r="E2041" s="148">
        <f t="shared" ca="1" si="69"/>
        <v>7.4000000000000057</v>
      </c>
    </row>
    <row r="2042" spans="2:5" x14ac:dyDescent="0.25">
      <c r="B2042" s="8">
        <v>39636</v>
      </c>
      <c r="C2042" s="6">
        <f ca="1">IF(OR($C$7="",$B2042&gt;NOW()),"",IF(INDEX(Data!$A:$G,MATCH($B2042,Data!$A:$A,0),MATCH($C$7,Data!$4:$4,0))="","",INDEX(Data!$A:$G,MATCH($B2042,Data!$A:$A,0),MATCH($C$7,Data!$4:$4,0))))</f>
        <v>76.2</v>
      </c>
      <c r="D2042" s="148">
        <f t="shared" ca="1" si="68"/>
        <v>0</v>
      </c>
      <c r="E2042" s="148">
        <f t="shared" ca="1" si="69"/>
        <v>11.200000000000003</v>
      </c>
    </row>
    <row r="2043" spans="2:5" x14ac:dyDescent="0.25">
      <c r="B2043" s="8">
        <v>39637</v>
      </c>
      <c r="C2043" s="6">
        <f ca="1">IF(OR($C$7="",$B2043&gt;NOW()),"",IF(INDEX(Data!$A:$G,MATCH($B2043,Data!$A:$A,0),MATCH($C$7,Data!$4:$4,0))="","",INDEX(Data!$A:$G,MATCH($B2043,Data!$A:$A,0),MATCH($C$7,Data!$4:$4,0))))</f>
        <v>81.7</v>
      </c>
      <c r="D2043" s="148">
        <f t="shared" ca="1" si="68"/>
        <v>0</v>
      </c>
      <c r="E2043" s="148">
        <f t="shared" ca="1" si="69"/>
        <v>16.700000000000003</v>
      </c>
    </row>
    <row r="2044" spans="2:5" x14ac:dyDescent="0.25">
      <c r="B2044" s="8">
        <v>39638</v>
      </c>
      <c r="C2044" s="6">
        <f ca="1">IF(OR($C$7="",$B2044&gt;NOW()),"",IF(INDEX(Data!$A:$G,MATCH($B2044,Data!$A:$A,0),MATCH($C$7,Data!$4:$4,0))="","",INDEX(Data!$A:$G,MATCH($B2044,Data!$A:$A,0),MATCH($C$7,Data!$4:$4,0))))</f>
        <v>81.7</v>
      </c>
      <c r="D2044" s="148">
        <f t="shared" ca="1" si="68"/>
        <v>0</v>
      </c>
      <c r="E2044" s="148">
        <f t="shared" ca="1" si="69"/>
        <v>16.700000000000003</v>
      </c>
    </row>
    <row r="2045" spans="2:5" x14ac:dyDescent="0.25">
      <c r="B2045" s="8">
        <v>39639</v>
      </c>
      <c r="C2045" s="6">
        <f ca="1">IF(OR($C$7="",$B2045&gt;NOW()),"",IF(INDEX(Data!$A:$G,MATCH($B2045,Data!$A:$A,0),MATCH($C$7,Data!$4:$4,0))="","",INDEX(Data!$A:$G,MATCH($B2045,Data!$A:$A,0),MATCH($C$7,Data!$4:$4,0))))</f>
        <v>79.5</v>
      </c>
      <c r="D2045" s="148">
        <f t="shared" ca="1" si="68"/>
        <v>0</v>
      </c>
      <c r="E2045" s="148">
        <f t="shared" ca="1" si="69"/>
        <v>14.5</v>
      </c>
    </row>
    <row r="2046" spans="2:5" x14ac:dyDescent="0.25">
      <c r="B2046" s="8">
        <v>39640</v>
      </c>
      <c r="C2046" s="6">
        <f ca="1">IF(OR($C$7="",$B2046&gt;NOW()),"",IF(INDEX(Data!$A:$G,MATCH($B2046,Data!$A:$A,0),MATCH($C$7,Data!$4:$4,0))="","",INDEX(Data!$A:$G,MATCH($B2046,Data!$A:$A,0),MATCH($C$7,Data!$4:$4,0))))</f>
        <v>78.099999999999994</v>
      </c>
      <c r="D2046" s="148">
        <f t="shared" ca="1" si="68"/>
        <v>0</v>
      </c>
      <c r="E2046" s="148">
        <f t="shared" ca="1" si="69"/>
        <v>13.099999999999994</v>
      </c>
    </row>
    <row r="2047" spans="2:5" x14ac:dyDescent="0.25">
      <c r="B2047" s="8">
        <v>39641</v>
      </c>
      <c r="C2047" s="6">
        <f ca="1">IF(OR($C$7="",$B2047&gt;NOW()),"",IF(INDEX(Data!$A:$G,MATCH($B2047,Data!$A:$A,0),MATCH($C$7,Data!$4:$4,0))="","",INDEX(Data!$A:$G,MATCH($B2047,Data!$A:$A,0),MATCH($C$7,Data!$4:$4,0))))</f>
        <v>78.599999999999994</v>
      </c>
      <c r="D2047" s="148">
        <f t="shared" ca="1" si="68"/>
        <v>0</v>
      </c>
      <c r="E2047" s="148">
        <f t="shared" ca="1" si="69"/>
        <v>13.599999999999994</v>
      </c>
    </row>
    <row r="2048" spans="2:5" x14ac:dyDescent="0.25">
      <c r="B2048" s="8">
        <v>39642</v>
      </c>
      <c r="C2048" s="6">
        <f ca="1">IF(OR($C$7="",$B2048&gt;NOW()),"",IF(INDEX(Data!$A:$G,MATCH($B2048,Data!$A:$A,0),MATCH($C$7,Data!$4:$4,0))="","",INDEX(Data!$A:$G,MATCH($B2048,Data!$A:$A,0),MATCH($C$7,Data!$4:$4,0))))</f>
        <v>77.5</v>
      </c>
      <c r="D2048" s="148">
        <f t="shared" ca="1" si="68"/>
        <v>0</v>
      </c>
      <c r="E2048" s="148">
        <f t="shared" ca="1" si="69"/>
        <v>12.5</v>
      </c>
    </row>
    <row r="2049" spans="2:5" x14ac:dyDescent="0.25">
      <c r="B2049" s="8">
        <v>39643</v>
      </c>
      <c r="C2049" s="6">
        <f ca="1">IF(OR($C$7="",$B2049&gt;NOW()),"",IF(INDEX(Data!$A:$G,MATCH($B2049,Data!$A:$A,0),MATCH($C$7,Data!$4:$4,0))="","",INDEX(Data!$A:$G,MATCH($B2049,Data!$A:$A,0),MATCH($C$7,Data!$4:$4,0))))</f>
        <v>76.5</v>
      </c>
      <c r="D2049" s="148">
        <f t="shared" ca="1" si="68"/>
        <v>0</v>
      </c>
      <c r="E2049" s="148">
        <f t="shared" ca="1" si="69"/>
        <v>11.5</v>
      </c>
    </row>
    <row r="2050" spans="2:5" x14ac:dyDescent="0.25">
      <c r="B2050" s="8">
        <v>39644</v>
      </c>
      <c r="C2050" s="6">
        <f ca="1">IF(OR($C$7="",$B2050&gt;NOW()),"",IF(INDEX(Data!$A:$G,MATCH($B2050,Data!$A:$A,0),MATCH($C$7,Data!$4:$4,0))="","",INDEX(Data!$A:$G,MATCH($B2050,Data!$A:$A,0),MATCH($C$7,Data!$4:$4,0))))</f>
        <v>80.099999999999994</v>
      </c>
      <c r="D2050" s="148">
        <f t="shared" ca="1" si="68"/>
        <v>0</v>
      </c>
      <c r="E2050" s="148">
        <f t="shared" ca="1" si="69"/>
        <v>15.099999999999994</v>
      </c>
    </row>
    <row r="2051" spans="2:5" x14ac:dyDescent="0.25">
      <c r="B2051" s="8">
        <v>39645</v>
      </c>
      <c r="C2051" s="6">
        <f ca="1">IF(OR($C$7="",$B2051&gt;NOW()),"",IF(INDEX(Data!$A:$G,MATCH($B2051,Data!$A:$A,0),MATCH($C$7,Data!$4:$4,0))="","",INDEX(Data!$A:$G,MATCH($B2051,Data!$A:$A,0),MATCH($C$7,Data!$4:$4,0))))</f>
        <v>80</v>
      </c>
      <c r="D2051" s="148">
        <f t="shared" ca="1" si="68"/>
        <v>0</v>
      </c>
      <c r="E2051" s="148">
        <f t="shared" ca="1" si="69"/>
        <v>15</v>
      </c>
    </row>
    <row r="2052" spans="2:5" x14ac:dyDescent="0.25">
      <c r="B2052" s="8">
        <v>39646</v>
      </c>
      <c r="C2052" s="6">
        <f ca="1">IF(OR($C$7="",$B2052&gt;NOW()),"",IF(INDEX(Data!$A:$G,MATCH($B2052,Data!$A:$A,0),MATCH($C$7,Data!$4:$4,0))="","",INDEX(Data!$A:$G,MATCH($B2052,Data!$A:$A,0),MATCH($C$7,Data!$4:$4,0))))</f>
        <v>82.2</v>
      </c>
      <c r="D2052" s="148">
        <f t="shared" ca="1" si="68"/>
        <v>0</v>
      </c>
      <c r="E2052" s="148">
        <f t="shared" ca="1" si="69"/>
        <v>17.200000000000003</v>
      </c>
    </row>
    <row r="2053" spans="2:5" x14ac:dyDescent="0.25">
      <c r="B2053" s="8">
        <v>39647</v>
      </c>
      <c r="C2053" s="6">
        <f ca="1">IF(OR($C$7="",$B2053&gt;NOW()),"",IF(INDEX(Data!$A:$G,MATCH($B2053,Data!$A:$A,0),MATCH($C$7,Data!$4:$4,0))="","",INDEX(Data!$A:$G,MATCH($B2053,Data!$A:$A,0),MATCH($C$7,Data!$4:$4,0))))</f>
        <v>85.2</v>
      </c>
      <c r="D2053" s="148">
        <f t="shared" ca="1" si="68"/>
        <v>0</v>
      </c>
      <c r="E2053" s="148">
        <f t="shared" ca="1" si="69"/>
        <v>20.200000000000003</v>
      </c>
    </row>
    <row r="2054" spans="2:5" x14ac:dyDescent="0.25">
      <c r="B2054" s="8">
        <v>39648</v>
      </c>
      <c r="C2054" s="6">
        <f ca="1">IF(OR($C$7="",$B2054&gt;NOW()),"",IF(INDEX(Data!$A:$G,MATCH($B2054,Data!$A:$A,0),MATCH($C$7,Data!$4:$4,0))="","",INDEX(Data!$A:$G,MATCH($B2054,Data!$A:$A,0),MATCH($C$7,Data!$4:$4,0))))</f>
        <v>88.8</v>
      </c>
      <c r="D2054" s="148">
        <f t="shared" ca="1" si="68"/>
        <v>0</v>
      </c>
      <c r="E2054" s="148">
        <f t="shared" ca="1" si="69"/>
        <v>23.799999999999997</v>
      </c>
    </row>
    <row r="2055" spans="2:5" x14ac:dyDescent="0.25">
      <c r="B2055" s="8">
        <v>39649</v>
      </c>
      <c r="C2055" s="6">
        <f ca="1">IF(OR($C$7="",$B2055&gt;NOW()),"",IF(INDEX(Data!$A:$G,MATCH($B2055,Data!$A:$A,0),MATCH($C$7,Data!$4:$4,0))="","",INDEX(Data!$A:$G,MATCH($B2055,Data!$A:$A,0),MATCH($C$7,Data!$4:$4,0))))</f>
        <v>86.3</v>
      </c>
      <c r="D2055" s="148">
        <f t="shared" ca="1" si="68"/>
        <v>0</v>
      </c>
      <c r="E2055" s="148">
        <f t="shared" ca="1" si="69"/>
        <v>21.299999999999997</v>
      </c>
    </row>
    <row r="2056" spans="2:5" x14ac:dyDescent="0.25">
      <c r="B2056" s="8">
        <v>39650</v>
      </c>
      <c r="C2056" s="6">
        <f ca="1">IF(OR($C$7="",$B2056&gt;NOW()),"",IF(INDEX(Data!$A:$G,MATCH($B2056,Data!$A:$A,0),MATCH($C$7,Data!$4:$4,0))="","",INDEX(Data!$A:$G,MATCH($B2056,Data!$A:$A,0),MATCH($C$7,Data!$4:$4,0))))</f>
        <v>83</v>
      </c>
      <c r="D2056" s="148">
        <f t="shared" ca="1" si="68"/>
        <v>0</v>
      </c>
      <c r="E2056" s="148">
        <f t="shared" ca="1" si="69"/>
        <v>18</v>
      </c>
    </row>
    <row r="2057" spans="2:5" x14ac:dyDescent="0.25">
      <c r="B2057" s="8">
        <v>39651</v>
      </c>
      <c r="C2057" s="6">
        <f ca="1">IF(OR($C$7="",$B2057&gt;NOW()),"",IF(INDEX(Data!$A:$G,MATCH($B2057,Data!$A:$A,0),MATCH($C$7,Data!$4:$4,0))="","",INDEX(Data!$A:$G,MATCH($B2057,Data!$A:$A,0),MATCH($C$7,Data!$4:$4,0))))</f>
        <v>80.400000000000006</v>
      </c>
      <c r="D2057" s="148">
        <f t="shared" ca="1" si="68"/>
        <v>0</v>
      </c>
      <c r="E2057" s="148">
        <f t="shared" ca="1" si="69"/>
        <v>15.400000000000006</v>
      </c>
    </row>
    <row r="2058" spans="2:5" x14ac:dyDescent="0.25">
      <c r="B2058" s="8">
        <v>39652</v>
      </c>
      <c r="C2058" s="6">
        <f ca="1">IF(OR($C$7="",$B2058&gt;NOW()),"",IF(INDEX(Data!$A:$G,MATCH($B2058,Data!$A:$A,0),MATCH($C$7,Data!$4:$4,0))="","",INDEX(Data!$A:$G,MATCH($B2058,Data!$A:$A,0),MATCH($C$7,Data!$4:$4,0))))</f>
        <v>75.099999999999994</v>
      </c>
      <c r="D2058" s="148">
        <f t="shared" ca="1" si="68"/>
        <v>0</v>
      </c>
      <c r="E2058" s="148">
        <f t="shared" ca="1" si="69"/>
        <v>10.099999999999994</v>
      </c>
    </row>
    <row r="2059" spans="2:5" x14ac:dyDescent="0.25">
      <c r="B2059" s="8">
        <v>39653</v>
      </c>
      <c r="C2059" s="6">
        <f ca="1">IF(OR($C$7="",$B2059&gt;NOW()),"",IF(INDEX(Data!$A:$G,MATCH($B2059,Data!$A:$A,0),MATCH($C$7,Data!$4:$4,0))="","",INDEX(Data!$A:$G,MATCH($B2059,Data!$A:$A,0),MATCH($C$7,Data!$4:$4,0))))</f>
        <v>75.3</v>
      </c>
      <c r="D2059" s="148">
        <f t="shared" ca="1" si="68"/>
        <v>0</v>
      </c>
      <c r="E2059" s="148">
        <f t="shared" ca="1" si="69"/>
        <v>10.299999999999997</v>
      </c>
    </row>
    <row r="2060" spans="2:5" x14ac:dyDescent="0.25">
      <c r="B2060" s="8">
        <v>39654</v>
      </c>
      <c r="C2060" s="6">
        <f ca="1">IF(OR($C$7="",$B2060&gt;NOW()),"",IF(INDEX(Data!$A:$G,MATCH($B2060,Data!$A:$A,0),MATCH($C$7,Data!$4:$4,0))="","",INDEX(Data!$A:$G,MATCH($B2060,Data!$A:$A,0),MATCH($C$7,Data!$4:$4,0))))</f>
        <v>78.400000000000006</v>
      </c>
      <c r="D2060" s="148">
        <f t="shared" ca="1" si="68"/>
        <v>0</v>
      </c>
      <c r="E2060" s="148">
        <f t="shared" ca="1" si="69"/>
        <v>13.400000000000006</v>
      </c>
    </row>
    <row r="2061" spans="2:5" x14ac:dyDescent="0.25">
      <c r="B2061" s="8">
        <v>39655</v>
      </c>
      <c r="C2061" s="6">
        <f ca="1">IF(OR($C$7="",$B2061&gt;NOW()),"",IF(INDEX(Data!$A:$G,MATCH($B2061,Data!$A:$A,0),MATCH($C$7,Data!$4:$4,0))="","",INDEX(Data!$A:$G,MATCH($B2061,Data!$A:$A,0),MATCH($C$7,Data!$4:$4,0))))</f>
        <v>79.599999999999994</v>
      </c>
      <c r="D2061" s="148">
        <f t="shared" ca="1" si="68"/>
        <v>0</v>
      </c>
      <c r="E2061" s="148">
        <f t="shared" ca="1" si="69"/>
        <v>14.599999999999994</v>
      </c>
    </row>
    <row r="2062" spans="2:5" x14ac:dyDescent="0.25">
      <c r="B2062" s="8">
        <v>39656</v>
      </c>
      <c r="C2062" s="6">
        <f ca="1">IF(OR($C$7="",$B2062&gt;NOW()),"",IF(INDEX(Data!$A:$G,MATCH($B2062,Data!$A:$A,0),MATCH($C$7,Data!$4:$4,0))="","",INDEX(Data!$A:$G,MATCH($B2062,Data!$A:$A,0),MATCH($C$7,Data!$4:$4,0))))</f>
        <v>76</v>
      </c>
      <c r="D2062" s="148">
        <f t="shared" ca="1" si="68"/>
        <v>0</v>
      </c>
      <c r="E2062" s="148">
        <f t="shared" ca="1" si="69"/>
        <v>11</v>
      </c>
    </row>
    <row r="2063" spans="2:5" x14ac:dyDescent="0.25">
      <c r="B2063" s="8">
        <v>39657</v>
      </c>
      <c r="C2063" s="6">
        <f ca="1">IF(OR($C$7="",$B2063&gt;NOW()),"",IF(INDEX(Data!$A:$G,MATCH($B2063,Data!$A:$A,0),MATCH($C$7,Data!$4:$4,0))="","",INDEX(Data!$A:$G,MATCH($B2063,Data!$A:$A,0),MATCH($C$7,Data!$4:$4,0))))</f>
        <v>76.5</v>
      </c>
      <c r="D2063" s="148">
        <f t="shared" ca="1" si="68"/>
        <v>0</v>
      </c>
      <c r="E2063" s="148">
        <f t="shared" ca="1" si="69"/>
        <v>11.5</v>
      </c>
    </row>
    <row r="2064" spans="2:5" x14ac:dyDescent="0.25">
      <c r="B2064" s="8">
        <v>39658</v>
      </c>
      <c r="C2064" s="6">
        <f ca="1">IF(OR($C$7="",$B2064&gt;NOW()),"",IF(INDEX(Data!$A:$G,MATCH($B2064,Data!$A:$A,0),MATCH($C$7,Data!$4:$4,0))="","",INDEX(Data!$A:$G,MATCH($B2064,Data!$A:$A,0),MATCH($C$7,Data!$4:$4,0))))</f>
        <v>82.7</v>
      </c>
      <c r="D2064" s="148">
        <f t="shared" ca="1" si="68"/>
        <v>0</v>
      </c>
      <c r="E2064" s="148">
        <f t="shared" ca="1" si="69"/>
        <v>17.700000000000003</v>
      </c>
    </row>
    <row r="2065" spans="2:5" x14ac:dyDescent="0.25">
      <c r="B2065" s="8">
        <v>39659</v>
      </c>
      <c r="C2065" s="6">
        <f ca="1">IF(OR($C$7="",$B2065&gt;NOW()),"",IF(INDEX(Data!$A:$G,MATCH($B2065,Data!$A:$A,0),MATCH($C$7,Data!$4:$4,0))="","",INDEX(Data!$A:$G,MATCH($B2065,Data!$A:$A,0),MATCH($C$7,Data!$4:$4,0))))</f>
        <v>80.3</v>
      </c>
      <c r="D2065" s="148">
        <f t="shared" ca="1" si="68"/>
        <v>0</v>
      </c>
      <c r="E2065" s="148">
        <f t="shared" ca="1" si="69"/>
        <v>15.299999999999997</v>
      </c>
    </row>
    <row r="2066" spans="2:5" x14ac:dyDescent="0.25">
      <c r="B2066" s="8">
        <v>39660</v>
      </c>
      <c r="C2066" s="6">
        <f ca="1">IF(OR($C$7="",$B2066&gt;NOW()),"",IF(INDEX(Data!$A:$G,MATCH($B2066,Data!$A:$A,0),MATCH($C$7,Data!$4:$4,0))="","",INDEX(Data!$A:$G,MATCH($B2066,Data!$A:$A,0),MATCH($C$7,Data!$4:$4,0))))</f>
        <v>82</v>
      </c>
      <c r="D2066" s="148">
        <f t="shared" ca="1" si="68"/>
        <v>0</v>
      </c>
      <c r="E2066" s="148">
        <f t="shared" ca="1" si="69"/>
        <v>17</v>
      </c>
    </row>
    <row r="2067" spans="2:5" x14ac:dyDescent="0.25">
      <c r="B2067" s="8">
        <v>39661</v>
      </c>
      <c r="C2067" s="6">
        <f ca="1">IF(OR($C$7="",$B2067&gt;NOW()),"",IF(INDEX(Data!$A:$G,MATCH($B2067,Data!$A:$A,0),MATCH($C$7,Data!$4:$4,0))="","",INDEX(Data!$A:$G,MATCH($B2067,Data!$A:$A,0),MATCH($C$7,Data!$4:$4,0))))</f>
        <v>82.4</v>
      </c>
      <c r="D2067" s="148">
        <f t="shared" ca="1" si="68"/>
        <v>0</v>
      </c>
      <c r="E2067" s="148">
        <f t="shared" ca="1" si="69"/>
        <v>17.400000000000006</v>
      </c>
    </row>
    <row r="2068" spans="2:5" x14ac:dyDescent="0.25">
      <c r="B2068" s="8">
        <v>39662</v>
      </c>
      <c r="C2068" s="6">
        <f ca="1">IF(OR($C$7="",$B2068&gt;NOW()),"",IF(INDEX(Data!$A:$G,MATCH($B2068,Data!$A:$A,0),MATCH($C$7,Data!$4:$4,0))="","",INDEX(Data!$A:$G,MATCH($B2068,Data!$A:$A,0),MATCH($C$7,Data!$4:$4,0))))</f>
        <v>78.400000000000006</v>
      </c>
      <c r="D2068" s="148">
        <f t="shared" ca="1" si="68"/>
        <v>0</v>
      </c>
      <c r="E2068" s="148">
        <f t="shared" ca="1" si="69"/>
        <v>13.400000000000006</v>
      </c>
    </row>
    <row r="2069" spans="2:5" x14ac:dyDescent="0.25">
      <c r="B2069" s="8">
        <v>39663</v>
      </c>
      <c r="C2069" s="6">
        <f ca="1">IF(OR($C$7="",$B2069&gt;NOW()),"",IF(INDEX(Data!$A:$G,MATCH($B2069,Data!$A:$A,0),MATCH($C$7,Data!$4:$4,0))="","",INDEX(Data!$A:$G,MATCH($B2069,Data!$A:$A,0),MATCH($C$7,Data!$4:$4,0))))</f>
        <v>74.400000000000006</v>
      </c>
      <c r="D2069" s="148">
        <f t="shared" ca="1" si="68"/>
        <v>0</v>
      </c>
      <c r="E2069" s="148">
        <f t="shared" ca="1" si="69"/>
        <v>9.4000000000000057</v>
      </c>
    </row>
    <row r="2070" spans="2:5" x14ac:dyDescent="0.25">
      <c r="B2070" s="8">
        <v>39664</v>
      </c>
      <c r="C2070" s="6">
        <f ca="1">IF(OR($C$7="",$B2070&gt;NOW()),"",IF(INDEX(Data!$A:$G,MATCH($B2070,Data!$A:$A,0),MATCH($C$7,Data!$4:$4,0))="","",INDEX(Data!$A:$G,MATCH($B2070,Data!$A:$A,0),MATCH($C$7,Data!$4:$4,0))))</f>
        <v>76.5</v>
      </c>
      <c r="D2070" s="148">
        <f t="shared" ca="1" si="68"/>
        <v>0</v>
      </c>
      <c r="E2070" s="148">
        <f t="shared" ca="1" si="69"/>
        <v>11.5</v>
      </c>
    </row>
    <row r="2071" spans="2:5" x14ac:dyDescent="0.25">
      <c r="B2071" s="8">
        <v>39665</v>
      </c>
      <c r="C2071" s="6">
        <f ca="1">IF(OR($C$7="",$B2071&gt;NOW()),"",IF(INDEX(Data!$A:$G,MATCH($B2071,Data!$A:$A,0),MATCH($C$7,Data!$4:$4,0))="","",INDEX(Data!$A:$G,MATCH($B2071,Data!$A:$A,0),MATCH($C$7,Data!$4:$4,0))))</f>
        <v>78.3</v>
      </c>
      <c r="D2071" s="148">
        <f t="shared" ca="1" si="68"/>
        <v>0</v>
      </c>
      <c r="E2071" s="148">
        <f t="shared" ca="1" si="69"/>
        <v>13.299999999999997</v>
      </c>
    </row>
    <row r="2072" spans="2:5" x14ac:dyDescent="0.25">
      <c r="B2072" s="8">
        <v>39666</v>
      </c>
      <c r="C2072" s="6">
        <f ca="1">IF(OR($C$7="",$B2072&gt;NOW()),"",IF(INDEX(Data!$A:$G,MATCH($B2072,Data!$A:$A,0),MATCH($C$7,Data!$4:$4,0))="","",INDEX(Data!$A:$G,MATCH($B2072,Data!$A:$A,0),MATCH($C$7,Data!$4:$4,0))))</f>
        <v>78.099999999999994</v>
      </c>
      <c r="D2072" s="148">
        <f t="shared" ca="1" si="68"/>
        <v>0</v>
      </c>
      <c r="E2072" s="148">
        <f t="shared" ca="1" si="69"/>
        <v>13.099999999999994</v>
      </c>
    </row>
    <row r="2073" spans="2:5" x14ac:dyDescent="0.25">
      <c r="B2073" s="8">
        <v>39667</v>
      </c>
      <c r="C2073" s="6">
        <f ca="1">IF(OR($C$7="",$B2073&gt;NOW()),"",IF(INDEX(Data!$A:$G,MATCH($B2073,Data!$A:$A,0),MATCH($C$7,Data!$4:$4,0))="","",INDEX(Data!$A:$G,MATCH($B2073,Data!$A:$A,0),MATCH($C$7,Data!$4:$4,0))))</f>
        <v>78.3</v>
      </c>
      <c r="D2073" s="148">
        <f t="shared" ca="1" si="68"/>
        <v>0</v>
      </c>
      <c r="E2073" s="148">
        <f t="shared" ca="1" si="69"/>
        <v>13.299999999999997</v>
      </c>
    </row>
    <row r="2074" spans="2:5" x14ac:dyDescent="0.25">
      <c r="B2074" s="8">
        <v>39668</v>
      </c>
      <c r="C2074" s="6">
        <f ca="1">IF(OR($C$7="",$B2074&gt;NOW()),"",IF(INDEX(Data!$A:$G,MATCH($B2074,Data!$A:$A,0),MATCH($C$7,Data!$4:$4,0))="","",INDEX(Data!$A:$G,MATCH($B2074,Data!$A:$A,0),MATCH($C$7,Data!$4:$4,0))))</f>
        <v>74.3</v>
      </c>
      <c r="D2074" s="148">
        <f t="shared" ca="1" si="68"/>
        <v>0</v>
      </c>
      <c r="E2074" s="148">
        <f t="shared" ca="1" si="69"/>
        <v>9.2999999999999972</v>
      </c>
    </row>
    <row r="2075" spans="2:5" x14ac:dyDescent="0.25">
      <c r="B2075" s="8">
        <v>39669</v>
      </c>
      <c r="C2075" s="6">
        <f ca="1">IF(OR($C$7="",$B2075&gt;NOW()),"",IF(INDEX(Data!$A:$G,MATCH($B2075,Data!$A:$A,0),MATCH($C$7,Data!$4:$4,0))="","",INDEX(Data!$A:$G,MATCH($B2075,Data!$A:$A,0),MATCH($C$7,Data!$4:$4,0))))</f>
        <v>72.900000000000006</v>
      </c>
      <c r="D2075" s="148">
        <f t="shared" ca="1" si="68"/>
        <v>0</v>
      </c>
      <c r="E2075" s="148">
        <f t="shared" ca="1" si="69"/>
        <v>7.9000000000000057</v>
      </c>
    </row>
    <row r="2076" spans="2:5" x14ac:dyDescent="0.25">
      <c r="B2076" s="8">
        <v>39670</v>
      </c>
      <c r="C2076" s="6">
        <f ca="1">IF(OR($C$7="",$B2076&gt;NOW()),"",IF(INDEX(Data!$A:$G,MATCH($B2076,Data!$A:$A,0),MATCH($C$7,Data!$4:$4,0))="","",INDEX(Data!$A:$G,MATCH($B2076,Data!$A:$A,0),MATCH($C$7,Data!$4:$4,0))))</f>
        <v>74.400000000000006</v>
      </c>
      <c r="D2076" s="148">
        <f t="shared" ca="1" si="68"/>
        <v>0</v>
      </c>
      <c r="E2076" s="148">
        <f t="shared" ca="1" si="69"/>
        <v>9.4000000000000057</v>
      </c>
    </row>
    <row r="2077" spans="2:5" x14ac:dyDescent="0.25">
      <c r="B2077" s="8">
        <v>39671</v>
      </c>
      <c r="C2077" s="6">
        <f ca="1">IF(OR($C$7="",$B2077&gt;NOW()),"",IF(INDEX(Data!$A:$G,MATCH($B2077,Data!$A:$A,0),MATCH($C$7,Data!$4:$4,0))="","",INDEX(Data!$A:$G,MATCH($B2077,Data!$A:$A,0),MATCH($C$7,Data!$4:$4,0))))</f>
        <v>69.3</v>
      </c>
      <c r="D2077" s="148">
        <f t="shared" ref="D2077:D2140" ca="1" si="70">IF($C2077="","",IF($C2077&gt;$D$26,0,$D$26-$C2077))</f>
        <v>0</v>
      </c>
      <c r="E2077" s="148">
        <f t="shared" ref="E2077:E2140" ca="1" si="71">IF($C2077="","",IF($C2077&lt;$E$26,0,$C2077-$E$26))</f>
        <v>4.2999999999999972</v>
      </c>
    </row>
    <row r="2078" spans="2:5" x14ac:dyDescent="0.25">
      <c r="B2078" s="8">
        <v>39672</v>
      </c>
      <c r="C2078" s="6">
        <f ca="1">IF(OR($C$7="",$B2078&gt;NOW()),"",IF(INDEX(Data!$A:$G,MATCH($B2078,Data!$A:$A,0),MATCH($C$7,Data!$4:$4,0))="","",INDEX(Data!$A:$G,MATCH($B2078,Data!$A:$A,0),MATCH($C$7,Data!$4:$4,0))))</f>
        <v>70.099999999999994</v>
      </c>
      <c r="D2078" s="148">
        <f t="shared" ca="1" si="70"/>
        <v>0</v>
      </c>
      <c r="E2078" s="148">
        <f t="shared" ca="1" si="71"/>
        <v>5.0999999999999943</v>
      </c>
    </row>
    <row r="2079" spans="2:5" x14ac:dyDescent="0.25">
      <c r="B2079" s="8">
        <v>39673</v>
      </c>
      <c r="C2079" s="6">
        <f ca="1">IF(OR($C$7="",$B2079&gt;NOW()),"",IF(INDEX(Data!$A:$G,MATCH($B2079,Data!$A:$A,0),MATCH($C$7,Data!$4:$4,0))="","",INDEX(Data!$A:$G,MATCH($B2079,Data!$A:$A,0),MATCH($C$7,Data!$4:$4,0))))</f>
        <v>74.8</v>
      </c>
      <c r="D2079" s="148">
        <f t="shared" ca="1" si="70"/>
        <v>0</v>
      </c>
      <c r="E2079" s="148">
        <f t="shared" ca="1" si="71"/>
        <v>9.7999999999999972</v>
      </c>
    </row>
    <row r="2080" spans="2:5" x14ac:dyDescent="0.25">
      <c r="B2080" s="8">
        <v>39674</v>
      </c>
      <c r="C2080" s="6">
        <f ca="1">IF(OR($C$7="",$B2080&gt;NOW()),"",IF(INDEX(Data!$A:$G,MATCH($B2080,Data!$A:$A,0),MATCH($C$7,Data!$4:$4,0))="","",INDEX(Data!$A:$G,MATCH($B2080,Data!$A:$A,0),MATCH($C$7,Data!$4:$4,0))))</f>
        <v>74.599999999999994</v>
      </c>
      <c r="D2080" s="148">
        <f t="shared" ca="1" si="70"/>
        <v>0</v>
      </c>
      <c r="E2080" s="148">
        <f t="shared" ca="1" si="71"/>
        <v>9.5999999999999943</v>
      </c>
    </row>
    <row r="2081" spans="2:5" x14ac:dyDescent="0.25">
      <c r="B2081" s="8">
        <v>39675</v>
      </c>
      <c r="C2081" s="6">
        <f ca="1">IF(OR($C$7="",$B2081&gt;NOW()),"",IF(INDEX(Data!$A:$G,MATCH($B2081,Data!$A:$A,0),MATCH($C$7,Data!$4:$4,0))="","",INDEX(Data!$A:$G,MATCH($B2081,Data!$A:$A,0),MATCH($C$7,Data!$4:$4,0))))</f>
        <v>71.5</v>
      </c>
      <c r="D2081" s="148">
        <f t="shared" ca="1" si="70"/>
        <v>0</v>
      </c>
      <c r="E2081" s="148">
        <f t="shared" ca="1" si="71"/>
        <v>6.5</v>
      </c>
    </row>
    <row r="2082" spans="2:5" x14ac:dyDescent="0.25">
      <c r="B2082" s="8">
        <v>39676</v>
      </c>
      <c r="C2082" s="6">
        <f ca="1">IF(OR($C$7="",$B2082&gt;NOW()),"",IF(INDEX(Data!$A:$G,MATCH($B2082,Data!$A:$A,0),MATCH($C$7,Data!$4:$4,0))="","",INDEX(Data!$A:$G,MATCH($B2082,Data!$A:$A,0),MATCH($C$7,Data!$4:$4,0))))</f>
        <v>72.099999999999994</v>
      </c>
      <c r="D2082" s="148">
        <f t="shared" ca="1" si="70"/>
        <v>0</v>
      </c>
      <c r="E2082" s="148">
        <f t="shared" ca="1" si="71"/>
        <v>7.0999999999999943</v>
      </c>
    </row>
    <row r="2083" spans="2:5" x14ac:dyDescent="0.25">
      <c r="B2083" s="8">
        <v>39677</v>
      </c>
      <c r="C2083" s="6">
        <f ca="1">IF(OR($C$7="",$B2083&gt;NOW()),"",IF(INDEX(Data!$A:$G,MATCH($B2083,Data!$A:$A,0),MATCH($C$7,Data!$4:$4,0))="","",INDEX(Data!$A:$G,MATCH($B2083,Data!$A:$A,0),MATCH($C$7,Data!$4:$4,0))))</f>
        <v>76.7</v>
      </c>
      <c r="D2083" s="148">
        <f t="shared" ca="1" si="70"/>
        <v>0</v>
      </c>
      <c r="E2083" s="148">
        <f t="shared" ca="1" si="71"/>
        <v>11.700000000000003</v>
      </c>
    </row>
    <row r="2084" spans="2:5" x14ac:dyDescent="0.25">
      <c r="B2084" s="8">
        <v>39678</v>
      </c>
      <c r="C2084" s="6">
        <f ca="1">IF(OR($C$7="",$B2084&gt;NOW()),"",IF(INDEX(Data!$A:$G,MATCH($B2084,Data!$A:$A,0),MATCH($C$7,Data!$4:$4,0))="","",INDEX(Data!$A:$G,MATCH($B2084,Data!$A:$A,0),MATCH($C$7,Data!$4:$4,0))))</f>
        <v>80.8</v>
      </c>
      <c r="D2084" s="148">
        <f t="shared" ca="1" si="70"/>
        <v>0</v>
      </c>
      <c r="E2084" s="148">
        <f t="shared" ca="1" si="71"/>
        <v>15.799999999999997</v>
      </c>
    </row>
    <row r="2085" spans="2:5" x14ac:dyDescent="0.25">
      <c r="B2085" s="8">
        <v>39679</v>
      </c>
      <c r="C2085" s="6">
        <f ca="1">IF(OR($C$7="",$B2085&gt;NOW()),"",IF(INDEX(Data!$A:$G,MATCH($B2085,Data!$A:$A,0),MATCH($C$7,Data!$4:$4,0))="","",INDEX(Data!$A:$G,MATCH($B2085,Data!$A:$A,0),MATCH($C$7,Data!$4:$4,0))))</f>
        <v>78.8</v>
      </c>
      <c r="D2085" s="148">
        <f t="shared" ca="1" si="70"/>
        <v>0</v>
      </c>
      <c r="E2085" s="148">
        <f t="shared" ca="1" si="71"/>
        <v>13.799999999999997</v>
      </c>
    </row>
    <row r="2086" spans="2:5" x14ac:dyDescent="0.25">
      <c r="B2086" s="8">
        <v>39680</v>
      </c>
      <c r="C2086" s="6">
        <f ca="1">IF(OR($C$7="",$B2086&gt;NOW()),"",IF(INDEX(Data!$A:$G,MATCH($B2086,Data!$A:$A,0),MATCH($C$7,Data!$4:$4,0))="","",INDEX(Data!$A:$G,MATCH($B2086,Data!$A:$A,0),MATCH($C$7,Data!$4:$4,0))))</f>
        <v>68.900000000000006</v>
      </c>
      <c r="D2086" s="148">
        <f t="shared" ca="1" si="70"/>
        <v>0</v>
      </c>
      <c r="E2086" s="148">
        <f t="shared" ca="1" si="71"/>
        <v>3.9000000000000057</v>
      </c>
    </row>
    <row r="2087" spans="2:5" x14ac:dyDescent="0.25">
      <c r="B2087" s="8">
        <v>39681</v>
      </c>
      <c r="C2087" s="6">
        <f ca="1">IF(OR($C$7="",$B2087&gt;NOW()),"",IF(INDEX(Data!$A:$G,MATCH($B2087,Data!$A:$A,0),MATCH($C$7,Data!$4:$4,0))="","",INDEX(Data!$A:$G,MATCH($B2087,Data!$A:$A,0),MATCH($C$7,Data!$4:$4,0))))</f>
        <v>71.599999999999994</v>
      </c>
      <c r="D2087" s="148">
        <f t="shared" ca="1" si="70"/>
        <v>0</v>
      </c>
      <c r="E2087" s="148">
        <f t="shared" ca="1" si="71"/>
        <v>6.5999999999999943</v>
      </c>
    </row>
    <row r="2088" spans="2:5" x14ac:dyDescent="0.25">
      <c r="B2088" s="8">
        <v>39682</v>
      </c>
      <c r="C2088" s="6">
        <f ca="1">IF(OR($C$7="",$B2088&gt;NOW()),"",IF(INDEX(Data!$A:$G,MATCH($B2088,Data!$A:$A,0),MATCH($C$7,Data!$4:$4,0))="","",INDEX(Data!$A:$G,MATCH($B2088,Data!$A:$A,0),MATCH($C$7,Data!$4:$4,0))))</f>
        <v>74.400000000000006</v>
      </c>
      <c r="D2088" s="148">
        <f t="shared" ca="1" si="70"/>
        <v>0</v>
      </c>
      <c r="E2088" s="148">
        <f t="shared" ca="1" si="71"/>
        <v>9.4000000000000057</v>
      </c>
    </row>
    <row r="2089" spans="2:5" x14ac:dyDescent="0.25">
      <c r="B2089" s="8">
        <v>39683</v>
      </c>
      <c r="C2089" s="6">
        <f ca="1">IF(OR($C$7="",$B2089&gt;NOW()),"",IF(INDEX(Data!$A:$G,MATCH($B2089,Data!$A:$A,0),MATCH($C$7,Data!$4:$4,0))="","",INDEX(Data!$A:$G,MATCH($B2089,Data!$A:$A,0),MATCH($C$7,Data!$4:$4,0))))</f>
        <v>72.900000000000006</v>
      </c>
      <c r="D2089" s="148">
        <f t="shared" ca="1" si="70"/>
        <v>0</v>
      </c>
      <c r="E2089" s="148">
        <f t="shared" ca="1" si="71"/>
        <v>7.9000000000000057</v>
      </c>
    </row>
    <row r="2090" spans="2:5" x14ac:dyDescent="0.25">
      <c r="B2090" s="8">
        <v>39684</v>
      </c>
      <c r="C2090" s="6">
        <f ca="1">IF(OR($C$7="",$B2090&gt;NOW()),"",IF(INDEX(Data!$A:$G,MATCH($B2090,Data!$A:$A,0),MATCH($C$7,Data!$4:$4,0))="","",INDEX(Data!$A:$G,MATCH($B2090,Data!$A:$A,0),MATCH($C$7,Data!$4:$4,0))))</f>
        <v>74.400000000000006</v>
      </c>
      <c r="D2090" s="148">
        <f t="shared" ca="1" si="70"/>
        <v>0</v>
      </c>
      <c r="E2090" s="148">
        <f t="shared" ca="1" si="71"/>
        <v>9.4000000000000057</v>
      </c>
    </row>
    <row r="2091" spans="2:5" x14ac:dyDescent="0.25">
      <c r="B2091" s="8">
        <v>39685</v>
      </c>
      <c r="C2091" s="6">
        <f ca="1">IF(OR($C$7="",$B2091&gt;NOW()),"",IF(INDEX(Data!$A:$G,MATCH($B2091,Data!$A:$A,0),MATCH($C$7,Data!$4:$4,0))="","",INDEX(Data!$A:$G,MATCH($B2091,Data!$A:$A,0),MATCH($C$7,Data!$4:$4,0))))</f>
        <v>76.5</v>
      </c>
      <c r="D2091" s="148">
        <f t="shared" ca="1" si="70"/>
        <v>0</v>
      </c>
      <c r="E2091" s="148">
        <f t="shared" ca="1" si="71"/>
        <v>11.5</v>
      </c>
    </row>
    <row r="2092" spans="2:5" x14ac:dyDescent="0.25">
      <c r="B2092" s="8">
        <v>39686</v>
      </c>
      <c r="C2092" s="6">
        <f ca="1">IF(OR($C$7="",$B2092&gt;NOW()),"",IF(INDEX(Data!$A:$G,MATCH($B2092,Data!$A:$A,0),MATCH($C$7,Data!$4:$4,0))="","",INDEX(Data!$A:$G,MATCH($B2092,Data!$A:$A,0),MATCH($C$7,Data!$4:$4,0))))</f>
        <v>70.8</v>
      </c>
      <c r="D2092" s="148">
        <f t="shared" ca="1" si="70"/>
        <v>0</v>
      </c>
      <c r="E2092" s="148">
        <f t="shared" ca="1" si="71"/>
        <v>5.7999999999999972</v>
      </c>
    </row>
    <row r="2093" spans="2:5" x14ac:dyDescent="0.25">
      <c r="B2093" s="8">
        <v>39687</v>
      </c>
      <c r="C2093" s="6">
        <f ca="1">IF(OR($C$7="",$B2093&gt;NOW()),"",IF(INDEX(Data!$A:$G,MATCH($B2093,Data!$A:$A,0),MATCH($C$7,Data!$4:$4,0))="","",INDEX(Data!$A:$G,MATCH($B2093,Data!$A:$A,0),MATCH($C$7,Data!$4:$4,0))))</f>
        <v>70.400000000000006</v>
      </c>
      <c r="D2093" s="148">
        <f t="shared" ca="1" si="70"/>
        <v>0</v>
      </c>
      <c r="E2093" s="148">
        <f t="shared" ca="1" si="71"/>
        <v>5.4000000000000057</v>
      </c>
    </row>
    <row r="2094" spans="2:5" x14ac:dyDescent="0.25">
      <c r="B2094" s="8">
        <v>39688</v>
      </c>
      <c r="C2094" s="6">
        <f ca="1">IF(OR($C$7="",$B2094&gt;NOW()),"",IF(INDEX(Data!$A:$G,MATCH($B2094,Data!$A:$A,0),MATCH($C$7,Data!$4:$4,0))="","",INDEX(Data!$A:$G,MATCH($B2094,Data!$A:$A,0),MATCH($C$7,Data!$4:$4,0))))</f>
        <v>72.7</v>
      </c>
      <c r="D2094" s="148">
        <f t="shared" ca="1" si="70"/>
        <v>0</v>
      </c>
      <c r="E2094" s="148">
        <f t="shared" ca="1" si="71"/>
        <v>7.7000000000000028</v>
      </c>
    </row>
    <row r="2095" spans="2:5" x14ac:dyDescent="0.25">
      <c r="B2095" s="8">
        <v>39689</v>
      </c>
      <c r="C2095" s="6">
        <f ca="1">IF(OR($C$7="",$B2095&gt;NOW()),"",IF(INDEX(Data!$A:$G,MATCH($B2095,Data!$A:$A,0),MATCH($C$7,Data!$4:$4,0))="","",INDEX(Data!$A:$G,MATCH($B2095,Data!$A:$A,0),MATCH($C$7,Data!$4:$4,0))))</f>
        <v>73</v>
      </c>
      <c r="D2095" s="148">
        <f t="shared" ca="1" si="70"/>
        <v>0</v>
      </c>
      <c r="E2095" s="148">
        <f t="shared" ca="1" si="71"/>
        <v>8</v>
      </c>
    </row>
    <row r="2096" spans="2:5" x14ac:dyDescent="0.25">
      <c r="B2096" s="8">
        <v>39690</v>
      </c>
      <c r="C2096" s="6">
        <f ca="1">IF(OR($C$7="",$B2096&gt;NOW()),"",IF(INDEX(Data!$A:$G,MATCH($B2096,Data!$A:$A,0),MATCH($C$7,Data!$4:$4,0))="","",INDEX(Data!$A:$G,MATCH($B2096,Data!$A:$A,0),MATCH($C$7,Data!$4:$4,0))))</f>
        <v>74.5</v>
      </c>
      <c r="D2096" s="148">
        <f t="shared" ca="1" si="70"/>
        <v>0</v>
      </c>
      <c r="E2096" s="148">
        <f t="shared" ca="1" si="71"/>
        <v>9.5</v>
      </c>
    </row>
    <row r="2097" spans="2:5" x14ac:dyDescent="0.25">
      <c r="B2097" s="8">
        <v>39691</v>
      </c>
      <c r="C2097" s="6">
        <f ca="1">IF(OR($C$7="",$B2097&gt;NOW()),"",IF(INDEX(Data!$A:$G,MATCH($B2097,Data!$A:$A,0),MATCH($C$7,Data!$4:$4,0))="","",INDEX(Data!$A:$G,MATCH($B2097,Data!$A:$A,0),MATCH($C$7,Data!$4:$4,0))))</f>
        <v>76.900000000000006</v>
      </c>
      <c r="D2097" s="148">
        <f t="shared" ca="1" si="70"/>
        <v>0</v>
      </c>
      <c r="E2097" s="148">
        <f t="shared" ca="1" si="71"/>
        <v>11.900000000000006</v>
      </c>
    </row>
    <row r="2098" spans="2:5" x14ac:dyDescent="0.25">
      <c r="B2098" s="8">
        <v>39692</v>
      </c>
      <c r="C2098" s="6">
        <f ca="1">IF(OR($C$7="",$B2098&gt;NOW()),"",IF(INDEX(Data!$A:$G,MATCH($B2098,Data!$A:$A,0),MATCH($C$7,Data!$4:$4,0))="","",INDEX(Data!$A:$G,MATCH($B2098,Data!$A:$A,0),MATCH($C$7,Data!$4:$4,0))))</f>
        <v>76.2</v>
      </c>
      <c r="D2098" s="148">
        <f t="shared" ca="1" si="70"/>
        <v>0</v>
      </c>
      <c r="E2098" s="148">
        <f t="shared" ca="1" si="71"/>
        <v>11.200000000000003</v>
      </c>
    </row>
    <row r="2099" spans="2:5" x14ac:dyDescent="0.25">
      <c r="B2099" s="8">
        <v>39693</v>
      </c>
      <c r="C2099" s="6">
        <f ca="1">IF(OR($C$7="",$B2099&gt;NOW()),"",IF(INDEX(Data!$A:$G,MATCH($B2099,Data!$A:$A,0),MATCH($C$7,Data!$4:$4,0))="","",INDEX(Data!$A:$G,MATCH($B2099,Data!$A:$A,0),MATCH($C$7,Data!$4:$4,0))))</f>
        <v>78.5</v>
      </c>
      <c r="D2099" s="148">
        <f t="shared" ca="1" si="70"/>
        <v>0</v>
      </c>
      <c r="E2099" s="148">
        <f t="shared" ca="1" si="71"/>
        <v>13.5</v>
      </c>
    </row>
    <row r="2100" spans="2:5" x14ac:dyDescent="0.25">
      <c r="B2100" s="8">
        <v>39694</v>
      </c>
      <c r="C2100" s="6">
        <f ca="1">IF(OR($C$7="",$B2100&gt;NOW()),"",IF(INDEX(Data!$A:$G,MATCH($B2100,Data!$A:$A,0),MATCH($C$7,Data!$4:$4,0))="","",INDEX(Data!$A:$G,MATCH($B2100,Data!$A:$A,0),MATCH($C$7,Data!$4:$4,0))))</f>
        <v>75.5</v>
      </c>
      <c r="D2100" s="148">
        <f t="shared" ca="1" si="70"/>
        <v>0</v>
      </c>
      <c r="E2100" s="148">
        <f t="shared" ca="1" si="71"/>
        <v>10.5</v>
      </c>
    </row>
    <row r="2101" spans="2:5" x14ac:dyDescent="0.25">
      <c r="B2101" s="8">
        <v>39695</v>
      </c>
      <c r="C2101" s="6">
        <f ca="1">IF(OR($C$7="",$B2101&gt;NOW()),"",IF(INDEX(Data!$A:$G,MATCH($B2101,Data!$A:$A,0),MATCH($C$7,Data!$4:$4,0))="","",INDEX(Data!$A:$G,MATCH($B2101,Data!$A:$A,0),MATCH($C$7,Data!$4:$4,0))))</f>
        <v>78.599999999999994</v>
      </c>
      <c r="D2101" s="148">
        <f t="shared" ca="1" si="70"/>
        <v>0</v>
      </c>
      <c r="E2101" s="148">
        <f t="shared" ca="1" si="71"/>
        <v>13.599999999999994</v>
      </c>
    </row>
    <row r="2102" spans="2:5" x14ac:dyDescent="0.25">
      <c r="B2102" s="8">
        <v>39696</v>
      </c>
      <c r="C2102" s="6">
        <f ca="1">IF(OR($C$7="",$B2102&gt;NOW()),"",IF(INDEX(Data!$A:$G,MATCH($B2102,Data!$A:$A,0),MATCH($C$7,Data!$4:$4,0))="","",INDEX(Data!$A:$G,MATCH($B2102,Data!$A:$A,0),MATCH($C$7,Data!$4:$4,0))))</f>
        <v>78.3</v>
      </c>
      <c r="D2102" s="148">
        <f t="shared" ca="1" si="70"/>
        <v>0</v>
      </c>
      <c r="E2102" s="148">
        <f t="shared" ca="1" si="71"/>
        <v>13.299999999999997</v>
      </c>
    </row>
    <row r="2103" spans="2:5" x14ac:dyDescent="0.25">
      <c r="B2103" s="8">
        <v>39697</v>
      </c>
      <c r="C2103" s="6">
        <f ca="1">IF(OR($C$7="",$B2103&gt;NOW()),"",IF(INDEX(Data!$A:$G,MATCH($B2103,Data!$A:$A,0),MATCH($C$7,Data!$4:$4,0))="","",INDEX(Data!$A:$G,MATCH($B2103,Data!$A:$A,0),MATCH($C$7,Data!$4:$4,0))))</f>
        <v>77.599999999999994</v>
      </c>
      <c r="D2103" s="148">
        <f t="shared" ca="1" si="70"/>
        <v>0</v>
      </c>
      <c r="E2103" s="148">
        <f t="shared" ca="1" si="71"/>
        <v>12.599999999999994</v>
      </c>
    </row>
    <row r="2104" spans="2:5" x14ac:dyDescent="0.25">
      <c r="B2104" s="8">
        <v>39698</v>
      </c>
      <c r="C2104" s="6">
        <f ca="1">IF(OR($C$7="",$B2104&gt;NOW()),"",IF(INDEX(Data!$A:$G,MATCH($B2104,Data!$A:$A,0),MATCH($C$7,Data!$4:$4,0))="","",INDEX(Data!$A:$G,MATCH($B2104,Data!$A:$A,0),MATCH($C$7,Data!$4:$4,0))))</f>
        <v>75.099999999999994</v>
      </c>
      <c r="D2104" s="148">
        <f t="shared" ca="1" si="70"/>
        <v>0</v>
      </c>
      <c r="E2104" s="148">
        <f t="shared" ca="1" si="71"/>
        <v>10.099999999999994</v>
      </c>
    </row>
    <row r="2105" spans="2:5" x14ac:dyDescent="0.25">
      <c r="B2105" s="8">
        <v>39699</v>
      </c>
      <c r="C2105" s="6">
        <f ca="1">IF(OR($C$7="",$B2105&gt;NOW()),"",IF(INDEX(Data!$A:$G,MATCH($B2105,Data!$A:$A,0),MATCH($C$7,Data!$4:$4,0))="","",INDEX(Data!$A:$G,MATCH($B2105,Data!$A:$A,0),MATCH($C$7,Data!$4:$4,0))))</f>
        <v>75.2</v>
      </c>
      <c r="D2105" s="148">
        <f t="shared" ca="1" si="70"/>
        <v>0</v>
      </c>
      <c r="E2105" s="148">
        <f t="shared" ca="1" si="71"/>
        <v>10.200000000000003</v>
      </c>
    </row>
    <row r="2106" spans="2:5" x14ac:dyDescent="0.25">
      <c r="B2106" s="8">
        <v>39700</v>
      </c>
      <c r="C2106" s="6">
        <f ca="1">IF(OR($C$7="",$B2106&gt;NOW()),"",IF(INDEX(Data!$A:$G,MATCH($B2106,Data!$A:$A,0),MATCH($C$7,Data!$4:$4,0))="","",INDEX(Data!$A:$G,MATCH($B2106,Data!$A:$A,0),MATCH($C$7,Data!$4:$4,0))))</f>
        <v>73</v>
      </c>
      <c r="D2106" s="148">
        <f t="shared" ca="1" si="70"/>
        <v>0</v>
      </c>
      <c r="E2106" s="148">
        <f t="shared" ca="1" si="71"/>
        <v>8</v>
      </c>
    </row>
    <row r="2107" spans="2:5" x14ac:dyDescent="0.25">
      <c r="B2107" s="8">
        <v>39701</v>
      </c>
      <c r="C2107" s="6">
        <f ca="1">IF(OR($C$7="",$B2107&gt;NOW()),"",IF(INDEX(Data!$A:$G,MATCH($B2107,Data!$A:$A,0),MATCH($C$7,Data!$4:$4,0))="","",INDEX(Data!$A:$G,MATCH($B2107,Data!$A:$A,0),MATCH($C$7,Data!$4:$4,0))))</f>
        <v>68.7</v>
      </c>
      <c r="D2107" s="148">
        <f t="shared" ca="1" si="70"/>
        <v>0</v>
      </c>
      <c r="E2107" s="148">
        <f t="shared" ca="1" si="71"/>
        <v>3.7000000000000028</v>
      </c>
    </row>
    <row r="2108" spans="2:5" x14ac:dyDescent="0.25">
      <c r="B2108" s="8">
        <v>39702</v>
      </c>
      <c r="C2108" s="6">
        <f ca="1">IF(OR($C$7="",$B2108&gt;NOW()),"",IF(INDEX(Data!$A:$G,MATCH($B2108,Data!$A:$A,0),MATCH($C$7,Data!$4:$4,0))="","",INDEX(Data!$A:$G,MATCH($B2108,Data!$A:$A,0),MATCH($C$7,Data!$4:$4,0))))</f>
        <v>67.8</v>
      </c>
      <c r="D2108" s="148">
        <f t="shared" ca="1" si="70"/>
        <v>0</v>
      </c>
      <c r="E2108" s="148">
        <f t="shared" ca="1" si="71"/>
        <v>2.7999999999999972</v>
      </c>
    </row>
    <row r="2109" spans="2:5" x14ac:dyDescent="0.25">
      <c r="B2109" s="8">
        <v>39703</v>
      </c>
      <c r="C2109" s="6">
        <f ca="1">IF(OR($C$7="",$B2109&gt;NOW()),"",IF(INDEX(Data!$A:$G,MATCH($B2109,Data!$A:$A,0),MATCH($C$7,Data!$4:$4,0))="","",INDEX(Data!$A:$G,MATCH($B2109,Data!$A:$A,0),MATCH($C$7,Data!$4:$4,0))))</f>
        <v>68.099999999999994</v>
      </c>
      <c r="D2109" s="148">
        <f t="shared" ca="1" si="70"/>
        <v>0</v>
      </c>
      <c r="E2109" s="148">
        <f t="shared" ca="1" si="71"/>
        <v>3.0999999999999943</v>
      </c>
    </row>
    <row r="2110" spans="2:5" x14ac:dyDescent="0.25">
      <c r="B2110" s="8">
        <v>39704</v>
      </c>
      <c r="C2110" s="6">
        <f ca="1">IF(OR($C$7="",$B2110&gt;NOW()),"",IF(INDEX(Data!$A:$G,MATCH($B2110,Data!$A:$A,0),MATCH($C$7,Data!$4:$4,0))="","",INDEX(Data!$A:$G,MATCH($B2110,Data!$A:$A,0),MATCH($C$7,Data!$4:$4,0))))</f>
        <v>71.7</v>
      </c>
      <c r="D2110" s="148">
        <f t="shared" ca="1" si="70"/>
        <v>0</v>
      </c>
      <c r="E2110" s="148">
        <f t="shared" ca="1" si="71"/>
        <v>6.7000000000000028</v>
      </c>
    </row>
    <row r="2111" spans="2:5" x14ac:dyDescent="0.25">
      <c r="B2111" s="8">
        <v>39705</v>
      </c>
      <c r="C2111" s="6">
        <f ca="1">IF(OR($C$7="",$B2111&gt;NOW()),"",IF(INDEX(Data!$A:$G,MATCH($B2111,Data!$A:$A,0),MATCH($C$7,Data!$4:$4,0))="","",INDEX(Data!$A:$G,MATCH($B2111,Data!$A:$A,0),MATCH($C$7,Data!$4:$4,0))))</f>
        <v>77.2</v>
      </c>
      <c r="D2111" s="148">
        <f t="shared" ca="1" si="70"/>
        <v>0</v>
      </c>
      <c r="E2111" s="148">
        <f t="shared" ca="1" si="71"/>
        <v>12.200000000000003</v>
      </c>
    </row>
    <row r="2112" spans="2:5" x14ac:dyDescent="0.25">
      <c r="B2112" s="8">
        <v>39706</v>
      </c>
      <c r="C2112" s="6">
        <f ca="1">IF(OR($C$7="",$B2112&gt;NOW()),"",IF(INDEX(Data!$A:$G,MATCH($B2112,Data!$A:$A,0),MATCH($C$7,Data!$4:$4,0))="","",INDEX(Data!$A:$G,MATCH($B2112,Data!$A:$A,0),MATCH($C$7,Data!$4:$4,0))))</f>
        <v>80.599999999999994</v>
      </c>
      <c r="D2112" s="148">
        <f t="shared" ca="1" si="70"/>
        <v>0</v>
      </c>
      <c r="E2112" s="148">
        <f t="shared" ca="1" si="71"/>
        <v>15.599999999999994</v>
      </c>
    </row>
    <row r="2113" spans="2:5" x14ac:dyDescent="0.25">
      <c r="B2113" s="8">
        <v>39707</v>
      </c>
      <c r="C2113" s="6">
        <f ca="1">IF(OR($C$7="",$B2113&gt;NOW()),"",IF(INDEX(Data!$A:$G,MATCH($B2113,Data!$A:$A,0),MATCH($C$7,Data!$4:$4,0))="","",INDEX(Data!$A:$G,MATCH($B2113,Data!$A:$A,0),MATCH($C$7,Data!$4:$4,0))))</f>
        <v>67.599999999999994</v>
      </c>
      <c r="D2113" s="148">
        <f t="shared" ca="1" si="70"/>
        <v>0</v>
      </c>
      <c r="E2113" s="148">
        <f t="shared" ca="1" si="71"/>
        <v>2.5999999999999943</v>
      </c>
    </row>
    <row r="2114" spans="2:5" x14ac:dyDescent="0.25">
      <c r="B2114" s="8">
        <v>39708</v>
      </c>
      <c r="C2114" s="6">
        <f ca="1">IF(OR($C$7="",$B2114&gt;NOW()),"",IF(INDEX(Data!$A:$G,MATCH($B2114,Data!$A:$A,0),MATCH($C$7,Data!$4:$4,0))="","",INDEX(Data!$A:$G,MATCH($B2114,Data!$A:$A,0),MATCH($C$7,Data!$4:$4,0))))</f>
        <v>67.2</v>
      </c>
      <c r="D2114" s="148">
        <f t="shared" ca="1" si="70"/>
        <v>0</v>
      </c>
      <c r="E2114" s="148">
        <f t="shared" ca="1" si="71"/>
        <v>2.2000000000000028</v>
      </c>
    </row>
    <row r="2115" spans="2:5" x14ac:dyDescent="0.25">
      <c r="B2115" s="8">
        <v>39709</v>
      </c>
      <c r="C2115" s="6">
        <f ca="1">IF(OR($C$7="",$B2115&gt;NOW()),"",IF(INDEX(Data!$A:$G,MATCH($B2115,Data!$A:$A,0),MATCH($C$7,Data!$4:$4,0))="","",INDEX(Data!$A:$G,MATCH($B2115,Data!$A:$A,0),MATCH($C$7,Data!$4:$4,0))))</f>
        <v>69</v>
      </c>
      <c r="D2115" s="148">
        <f t="shared" ca="1" si="70"/>
        <v>0</v>
      </c>
      <c r="E2115" s="148">
        <f t="shared" ca="1" si="71"/>
        <v>4</v>
      </c>
    </row>
    <row r="2116" spans="2:5" x14ac:dyDescent="0.25">
      <c r="B2116" s="8">
        <v>39710</v>
      </c>
      <c r="C2116" s="6">
        <f ca="1">IF(OR($C$7="",$B2116&gt;NOW()),"",IF(INDEX(Data!$A:$G,MATCH($B2116,Data!$A:$A,0),MATCH($C$7,Data!$4:$4,0))="","",INDEX(Data!$A:$G,MATCH($B2116,Data!$A:$A,0),MATCH($C$7,Data!$4:$4,0))))</f>
        <v>61.8</v>
      </c>
      <c r="D2116" s="148">
        <f t="shared" ca="1" si="70"/>
        <v>3.2000000000000028</v>
      </c>
      <c r="E2116" s="148">
        <f t="shared" ca="1" si="71"/>
        <v>0</v>
      </c>
    </row>
    <row r="2117" spans="2:5" x14ac:dyDescent="0.25">
      <c r="B2117" s="8">
        <v>39711</v>
      </c>
      <c r="C2117" s="6">
        <f ca="1">IF(OR($C$7="",$B2117&gt;NOW()),"",IF(INDEX(Data!$A:$G,MATCH($B2117,Data!$A:$A,0),MATCH($C$7,Data!$4:$4,0))="","",INDEX(Data!$A:$G,MATCH($B2117,Data!$A:$A,0),MATCH($C$7,Data!$4:$4,0))))</f>
        <v>60.6</v>
      </c>
      <c r="D2117" s="148">
        <f t="shared" ca="1" si="70"/>
        <v>4.3999999999999986</v>
      </c>
      <c r="E2117" s="148">
        <f t="shared" ca="1" si="71"/>
        <v>0</v>
      </c>
    </row>
    <row r="2118" spans="2:5" x14ac:dyDescent="0.25">
      <c r="B2118" s="8">
        <v>39712</v>
      </c>
      <c r="C2118" s="6">
        <f ca="1">IF(OR($C$7="",$B2118&gt;NOW()),"",IF(INDEX(Data!$A:$G,MATCH($B2118,Data!$A:$A,0),MATCH($C$7,Data!$4:$4,0))="","",INDEX(Data!$A:$G,MATCH($B2118,Data!$A:$A,0),MATCH($C$7,Data!$4:$4,0))))</f>
        <v>67.400000000000006</v>
      </c>
      <c r="D2118" s="148">
        <f t="shared" ca="1" si="70"/>
        <v>0</v>
      </c>
      <c r="E2118" s="148">
        <f t="shared" ca="1" si="71"/>
        <v>2.4000000000000057</v>
      </c>
    </row>
    <row r="2119" spans="2:5" x14ac:dyDescent="0.25">
      <c r="B2119" s="8">
        <v>39713</v>
      </c>
      <c r="C2119" s="6">
        <f ca="1">IF(OR($C$7="",$B2119&gt;NOW()),"",IF(INDEX(Data!$A:$G,MATCH($B2119,Data!$A:$A,0),MATCH($C$7,Data!$4:$4,0))="","",INDEX(Data!$A:$G,MATCH($B2119,Data!$A:$A,0),MATCH($C$7,Data!$4:$4,0))))</f>
        <v>67.900000000000006</v>
      </c>
      <c r="D2119" s="148">
        <f t="shared" ca="1" si="70"/>
        <v>0</v>
      </c>
      <c r="E2119" s="148">
        <f t="shared" ca="1" si="71"/>
        <v>2.9000000000000057</v>
      </c>
    </row>
    <row r="2120" spans="2:5" x14ac:dyDescent="0.25">
      <c r="B2120" s="8">
        <v>39714</v>
      </c>
      <c r="C2120" s="6">
        <f ca="1">IF(OR($C$7="",$B2120&gt;NOW()),"",IF(INDEX(Data!$A:$G,MATCH($B2120,Data!$A:$A,0),MATCH($C$7,Data!$4:$4,0))="","",INDEX(Data!$A:$G,MATCH($B2120,Data!$A:$A,0),MATCH($C$7,Data!$4:$4,0))))</f>
        <v>63.3</v>
      </c>
      <c r="D2120" s="148">
        <f t="shared" ca="1" si="70"/>
        <v>1.7000000000000028</v>
      </c>
      <c r="E2120" s="148">
        <f t="shared" ca="1" si="71"/>
        <v>0</v>
      </c>
    </row>
    <row r="2121" spans="2:5" x14ac:dyDescent="0.25">
      <c r="B2121" s="8">
        <v>39715</v>
      </c>
      <c r="C2121" s="6">
        <f ca="1">IF(OR($C$7="",$B2121&gt;NOW()),"",IF(INDEX(Data!$A:$G,MATCH($B2121,Data!$A:$A,0),MATCH($C$7,Data!$4:$4,0))="","",INDEX(Data!$A:$G,MATCH($B2121,Data!$A:$A,0),MATCH($C$7,Data!$4:$4,0))))</f>
        <v>63.4</v>
      </c>
      <c r="D2121" s="148">
        <f t="shared" ca="1" si="70"/>
        <v>1.6000000000000014</v>
      </c>
      <c r="E2121" s="148">
        <f t="shared" ca="1" si="71"/>
        <v>0</v>
      </c>
    </row>
    <row r="2122" spans="2:5" x14ac:dyDescent="0.25">
      <c r="B2122" s="8">
        <v>39716</v>
      </c>
      <c r="C2122" s="6">
        <f ca="1">IF(OR($C$7="",$B2122&gt;NOW()),"",IF(INDEX(Data!$A:$G,MATCH($B2122,Data!$A:$A,0),MATCH($C$7,Data!$4:$4,0))="","",INDEX(Data!$A:$G,MATCH($B2122,Data!$A:$A,0),MATCH($C$7,Data!$4:$4,0))))</f>
        <v>61.9</v>
      </c>
      <c r="D2122" s="148">
        <f t="shared" ca="1" si="70"/>
        <v>3.1000000000000014</v>
      </c>
      <c r="E2122" s="148">
        <f t="shared" ca="1" si="71"/>
        <v>0</v>
      </c>
    </row>
    <row r="2123" spans="2:5" x14ac:dyDescent="0.25">
      <c r="B2123" s="8">
        <v>39717</v>
      </c>
      <c r="C2123" s="6">
        <f ca="1">IF(OR($C$7="",$B2123&gt;NOW()),"",IF(INDEX(Data!$A:$G,MATCH($B2123,Data!$A:$A,0),MATCH($C$7,Data!$4:$4,0))="","",INDEX(Data!$A:$G,MATCH($B2123,Data!$A:$A,0),MATCH($C$7,Data!$4:$4,0))))</f>
        <v>63.4</v>
      </c>
      <c r="D2123" s="148">
        <f t="shared" ca="1" si="70"/>
        <v>1.6000000000000014</v>
      </c>
      <c r="E2123" s="148">
        <f t="shared" ca="1" si="71"/>
        <v>0</v>
      </c>
    </row>
    <row r="2124" spans="2:5" x14ac:dyDescent="0.25">
      <c r="B2124" s="8">
        <v>39718</v>
      </c>
      <c r="C2124" s="6">
        <f ca="1">IF(OR($C$7="",$B2124&gt;NOW()),"",IF(INDEX(Data!$A:$G,MATCH($B2124,Data!$A:$A,0),MATCH($C$7,Data!$4:$4,0))="","",INDEX(Data!$A:$G,MATCH($B2124,Data!$A:$A,0),MATCH($C$7,Data!$4:$4,0))))</f>
        <v>65.900000000000006</v>
      </c>
      <c r="D2124" s="148">
        <f t="shared" ca="1" si="70"/>
        <v>0</v>
      </c>
      <c r="E2124" s="148">
        <f t="shared" ca="1" si="71"/>
        <v>0.90000000000000568</v>
      </c>
    </row>
    <row r="2125" spans="2:5" x14ac:dyDescent="0.25">
      <c r="B2125" s="8">
        <v>39719</v>
      </c>
      <c r="C2125" s="6">
        <f ca="1">IF(OR($C$7="",$B2125&gt;NOW()),"",IF(INDEX(Data!$A:$G,MATCH($B2125,Data!$A:$A,0),MATCH($C$7,Data!$4:$4,0))="","",INDEX(Data!$A:$G,MATCH($B2125,Data!$A:$A,0),MATCH($C$7,Data!$4:$4,0))))</f>
        <v>69.3</v>
      </c>
      <c r="D2125" s="148">
        <f t="shared" ca="1" si="70"/>
        <v>0</v>
      </c>
      <c r="E2125" s="148">
        <f t="shared" ca="1" si="71"/>
        <v>4.2999999999999972</v>
      </c>
    </row>
    <row r="2126" spans="2:5" x14ac:dyDescent="0.25">
      <c r="B2126" s="8">
        <v>39720</v>
      </c>
      <c r="C2126" s="6">
        <f ca="1">IF(OR($C$7="",$B2126&gt;NOW()),"",IF(INDEX(Data!$A:$G,MATCH($B2126,Data!$A:$A,0),MATCH($C$7,Data!$4:$4,0))="","",INDEX(Data!$A:$G,MATCH($B2126,Data!$A:$A,0),MATCH($C$7,Data!$4:$4,0))))</f>
        <v>69.5</v>
      </c>
      <c r="D2126" s="148">
        <f t="shared" ca="1" si="70"/>
        <v>0</v>
      </c>
      <c r="E2126" s="148">
        <f t="shared" ca="1" si="71"/>
        <v>4.5</v>
      </c>
    </row>
    <row r="2127" spans="2:5" x14ac:dyDescent="0.25">
      <c r="B2127" s="8">
        <v>39721</v>
      </c>
      <c r="C2127" s="6">
        <f ca="1">IF(OR($C$7="",$B2127&gt;NOW()),"",IF(INDEX(Data!$A:$G,MATCH($B2127,Data!$A:$A,0),MATCH($C$7,Data!$4:$4,0))="","",INDEX(Data!$A:$G,MATCH($B2127,Data!$A:$A,0),MATCH($C$7,Data!$4:$4,0))))</f>
        <v>65.8</v>
      </c>
      <c r="D2127" s="148">
        <f t="shared" ca="1" si="70"/>
        <v>0</v>
      </c>
      <c r="E2127" s="148">
        <f t="shared" ca="1" si="71"/>
        <v>0.79999999999999716</v>
      </c>
    </row>
    <row r="2128" spans="2:5" x14ac:dyDescent="0.25">
      <c r="B2128" s="8">
        <v>39722</v>
      </c>
      <c r="C2128" s="6">
        <f ca="1">IF(OR($C$7="",$B2128&gt;NOW()),"",IF(INDEX(Data!$A:$G,MATCH($B2128,Data!$A:$A,0),MATCH($C$7,Data!$4:$4,0))="","",INDEX(Data!$A:$G,MATCH($B2128,Data!$A:$A,0),MATCH($C$7,Data!$4:$4,0))))</f>
        <v>67.099999999999994</v>
      </c>
      <c r="D2128" s="148">
        <f t="shared" ca="1" si="70"/>
        <v>0</v>
      </c>
      <c r="E2128" s="148">
        <f t="shared" ca="1" si="71"/>
        <v>2.0999999999999943</v>
      </c>
    </row>
    <row r="2129" spans="2:5" x14ac:dyDescent="0.25">
      <c r="B2129" s="8">
        <v>39723</v>
      </c>
      <c r="C2129" s="6">
        <f ca="1">IF(OR($C$7="",$B2129&gt;NOW()),"",IF(INDEX(Data!$A:$G,MATCH($B2129,Data!$A:$A,0),MATCH($C$7,Data!$4:$4,0))="","",INDEX(Data!$A:$G,MATCH($B2129,Data!$A:$A,0),MATCH($C$7,Data!$4:$4,0))))</f>
        <v>60.6</v>
      </c>
      <c r="D2129" s="148">
        <f t="shared" ca="1" si="70"/>
        <v>4.3999999999999986</v>
      </c>
      <c r="E2129" s="148">
        <f t="shared" ca="1" si="71"/>
        <v>0</v>
      </c>
    </row>
    <row r="2130" spans="2:5" x14ac:dyDescent="0.25">
      <c r="B2130" s="8">
        <v>39724</v>
      </c>
      <c r="C2130" s="6">
        <f ca="1">IF(OR($C$7="",$B2130&gt;NOW()),"",IF(INDEX(Data!$A:$G,MATCH($B2130,Data!$A:$A,0),MATCH($C$7,Data!$4:$4,0))="","",INDEX(Data!$A:$G,MATCH($B2130,Data!$A:$A,0),MATCH($C$7,Data!$4:$4,0))))</f>
        <v>59</v>
      </c>
      <c r="D2130" s="148">
        <f t="shared" ca="1" si="70"/>
        <v>6</v>
      </c>
      <c r="E2130" s="148">
        <f t="shared" ca="1" si="71"/>
        <v>0</v>
      </c>
    </row>
    <row r="2131" spans="2:5" x14ac:dyDescent="0.25">
      <c r="B2131" s="8">
        <v>39725</v>
      </c>
      <c r="C2131" s="6">
        <f ca="1">IF(OR($C$7="",$B2131&gt;NOW()),"",IF(INDEX(Data!$A:$G,MATCH($B2131,Data!$A:$A,0),MATCH($C$7,Data!$4:$4,0))="","",INDEX(Data!$A:$G,MATCH($B2131,Data!$A:$A,0),MATCH($C$7,Data!$4:$4,0))))</f>
        <v>57.3</v>
      </c>
      <c r="D2131" s="148">
        <f t="shared" ca="1" si="70"/>
        <v>7.7000000000000028</v>
      </c>
      <c r="E2131" s="148">
        <f t="shared" ca="1" si="71"/>
        <v>0</v>
      </c>
    </row>
    <row r="2132" spans="2:5" x14ac:dyDescent="0.25">
      <c r="B2132" s="8">
        <v>39726</v>
      </c>
      <c r="C2132" s="6">
        <f ca="1">IF(OR($C$7="",$B2132&gt;NOW()),"",IF(INDEX(Data!$A:$G,MATCH($B2132,Data!$A:$A,0),MATCH($C$7,Data!$4:$4,0))="","",INDEX(Data!$A:$G,MATCH($B2132,Data!$A:$A,0),MATCH($C$7,Data!$4:$4,0))))</f>
        <v>59</v>
      </c>
      <c r="D2132" s="148">
        <f t="shared" ca="1" si="70"/>
        <v>6</v>
      </c>
      <c r="E2132" s="148">
        <f t="shared" ca="1" si="71"/>
        <v>0</v>
      </c>
    </row>
    <row r="2133" spans="2:5" x14ac:dyDescent="0.25">
      <c r="B2133" s="8">
        <v>39727</v>
      </c>
      <c r="C2133" s="6">
        <f ca="1">IF(OR($C$7="",$B2133&gt;NOW()),"",IF(INDEX(Data!$A:$G,MATCH($B2133,Data!$A:$A,0),MATCH($C$7,Data!$4:$4,0))="","",INDEX(Data!$A:$G,MATCH($B2133,Data!$A:$A,0),MATCH($C$7,Data!$4:$4,0))))</f>
        <v>57.4</v>
      </c>
      <c r="D2133" s="148">
        <f t="shared" ca="1" si="70"/>
        <v>7.6000000000000014</v>
      </c>
      <c r="E2133" s="148">
        <f t="shared" ca="1" si="71"/>
        <v>0</v>
      </c>
    </row>
    <row r="2134" spans="2:5" x14ac:dyDescent="0.25">
      <c r="B2134" s="8">
        <v>39728</v>
      </c>
      <c r="C2134" s="6">
        <f ca="1">IF(OR($C$7="",$B2134&gt;NOW()),"",IF(INDEX(Data!$A:$G,MATCH($B2134,Data!$A:$A,0),MATCH($C$7,Data!$4:$4,0))="","",INDEX(Data!$A:$G,MATCH($B2134,Data!$A:$A,0),MATCH($C$7,Data!$4:$4,0))))</f>
        <v>54.9</v>
      </c>
      <c r="D2134" s="148">
        <f t="shared" ca="1" si="70"/>
        <v>10.100000000000001</v>
      </c>
      <c r="E2134" s="148">
        <f t="shared" ca="1" si="71"/>
        <v>0</v>
      </c>
    </row>
    <row r="2135" spans="2:5" x14ac:dyDescent="0.25">
      <c r="B2135" s="8">
        <v>39729</v>
      </c>
      <c r="C2135" s="6">
        <f ca="1">IF(OR($C$7="",$B2135&gt;NOW()),"",IF(INDEX(Data!$A:$G,MATCH($B2135,Data!$A:$A,0),MATCH($C$7,Data!$4:$4,0))="","",INDEX(Data!$A:$G,MATCH($B2135,Data!$A:$A,0),MATCH($C$7,Data!$4:$4,0))))</f>
        <v>59.2</v>
      </c>
      <c r="D2135" s="148">
        <f t="shared" ca="1" si="70"/>
        <v>5.7999999999999972</v>
      </c>
      <c r="E2135" s="148">
        <f t="shared" ca="1" si="71"/>
        <v>0</v>
      </c>
    </row>
    <row r="2136" spans="2:5" x14ac:dyDescent="0.25">
      <c r="B2136" s="8">
        <v>39730</v>
      </c>
      <c r="C2136" s="6">
        <f ca="1">IF(OR($C$7="",$B2136&gt;NOW()),"",IF(INDEX(Data!$A:$G,MATCH($B2136,Data!$A:$A,0),MATCH($C$7,Data!$4:$4,0))="","",INDEX(Data!$A:$G,MATCH($B2136,Data!$A:$A,0),MATCH($C$7,Data!$4:$4,0))))</f>
        <v>66.599999999999994</v>
      </c>
      <c r="D2136" s="148">
        <f t="shared" ca="1" si="70"/>
        <v>0</v>
      </c>
      <c r="E2136" s="148">
        <f t="shared" ca="1" si="71"/>
        <v>1.5999999999999943</v>
      </c>
    </row>
    <row r="2137" spans="2:5" x14ac:dyDescent="0.25">
      <c r="B2137" s="8">
        <v>39731</v>
      </c>
      <c r="C2137" s="6">
        <f ca="1">IF(OR($C$7="",$B2137&gt;NOW()),"",IF(INDEX(Data!$A:$G,MATCH($B2137,Data!$A:$A,0),MATCH($C$7,Data!$4:$4,0))="","",INDEX(Data!$A:$G,MATCH($B2137,Data!$A:$A,0),MATCH($C$7,Data!$4:$4,0))))</f>
        <v>68.400000000000006</v>
      </c>
      <c r="D2137" s="148">
        <f t="shared" ca="1" si="70"/>
        <v>0</v>
      </c>
      <c r="E2137" s="148">
        <f t="shared" ca="1" si="71"/>
        <v>3.4000000000000057</v>
      </c>
    </row>
    <row r="2138" spans="2:5" x14ac:dyDescent="0.25">
      <c r="B2138" s="8">
        <v>39732</v>
      </c>
      <c r="C2138" s="6">
        <f ca="1">IF(OR($C$7="",$B2138&gt;NOW()),"",IF(INDEX(Data!$A:$G,MATCH($B2138,Data!$A:$A,0),MATCH($C$7,Data!$4:$4,0))="","",INDEX(Data!$A:$G,MATCH($B2138,Data!$A:$A,0),MATCH($C$7,Data!$4:$4,0))))</f>
        <v>63.8</v>
      </c>
      <c r="D2138" s="148">
        <f t="shared" ca="1" si="70"/>
        <v>1.2000000000000028</v>
      </c>
      <c r="E2138" s="148">
        <f t="shared" ca="1" si="71"/>
        <v>0</v>
      </c>
    </row>
    <row r="2139" spans="2:5" x14ac:dyDescent="0.25">
      <c r="B2139" s="8">
        <v>39733</v>
      </c>
      <c r="C2139" s="6">
        <f ca="1">IF(OR($C$7="",$B2139&gt;NOW()),"",IF(INDEX(Data!$A:$G,MATCH($B2139,Data!$A:$A,0),MATCH($C$7,Data!$4:$4,0))="","",INDEX(Data!$A:$G,MATCH($B2139,Data!$A:$A,0),MATCH($C$7,Data!$4:$4,0))))</f>
        <v>62.8</v>
      </c>
      <c r="D2139" s="148">
        <f t="shared" ca="1" si="70"/>
        <v>2.2000000000000028</v>
      </c>
      <c r="E2139" s="148">
        <f t="shared" ca="1" si="71"/>
        <v>0</v>
      </c>
    </row>
    <row r="2140" spans="2:5" x14ac:dyDescent="0.25">
      <c r="B2140" s="8">
        <v>39734</v>
      </c>
      <c r="C2140" s="6">
        <f ca="1">IF(OR($C$7="",$B2140&gt;NOW()),"",IF(INDEX(Data!$A:$G,MATCH($B2140,Data!$A:$A,0),MATCH($C$7,Data!$4:$4,0))="","",INDEX(Data!$A:$G,MATCH($B2140,Data!$A:$A,0),MATCH($C$7,Data!$4:$4,0))))</f>
        <v>65.3</v>
      </c>
      <c r="D2140" s="148">
        <f t="shared" ca="1" si="70"/>
        <v>0</v>
      </c>
      <c r="E2140" s="148">
        <f t="shared" ca="1" si="71"/>
        <v>0.29999999999999716</v>
      </c>
    </row>
    <row r="2141" spans="2:5" x14ac:dyDescent="0.25">
      <c r="B2141" s="8">
        <v>39735</v>
      </c>
      <c r="C2141" s="6">
        <f ca="1">IF(OR($C$7="",$B2141&gt;NOW()),"",IF(INDEX(Data!$A:$G,MATCH($B2141,Data!$A:$A,0),MATCH($C$7,Data!$4:$4,0))="","",INDEX(Data!$A:$G,MATCH($B2141,Data!$A:$A,0),MATCH($C$7,Data!$4:$4,0))))</f>
        <v>64</v>
      </c>
      <c r="D2141" s="148">
        <f t="shared" ref="D2141:D2204" ca="1" si="72">IF($C2141="","",IF($C2141&gt;$D$26,0,$D$26-$C2141))</f>
        <v>1</v>
      </c>
      <c r="E2141" s="148">
        <f t="shared" ref="E2141:E2204" ca="1" si="73">IF($C2141="","",IF($C2141&lt;$E$26,0,$C2141-$E$26))</f>
        <v>0</v>
      </c>
    </row>
    <row r="2142" spans="2:5" x14ac:dyDescent="0.25">
      <c r="B2142" s="8">
        <v>39736</v>
      </c>
      <c r="C2142" s="6">
        <f ca="1">IF(OR($C$7="",$B2142&gt;NOW()),"",IF(INDEX(Data!$A:$G,MATCH($B2142,Data!$A:$A,0),MATCH($C$7,Data!$4:$4,0))="","",INDEX(Data!$A:$G,MATCH($B2142,Data!$A:$A,0),MATCH($C$7,Data!$4:$4,0))))</f>
        <v>66.2</v>
      </c>
      <c r="D2142" s="148">
        <f t="shared" ca="1" si="72"/>
        <v>0</v>
      </c>
      <c r="E2142" s="148">
        <f t="shared" ca="1" si="73"/>
        <v>1.2000000000000028</v>
      </c>
    </row>
    <row r="2143" spans="2:5" x14ac:dyDescent="0.25">
      <c r="B2143" s="8">
        <v>39737</v>
      </c>
      <c r="C2143" s="6">
        <f ca="1">IF(OR($C$7="",$B2143&gt;NOW()),"",IF(INDEX(Data!$A:$G,MATCH($B2143,Data!$A:$A,0),MATCH($C$7,Data!$4:$4,0))="","",INDEX(Data!$A:$G,MATCH($B2143,Data!$A:$A,0),MATCH($C$7,Data!$4:$4,0))))</f>
        <v>67.7</v>
      </c>
      <c r="D2143" s="148">
        <f t="shared" ca="1" si="72"/>
        <v>0</v>
      </c>
      <c r="E2143" s="148">
        <f t="shared" ca="1" si="73"/>
        <v>2.7000000000000028</v>
      </c>
    </row>
    <row r="2144" spans="2:5" x14ac:dyDescent="0.25">
      <c r="B2144" s="8">
        <v>39738</v>
      </c>
      <c r="C2144" s="6">
        <f ca="1">IF(OR($C$7="",$B2144&gt;NOW()),"",IF(INDEX(Data!$A:$G,MATCH($B2144,Data!$A:$A,0),MATCH($C$7,Data!$4:$4,0))="","",INDEX(Data!$A:$G,MATCH($B2144,Data!$A:$A,0),MATCH($C$7,Data!$4:$4,0))))</f>
        <v>57.2</v>
      </c>
      <c r="D2144" s="148">
        <f t="shared" ca="1" si="72"/>
        <v>7.7999999999999972</v>
      </c>
      <c r="E2144" s="148">
        <f t="shared" ca="1" si="73"/>
        <v>0</v>
      </c>
    </row>
    <row r="2145" spans="2:5" x14ac:dyDescent="0.25">
      <c r="B2145" s="8">
        <v>39739</v>
      </c>
      <c r="C2145" s="6">
        <f ca="1">IF(OR($C$7="",$B2145&gt;NOW()),"",IF(INDEX(Data!$A:$G,MATCH($B2145,Data!$A:$A,0),MATCH($C$7,Data!$4:$4,0))="","",INDEX(Data!$A:$G,MATCH($B2145,Data!$A:$A,0),MATCH($C$7,Data!$4:$4,0))))</f>
        <v>51.7</v>
      </c>
      <c r="D2145" s="148">
        <f t="shared" ca="1" si="72"/>
        <v>13.299999999999997</v>
      </c>
      <c r="E2145" s="148">
        <f t="shared" ca="1" si="73"/>
        <v>0</v>
      </c>
    </row>
    <row r="2146" spans="2:5" x14ac:dyDescent="0.25">
      <c r="B2146" s="8">
        <v>39740</v>
      </c>
      <c r="C2146" s="6">
        <f ca="1">IF(OR($C$7="",$B2146&gt;NOW()),"",IF(INDEX(Data!$A:$G,MATCH($B2146,Data!$A:$A,0),MATCH($C$7,Data!$4:$4,0))="","",INDEX(Data!$A:$G,MATCH($B2146,Data!$A:$A,0),MATCH($C$7,Data!$4:$4,0))))</f>
        <v>49.8</v>
      </c>
      <c r="D2146" s="148">
        <f t="shared" ca="1" si="72"/>
        <v>15.200000000000003</v>
      </c>
      <c r="E2146" s="148">
        <f t="shared" ca="1" si="73"/>
        <v>0</v>
      </c>
    </row>
    <row r="2147" spans="2:5" x14ac:dyDescent="0.25">
      <c r="B2147" s="8">
        <v>39741</v>
      </c>
      <c r="C2147" s="6">
        <f ca="1">IF(OR($C$7="",$B2147&gt;NOW()),"",IF(INDEX(Data!$A:$G,MATCH($B2147,Data!$A:$A,0),MATCH($C$7,Data!$4:$4,0))="","",INDEX(Data!$A:$G,MATCH($B2147,Data!$A:$A,0),MATCH($C$7,Data!$4:$4,0))))</f>
        <v>51.5</v>
      </c>
      <c r="D2147" s="148">
        <f t="shared" ca="1" si="72"/>
        <v>13.5</v>
      </c>
      <c r="E2147" s="148">
        <f t="shared" ca="1" si="73"/>
        <v>0</v>
      </c>
    </row>
    <row r="2148" spans="2:5" x14ac:dyDescent="0.25">
      <c r="B2148" s="8">
        <v>39742</v>
      </c>
      <c r="C2148" s="6">
        <f ca="1">IF(OR($C$7="",$B2148&gt;NOW()),"",IF(INDEX(Data!$A:$G,MATCH($B2148,Data!$A:$A,0),MATCH($C$7,Data!$4:$4,0))="","",INDEX(Data!$A:$G,MATCH($B2148,Data!$A:$A,0),MATCH($C$7,Data!$4:$4,0))))</f>
        <v>55.5</v>
      </c>
      <c r="D2148" s="148">
        <f t="shared" ca="1" si="72"/>
        <v>9.5</v>
      </c>
      <c r="E2148" s="148">
        <f t="shared" ca="1" si="73"/>
        <v>0</v>
      </c>
    </row>
    <row r="2149" spans="2:5" x14ac:dyDescent="0.25">
      <c r="B2149" s="8">
        <v>39743</v>
      </c>
      <c r="C2149" s="6">
        <f ca="1">IF(OR($C$7="",$B2149&gt;NOW()),"",IF(INDEX(Data!$A:$G,MATCH($B2149,Data!$A:$A,0),MATCH($C$7,Data!$4:$4,0))="","",INDEX(Data!$A:$G,MATCH($B2149,Data!$A:$A,0),MATCH($C$7,Data!$4:$4,0))))</f>
        <v>48</v>
      </c>
      <c r="D2149" s="148">
        <f t="shared" ca="1" si="72"/>
        <v>17</v>
      </c>
      <c r="E2149" s="148">
        <f t="shared" ca="1" si="73"/>
        <v>0</v>
      </c>
    </row>
    <row r="2150" spans="2:5" x14ac:dyDescent="0.25">
      <c r="B2150" s="8">
        <v>39744</v>
      </c>
      <c r="C2150" s="6">
        <f ca="1">IF(OR($C$7="",$B2150&gt;NOW()),"",IF(INDEX(Data!$A:$G,MATCH($B2150,Data!$A:$A,0),MATCH($C$7,Data!$4:$4,0))="","",INDEX(Data!$A:$G,MATCH($B2150,Data!$A:$A,0),MATCH($C$7,Data!$4:$4,0))))</f>
        <v>45.8</v>
      </c>
      <c r="D2150" s="148">
        <f t="shared" ca="1" si="72"/>
        <v>19.200000000000003</v>
      </c>
      <c r="E2150" s="148">
        <f t="shared" ca="1" si="73"/>
        <v>0</v>
      </c>
    </row>
    <row r="2151" spans="2:5" x14ac:dyDescent="0.25">
      <c r="B2151" s="8">
        <v>39745</v>
      </c>
      <c r="C2151" s="6">
        <f ca="1">IF(OR($C$7="",$B2151&gt;NOW()),"",IF(INDEX(Data!$A:$G,MATCH($B2151,Data!$A:$A,0),MATCH($C$7,Data!$4:$4,0))="","",INDEX(Data!$A:$G,MATCH($B2151,Data!$A:$A,0),MATCH($C$7,Data!$4:$4,0))))</f>
        <v>49.6</v>
      </c>
      <c r="D2151" s="148">
        <f t="shared" ca="1" si="72"/>
        <v>15.399999999999999</v>
      </c>
      <c r="E2151" s="148">
        <f t="shared" ca="1" si="73"/>
        <v>0</v>
      </c>
    </row>
    <row r="2152" spans="2:5" x14ac:dyDescent="0.25">
      <c r="B2152" s="8">
        <v>39746</v>
      </c>
      <c r="C2152" s="6">
        <f ca="1">IF(OR($C$7="",$B2152&gt;NOW()),"",IF(INDEX(Data!$A:$G,MATCH($B2152,Data!$A:$A,0),MATCH($C$7,Data!$4:$4,0))="","",INDEX(Data!$A:$G,MATCH($B2152,Data!$A:$A,0),MATCH($C$7,Data!$4:$4,0))))</f>
        <v>59.5</v>
      </c>
      <c r="D2152" s="148">
        <f t="shared" ca="1" si="72"/>
        <v>5.5</v>
      </c>
      <c r="E2152" s="148">
        <f t="shared" ca="1" si="73"/>
        <v>0</v>
      </c>
    </row>
    <row r="2153" spans="2:5" x14ac:dyDescent="0.25">
      <c r="B2153" s="8">
        <v>39747</v>
      </c>
      <c r="C2153" s="6">
        <f ca="1">IF(OR($C$7="",$B2153&gt;NOW()),"",IF(INDEX(Data!$A:$G,MATCH($B2153,Data!$A:$A,0),MATCH($C$7,Data!$4:$4,0))="","",INDEX(Data!$A:$G,MATCH($B2153,Data!$A:$A,0),MATCH($C$7,Data!$4:$4,0))))</f>
        <v>58</v>
      </c>
      <c r="D2153" s="148">
        <f t="shared" ca="1" si="72"/>
        <v>7</v>
      </c>
      <c r="E2153" s="148">
        <f t="shared" ca="1" si="73"/>
        <v>0</v>
      </c>
    </row>
    <row r="2154" spans="2:5" x14ac:dyDescent="0.25">
      <c r="B2154" s="8">
        <v>39748</v>
      </c>
      <c r="C2154" s="6">
        <f ca="1">IF(OR($C$7="",$B2154&gt;NOW()),"",IF(INDEX(Data!$A:$G,MATCH($B2154,Data!$A:$A,0),MATCH($C$7,Data!$4:$4,0))="","",INDEX(Data!$A:$G,MATCH($B2154,Data!$A:$A,0),MATCH($C$7,Data!$4:$4,0))))</f>
        <v>57.5</v>
      </c>
      <c r="D2154" s="148">
        <f t="shared" ca="1" si="72"/>
        <v>7.5</v>
      </c>
      <c r="E2154" s="148">
        <f t="shared" ca="1" si="73"/>
        <v>0</v>
      </c>
    </row>
    <row r="2155" spans="2:5" x14ac:dyDescent="0.25">
      <c r="B2155" s="8">
        <v>39749</v>
      </c>
      <c r="C2155" s="6">
        <f ca="1">IF(OR($C$7="",$B2155&gt;NOW()),"",IF(INDEX(Data!$A:$G,MATCH($B2155,Data!$A:$A,0),MATCH($C$7,Data!$4:$4,0))="","",INDEX(Data!$A:$G,MATCH($B2155,Data!$A:$A,0),MATCH($C$7,Data!$4:$4,0))))</f>
        <v>47.5</v>
      </c>
      <c r="D2155" s="148">
        <f t="shared" ca="1" si="72"/>
        <v>17.5</v>
      </c>
      <c r="E2155" s="148">
        <f t="shared" ca="1" si="73"/>
        <v>0</v>
      </c>
    </row>
    <row r="2156" spans="2:5" x14ac:dyDescent="0.25">
      <c r="B2156" s="8">
        <v>39750</v>
      </c>
      <c r="C2156" s="6">
        <f ca="1">IF(OR($C$7="",$B2156&gt;NOW()),"",IF(INDEX(Data!$A:$G,MATCH($B2156,Data!$A:$A,0),MATCH($C$7,Data!$4:$4,0))="","",INDEX(Data!$A:$G,MATCH($B2156,Data!$A:$A,0),MATCH($C$7,Data!$4:$4,0))))</f>
        <v>43.9</v>
      </c>
      <c r="D2156" s="148">
        <f t="shared" ca="1" si="72"/>
        <v>21.1</v>
      </c>
      <c r="E2156" s="148">
        <f t="shared" ca="1" si="73"/>
        <v>0</v>
      </c>
    </row>
    <row r="2157" spans="2:5" x14ac:dyDescent="0.25">
      <c r="B2157" s="8">
        <v>39751</v>
      </c>
      <c r="C2157" s="6">
        <f ca="1">IF(OR($C$7="",$B2157&gt;NOW()),"",IF(INDEX(Data!$A:$G,MATCH($B2157,Data!$A:$A,0),MATCH($C$7,Data!$4:$4,0))="","",INDEX(Data!$A:$G,MATCH($B2157,Data!$A:$A,0),MATCH($C$7,Data!$4:$4,0))))</f>
        <v>42.8</v>
      </c>
      <c r="D2157" s="148">
        <f t="shared" ca="1" si="72"/>
        <v>22.200000000000003</v>
      </c>
      <c r="E2157" s="148">
        <f t="shared" ca="1" si="73"/>
        <v>0</v>
      </c>
    </row>
    <row r="2158" spans="2:5" x14ac:dyDescent="0.25">
      <c r="B2158" s="8">
        <v>39752</v>
      </c>
      <c r="C2158" s="6">
        <f ca="1">IF(OR($C$7="",$B2158&gt;NOW()),"",IF(INDEX(Data!$A:$G,MATCH($B2158,Data!$A:$A,0),MATCH($C$7,Data!$4:$4,0))="","",INDEX(Data!$A:$G,MATCH($B2158,Data!$A:$A,0),MATCH($C$7,Data!$4:$4,0))))</f>
        <v>50.6</v>
      </c>
      <c r="D2158" s="148">
        <f t="shared" ca="1" si="72"/>
        <v>14.399999999999999</v>
      </c>
      <c r="E2158" s="148">
        <f t="shared" ca="1" si="73"/>
        <v>0</v>
      </c>
    </row>
    <row r="2159" spans="2:5" x14ac:dyDescent="0.25">
      <c r="B2159" s="8">
        <v>39753</v>
      </c>
      <c r="C2159" s="6">
        <f ca="1">IF(OR($C$7="",$B2159&gt;NOW()),"",IF(INDEX(Data!$A:$G,MATCH($B2159,Data!$A:$A,0),MATCH($C$7,Data!$4:$4,0))="","",INDEX(Data!$A:$G,MATCH($B2159,Data!$A:$A,0),MATCH($C$7,Data!$4:$4,0))))</f>
        <v>59</v>
      </c>
      <c r="D2159" s="148">
        <f t="shared" ca="1" si="72"/>
        <v>6</v>
      </c>
      <c r="E2159" s="148">
        <f t="shared" ca="1" si="73"/>
        <v>0</v>
      </c>
    </row>
    <row r="2160" spans="2:5" x14ac:dyDescent="0.25">
      <c r="B2160" s="8">
        <v>39754</v>
      </c>
      <c r="C2160" s="6">
        <f ca="1">IF(OR($C$7="",$B2160&gt;NOW()),"",IF(INDEX(Data!$A:$G,MATCH($B2160,Data!$A:$A,0),MATCH($C$7,Data!$4:$4,0))="","",INDEX(Data!$A:$G,MATCH($B2160,Data!$A:$A,0),MATCH($C$7,Data!$4:$4,0))))</f>
        <v>47.4</v>
      </c>
      <c r="D2160" s="148">
        <f t="shared" ca="1" si="72"/>
        <v>17.600000000000001</v>
      </c>
      <c r="E2160" s="148">
        <f t="shared" ca="1" si="73"/>
        <v>0</v>
      </c>
    </row>
    <row r="2161" spans="2:5" x14ac:dyDescent="0.25">
      <c r="B2161" s="8">
        <v>39755</v>
      </c>
      <c r="C2161" s="6">
        <f ca="1">IF(OR($C$7="",$B2161&gt;NOW()),"",IF(INDEX(Data!$A:$G,MATCH($B2161,Data!$A:$A,0),MATCH($C$7,Data!$4:$4,0))="","",INDEX(Data!$A:$G,MATCH($B2161,Data!$A:$A,0),MATCH($C$7,Data!$4:$4,0))))</f>
        <v>49.9</v>
      </c>
      <c r="D2161" s="148">
        <f t="shared" ca="1" si="72"/>
        <v>15.100000000000001</v>
      </c>
      <c r="E2161" s="148">
        <f t="shared" ca="1" si="73"/>
        <v>0</v>
      </c>
    </row>
    <row r="2162" spans="2:5" x14ac:dyDescent="0.25">
      <c r="B2162" s="8">
        <v>39756</v>
      </c>
      <c r="C2162" s="6">
        <f ca="1">IF(OR($C$7="",$B2162&gt;NOW()),"",IF(INDEX(Data!$A:$G,MATCH($B2162,Data!$A:$A,0),MATCH($C$7,Data!$4:$4,0))="","",INDEX(Data!$A:$G,MATCH($B2162,Data!$A:$A,0),MATCH($C$7,Data!$4:$4,0))))</f>
        <v>55.4</v>
      </c>
      <c r="D2162" s="148">
        <f t="shared" ca="1" si="72"/>
        <v>9.6000000000000014</v>
      </c>
      <c r="E2162" s="148">
        <f t="shared" ca="1" si="73"/>
        <v>0</v>
      </c>
    </row>
    <row r="2163" spans="2:5" x14ac:dyDescent="0.25">
      <c r="B2163" s="8">
        <v>39757</v>
      </c>
      <c r="C2163" s="6">
        <f ca="1">IF(OR($C$7="",$B2163&gt;NOW()),"",IF(INDEX(Data!$A:$G,MATCH($B2163,Data!$A:$A,0),MATCH($C$7,Data!$4:$4,0))="","",INDEX(Data!$A:$G,MATCH($B2163,Data!$A:$A,0),MATCH($C$7,Data!$4:$4,0))))</f>
        <v>57.8</v>
      </c>
      <c r="D2163" s="148">
        <f t="shared" ca="1" si="72"/>
        <v>7.2000000000000028</v>
      </c>
      <c r="E2163" s="148">
        <f t="shared" ca="1" si="73"/>
        <v>0</v>
      </c>
    </row>
    <row r="2164" spans="2:5" x14ac:dyDescent="0.25">
      <c r="B2164" s="8">
        <v>39758</v>
      </c>
      <c r="C2164" s="6">
        <f ca="1">IF(OR($C$7="",$B2164&gt;NOW()),"",IF(INDEX(Data!$A:$G,MATCH($B2164,Data!$A:$A,0),MATCH($C$7,Data!$4:$4,0))="","",INDEX(Data!$A:$G,MATCH($B2164,Data!$A:$A,0),MATCH($C$7,Data!$4:$4,0))))</f>
        <v>60.8</v>
      </c>
      <c r="D2164" s="148">
        <f t="shared" ca="1" si="72"/>
        <v>4.2000000000000028</v>
      </c>
      <c r="E2164" s="148">
        <f t="shared" ca="1" si="73"/>
        <v>0</v>
      </c>
    </row>
    <row r="2165" spans="2:5" x14ac:dyDescent="0.25">
      <c r="B2165" s="8">
        <v>39759</v>
      </c>
      <c r="C2165" s="6">
        <f ca="1">IF(OR($C$7="",$B2165&gt;NOW()),"",IF(INDEX(Data!$A:$G,MATCH($B2165,Data!$A:$A,0),MATCH($C$7,Data!$4:$4,0))="","",INDEX(Data!$A:$G,MATCH($B2165,Data!$A:$A,0),MATCH($C$7,Data!$4:$4,0))))</f>
        <v>60.9</v>
      </c>
      <c r="D2165" s="148">
        <f t="shared" ca="1" si="72"/>
        <v>4.1000000000000014</v>
      </c>
      <c r="E2165" s="148">
        <f t="shared" ca="1" si="73"/>
        <v>0</v>
      </c>
    </row>
    <row r="2166" spans="2:5" x14ac:dyDescent="0.25">
      <c r="B2166" s="8">
        <v>39760</v>
      </c>
      <c r="C2166" s="6">
        <f ca="1">IF(OR($C$7="",$B2166&gt;NOW()),"",IF(INDEX(Data!$A:$G,MATCH($B2166,Data!$A:$A,0),MATCH($C$7,Data!$4:$4,0))="","",INDEX(Data!$A:$G,MATCH($B2166,Data!$A:$A,0),MATCH($C$7,Data!$4:$4,0))))</f>
        <v>59.2</v>
      </c>
      <c r="D2166" s="148">
        <f t="shared" ca="1" si="72"/>
        <v>5.7999999999999972</v>
      </c>
      <c r="E2166" s="148">
        <f t="shared" ca="1" si="73"/>
        <v>0</v>
      </c>
    </row>
    <row r="2167" spans="2:5" x14ac:dyDescent="0.25">
      <c r="B2167" s="8">
        <v>39761</v>
      </c>
      <c r="C2167" s="6">
        <f ca="1">IF(OR($C$7="",$B2167&gt;NOW()),"",IF(INDEX(Data!$A:$G,MATCH($B2167,Data!$A:$A,0),MATCH($C$7,Data!$4:$4,0))="","",INDEX(Data!$A:$G,MATCH($B2167,Data!$A:$A,0),MATCH($C$7,Data!$4:$4,0))))</f>
        <v>54.4</v>
      </c>
      <c r="D2167" s="148">
        <f t="shared" ca="1" si="72"/>
        <v>10.600000000000001</v>
      </c>
      <c r="E2167" s="148">
        <f t="shared" ca="1" si="73"/>
        <v>0</v>
      </c>
    </row>
    <row r="2168" spans="2:5" x14ac:dyDescent="0.25">
      <c r="B2168" s="8">
        <v>39762</v>
      </c>
      <c r="C2168" s="6">
        <f ca="1">IF(OR($C$7="",$B2168&gt;NOW()),"",IF(INDEX(Data!$A:$G,MATCH($B2168,Data!$A:$A,0),MATCH($C$7,Data!$4:$4,0))="","",INDEX(Data!$A:$G,MATCH($B2168,Data!$A:$A,0),MATCH($C$7,Data!$4:$4,0))))</f>
        <v>49.3</v>
      </c>
      <c r="D2168" s="148">
        <f t="shared" ca="1" si="72"/>
        <v>15.700000000000003</v>
      </c>
      <c r="E2168" s="148">
        <f t="shared" ca="1" si="73"/>
        <v>0</v>
      </c>
    </row>
    <row r="2169" spans="2:5" x14ac:dyDescent="0.25">
      <c r="B2169" s="8">
        <v>39763</v>
      </c>
      <c r="C2169" s="6">
        <f ca="1">IF(OR($C$7="",$B2169&gt;NOW()),"",IF(INDEX(Data!$A:$G,MATCH($B2169,Data!$A:$A,0),MATCH($C$7,Data!$4:$4,0))="","",INDEX(Data!$A:$G,MATCH($B2169,Data!$A:$A,0),MATCH($C$7,Data!$4:$4,0))))</f>
        <v>44.9</v>
      </c>
      <c r="D2169" s="148">
        <f t="shared" ca="1" si="72"/>
        <v>20.100000000000001</v>
      </c>
      <c r="E2169" s="148">
        <f t="shared" ca="1" si="73"/>
        <v>0</v>
      </c>
    </row>
    <row r="2170" spans="2:5" x14ac:dyDescent="0.25">
      <c r="B2170" s="8">
        <v>39764</v>
      </c>
      <c r="C2170" s="6">
        <f ca="1">IF(OR($C$7="",$B2170&gt;NOW()),"",IF(INDEX(Data!$A:$G,MATCH($B2170,Data!$A:$A,0),MATCH($C$7,Data!$4:$4,0))="","",INDEX(Data!$A:$G,MATCH($B2170,Data!$A:$A,0),MATCH($C$7,Data!$4:$4,0))))</f>
        <v>46.1</v>
      </c>
      <c r="D2170" s="148">
        <f t="shared" ca="1" si="72"/>
        <v>18.899999999999999</v>
      </c>
      <c r="E2170" s="148">
        <f t="shared" ca="1" si="73"/>
        <v>0</v>
      </c>
    </row>
    <row r="2171" spans="2:5" x14ac:dyDescent="0.25">
      <c r="B2171" s="8">
        <v>39765</v>
      </c>
      <c r="C2171" s="6">
        <f ca="1">IF(OR($C$7="",$B2171&gt;NOW()),"",IF(INDEX(Data!$A:$G,MATCH($B2171,Data!$A:$A,0),MATCH($C$7,Data!$4:$4,0))="","",INDEX(Data!$A:$G,MATCH($B2171,Data!$A:$A,0),MATCH($C$7,Data!$4:$4,0))))</f>
        <v>50.5</v>
      </c>
      <c r="D2171" s="148">
        <f t="shared" ca="1" si="72"/>
        <v>14.5</v>
      </c>
      <c r="E2171" s="148">
        <f t="shared" ca="1" si="73"/>
        <v>0</v>
      </c>
    </row>
    <row r="2172" spans="2:5" x14ac:dyDescent="0.25">
      <c r="B2172" s="8">
        <v>39766</v>
      </c>
      <c r="C2172" s="6">
        <f ca="1">IF(OR($C$7="",$B2172&gt;NOW()),"",IF(INDEX(Data!$A:$G,MATCH($B2172,Data!$A:$A,0),MATCH($C$7,Data!$4:$4,0))="","",INDEX(Data!$A:$G,MATCH($B2172,Data!$A:$A,0),MATCH($C$7,Data!$4:$4,0))))</f>
        <v>58.1</v>
      </c>
      <c r="D2172" s="148">
        <f t="shared" ca="1" si="72"/>
        <v>6.8999999999999986</v>
      </c>
      <c r="E2172" s="148">
        <f t="shared" ca="1" si="73"/>
        <v>0</v>
      </c>
    </row>
    <row r="2173" spans="2:5" x14ac:dyDescent="0.25">
      <c r="B2173" s="8">
        <v>39767</v>
      </c>
      <c r="C2173" s="6">
        <f ca="1">IF(OR($C$7="",$B2173&gt;NOW()),"",IF(INDEX(Data!$A:$G,MATCH($B2173,Data!$A:$A,0),MATCH($C$7,Data!$4:$4,0))="","",INDEX(Data!$A:$G,MATCH($B2173,Data!$A:$A,0),MATCH($C$7,Data!$4:$4,0))))</f>
        <v>61.1</v>
      </c>
      <c r="D2173" s="148">
        <f t="shared" ca="1" si="72"/>
        <v>3.8999999999999986</v>
      </c>
      <c r="E2173" s="148">
        <f t="shared" ca="1" si="73"/>
        <v>0</v>
      </c>
    </row>
    <row r="2174" spans="2:5" x14ac:dyDescent="0.25">
      <c r="B2174" s="8">
        <v>39768</v>
      </c>
      <c r="C2174" s="6">
        <f ca="1">IF(OR($C$7="",$B2174&gt;NOW()),"",IF(INDEX(Data!$A:$G,MATCH($B2174,Data!$A:$A,0),MATCH($C$7,Data!$4:$4,0))="","",INDEX(Data!$A:$G,MATCH($B2174,Data!$A:$A,0),MATCH($C$7,Data!$4:$4,0))))</f>
        <v>53</v>
      </c>
      <c r="D2174" s="148">
        <f t="shared" ca="1" si="72"/>
        <v>12</v>
      </c>
      <c r="E2174" s="148">
        <f t="shared" ca="1" si="73"/>
        <v>0</v>
      </c>
    </row>
    <row r="2175" spans="2:5" x14ac:dyDescent="0.25">
      <c r="B2175" s="8">
        <v>39769</v>
      </c>
      <c r="C2175" s="6">
        <f ca="1">IF(OR($C$7="",$B2175&gt;NOW()),"",IF(INDEX(Data!$A:$G,MATCH($B2175,Data!$A:$A,0),MATCH($C$7,Data!$4:$4,0))="","",INDEX(Data!$A:$G,MATCH($B2175,Data!$A:$A,0),MATCH($C$7,Data!$4:$4,0))))</f>
        <v>42.7</v>
      </c>
      <c r="D2175" s="148">
        <f t="shared" ca="1" si="72"/>
        <v>22.299999999999997</v>
      </c>
      <c r="E2175" s="148">
        <f t="shared" ca="1" si="73"/>
        <v>0</v>
      </c>
    </row>
    <row r="2176" spans="2:5" x14ac:dyDescent="0.25">
      <c r="B2176" s="8">
        <v>39770</v>
      </c>
      <c r="C2176" s="6">
        <f ca="1">IF(OR($C$7="",$B2176&gt;NOW()),"",IF(INDEX(Data!$A:$G,MATCH($B2176,Data!$A:$A,0),MATCH($C$7,Data!$4:$4,0))="","",INDEX(Data!$A:$G,MATCH($B2176,Data!$A:$A,0),MATCH($C$7,Data!$4:$4,0))))</f>
        <v>38.700000000000003</v>
      </c>
      <c r="D2176" s="148">
        <f t="shared" ca="1" si="72"/>
        <v>26.299999999999997</v>
      </c>
      <c r="E2176" s="148">
        <f t="shared" ca="1" si="73"/>
        <v>0</v>
      </c>
    </row>
    <row r="2177" spans="2:5" x14ac:dyDescent="0.25">
      <c r="B2177" s="8">
        <v>39771</v>
      </c>
      <c r="C2177" s="6">
        <f ca="1">IF(OR($C$7="",$B2177&gt;NOW()),"",IF(INDEX(Data!$A:$G,MATCH($B2177,Data!$A:$A,0),MATCH($C$7,Data!$4:$4,0))="","",INDEX(Data!$A:$G,MATCH($B2177,Data!$A:$A,0),MATCH($C$7,Data!$4:$4,0))))</f>
        <v>32.299999999999997</v>
      </c>
      <c r="D2177" s="148">
        <f t="shared" ca="1" si="72"/>
        <v>32.700000000000003</v>
      </c>
      <c r="E2177" s="148">
        <f t="shared" ca="1" si="73"/>
        <v>0</v>
      </c>
    </row>
    <row r="2178" spans="2:5" x14ac:dyDescent="0.25">
      <c r="B2178" s="8">
        <v>39772</v>
      </c>
      <c r="C2178" s="6">
        <f ca="1">IF(OR($C$7="",$B2178&gt;NOW()),"",IF(INDEX(Data!$A:$G,MATCH($B2178,Data!$A:$A,0),MATCH($C$7,Data!$4:$4,0))="","",INDEX(Data!$A:$G,MATCH($B2178,Data!$A:$A,0),MATCH($C$7,Data!$4:$4,0))))</f>
        <v>33.700000000000003</v>
      </c>
      <c r="D2178" s="148">
        <f t="shared" ca="1" si="72"/>
        <v>31.299999999999997</v>
      </c>
      <c r="E2178" s="148">
        <f t="shared" ca="1" si="73"/>
        <v>0</v>
      </c>
    </row>
    <row r="2179" spans="2:5" x14ac:dyDescent="0.25">
      <c r="B2179" s="8">
        <v>39773</v>
      </c>
      <c r="C2179" s="6">
        <f ca="1">IF(OR($C$7="",$B2179&gt;NOW()),"",IF(INDEX(Data!$A:$G,MATCH($B2179,Data!$A:$A,0),MATCH($C$7,Data!$4:$4,0))="","",INDEX(Data!$A:$G,MATCH($B2179,Data!$A:$A,0),MATCH($C$7,Data!$4:$4,0))))</f>
        <v>34.6</v>
      </c>
      <c r="D2179" s="148">
        <f t="shared" ca="1" si="72"/>
        <v>30.4</v>
      </c>
      <c r="E2179" s="148">
        <f t="shared" ca="1" si="73"/>
        <v>0</v>
      </c>
    </row>
    <row r="2180" spans="2:5" x14ac:dyDescent="0.25">
      <c r="B2180" s="8">
        <v>39774</v>
      </c>
      <c r="C2180" s="6">
        <f ca="1">IF(OR($C$7="",$B2180&gt;NOW()),"",IF(INDEX(Data!$A:$G,MATCH($B2180,Data!$A:$A,0),MATCH($C$7,Data!$4:$4,0))="","",INDEX(Data!$A:$G,MATCH($B2180,Data!$A:$A,0),MATCH($C$7,Data!$4:$4,0))))</f>
        <v>29.2</v>
      </c>
      <c r="D2180" s="148">
        <f t="shared" ca="1" si="72"/>
        <v>35.799999999999997</v>
      </c>
      <c r="E2180" s="148">
        <f t="shared" ca="1" si="73"/>
        <v>0</v>
      </c>
    </row>
    <row r="2181" spans="2:5" x14ac:dyDescent="0.25">
      <c r="B2181" s="8">
        <v>39775</v>
      </c>
      <c r="C2181" s="6">
        <f ca="1">IF(OR($C$7="",$B2181&gt;NOW()),"",IF(INDEX(Data!$A:$G,MATCH($B2181,Data!$A:$A,0),MATCH($C$7,Data!$4:$4,0))="","",INDEX(Data!$A:$G,MATCH($B2181,Data!$A:$A,0),MATCH($C$7,Data!$4:$4,0))))</f>
        <v>30.5</v>
      </c>
      <c r="D2181" s="148">
        <f t="shared" ca="1" si="72"/>
        <v>34.5</v>
      </c>
      <c r="E2181" s="148">
        <f t="shared" ca="1" si="73"/>
        <v>0</v>
      </c>
    </row>
    <row r="2182" spans="2:5" x14ac:dyDescent="0.25">
      <c r="B2182" s="8">
        <v>39776</v>
      </c>
      <c r="C2182" s="6">
        <f ca="1">IF(OR($C$7="",$B2182&gt;NOW()),"",IF(INDEX(Data!$A:$G,MATCH($B2182,Data!$A:$A,0),MATCH($C$7,Data!$4:$4,0))="","",INDEX(Data!$A:$G,MATCH($B2182,Data!$A:$A,0),MATCH($C$7,Data!$4:$4,0))))</f>
        <v>40.200000000000003</v>
      </c>
      <c r="D2182" s="148">
        <f t="shared" ca="1" si="72"/>
        <v>24.799999999999997</v>
      </c>
      <c r="E2182" s="148">
        <f t="shared" ca="1" si="73"/>
        <v>0</v>
      </c>
    </row>
    <row r="2183" spans="2:5" x14ac:dyDescent="0.25">
      <c r="B2183" s="8">
        <v>39777</v>
      </c>
      <c r="C2183" s="6">
        <f ca="1">IF(OR($C$7="",$B2183&gt;NOW()),"",IF(INDEX(Data!$A:$G,MATCH($B2183,Data!$A:$A,0),MATCH($C$7,Data!$4:$4,0))="","",INDEX(Data!$A:$G,MATCH($B2183,Data!$A:$A,0),MATCH($C$7,Data!$4:$4,0))))</f>
        <v>46.2</v>
      </c>
      <c r="D2183" s="148">
        <f t="shared" ca="1" si="72"/>
        <v>18.799999999999997</v>
      </c>
      <c r="E2183" s="148">
        <f t="shared" ca="1" si="73"/>
        <v>0</v>
      </c>
    </row>
    <row r="2184" spans="2:5" x14ac:dyDescent="0.25">
      <c r="B2184" s="8">
        <v>39778</v>
      </c>
      <c r="C2184" s="6">
        <f ca="1">IF(OR($C$7="",$B2184&gt;NOW()),"",IF(INDEX(Data!$A:$G,MATCH($B2184,Data!$A:$A,0),MATCH($C$7,Data!$4:$4,0))="","",INDEX(Data!$A:$G,MATCH($B2184,Data!$A:$A,0),MATCH($C$7,Data!$4:$4,0))))</f>
        <v>41.5</v>
      </c>
      <c r="D2184" s="148">
        <f t="shared" ca="1" si="72"/>
        <v>23.5</v>
      </c>
      <c r="E2184" s="148">
        <f t="shared" ca="1" si="73"/>
        <v>0</v>
      </c>
    </row>
    <row r="2185" spans="2:5" x14ac:dyDescent="0.25">
      <c r="B2185" s="8">
        <v>39779</v>
      </c>
      <c r="C2185" s="6">
        <f ca="1">IF(OR($C$7="",$B2185&gt;NOW()),"",IF(INDEX(Data!$A:$G,MATCH($B2185,Data!$A:$A,0),MATCH($C$7,Data!$4:$4,0))="","",INDEX(Data!$A:$G,MATCH($B2185,Data!$A:$A,0),MATCH($C$7,Data!$4:$4,0))))</f>
        <v>40.799999999999997</v>
      </c>
      <c r="D2185" s="148">
        <f t="shared" ca="1" si="72"/>
        <v>24.200000000000003</v>
      </c>
      <c r="E2185" s="148">
        <f t="shared" ca="1" si="73"/>
        <v>0</v>
      </c>
    </row>
    <row r="2186" spans="2:5" x14ac:dyDescent="0.25">
      <c r="B2186" s="8">
        <v>39780</v>
      </c>
      <c r="C2186" s="6">
        <f ca="1">IF(OR($C$7="",$B2186&gt;NOW()),"",IF(INDEX(Data!$A:$G,MATCH($B2186,Data!$A:$A,0),MATCH($C$7,Data!$4:$4,0))="","",INDEX(Data!$A:$G,MATCH($B2186,Data!$A:$A,0),MATCH($C$7,Data!$4:$4,0))))</f>
        <v>43.4</v>
      </c>
      <c r="D2186" s="148">
        <f t="shared" ca="1" si="72"/>
        <v>21.6</v>
      </c>
      <c r="E2186" s="148">
        <f t="shared" ca="1" si="73"/>
        <v>0</v>
      </c>
    </row>
    <row r="2187" spans="2:5" x14ac:dyDescent="0.25">
      <c r="B2187" s="8">
        <v>39781</v>
      </c>
      <c r="C2187" s="6">
        <f ca="1">IF(OR($C$7="",$B2187&gt;NOW()),"",IF(INDEX(Data!$A:$G,MATCH($B2187,Data!$A:$A,0),MATCH($C$7,Data!$4:$4,0))="","",INDEX(Data!$A:$G,MATCH($B2187,Data!$A:$A,0),MATCH($C$7,Data!$4:$4,0))))</f>
        <v>42.2</v>
      </c>
      <c r="D2187" s="148">
        <f t="shared" ca="1" si="72"/>
        <v>22.799999999999997</v>
      </c>
      <c r="E2187" s="148">
        <f t="shared" ca="1" si="73"/>
        <v>0</v>
      </c>
    </row>
    <row r="2188" spans="2:5" x14ac:dyDescent="0.25">
      <c r="B2188" s="8">
        <v>39782</v>
      </c>
      <c r="C2188" s="6">
        <f ca="1">IF(OR($C$7="",$B2188&gt;NOW()),"",IF(INDEX(Data!$A:$G,MATCH($B2188,Data!$A:$A,0),MATCH($C$7,Data!$4:$4,0))="","",INDEX(Data!$A:$G,MATCH($B2188,Data!$A:$A,0),MATCH($C$7,Data!$4:$4,0))))</f>
        <v>40.4</v>
      </c>
      <c r="D2188" s="148">
        <f t="shared" ca="1" si="72"/>
        <v>24.6</v>
      </c>
      <c r="E2188" s="148">
        <f t="shared" ca="1" si="73"/>
        <v>0</v>
      </c>
    </row>
    <row r="2189" spans="2:5" x14ac:dyDescent="0.25">
      <c r="B2189" s="8">
        <v>39783</v>
      </c>
      <c r="C2189" s="6">
        <f ca="1">IF(OR($C$7="",$B2189&gt;NOW()),"",IF(INDEX(Data!$A:$G,MATCH($B2189,Data!$A:$A,0),MATCH($C$7,Data!$4:$4,0))="","",INDEX(Data!$A:$G,MATCH($B2189,Data!$A:$A,0),MATCH($C$7,Data!$4:$4,0))))</f>
        <v>48.3</v>
      </c>
      <c r="D2189" s="148">
        <f t="shared" ca="1" si="72"/>
        <v>16.700000000000003</v>
      </c>
      <c r="E2189" s="148">
        <f t="shared" ca="1" si="73"/>
        <v>0</v>
      </c>
    </row>
    <row r="2190" spans="2:5" x14ac:dyDescent="0.25">
      <c r="B2190" s="8">
        <v>39784</v>
      </c>
      <c r="C2190" s="6">
        <f ca="1">IF(OR($C$7="",$B2190&gt;NOW()),"",IF(INDEX(Data!$A:$G,MATCH($B2190,Data!$A:$A,0),MATCH($C$7,Data!$4:$4,0))="","",INDEX(Data!$A:$G,MATCH($B2190,Data!$A:$A,0),MATCH($C$7,Data!$4:$4,0))))</f>
        <v>44.1</v>
      </c>
      <c r="D2190" s="148">
        <f t="shared" ca="1" si="72"/>
        <v>20.9</v>
      </c>
      <c r="E2190" s="148">
        <f t="shared" ca="1" si="73"/>
        <v>0</v>
      </c>
    </row>
    <row r="2191" spans="2:5" x14ac:dyDescent="0.25">
      <c r="B2191" s="8">
        <v>39785</v>
      </c>
      <c r="C2191" s="6">
        <f ca="1">IF(OR($C$7="",$B2191&gt;NOW()),"",IF(INDEX(Data!$A:$G,MATCH($B2191,Data!$A:$A,0),MATCH($C$7,Data!$4:$4,0))="","",INDEX(Data!$A:$G,MATCH($B2191,Data!$A:$A,0),MATCH($C$7,Data!$4:$4,0))))</f>
        <v>38.700000000000003</v>
      </c>
      <c r="D2191" s="148">
        <f t="shared" ca="1" si="72"/>
        <v>26.299999999999997</v>
      </c>
      <c r="E2191" s="148">
        <f t="shared" ca="1" si="73"/>
        <v>0</v>
      </c>
    </row>
    <row r="2192" spans="2:5" x14ac:dyDescent="0.25">
      <c r="B2192" s="8">
        <v>39786</v>
      </c>
      <c r="C2192" s="6">
        <f ca="1">IF(OR($C$7="",$B2192&gt;NOW()),"",IF(INDEX(Data!$A:$G,MATCH($B2192,Data!$A:$A,0),MATCH($C$7,Data!$4:$4,0))="","",INDEX(Data!$A:$G,MATCH($B2192,Data!$A:$A,0),MATCH($C$7,Data!$4:$4,0))))</f>
        <v>43.6</v>
      </c>
      <c r="D2192" s="148">
        <f t="shared" ca="1" si="72"/>
        <v>21.4</v>
      </c>
      <c r="E2192" s="148">
        <f t="shared" ca="1" si="73"/>
        <v>0</v>
      </c>
    </row>
    <row r="2193" spans="2:5" x14ac:dyDescent="0.25">
      <c r="B2193" s="8">
        <v>39787</v>
      </c>
      <c r="C2193" s="6">
        <f ca="1">IF(OR($C$7="",$B2193&gt;NOW()),"",IF(INDEX(Data!$A:$G,MATCH($B2193,Data!$A:$A,0),MATCH($C$7,Data!$4:$4,0))="","",INDEX(Data!$A:$G,MATCH($B2193,Data!$A:$A,0),MATCH($C$7,Data!$4:$4,0))))</f>
        <v>39.200000000000003</v>
      </c>
      <c r="D2193" s="148">
        <f t="shared" ca="1" si="72"/>
        <v>25.799999999999997</v>
      </c>
      <c r="E2193" s="148">
        <f t="shared" ca="1" si="73"/>
        <v>0</v>
      </c>
    </row>
    <row r="2194" spans="2:5" x14ac:dyDescent="0.25">
      <c r="B2194" s="8">
        <v>39788</v>
      </c>
      <c r="C2194" s="6">
        <f ca="1">IF(OR($C$7="",$B2194&gt;NOW()),"",IF(INDEX(Data!$A:$G,MATCH($B2194,Data!$A:$A,0),MATCH($C$7,Data!$4:$4,0))="","",INDEX(Data!$A:$G,MATCH($B2194,Data!$A:$A,0),MATCH($C$7,Data!$4:$4,0))))</f>
        <v>33.6</v>
      </c>
      <c r="D2194" s="148">
        <f t="shared" ca="1" si="72"/>
        <v>31.4</v>
      </c>
      <c r="E2194" s="148">
        <f t="shared" ca="1" si="73"/>
        <v>0</v>
      </c>
    </row>
    <row r="2195" spans="2:5" x14ac:dyDescent="0.25">
      <c r="B2195" s="8">
        <v>39789</v>
      </c>
      <c r="C2195" s="6">
        <f ca="1">IF(OR($C$7="",$B2195&gt;NOW()),"",IF(INDEX(Data!$A:$G,MATCH($B2195,Data!$A:$A,0),MATCH($C$7,Data!$4:$4,0))="","",INDEX(Data!$A:$G,MATCH($B2195,Data!$A:$A,0),MATCH($C$7,Data!$4:$4,0))))</f>
        <v>34.9</v>
      </c>
      <c r="D2195" s="148">
        <f t="shared" ca="1" si="72"/>
        <v>30.1</v>
      </c>
      <c r="E2195" s="148">
        <f t="shared" ca="1" si="73"/>
        <v>0</v>
      </c>
    </row>
    <row r="2196" spans="2:5" x14ac:dyDescent="0.25">
      <c r="B2196" s="8">
        <v>39790</v>
      </c>
      <c r="C2196" s="6">
        <f ca="1">IF(OR($C$7="",$B2196&gt;NOW()),"",IF(INDEX(Data!$A:$G,MATCH($B2196,Data!$A:$A,0),MATCH($C$7,Data!$4:$4,0))="","",INDEX(Data!$A:$G,MATCH($B2196,Data!$A:$A,0),MATCH($C$7,Data!$4:$4,0))))</f>
        <v>24.2</v>
      </c>
      <c r="D2196" s="148">
        <f t="shared" ca="1" si="72"/>
        <v>40.799999999999997</v>
      </c>
      <c r="E2196" s="148">
        <f t="shared" ca="1" si="73"/>
        <v>0</v>
      </c>
    </row>
    <row r="2197" spans="2:5" x14ac:dyDescent="0.25">
      <c r="B2197" s="8">
        <v>39791</v>
      </c>
      <c r="C2197" s="6">
        <f ca="1">IF(OR($C$7="",$B2197&gt;NOW()),"",IF(INDEX(Data!$A:$G,MATCH($B2197,Data!$A:$A,0),MATCH($C$7,Data!$4:$4,0))="","",INDEX(Data!$A:$G,MATCH($B2197,Data!$A:$A,0),MATCH($C$7,Data!$4:$4,0))))</f>
        <v>38.700000000000003</v>
      </c>
      <c r="D2197" s="148">
        <f t="shared" ca="1" si="72"/>
        <v>26.299999999999997</v>
      </c>
      <c r="E2197" s="148">
        <f t="shared" ca="1" si="73"/>
        <v>0</v>
      </c>
    </row>
    <row r="2198" spans="2:5" x14ac:dyDescent="0.25">
      <c r="B2198" s="8">
        <v>39792</v>
      </c>
      <c r="C2198" s="6">
        <f ca="1">IF(OR($C$7="",$B2198&gt;NOW()),"",IF(INDEX(Data!$A:$G,MATCH($B2198,Data!$A:$A,0),MATCH($C$7,Data!$4:$4,0))="","",INDEX(Data!$A:$G,MATCH($B2198,Data!$A:$A,0),MATCH($C$7,Data!$4:$4,0))))</f>
        <v>56.7</v>
      </c>
      <c r="D2198" s="148">
        <f t="shared" ca="1" si="72"/>
        <v>8.2999999999999972</v>
      </c>
      <c r="E2198" s="148">
        <f t="shared" ca="1" si="73"/>
        <v>0</v>
      </c>
    </row>
    <row r="2199" spans="2:5" x14ac:dyDescent="0.25">
      <c r="B2199" s="8">
        <v>39793</v>
      </c>
      <c r="C2199" s="6">
        <f ca="1">IF(OR($C$7="",$B2199&gt;NOW()),"",IF(INDEX(Data!$A:$G,MATCH($B2199,Data!$A:$A,0),MATCH($C$7,Data!$4:$4,0))="","",INDEX(Data!$A:$G,MATCH($B2199,Data!$A:$A,0),MATCH($C$7,Data!$4:$4,0))))</f>
        <v>41.6</v>
      </c>
      <c r="D2199" s="148">
        <f t="shared" ca="1" si="72"/>
        <v>23.4</v>
      </c>
      <c r="E2199" s="148">
        <f t="shared" ca="1" si="73"/>
        <v>0</v>
      </c>
    </row>
    <row r="2200" spans="2:5" x14ac:dyDescent="0.25">
      <c r="B2200" s="8">
        <v>39794</v>
      </c>
      <c r="C2200" s="6">
        <f ca="1">IF(OR($C$7="",$B2200&gt;NOW()),"",IF(INDEX(Data!$A:$G,MATCH($B2200,Data!$A:$A,0),MATCH($C$7,Data!$4:$4,0))="","",INDEX(Data!$A:$G,MATCH($B2200,Data!$A:$A,0),MATCH($C$7,Data!$4:$4,0))))</f>
        <v>40.5</v>
      </c>
      <c r="D2200" s="148">
        <f t="shared" ca="1" si="72"/>
        <v>24.5</v>
      </c>
      <c r="E2200" s="148">
        <f t="shared" ca="1" si="73"/>
        <v>0</v>
      </c>
    </row>
    <row r="2201" spans="2:5" x14ac:dyDescent="0.25">
      <c r="B2201" s="8">
        <v>39795</v>
      </c>
      <c r="C2201" s="6">
        <f ca="1">IF(OR($C$7="",$B2201&gt;NOW()),"",IF(INDEX(Data!$A:$G,MATCH($B2201,Data!$A:$A,0),MATCH($C$7,Data!$4:$4,0))="","",INDEX(Data!$A:$G,MATCH($B2201,Data!$A:$A,0),MATCH($C$7,Data!$4:$4,0))))</f>
        <v>32</v>
      </c>
      <c r="D2201" s="148">
        <f t="shared" ca="1" si="72"/>
        <v>33</v>
      </c>
      <c r="E2201" s="148">
        <f t="shared" ca="1" si="73"/>
        <v>0</v>
      </c>
    </row>
    <row r="2202" spans="2:5" x14ac:dyDescent="0.25">
      <c r="B2202" s="8">
        <v>39796</v>
      </c>
      <c r="C2202" s="6">
        <f ca="1">IF(OR($C$7="",$B2202&gt;NOW()),"",IF(INDEX(Data!$A:$G,MATCH($B2202,Data!$A:$A,0),MATCH($C$7,Data!$4:$4,0))="","",INDEX(Data!$A:$G,MATCH($B2202,Data!$A:$A,0),MATCH($C$7,Data!$4:$4,0))))</f>
        <v>35.799999999999997</v>
      </c>
      <c r="D2202" s="148">
        <f t="shared" ca="1" si="72"/>
        <v>29.200000000000003</v>
      </c>
      <c r="E2202" s="148">
        <f t="shared" ca="1" si="73"/>
        <v>0</v>
      </c>
    </row>
    <row r="2203" spans="2:5" x14ac:dyDescent="0.25">
      <c r="B2203" s="8">
        <v>39797</v>
      </c>
      <c r="C2203" s="6">
        <f ca="1">IF(OR($C$7="",$B2203&gt;NOW()),"",IF(INDEX(Data!$A:$G,MATCH($B2203,Data!$A:$A,0),MATCH($C$7,Data!$4:$4,0))="","",INDEX(Data!$A:$G,MATCH($B2203,Data!$A:$A,0),MATCH($C$7,Data!$4:$4,0))))</f>
        <v>52.9</v>
      </c>
      <c r="D2203" s="148">
        <f t="shared" ca="1" si="72"/>
        <v>12.100000000000001</v>
      </c>
      <c r="E2203" s="148">
        <f t="shared" ca="1" si="73"/>
        <v>0</v>
      </c>
    </row>
    <row r="2204" spans="2:5" x14ac:dyDescent="0.25">
      <c r="B2204" s="8">
        <v>39798</v>
      </c>
      <c r="C2204" s="6">
        <f ca="1">IF(OR($C$7="",$B2204&gt;NOW()),"",IF(INDEX(Data!$A:$G,MATCH($B2204,Data!$A:$A,0),MATCH($C$7,Data!$4:$4,0))="","",INDEX(Data!$A:$G,MATCH($B2204,Data!$A:$A,0),MATCH($C$7,Data!$4:$4,0))))</f>
        <v>45</v>
      </c>
      <c r="D2204" s="148">
        <f t="shared" ca="1" si="72"/>
        <v>20</v>
      </c>
      <c r="E2204" s="148">
        <f t="shared" ca="1" si="73"/>
        <v>0</v>
      </c>
    </row>
    <row r="2205" spans="2:5" x14ac:dyDescent="0.25">
      <c r="B2205" s="8">
        <v>39799</v>
      </c>
      <c r="C2205" s="6">
        <f ca="1">IF(OR($C$7="",$B2205&gt;NOW()),"",IF(INDEX(Data!$A:$G,MATCH($B2205,Data!$A:$A,0),MATCH($C$7,Data!$4:$4,0))="","",INDEX(Data!$A:$G,MATCH($B2205,Data!$A:$A,0),MATCH($C$7,Data!$4:$4,0))))</f>
        <v>35.9</v>
      </c>
      <c r="D2205" s="148">
        <f t="shared" ref="D2205:D2268" ca="1" si="74">IF($C2205="","",IF($C2205&gt;$D$26,0,$D$26-$C2205))</f>
        <v>29.1</v>
      </c>
      <c r="E2205" s="148">
        <f t="shared" ref="E2205:E2268" ca="1" si="75">IF($C2205="","",IF($C2205&lt;$E$26,0,$C2205-$E$26))</f>
        <v>0</v>
      </c>
    </row>
    <row r="2206" spans="2:5" x14ac:dyDescent="0.25">
      <c r="B2206" s="8">
        <v>39800</v>
      </c>
      <c r="C2206" s="6">
        <f ca="1">IF(OR($C$7="",$B2206&gt;NOW()),"",IF(INDEX(Data!$A:$G,MATCH($B2206,Data!$A:$A,0),MATCH($C$7,Data!$4:$4,0))="","",INDEX(Data!$A:$G,MATCH($B2206,Data!$A:$A,0),MATCH($C$7,Data!$4:$4,0))))</f>
        <v>40.299999999999997</v>
      </c>
      <c r="D2206" s="148">
        <f t="shared" ca="1" si="74"/>
        <v>24.700000000000003</v>
      </c>
      <c r="E2206" s="148">
        <f t="shared" ca="1" si="75"/>
        <v>0</v>
      </c>
    </row>
    <row r="2207" spans="2:5" x14ac:dyDescent="0.25">
      <c r="B2207" s="8">
        <v>39801</v>
      </c>
      <c r="C2207" s="6">
        <f ca="1">IF(OR($C$7="",$B2207&gt;NOW()),"",IF(INDEX(Data!$A:$G,MATCH($B2207,Data!$A:$A,0),MATCH($C$7,Data!$4:$4,0))="","",INDEX(Data!$A:$G,MATCH($B2207,Data!$A:$A,0),MATCH($C$7,Data!$4:$4,0))))</f>
        <v>35.5</v>
      </c>
      <c r="D2207" s="148">
        <f t="shared" ca="1" si="74"/>
        <v>29.5</v>
      </c>
      <c r="E2207" s="148">
        <f t="shared" ca="1" si="75"/>
        <v>0</v>
      </c>
    </row>
    <row r="2208" spans="2:5" x14ac:dyDescent="0.25">
      <c r="B2208" s="8">
        <v>39802</v>
      </c>
      <c r="C2208" s="6">
        <f ca="1">IF(OR($C$7="",$B2208&gt;NOW()),"",IF(INDEX(Data!$A:$G,MATCH($B2208,Data!$A:$A,0),MATCH($C$7,Data!$4:$4,0))="","",INDEX(Data!$A:$G,MATCH($B2208,Data!$A:$A,0),MATCH($C$7,Data!$4:$4,0))))</f>
        <v>26.8</v>
      </c>
      <c r="D2208" s="148">
        <f t="shared" ca="1" si="74"/>
        <v>38.200000000000003</v>
      </c>
      <c r="E2208" s="148">
        <f t="shared" ca="1" si="75"/>
        <v>0</v>
      </c>
    </row>
    <row r="2209" spans="2:5" x14ac:dyDescent="0.25">
      <c r="B2209" s="8">
        <v>39803</v>
      </c>
      <c r="C2209" s="6">
        <f ca="1">IF(OR($C$7="",$B2209&gt;NOW()),"",IF(INDEX(Data!$A:$G,MATCH($B2209,Data!$A:$A,0),MATCH($C$7,Data!$4:$4,0))="","",INDEX(Data!$A:$G,MATCH($B2209,Data!$A:$A,0),MATCH($C$7,Data!$4:$4,0))))</f>
        <v>31.4</v>
      </c>
      <c r="D2209" s="148">
        <f t="shared" ca="1" si="74"/>
        <v>33.6</v>
      </c>
      <c r="E2209" s="148">
        <f t="shared" ca="1" si="75"/>
        <v>0</v>
      </c>
    </row>
    <row r="2210" spans="2:5" x14ac:dyDescent="0.25">
      <c r="B2210" s="8">
        <v>39804</v>
      </c>
      <c r="C2210" s="6">
        <f ca="1">IF(OR($C$7="",$B2210&gt;NOW()),"",IF(INDEX(Data!$A:$G,MATCH($B2210,Data!$A:$A,0),MATCH($C$7,Data!$4:$4,0))="","",INDEX(Data!$A:$G,MATCH($B2210,Data!$A:$A,0),MATCH($C$7,Data!$4:$4,0))))</f>
        <v>23.7</v>
      </c>
      <c r="D2210" s="148">
        <f t="shared" ca="1" si="74"/>
        <v>41.3</v>
      </c>
      <c r="E2210" s="148">
        <f t="shared" ca="1" si="75"/>
        <v>0</v>
      </c>
    </row>
    <row r="2211" spans="2:5" x14ac:dyDescent="0.25">
      <c r="B2211" s="8">
        <v>39805</v>
      </c>
      <c r="C2211" s="6">
        <f ca="1">IF(OR($C$7="",$B2211&gt;NOW()),"",IF(INDEX(Data!$A:$G,MATCH($B2211,Data!$A:$A,0),MATCH($C$7,Data!$4:$4,0))="","",INDEX(Data!$A:$G,MATCH($B2211,Data!$A:$A,0),MATCH($C$7,Data!$4:$4,0))))</f>
        <v>24.3</v>
      </c>
      <c r="D2211" s="148">
        <f t="shared" ca="1" si="74"/>
        <v>40.700000000000003</v>
      </c>
      <c r="E2211" s="148">
        <f t="shared" ca="1" si="75"/>
        <v>0</v>
      </c>
    </row>
    <row r="2212" spans="2:5" x14ac:dyDescent="0.25">
      <c r="B2212" s="8">
        <v>39806</v>
      </c>
      <c r="C2212" s="6">
        <f ca="1">IF(OR($C$7="",$B2212&gt;NOW()),"",IF(INDEX(Data!$A:$G,MATCH($B2212,Data!$A:$A,0),MATCH($C$7,Data!$4:$4,0))="","",INDEX(Data!$A:$G,MATCH($B2212,Data!$A:$A,0),MATCH($C$7,Data!$4:$4,0))))</f>
        <v>35.1</v>
      </c>
      <c r="D2212" s="148">
        <f t="shared" ca="1" si="74"/>
        <v>29.9</v>
      </c>
      <c r="E2212" s="148">
        <f t="shared" ca="1" si="75"/>
        <v>0</v>
      </c>
    </row>
    <row r="2213" spans="2:5" x14ac:dyDescent="0.25">
      <c r="B2213" s="8">
        <v>39807</v>
      </c>
      <c r="C2213" s="6">
        <f ca="1">IF(OR($C$7="",$B2213&gt;NOW()),"",IF(INDEX(Data!$A:$G,MATCH($B2213,Data!$A:$A,0),MATCH($C$7,Data!$4:$4,0))="","",INDEX(Data!$A:$G,MATCH($B2213,Data!$A:$A,0),MATCH($C$7,Data!$4:$4,0))))</f>
        <v>46.5</v>
      </c>
      <c r="D2213" s="148">
        <f t="shared" ca="1" si="74"/>
        <v>18.5</v>
      </c>
      <c r="E2213" s="148">
        <f t="shared" ca="1" si="75"/>
        <v>0</v>
      </c>
    </row>
    <row r="2214" spans="2:5" x14ac:dyDescent="0.25">
      <c r="B2214" s="8">
        <v>39808</v>
      </c>
      <c r="C2214" s="6">
        <f ca="1">IF(OR($C$7="",$B2214&gt;NOW()),"",IF(INDEX(Data!$A:$G,MATCH($B2214,Data!$A:$A,0),MATCH($C$7,Data!$4:$4,0))="","",INDEX(Data!$A:$G,MATCH($B2214,Data!$A:$A,0),MATCH($C$7,Data!$4:$4,0))))</f>
        <v>35.700000000000003</v>
      </c>
      <c r="D2214" s="148">
        <f t="shared" ca="1" si="74"/>
        <v>29.299999999999997</v>
      </c>
      <c r="E2214" s="148">
        <f t="shared" ca="1" si="75"/>
        <v>0</v>
      </c>
    </row>
    <row r="2215" spans="2:5" x14ac:dyDescent="0.25">
      <c r="B2215" s="8">
        <v>39809</v>
      </c>
      <c r="C2215" s="6">
        <f ca="1">IF(OR($C$7="",$B2215&gt;NOW()),"",IF(INDEX(Data!$A:$G,MATCH($B2215,Data!$A:$A,0),MATCH($C$7,Data!$4:$4,0))="","",INDEX(Data!$A:$G,MATCH($B2215,Data!$A:$A,0),MATCH($C$7,Data!$4:$4,0))))</f>
        <v>43</v>
      </c>
      <c r="D2215" s="148">
        <f t="shared" ca="1" si="74"/>
        <v>22</v>
      </c>
      <c r="E2215" s="148">
        <f t="shared" ca="1" si="75"/>
        <v>0</v>
      </c>
    </row>
    <row r="2216" spans="2:5" x14ac:dyDescent="0.25">
      <c r="B2216" s="8">
        <v>39810</v>
      </c>
      <c r="C2216" s="6">
        <f ca="1">IF(OR($C$7="",$B2216&gt;NOW()),"",IF(INDEX(Data!$A:$G,MATCH($B2216,Data!$A:$A,0),MATCH($C$7,Data!$4:$4,0))="","",INDEX(Data!$A:$G,MATCH($B2216,Data!$A:$A,0),MATCH($C$7,Data!$4:$4,0))))</f>
        <v>55.3</v>
      </c>
      <c r="D2216" s="148">
        <f t="shared" ca="1" si="74"/>
        <v>9.7000000000000028</v>
      </c>
      <c r="E2216" s="148">
        <f t="shared" ca="1" si="75"/>
        <v>0</v>
      </c>
    </row>
    <row r="2217" spans="2:5" x14ac:dyDescent="0.25">
      <c r="B2217" s="8">
        <v>39811</v>
      </c>
      <c r="C2217" s="6">
        <f ca="1">IF(OR($C$7="",$B2217&gt;NOW()),"",IF(INDEX(Data!$A:$G,MATCH($B2217,Data!$A:$A,0),MATCH($C$7,Data!$4:$4,0))="","",INDEX(Data!$A:$G,MATCH($B2217,Data!$A:$A,0),MATCH($C$7,Data!$4:$4,0))))</f>
        <v>45</v>
      </c>
      <c r="D2217" s="148">
        <f t="shared" ca="1" si="74"/>
        <v>20</v>
      </c>
      <c r="E2217" s="148">
        <f t="shared" ca="1" si="75"/>
        <v>0</v>
      </c>
    </row>
    <row r="2218" spans="2:5" x14ac:dyDescent="0.25">
      <c r="B2218" s="8">
        <v>39812</v>
      </c>
      <c r="C2218" s="6">
        <f ca="1">IF(OR($C$7="",$B2218&gt;NOW()),"",IF(INDEX(Data!$A:$G,MATCH($B2218,Data!$A:$A,0),MATCH($C$7,Data!$4:$4,0))="","",INDEX(Data!$A:$G,MATCH($B2218,Data!$A:$A,0),MATCH($C$7,Data!$4:$4,0))))</f>
        <v>42</v>
      </c>
      <c r="D2218" s="148">
        <f t="shared" ca="1" si="74"/>
        <v>23</v>
      </c>
      <c r="E2218" s="148">
        <f t="shared" ca="1" si="75"/>
        <v>0</v>
      </c>
    </row>
    <row r="2219" spans="2:5" x14ac:dyDescent="0.25">
      <c r="B2219" s="8">
        <v>39813</v>
      </c>
      <c r="C2219" s="6">
        <f ca="1">IF(OR($C$7="",$B2219&gt;NOW()),"",IF(INDEX(Data!$A:$G,MATCH($B2219,Data!$A:$A,0),MATCH($C$7,Data!$4:$4,0))="","",INDEX(Data!$A:$G,MATCH($B2219,Data!$A:$A,0),MATCH($C$7,Data!$4:$4,0))))</f>
        <v>31.9</v>
      </c>
      <c r="D2219" s="148">
        <f t="shared" ca="1" si="74"/>
        <v>33.1</v>
      </c>
      <c r="E2219" s="148">
        <f t="shared" ca="1" si="75"/>
        <v>0</v>
      </c>
    </row>
    <row r="2220" spans="2:5" x14ac:dyDescent="0.25">
      <c r="B2220" s="8">
        <v>39814</v>
      </c>
      <c r="C2220" s="6">
        <f ca="1">IF(OR($C$7="",$B2220&gt;NOW()),"",IF(INDEX(Data!$A:$G,MATCH($B2220,Data!$A:$A,0),MATCH($C$7,Data!$4:$4,0))="","",INDEX(Data!$A:$G,MATCH($B2220,Data!$A:$A,0),MATCH($C$7,Data!$4:$4,0))))</f>
        <v>21</v>
      </c>
      <c r="D2220" s="148">
        <f t="shared" ca="1" si="74"/>
        <v>44</v>
      </c>
      <c r="E2220" s="148">
        <f t="shared" ca="1" si="75"/>
        <v>0</v>
      </c>
    </row>
    <row r="2221" spans="2:5" x14ac:dyDescent="0.25">
      <c r="B2221" s="8">
        <v>39815</v>
      </c>
      <c r="C2221" s="6">
        <f ca="1">IF(OR($C$7="",$B2221&gt;NOW()),"",IF(INDEX(Data!$A:$G,MATCH($B2221,Data!$A:$A,0),MATCH($C$7,Data!$4:$4,0))="","",INDEX(Data!$A:$G,MATCH($B2221,Data!$A:$A,0),MATCH($C$7,Data!$4:$4,0))))</f>
        <v>29</v>
      </c>
      <c r="D2221" s="148">
        <f t="shared" ca="1" si="74"/>
        <v>36</v>
      </c>
      <c r="E2221" s="148">
        <f t="shared" ca="1" si="75"/>
        <v>0</v>
      </c>
    </row>
    <row r="2222" spans="2:5" x14ac:dyDescent="0.25">
      <c r="B2222" s="8">
        <v>39816</v>
      </c>
      <c r="C2222" s="6">
        <f ca="1">IF(OR($C$7="",$B2222&gt;NOW()),"",IF(INDEX(Data!$A:$G,MATCH($B2222,Data!$A:$A,0),MATCH($C$7,Data!$4:$4,0))="","",INDEX(Data!$A:$G,MATCH($B2222,Data!$A:$A,0),MATCH($C$7,Data!$4:$4,0))))</f>
        <v>34.6</v>
      </c>
      <c r="D2222" s="148">
        <f t="shared" ca="1" si="74"/>
        <v>30.4</v>
      </c>
      <c r="E2222" s="148">
        <f t="shared" ca="1" si="75"/>
        <v>0</v>
      </c>
    </row>
    <row r="2223" spans="2:5" x14ac:dyDescent="0.25">
      <c r="B2223" s="8">
        <v>39817</v>
      </c>
      <c r="C2223" s="6">
        <f ca="1">IF(OR($C$7="",$B2223&gt;NOW()),"",IF(INDEX(Data!$A:$G,MATCH($B2223,Data!$A:$A,0),MATCH($C$7,Data!$4:$4,0))="","",INDEX(Data!$A:$G,MATCH($B2223,Data!$A:$A,0),MATCH($C$7,Data!$4:$4,0))))</f>
        <v>32.6</v>
      </c>
      <c r="D2223" s="148">
        <f t="shared" ca="1" si="74"/>
        <v>32.4</v>
      </c>
      <c r="E2223" s="148">
        <f t="shared" ca="1" si="75"/>
        <v>0</v>
      </c>
    </row>
    <row r="2224" spans="2:5" x14ac:dyDescent="0.25">
      <c r="B2224" s="8">
        <v>39818</v>
      </c>
      <c r="C2224" s="6">
        <f ca="1">IF(OR($C$7="",$B2224&gt;NOW()),"",IF(INDEX(Data!$A:$G,MATCH($B2224,Data!$A:$A,0),MATCH($C$7,Data!$4:$4,0))="","",INDEX(Data!$A:$G,MATCH($B2224,Data!$A:$A,0),MATCH($C$7,Data!$4:$4,0))))</f>
        <v>41.5</v>
      </c>
      <c r="D2224" s="148">
        <f t="shared" ca="1" si="74"/>
        <v>23.5</v>
      </c>
      <c r="E2224" s="148">
        <f t="shared" ca="1" si="75"/>
        <v>0</v>
      </c>
    </row>
    <row r="2225" spans="2:5" x14ac:dyDescent="0.25">
      <c r="B2225" s="8">
        <v>39819</v>
      </c>
      <c r="C2225" s="6">
        <f ca="1">IF(OR($C$7="",$B2225&gt;NOW()),"",IF(INDEX(Data!$A:$G,MATCH($B2225,Data!$A:$A,0),MATCH($C$7,Data!$4:$4,0))="","",INDEX(Data!$A:$G,MATCH($B2225,Data!$A:$A,0),MATCH($C$7,Data!$4:$4,0))))</f>
        <v>35.700000000000003</v>
      </c>
      <c r="D2225" s="148">
        <f t="shared" ca="1" si="74"/>
        <v>29.299999999999997</v>
      </c>
      <c r="E2225" s="148">
        <f t="shared" ca="1" si="75"/>
        <v>0</v>
      </c>
    </row>
    <row r="2226" spans="2:5" x14ac:dyDescent="0.25">
      <c r="B2226" s="8">
        <v>39820</v>
      </c>
      <c r="C2226" s="6">
        <f ca="1">IF(OR($C$7="",$B2226&gt;NOW()),"",IF(INDEX(Data!$A:$G,MATCH($B2226,Data!$A:$A,0),MATCH($C$7,Data!$4:$4,0))="","",INDEX(Data!$A:$G,MATCH($B2226,Data!$A:$A,0),MATCH($C$7,Data!$4:$4,0))))</f>
        <v>34.700000000000003</v>
      </c>
      <c r="D2226" s="148">
        <f t="shared" ca="1" si="74"/>
        <v>30.299999999999997</v>
      </c>
      <c r="E2226" s="148">
        <f t="shared" ca="1" si="75"/>
        <v>0</v>
      </c>
    </row>
    <row r="2227" spans="2:5" x14ac:dyDescent="0.25">
      <c r="B2227" s="8">
        <v>39821</v>
      </c>
      <c r="C2227" s="6">
        <f ca="1">IF(OR($C$7="",$B2227&gt;NOW()),"",IF(INDEX(Data!$A:$G,MATCH($B2227,Data!$A:$A,0),MATCH($C$7,Data!$4:$4,0))="","",INDEX(Data!$A:$G,MATCH($B2227,Data!$A:$A,0),MATCH($C$7,Data!$4:$4,0))))</f>
        <v>37.4</v>
      </c>
      <c r="D2227" s="148">
        <f t="shared" ca="1" si="74"/>
        <v>27.6</v>
      </c>
      <c r="E2227" s="148">
        <f t="shared" ca="1" si="75"/>
        <v>0</v>
      </c>
    </row>
    <row r="2228" spans="2:5" x14ac:dyDescent="0.25">
      <c r="B2228" s="8">
        <v>39822</v>
      </c>
      <c r="C2228" s="6">
        <f ca="1">IF(OR($C$7="",$B2228&gt;NOW()),"",IF(INDEX(Data!$A:$G,MATCH($B2228,Data!$A:$A,0),MATCH($C$7,Data!$4:$4,0))="","",INDEX(Data!$A:$G,MATCH($B2228,Data!$A:$A,0),MATCH($C$7,Data!$4:$4,0))))</f>
        <v>30.2</v>
      </c>
      <c r="D2228" s="148">
        <f t="shared" ca="1" si="74"/>
        <v>34.799999999999997</v>
      </c>
      <c r="E2228" s="148">
        <f t="shared" ca="1" si="75"/>
        <v>0</v>
      </c>
    </row>
    <row r="2229" spans="2:5" x14ac:dyDescent="0.25">
      <c r="B2229" s="8">
        <v>39823</v>
      </c>
      <c r="C2229" s="6">
        <f ca="1">IF(OR($C$7="",$B2229&gt;NOW()),"",IF(INDEX(Data!$A:$G,MATCH($B2229,Data!$A:$A,0),MATCH($C$7,Data!$4:$4,0))="","",INDEX(Data!$A:$G,MATCH($B2229,Data!$A:$A,0),MATCH($C$7,Data!$4:$4,0))))</f>
        <v>27.1</v>
      </c>
      <c r="D2229" s="148">
        <f t="shared" ca="1" si="74"/>
        <v>37.9</v>
      </c>
      <c r="E2229" s="148">
        <f t="shared" ca="1" si="75"/>
        <v>0</v>
      </c>
    </row>
    <row r="2230" spans="2:5" x14ac:dyDescent="0.25">
      <c r="B2230" s="8">
        <v>39824</v>
      </c>
      <c r="C2230" s="6">
        <f ca="1">IF(OR($C$7="",$B2230&gt;NOW()),"",IF(INDEX(Data!$A:$G,MATCH($B2230,Data!$A:$A,0),MATCH($C$7,Data!$4:$4,0))="","",INDEX(Data!$A:$G,MATCH($B2230,Data!$A:$A,0),MATCH($C$7,Data!$4:$4,0))))</f>
        <v>29</v>
      </c>
      <c r="D2230" s="148">
        <f t="shared" ca="1" si="74"/>
        <v>36</v>
      </c>
      <c r="E2230" s="148">
        <f t="shared" ca="1" si="75"/>
        <v>0</v>
      </c>
    </row>
    <row r="2231" spans="2:5" x14ac:dyDescent="0.25">
      <c r="B2231" s="8">
        <v>39825</v>
      </c>
      <c r="C2231" s="6">
        <f ca="1">IF(OR($C$7="",$B2231&gt;NOW()),"",IF(INDEX(Data!$A:$G,MATCH($B2231,Data!$A:$A,0),MATCH($C$7,Data!$4:$4,0))="","",INDEX(Data!$A:$G,MATCH($B2231,Data!$A:$A,0),MATCH($C$7,Data!$4:$4,0))))</f>
        <v>27.7</v>
      </c>
      <c r="D2231" s="148">
        <f t="shared" ca="1" si="74"/>
        <v>37.299999999999997</v>
      </c>
      <c r="E2231" s="148">
        <f t="shared" ca="1" si="75"/>
        <v>0</v>
      </c>
    </row>
    <row r="2232" spans="2:5" x14ac:dyDescent="0.25">
      <c r="B2232" s="8">
        <v>39826</v>
      </c>
      <c r="C2232" s="6">
        <f ca="1">IF(OR($C$7="",$B2232&gt;NOW()),"",IF(INDEX(Data!$A:$G,MATCH($B2232,Data!$A:$A,0),MATCH($C$7,Data!$4:$4,0))="","",INDEX(Data!$A:$G,MATCH($B2232,Data!$A:$A,0),MATCH($C$7,Data!$4:$4,0))))</f>
        <v>34</v>
      </c>
      <c r="D2232" s="148">
        <f t="shared" ca="1" si="74"/>
        <v>31</v>
      </c>
      <c r="E2232" s="148">
        <f t="shared" ca="1" si="75"/>
        <v>0</v>
      </c>
    </row>
    <row r="2233" spans="2:5" x14ac:dyDescent="0.25">
      <c r="B2233" s="8">
        <v>39827</v>
      </c>
      <c r="C2233" s="6">
        <f ca="1">IF(OR($C$7="",$B2233&gt;NOW()),"",IF(INDEX(Data!$A:$G,MATCH($B2233,Data!$A:$A,0),MATCH($C$7,Data!$4:$4,0))="","",INDEX(Data!$A:$G,MATCH($B2233,Data!$A:$A,0),MATCH($C$7,Data!$4:$4,0))))</f>
        <v>27.3</v>
      </c>
      <c r="D2233" s="148">
        <f t="shared" ca="1" si="74"/>
        <v>37.700000000000003</v>
      </c>
      <c r="E2233" s="148">
        <f t="shared" ca="1" si="75"/>
        <v>0</v>
      </c>
    </row>
    <row r="2234" spans="2:5" x14ac:dyDescent="0.25">
      <c r="B2234" s="8">
        <v>39828</v>
      </c>
      <c r="C2234" s="6">
        <f ca="1">IF(OR($C$7="",$B2234&gt;NOW()),"",IF(INDEX(Data!$A:$G,MATCH($B2234,Data!$A:$A,0),MATCH($C$7,Data!$4:$4,0))="","",INDEX(Data!$A:$G,MATCH($B2234,Data!$A:$A,0),MATCH($C$7,Data!$4:$4,0))))</f>
        <v>20.6</v>
      </c>
      <c r="D2234" s="148">
        <f t="shared" ca="1" si="74"/>
        <v>44.4</v>
      </c>
      <c r="E2234" s="148">
        <f t="shared" ca="1" si="75"/>
        <v>0</v>
      </c>
    </row>
    <row r="2235" spans="2:5" x14ac:dyDescent="0.25">
      <c r="B2235" s="8">
        <v>39829</v>
      </c>
      <c r="C2235" s="6">
        <f ca="1">IF(OR($C$7="",$B2235&gt;NOW()),"",IF(INDEX(Data!$A:$G,MATCH($B2235,Data!$A:$A,0),MATCH($C$7,Data!$4:$4,0))="","",INDEX(Data!$A:$G,MATCH($B2235,Data!$A:$A,0),MATCH($C$7,Data!$4:$4,0))))</f>
        <v>15.7</v>
      </c>
      <c r="D2235" s="148">
        <f t="shared" ca="1" si="74"/>
        <v>49.3</v>
      </c>
      <c r="E2235" s="148">
        <f t="shared" ca="1" si="75"/>
        <v>0</v>
      </c>
    </row>
    <row r="2236" spans="2:5" x14ac:dyDescent="0.25">
      <c r="B2236" s="8">
        <v>39830</v>
      </c>
      <c r="C2236" s="6">
        <f ca="1">IF(OR($C$7="",$B2236&gt;NOW()),"",IF(INDEX(Data!$A:$G,MATCH($B2236,Data!$A:$A,0),MATCH($C$7,Data!$4:$4,0))="","",INDEX(Data!$A:$G,MATCH($B2236,Data!$A:$A,0),MATCH($C$7,Data!$4:$4,0))))</f>
        <v>12.6</v>
      </c>
      <c r="D2236" s="148">
        <f t="shared" ca="1" si="74"/>
        <v>52.4</v>
      </c>
      <c r="E2236" s="148">
        <f t="shared" ca="1" si="75"/>
        <v>0</v>
      </c>
    </row>
    <row r="2237" spans="2:5" x14ac:dyDescent="0.25">
      <c r="B2237" s="8">
        <v>39831</v>
      </c>
      <c r="C2237" s="6">
        <f ca="1">IF(OR($C$7="",$B2237&gt;NOW()),"",IF(INDEX(Data!$A:$G,MATCH($B2237,Data!$A:$A,0),MATCH($C$7,Data!$4:$4,0))="","",INDEX(Data!$A:$G,MATCH($B2237,Data!$A:$A,0),MATCH($C$7,Data!$4:$4,0))))</f>
        <v>25.7</v>
      </c>
      <c r="D2237" s="148">
        <f t="shared" ca="1" si="74"/>
        <v>39.299999999999997</v>
      </c>
      <c r="E2237" s="148">
        <f t="shared" ca="1" si="75"/>
        <v>0</v>
      </c>
    </row>
    <row r="2238" spans="2:5" x14ac:dyDescent="0.25">
      <c r="B2238" s="8">
        <v>39832</v>
      </c>
      <c r="C2238" s="6">
        <f ca="1">IF(OR($C$7="",$B2238&gt;NOW()),"",IF(INDEX(Data!$A:$G,MATCH($B2238,Data!$A:$A,0),MATCH($C$7,Data!$4:$4,0))="","",INDEX(Data!$A:$G,MATCH($B2238,Data!$A:$A,0),MATCH($C$7,Data!$4:$4,0))))</f>
        <v>30</v>
      </c>
      <c r="D2238" s="148">
        <f t="shared" ca="1" si="74"/>
        <v>35</v>
      </c>
      <c r="E2238" s="148">
        <f t="shared" ca="1" si="75"/>
        <v>0</v>
      </c>
    </row>
    <row r="2239" spans="2:5" x14ac:dyDescent="0.25">
      <c r="B2239" s="8">
        <v>39833</v>
      </c>
      <c r="C2239" s="6">
        <f ca="1">IF(OR($C$7="",$B2239&gt;NOW()),"",IF(INDEX(Data!$A:$G,MATCH($B2239,Data!$A:$A,0),MATCH($C$7,Data!$4:$4,0))="","",INDEX(Data!$A:$G,MATCH($B2239,Data!$A:$A,0),MATCH($C$7,Data!$4:$4,0))))</f>
        <v>26.7</v>
      </c>
      <c r="D2239" s="148">
        <f t="shared" ca="1" si="74"/>
        <v>38.299999999999997</v>
      </c>
      <c r="E2239" s="148">
        <f t="shared" ca="1" si="75"/>
        <v>0</v>
      </c>
    </row>
    <row r="2240" spans="2:5" x14ac:dyDescent="0.25">
      <c r="B2240" s="8">
        <v>39834</v>
      </c>
      <c r="C2240" s="6">
        <f ca="1">IF(OR($C$7="",$B2240&gt;NOW()),"",IF(INDEX(Data!$A:$G,MATCH($B2240,Data!$A:$A,0),MATCH($C$7,Data!$4:$4,0))="","",INDEX(Data!$A:$G,MATCH($B2240,Data!$A:$A,0),MATCH($C$7,Data!$4:$4,0))))</f>
        <v>22.8</v>
      </c>
      <c r="D2240" s="148">
        <f t="shared" ca="1" si="74"/>
        <v>42.2</v>
      </c>
      <c r="E2240" s="148">
        <f t="shared" ca="1" si="75"/>
        <v>0</v>
      </c>
    </row>
    <row r="2241" spans="2:5" x14ac:dyDescent="0.25">
      <c r="B2241" s="8">
        <v>39835</v>
      </c>
      <c r="C2241" s="6">
        <f ca="1">IF(OR($C$7="",$B2241&gt;NOW()),"",IF(INDEX(Data!$A:$G,MATCH($B2241,Data!$A:$A,0),MATCH($C$7,Data!$4:$4,0))="","",INDEX(Data!$A:$G,MATCH($B2241,Data!$A:$A,0),MATCH($C$7,Data!$4:$4,0))))</f>
        <v>27.4</v>
      </c>
      <c r="D2241" s="148">
        <f t="shared" ca="1" si="74"/>
        <v>37.6</v>
      </c>
      <c r="E2241" s="148">
        <f t="shared" ca="1" si="75"/>
        <v>0</v>
      </c>
    </row>
    <row r="2242" spans="2:5" x14ac:dyDescent="0.25">
      <c r="B2242" s="8">
        <v>39836</v>
      </c>
      <c r="C2242" s="6">
        <f ca="1">IF(OR($C$7="",$B2242&gt;NOW()),"",IF(INDEX(Data!$A:$G,MATCH($B2242,Data!$A:$A,0),MATCH($C$7,Data!$4:$4,0))="","",INDEX(Data!$A:$G,MATCH($B2242,Data!$A:$A,0),MATCH($C$7,Data!$4:$4,0))))</f>
        <v>36.799999999999997</v>
      </c>
      <c r="D2242" s="148">
        <f t="shared" ca="1" si="74"/>
        <v>28.200000000000003</v>
      </c>
      <c r="E2242" s="148">
        <f t="shared" ca="1" si="75"/>
        <v>0</v>
      </c>
    </row>
    <row r="2243" spans="2:5" x14ac:dyDescent="0.25">
      <c r="B2243" s="8">
        <v>39837</v>
      </c>
      <c r="C2243" s="6">
        <f ca="1">IF(OR($C$7="",$B2243&gt;NOW()),"",IF(INDEX(Data!$A:$G,MATCH($B2243,Data!$A:$A,0),MATCH($C$7,Data!$4:$4,0))="","",INDEX(Data!$A:$G,MATCH($B2243,Data!$A:$A,0),MATCH($C$7,Data!$4:$4,0))))</f>
        <v>38.200000000000003</v>
      </c>
      <c r="D2243" s="148">
        <f t="shared" ca="1" si="74"/>
        <v>26.799999999999997</v>
      </c>
      <c r="E2243" s="148">
        <f t="shared" ca="1" si="75"/>
        <v>0</v>
      </c>
    </row>
    <row r="2244" spans="2:5" x14ac:dyDescent="0.25">
      <c r="B2244" s="8">
        <v>39838</v>
      </c>
      <c r="C2244" s="6">
        <f ca="1">IF(OR($C$7="",$B2244&gt;NOW()),"",IF(INDEX(Data!$A:$G,MATCH($B2244,Data!$A:$A,0),MATCH($C$7,Data!$4:$4,0))="","",INDEX(Data!$A:$G,MATCH($B2244,Data!$A:$A,0),MATCH($C$7,Data!$4:$4,0))))</f>
        <v>20.6</v>
      </c>
      <c r="D2244" s="148">
        <f t="shared" ca="1" si="74"/>
        <v>44.4</v>
      </c>
      <c r="E2244" s="148">
        <f t="shared" ca="1" si="75"/>
        <v>0</v>
      </c>
    </row>
    <row r="2245" spans="2:5" x14ac:dyDescent="0.25">
      <c r="B2245" s="8">
        <v>39839</v>
      </c>
      <c r="C2245" s="6">
        <f ca="1">IF(OR($C$7="",$B2245&gt;NOW()),"",IF(INDEX(Data!$A:$G,MATCH($B2245,Data!$A:$A,0),MATCH($C$7,Data!$4:$4,0))="","",INDEX(Data!$A:$G,MATCH($B2245,Data!$A:$A,0),MATCH($C$7,Data!$4:$4,0))))</f>
        <v>24.2</v>
      </c>
      <c r="D2245" s="148">
        <f t="shared" ca="1" si="74"/>
        <v>40.799999999999997</v>
      </c>
      <c r="E2245" s="148">
        <f t="shared" ca="1" si="75"/>
        <v>0</v>
      </c>
    </row>
    <row r="2246" spans="2:5" x14ac:dyDescent="0.25">
      <c r="B2246" s="8">
        <v>39840</v>
      </c>
      <c r="C2246" s="6">
        <f ca="1">IF(OR($C$7="",$B2246&gt;NOW()),"",IF(INDEX(Data!$A:$G,MATCH($B2246,Data!$A:$A,0),MATCH($C$7,Data!$4:$4,0))="","",INDEX(Data!$A:$G,MATCH($B2246,Data!$A:$A,0),MATCH($C$7,Data!$4:$4,0))))</f>
        <v>28.2</v>
      </c>
      <c r="D2246" s="148">
        <f t="shared" ca="1" si="74"/>
        <v>36.799999999999997</v>
      </c>
      <c r="E2246" s="148">
        <f t="shared" ca="1" si="75"/>
        <v>0</v>
      </c>
    </row>
    <row r="2247" spans="2:5" x14ac:dyDescent="0.25">
      <c r="B2247" s="8">
        <v>39841</v>
      </c>
      <c r="C2247" s="6">
        <f ca="1">IF(OR($C$7="",$B2247&gt;NOW()),"",IF(INDEX(Data!$A:$G,MATCH($B2247,Data!$A:$A,0),MATCH($C$7,Data!$4:$4,0))="","",INDEX(Data!$A:$G,MATCH($B2247,Data!$A:$A,0),MATCH($C$7,Data!$4:$4,0))))</f>
        <v>30.2</v>
      </c>
      <c r="D2247" s="148">
        <f t="shared" ca="1" si="74"/>
        <v>34.799999999999997</v>
      </c>
      <c r="E2247" s="148">
        <f t="shared" ca="1" si="75"/>
        <v>0</v>
      </c>
    </row>
    <row r="2248" spans="2:5" x14ac:dyDescent="0.25">
      <c r="B2248" s="8">
        <v>39842</v>
      </c>
      <c r="C2248" s="6">
        <f ca="1">IF(OR($C$7="",$B2248&gt;NOW()),"",IF(INDEX(Data!$A:$G,MATCH($B2248,Data!$A:$A,0),MATCH($C$7,Data!$4:$4,0))="","",INDEX(Data!$A:$G,MATCH($B2248,Data!$A:$A,0),MATCH($C$7,Data!$4:$4,0))))</f>
        <v>33.200000000000003</v>
      </c>
      <c r="D2248" s="148">
        <f t="shared" ca="1" si="74"/>
        <v>31.799999999999997</v>
      </c>
      <c r="E2248" s="148">
        <f t="shared" ca="1" si="75"/>
        <v>0</v>
      </c>
    </row>
    <row r="2249" spans="2:5" x14ac:dyDescent="0.25">
      <c r="B2249" s="8">
        <v>39843</v>
      </c>
      <c r="C2249" s="6">
        <f ca="1">IF(OR($C$7="",$B2249&gt;NOW()),"",IF(INDEX(Data!$A:$G,MATCH($B2249,Data!$A:$A,0),MATCH($C$7,Data!$4:$4,0))="","",INDEX(Data!$A:$G,MATCH($B2249,Data!$A:$A,0),MATCH($C$7,Data!$4:$4,0))))</f>
        <v>31.9</v>
      </c>
      <c r="D2249" s="148">
        <f t="shared" ca="1" si="74"/>
        <v>33.1</v>
      </c>
      <c r="E2249" s="148">
        <f t="shared" ca="1" si="75"/>
        <v>0</v>
      </c>
    </row>
    <row r="2250" spans="2:5" x14ac:dyDescent="0.25">
      <c r="B2250" s="8">
        <v>39844</v>
      </c>
      <c r="C2250" s="6">
        <f ca="1">IF(OR($C$7="",$B2250&gt;NOW()),"",IF(INDEX(Data!$A:$G,MATCH($B2250,Data!$A:$A,0),MATCH($C$7,Data!$4:$4,0))="","",INDEX(Data!$A:$G,MATCH($B2250,Data!$A:$A,0),MATCH($C$7,Data!$4:$4,0))))</f>
        <v>26.5</v>
      </c>
      <c r="D2250" s="148">
        <f t="shared" ca="1" si="74"/>
        <v>38.5</v>
      </c>
      <c r="E2250" s="148">
        <f t="shared" ca="1" si="75"/>
        <v>0</v>
      </c>
    </row>
    <row r="2251" spans="2:5" x14ac:dyDescent="0.25">
      <c r="B2251" s="8">
        <v>39845</v>
      </c>
      <c r="C2251" s="6">
        <f ca="1">IF(OR($C$7="",$B2251&gt;NOW()),"",IF(INDEX(Data!$A:$G,MATCH($B2251,Data!$A:$A,0),MATCH($C$7,Data!$4:$4,0))="","",INDEX(Data!$A:$G,MATCH($B2251,Data!$A:$A,0),MATCH($C$7,Data!$4:$4,0))))</f>
        <v>35.200000000000003</v>
      </c>
      <c r="D2251" s="148">
        <f t="shared" ca="1" si="74"/>
        <v>29.799999999999997</v>
      </c>
      <c r="E2251" s="148">
        <f t="shared" ca="1" si="75"/>
        <v>0</v>
      </c>
    </row>
    <row r="2252" spans="2:5" x14ac:dyDescent="0.25">
      <c r="B2252" s="8">
        <v>39846</v>
      </c>
      <c r="C2252" s="6">
        <f ca="1">IF(OR($C$7="",$B2252&gt;NOW()),"",IF(INDEX(Data!$A:$G,MATCH($B2252,Data!$A:$A,0),MATCH($C$7,Data!$4:$4,0))="","",INDEX(Data!$A:$G,MATCH($B2252,Data!$A:$A,0),MATCH($C$7,Data!$4:$4,0))))</f>
        <v>43.9</v>
      </c>
      <c r="D2252" s="148">
        <f t="shared" ca="1" si="74"/>
        <v>21.1</v>
      </c>
      <c r="E2252" s="148">
        <f t="shared" ca="1" si="75"/>
        <v>0</v>
      </c>
    </row>
    <row r="2253" spans="2:5" x14ac:dyDescent="0.25">
      <c r="B2253" s="8">
        <v>39847</v>
      </c>
      <c r="C2253" s="6">
        <f ca="1">IF(OR($C$7="",$B2253&gt;NOW()),"",IF(INDEX(Data!$A:$G,MATCH($B2253,Data!$A:$A,0),MATCH($C$7,Data!$4:$4,0))="","",INDEX(Data!$A:$G,MATCH($B2253,Data!$A:$A,0),MATCH($C$7,Data!$4:$4,0))))</f>
        <v>34.5</v>
      </c>
      <c r="D2253" s="148">
        <f t="shared" ca="1" si="74"/>
        <v>30.5</v>
      </c>
      <c r="E2253" s="148">
        <f t="shared" ca="1" si="75"/>
        <v>0</v>
      </c>
    </row>
    <row r="2254" spans="2:5" x14ac:dyDescent="0.25">
      <c r="B2254" s="8">
        <v>39848</v>
      </c>
      <c r="C2254" s="6">
        <f ca="1">IF(OR($C$7="",$B2254&gt;NOW()),"",IF(INDEX(Data!$A:$G,MATCH($B2254,Data!$A:$A,0),MATCH($C$7,Data!$4:$4,0))="","",INDEX(Data!$A:$G,MATCH($B2254,Data!$A:$A,0),MATCH($C$7,Data!$4:$4,0))))</f>
        <v>25.5</v>
      </c>
      <c r="D2254" s="148">
        <f t="shared" ca="1" si="74"/>
        <v>39.5</v>
      </c>
      <c r="E2254" s="148">
        <f t="shared" ca="1" si="75"/>
        <v>0</v>
      </c>
    </row>
    <row r="2255" spans="2:5" x14ac:dyDescent="0.25">
      <c r="B2255" s="8">
        <v>39849</v>
      </c>
      <c r="C2255" s="6">
        <f ca="1">IF(OR($C$7="",$B2255&gt;NOW()),"",IF(INDEX(Data!$A:$G,MATCH($B2255,Data!$A:$A,0),MATCH($C$7,Data!$4:$4,0))="","",INDEX(Data!$A:$G,MATCH($B2255,Data!$A:$A,0),MATCH($C$7,Data!$4:$4,0))))</f>
        <v>19.3</v>
      </c>
      <c r="D2255" s="148">
        <f t="shared" ca="1" si="74"/>
        <v>45.7</v>
      </c>
      <c r="E2255" s="148">
        <f t="shared" ca="1" si="75"/>
        <v>0</v>
      </c>
    </row>
    <row r="2256" spans="2:5" x14ac:dyDescent="0.25">
      <c r="B2256" s="8">
        <v>39850</v>
      </c>
      <c r="C2256" s="6">
        <f ca="1">IF(OR($C$7="",$B2256&gt;NOW()),"",IF(INDEX(Data!$A:$G,MATCH($B2256,Data!$A:$A,0),MATCH($C$7,Data!$4:$4,0))="","",INDEX(Data!$A:$G,MATCH($B2256,Data!$A:$A,0),MATCH($C$7,Data!$4:$4,0))))</f>
        <v>22</v>
      </c>
      <c r="D2256" s="148">
        <f t="shared" ca="1" si="74"/>
        <v>43</v>
      </c>
      <c r="E2256" s="148">
        <f t="shared" ca="1" si="75"/>
        <v>0</v>
      </c>
    </row>
    <row r="2257" spans="2:5" x14ac:dyDescent="0.25">
      <c r="B2257" s="8">
        <v>39851</v>
      </c>
      <c r="C2257" s="6">
        <f ca="1">IF(OR($C$7="",$B2257&gt;NOW()),"",IF(INDEX(Data!$A:$G,MATCH($B2257,Data!$A:$A,0),MATCH($C$7,Data!$4:$4,0))="","",INDEX(Data!$A:$G,MATCH($B2257,Data!$A:$A,0),MATCH($C$7,Data!$4:$4,0))))</f>
        <v>33.6</v>
      </c>
      <c r="D2257" s="148">
        <f t="shared" ca="1" si="74"/>
        <v>31.4</v>
      </c>
      <c r="E2257" s="148">
        <f t="shared" ca="1" si="75"/>
        <v>0</v>
      </c>
    </row>
    <row r="2258" spans="2:5" x14ac:dyDescent="0.25">
      <c r="B2258" s="8">
        <v>39852</v>
      </c>
      <c r="C2258" s="6">
        <f ca="1">IF(OR($C$7="",$B2258&gt;NOW()),"",IF(INDEX(Data!$A:$G,MATCH($B2258,Data!$A:$A,0),MATCH($C$7,Data!$4:$4,0))="","",INDEX(Data!$A:$G,MATCH($B2258,Data!$A:$A,0),MATCH($C$7,Data!$4:$4,0))))</f>
        <v>49.8</v>
      </c>
      <c r="D2258" s="148">
        <f t="shared" ca="1" si="74"/>
        <v>15.200000000000003</v>
      </c>
      <c r="E2258" s="148">
        <f t="shared" ca="1" si="75"/>
        <v>0</v>
      </c>
    </row>
    <row r="2259" spans="2:5" x14ac:dyDescent="0.25">
      <c r="B2259" s="8">
        <v>39853</v>
      </c>
      <c r="C2259" s="6">
        <f ca="1">IF(OR($C$7="",$B2259&gt;NOW()),"",IF(INDEX(Data!$A:$G,MATCH($B2259,Data!$A:$A,0),MATCH($C$7,Data!$4:$4,0))="","",INDEX(Data!$A:$G,MATCH($B2259,Data!$A:$A,0),MATCH($C$7,Data!$4:$4,0))))</f>
        <v>39.299999999999997</v>
      </c>
      <c r="D2259" s="148">
        <f t="shared" ca="1" si="74"/>
        <v>25.700000000000003</v>
      </c>
      <c r="E2259" s="148">
        <f t="shared" ca="1" si="75"/>
        <v>0</v>
      </c>
    </row>
    <row r="2260" spans="2:5" x14ac:dyDescent="0.25">
      <c r="B2260" s="8">
        <v>39854</v>
      </c>
      <c r="C2260" s="6">
        <f ca="1">IF(OR($C$7="",$B2260&gt;NOW()),"",IF(INDEX(Data!$A:$G,MATCH($B2260,Data!$A:$A,0),MATCH($C$7,Data!$4:$4,0))="","",INDEX(Data!$A:$G,MATCH($B2260,Data!$A:$A,0),MATCH($C$7,Data!$4:$4,0))))</f>
        <v>39.5</v>
      </c>
      <c r="D2260" s="148">
        <f t="shared" ca="1" si="74"/>
        <v>25.5</v>
      </c>
      <c r="E2260" s="148">
        <f t="shared" ca="1" si="75"/>
        <v>0</v>
      </c>
    </row>
    <row r="2261" spans="2:5" x14ac:dyDescent="0.25">
      <c r="B2261" s="8">
        <v>39855</v>
      </c>
      <c r="C2261" s="6">
        <f ca="1">IF(OR($C$7="",$B2261&gt;NOW()),"",IF(INDEX(Data!$A:$G,MATCH($B2261,Data!$A:$A,0),MATCH($C$7,Data!$4:$4,0))="","",INDEX(Data!$A:$G,MATCH($B2261,Data!$A:$A,0),MATCH($C$7,Data!$4:$4,0))))</f>
        <v>48</v>
      </c>
      <c r="D2261" s="148">
        <f t="shared" ca="1" si="74"/>
        <v>17</v>
      </c>
      <c r="E2261" s="148">
        <f t="shared" ca="1" si="75"/>
        <v>0</v>
      </c>
    </row>
    <row r="2262" spans="2:5" x14ac:dyDescent="0.25">
      <c r="B2262" s="8">
        <v>39856</v>
      </c>
      <c r="C2262" s="6">
        <f ca="1">IF(OR($C$7="",$B2262&gt;NOW()),"",IF(INDEX(Data!$A:$G,MATCH($B2262,Data!$A:$A,0),MATCH($C$7,Data!$4:$4,0))="","",INDEX(Data!$A:$G,MATCH($B2262,Data!$A:$A,0),MATCH($C$7,Data!$4:$4,0))))</f>
        <v>51.3</v>
      </c>
      <c r="D2262" s="148">
        <f t="shared" ca="1" si="74"/>
        <v>13.700000000000003</v>
      </c>
      <c r="E2262" s="148">
        <f t="shared" ca="1" si="75"/>
        <v>0</v>
      </c>
    </row>
    <row r="2263" spans="2:5" x14ac:dyDescent="0.25">
      <c r="B2263" s="8">
        <v>39857</v>
      </c>
      <c r="C2263" s="6">
        <f ca="1">IF(OR($C$7="",$B2263&gt;NOW()),"",IF(INDEX(Data!$A:$G,MATCH($B2263,Data!$A:$A,0),MATCH($C$7,Data!$4:$4,0))="","",INDEX(Data!$A:$G,MATCH($B2263,Data!$A:$A,0),MATCH($C$7,Data!$4:$4,0))))</f>
        <v>42.6</v>
      </c>
      <c r="D2263" s="148">
        <f t="shared" ca="1" si="74"/>
        <v>22.4</v>
      </c>
      <c r="E2263" s="148">
        <f t="shared" ca="1" si="75"/>
        <v>0</v>
      </c>
    </row>
    <row r="2264" spans="2:5" x14ac:dyDescent="0.25">
      <c r="B2264" s="8">
        <v>39858</v>
      </c>
      <c r="C2264" s="6">
        <f ca="1">IF(OR($C$7="",$B2264&gt;NOW()),"",IF(INDEX(Data!$A:$G,MATCH($B2264,Data!$A:$A,0),MATCH($C$7,Data!$4:$4,0))="","",INDEX(Data!$A:$G,MATCH($B2264,Data!$A:$A,0),MATCH($C$7,Data!$4:$4,0))))</f>
        <v>34.1</v>
      </c>
      <c r="D2264" s="148">
        <f t="shared" ca="1" si="74"/>
        <v>30.9</v>
      </c>
      <c r="E2264" s="148">
        <f t="shared" ca="1" si="75"/>
        <v>0</v>
      </c>
    </row>
    <row r="2265" spans="2:5" x14ac:dyDescent="0.25">
      <c r="B2265" s="8">
        <v>39859</v>
      </c>
      <c r="C2265" s="6">
        <f ca="1">IF(OR($C$7="",$B2265&gt;NOW()),"",IF(INDEX(Data!$A:$G,MATCH($B2265,Data!$A:$A,0),MATCH($C$7,Data!$4:$4,0))="","",INDEX(Data!$A:$G,MATCH($B2265,Data!$A:$A,0),MATCH($C$7,Data!$4:$4,0))))</f>
        <v>36.4</v>
      </c>
      <c r="D2265" s="148">
        <f t="shared" ca="1" si="74"/>
        <v>28.6</v>
      </c>
      <c r="E2265" s="148">
        <f t="shared" ca="1" si="75"/>
        <v>0</v>
      </c>
    </row>
    <row r="2266" spans="2:5" x14ac:dyDescent="0.25">
      <c r="B2266" s="8">
        <v>39860</v>
      </c>
      <c r="C2266" s="6">
        <f ca="1">IF(OR($C$7="",$B2266&gt;NOW()),"",IF(INDEX(Data!$A:$G,MATCH($B2266,Data!$A:$A,0),MATCH($C$7,Data!$4:$4,0))="","",INDEX(Data!$A:$G,MATCH($B2266,Data!$A:$A,0),MATCH($C$7,Data!$4:$4,0))))</f>
        <v>34</v>
      </c>
      <c r="D2266" s="148">
        <f t="shared" ca="1" si="74"/>
        <v>31</v>
      </c>
      <c r="E2266" s="148">
        <f t="shared" ca="1" si="75"/>
        <v>0</v>
      </c>
    </row>
    <row r="2267" spans="2:5" x14ac:dyDescent="0.25">
      <c r="B2267" s="8">
        <v>39861</v>
      </c>
      <c r="C2267" s="6">
        <f ca="1">IF(OR($C$7="",$B2267&gt;NOW()),"",IF(INDEX(Data!$A:$G,MATCH($B2267,Data!$A:$A,0),MATCH($C$7,Data!$4:$4,0))="","",INDEX(Data!$A:$G,MATCH($B2267,Data!$A:$A,0),MATCH($C$7,Data!$4:$4,0))))</f>
        <v>33.6</v>
      </c>
      <c r="D2267" s="148">
        <f t="shared" ca="1" si="74"/>
        <v>31.4</v>
      </c>
      <c r="E2267" s="148">
        <f t="shared" ca="1" si="75"/>
        <v>0</v>
      </c>
    </row>
    <row r="2268" spans="2:5" x14ac:dyDescent="0.25">
      <c r="B2268" s="8">
        <v>39862</v>
      </c>
      <c r="C2268" s="6">
        <f ca="1">IF(OR($C$7="",$B2268&gt;NOW()),"",IF(INDEX(Data!$A:$G,MATCH($B2268,Data!$A:$A,0),MATCH($C$7,Data!$4:$4,0))="","",INDEX(Data!$A:$G,MATCH($B2268,Data!$A:$A,0),MATCH($C$7,Data!$4:$4,0))))</f>
        <v>36.1</v>
      </c>
      <c r="D2268" s="148">
        <f t="shared" ca="1" si="74"/>
        <v>28.9</v>
      </c>
      <c r="E2268" s="148">
        <f t="shared" ca="1" si="75"/>
        <v>0</v>
      </c>
    </row>
    <row r="2269" spans="2:5" x14ac:dyDescent="0.25">
      <c r="B2269" s="8">
        <v>39863</v>
      </c>
      <c r="C2269" s="6">
        <f ca="1">IF(OR($C$7="",$B2269&gt;NOW()),"",IF(INDEX(Data!$A:$G,MATCH($B2269,Data!$A:$A,0),MATCH($C$7,Data!$4:$4,0))="","",INDEX(Data!$A:$G,MATCH($B2269,Data!$A:$A,0),MATCH($C$7,Data!$4:$4,0))))</f>
        <v>44.5</v>
      </c>
      <c r="D2269" s="148">
        <f t="shared" ref="D2269:D2332" ca="1" si="76">IF($C2269="","",IF($C2269&gt;$D$26,0,$D$26-$C2269))</f>
        <v>20.5</v>
      </c>
      <c r="E2269" s="148">
        <f t="shared" ref="E2269:E2332" ca="1" si="77">IF($C2269="","",IF($C2269&lt;$E$26,0,$C2269-$E$26))</f>
        <v>0</v>
      </c>
    </row>
    <row r="2270" spans="2:5" x14ac:dyDescent="0.25">
      <c r="B2270" s="8">
        <v>39864</v>
      </c>
      <c r="C2270" s="6">
        <f ca="1">IF(OR($C$7="",$B2270&gt;NOW()),"",IF(INDEX(Data!$A:$G,MATCH($B2270,Data!$A:$A,0),MATCH($C$7,Data!$4:$4,0))="","",INDEX(Data!$A:$G,MATCH($B2270,Data!$A:$A,0),MATCH($C$7,Data!$4:$4,0))))</f>
        <v>29.2</v>
      </c>
      <c r="D2270" s="148">
        <f t="shared" ca="1" si="76"/>
        <v>35.799999999999997</v>
      </c>
      <c r="E2270" s="148">
        <f t="shared" ca="1" si="77"/>
        <v>0</v>
      </c>
    </row>
    <row r="2271" spans="2:5" x14ac:dyDescent="0.25">
      <c r="B2271" s="8">
        <v>39865</v>
      </c>
      <c r="C2271" s="6">
        <f ca="1">IF(OR($C$7="",$B2271&gt;NOW()),"",IF(INDEX(Data!$A:$G,MATCH($B2271,Data!$A:$A,0),MATCH($C$7,Data!$4:$4,0))="","",INDEX(Data!$A:$G,MATCH($B2271,Data!$A:$A,0),MATCH($C$7,Data!$4:$4,0))))</f>
        <v>32.6</v>
      </c>
      <c r="D2271" s="148">
        <f t="shared" ca="1" si="76"/>
        <v>32.4</v>
      </c>
      <c r="E2271" s="148">
        <f t="shared" ca="1" si="77"/>
        <v>0</v>
      </c>
    </row>
    <row r="2272" spans="2:5" x14ac:dyDescent="0.25">
      <c r="B2272" s="8">
        <v>39866</v>
      </c>
      <c r="C2272" s="6">
        <f ca="1">IF(OR($C$7="",$B2272&gt;NOW()),"",IF(INDEX(Data!$A:$G,MATCH($B2272,Data!$A:$A,0),MATCH($C$7,Data!$4:$4,0))="","",INDEX(Data!$A:$G,MATCH($B2272,Data!$A:$A,0),MATCH($C$7,Data!$4:$4,0))))</f>
        <v>38.799999999999997</v>
      </c>
      <c r="D2272" s="148">
        <f t="shared" ca="1" si="76"/>
        <v>26.200000000000003</v>
      </c>
      <c r="E2272" s="148">
        <f t="shared" ca="1" si="77"/>
        <v>0</v>
      </c>
    </row>
    <row r="2273" spans="2:5" x14ac:dyDescent="0.25">
      <c r="B2273" s="8">
        <v>39867</v>
      </c>
      <c r="C2273" s="6">
        <f ca="1">IF(OR($C$7="",$B2273&gt;NOW()),"",IF(INDEX(Data!$A:$G,MATCH($B2273,Data!$A:$A,0),MATCH($C$7,Data!$4:$4,0))="","",INDEX(Data!$A:$G,MATCH($B2273,Data!$A:$A,0),MATCH($C$7,Data!$4:$4,0))))</f>
        <v>31.6</v>
      </c>
      <c r="D2273" s="148">
        <f t="shared" ca="1" si="76"/>
        <v>33.4</v>
      </c>
      <c r="E2273" s="148">
        <f t="shared" ca="1" si="77"/>
        <v>0</v>
      </c>
    </row>
    <row r="2274" spans="2:5" x14ac:dyDescent="0.25">
      <c r="B2274" s="8">
        <v>39868</v>
      </c>
      <c r="C2274" s="6">
        <f ca="1">IF(OR($C$7="",$B2274&gt;NOW()),"",IF(INDEX(Data!$A:$G,MATCH($B2274,Data!$A:$A,0),MATCH($C$7,Data!$4:$4,0))="","",INDEX(Data!$A:$G,MATCH($B2274,Data!$A:$A,0),MATCH($C$7,Data!$4:$4,0))))</f>
        <v>28.3</v>
      </c>
      <c r="D2274" s="148">
        <f t="shared" ca="1" si="76"/>
        <v>36.700000000000003</v>
      </c>
      <c r="E2274" s="148">
        <f t="shared" ca="1" si="77"/>
        <v>0</v>
      </c>
    </row>
    <row r="2275" spans="2:5" x14ac:dyDescent="0.25">
      <c r="B2275" s="8">
        <v>39869</v>
      </c>
      <c r="C2275" s="6">
        <f ca="1">IF(OR($C$7="",$B2275&gt;NOW()),"",IF(INDEX(Data!$A:$G,MATCH($B2275,Data!$A:$A,0),MATCH($C$7,Data!$4:$4,0))="","",INDEX(Data!$A:$G,MATCH($B2275,Data!$A:$A,0),MATCH($C$7,Data!$4:$4,0))))</f>
        <v>31.6</v>
      </c>
      <c r="D2275" s="148">
        <f t="shared" ca="1" si="76"/>
        <v>33.4</v>
      </c>
      <c r="E2275" s="148">
        <f t="shared" ca="1" si="77"/>
        <v>0</v>
      </c>
    </row>
    <row r="2276" spans="2:5" x14ac:dyDescent="0.25">
      <c r="B2276" s="8">
        <v>39870</v>
      </c>
      <c r="C2276" s="6">
        <f ca="1">IF(OR($C$7="",$B2276&gt;NOW()),"",IF(INDEX(Data!$A:$G,MATCH($B2276,Data!$A:$A,0),MATCH($C$7,Data!$4:$4,0))="","",INDEX(Data!$A:$G,MATCH($B2276,Data!$A:$A,0),MATCH($C$7,Data!$4:$4,0))))</f>
        <v>39.799999999999997</v>
      </c>
      <c r="D2276" s="148">
        <f t="shared" ca="1" si="76"/>
        <v>25.200000000000003</v>
      </c>
      <c r="E2276" s="148">
        <f t="shared" ca="1" si="77"/>
        <v>0</v>
      </c>
    </row>
    <row r="2277" spans="2:5" x14ac:dyDescent="0.25">
      <c r="B2277" s="8">
        <v>39871</v>
      </c>
      <c r="C2277" s="6">
        <f ca="1">IF(OR($C$7="",$B2277&gt;NOW()),"",IF(INDEX(Data!$A:$G,MATCH($B2277,Data!$A:$A,0),MATCH($C$7,Data!$4:$4,0))="","",INDEX(Data!$A:$G,MATCH($B2277,Data!$A:$A,0),MATCH($C$7,Data!$4:$4,0))))</f>
        <v>46.5</v>
      </c>
      <c r="D2277" s="148">
        <f t="shared" ca="1" si="76"/>
        <v>18.5</v>
      </c>
      <c r="E2277" s="148">
        <f t="shared" ca="1" si="77"/>
        <v>0</v>
      </c>
    </row>
    <row r="2278" spans="2:5" x14ac:dyDescent="0.25">
      <c r="B2278" s="8">
        <v>39872</v>
      </c>
      <c r="C2278" s="6">
        <f ca="1">IF(OR($C$7="",$B2278&gt;NOW()),"",IF(INDEX(Data!$A:$G,MATCH($B2278,Data!$A:$A,0),MATCH($C$7,Data!$4:$4,0))="","",INDEX(Data!$A:$G,MATCH($B2278,Data!$A:$A,0),MATCH($C$7,Data!$4:$4,0))))</f>
        <v>41.5</v>
      </c>
      <c r="D2278" s="148">
        <f t="shared" ca="1" si="76"/>
        <v>23.5</v>
      </c>
      <c r="E2278" s="148">
        <f t="shared" ca="1" si="77"/>
        <v>0</v>
      </c>
    </row>
    <row r="2279" spans="2:5" x14ac:dyDescent="0.25">
      <c r="B2279" s="8">
        <v>39873</v>
      </c>
      <c r="C2279" s="6">
        <f ca="1">IF(OR($C$7="",$B2279&gt;NOW()),"",IF(INDEX(Data!$A:$G,MATCH($B2279,Data!$A:$A,0),MATCH($C$7,Data!$4:$4,0))="","",INDEX(Data!$A:$G,MATCH($B2279,Data!$A:$A,0),MATCH($C$7,Data!$4:$4,0))))</f>
        <v>32.799999999999997</v>
      </c>
      <c r="D2279" s="148">
        <f t="shared" ca="1" si="76"/>
        <v>32.200000000000003</v>
      </c>
      <c r="E2279" s="148">
        <f t="shared" ca="1" si="77"/>
        <v>0</v>
      </c>
    </row>
    <row r="2280" spans="2:5" x14ac:dyDescent="0.25">
      <c r="B2280" s="8">
        <v>39874</v>
      </c>
      <c r="C2280" s="6">
        <f ca="1">IF(OR($C$7="",$B2280&gt;NOW()),"",IF(INDEX(Data!$A:$G,MATCH($B2280,Data!$A:$A,0),MATCH($C$7,Data!$4:$4,0))="","",INDEX(Data!$A:$G,MATCH($B2280,Data!$A:$A,0),MATCH($C$7,Data!$4:$4,0))))</f>
        <v>25.4</v>
      </c>
      <c r="D2280" s="148">
        <f t="shared" ca="1" si="76"/>
        <v>39.6</v>
      </c>
      <c r="E2280" s="148">
        <f t="shared" ca="1" si="77"/>
        <v>0</v>
      </c>
    </row>
    <row r="2281" spans="2:5" x14ac:dyDescent="0.25">
      <c r="B2281" s="8">
        <v>39875</v>
      </c>
      <c r="C2281" s="6">
        <f ca="1">IF(OR($C$7="",$B2281&gt;NOW()),"",IF(INDEX(Data!$A:$G,MATCH($B2281,Data!$A:$A,0),MATCH($C$7,Data!$4:$4,0))="","",INDEX(Data!$A:$G,MATCH($B2281,Data!$A:$A,0),MATCH($C$7,Data!$4:$4,0))))</f>
        <v>19.899999999999999</v>
      </c>
      <c r="D2281" s="148">
        <f t="shared" ca="1" si="76"/>
        <v>45.1</v>
      </c>
      <c r="E2281" s="148">
        <f t="shared" ca="1" si="77"/>
        <v>0</v>
      </c>
    </row>
    <row r="2282" spans="2:5" x14ac:dyDescent="0.25">
      <c r="B2282" s="8">
        <v>39876</v>
      </c>
      <c r="C2282" s="6">
        <f ca="1">IF(OR($C$7="",$B2282&gt;NOW()),"",IF(INDEX(Data!$A:$G,MATCH($B2282,Data!$A:$A,0),MATCH($C$7,Data!$4:$4,0))="","",INDEX(Data!$A:$G,MATCH($B2282,Data!$A:$A,0),MATCH($C$7,Data!$4:$4,0))))</f>
        <v>25.1</v>
      </c>
      <c r="D2282" s="148">
        <f t="shared" ca="1" si="76"/>
        <v>39.9</v>
      </c>
      <c r="E2282" s="148">
        <f t="shared" ca="1" si="77"/>
        <v>0</v>
      </c>
    </row>
    <row r="2283" spans="2:5" x14ac:dyDescent="0.25">
      <c r="B2283" s="8">
        <v>39877</v>
      </c>
      <c r="C2283" s="6">
        <f ca="1">IF(OR($C$7="",$B2283&gt;NOW()),"",IF(INDEX(Data!$A:$G,MATCH($B2283,Data!$A:$A,0),MATCH($C$7,Data!$4:$4,0))="","",INDEX(Data!$A:$G,MATCH($B2283,Data!$A:$A,0),MATCH($C$7,Data!$4:$4,0))))</f>
        <v>34.299999999999997</v>
      </c>
      <c r="D2283" s="148">
        <f t="shared" ca="1" si="76"/>
        <v>30.700000000000003</v>
      </c>
      <c r="E2283" s="148">
        <f t="shared" ca="1" si="77"/>
        <v>0</v>
      </c>
    </row>
    <row r="2284" spans="2:5" x14ac:dyDescent="0.25">
      <c r="B2284" s="8">
        <v>39878</v>
      </c>
      <c r="C2284" s="6">
        <f ca="1">IF(OR($C$7="",$B2284&gt;NOW()),"",IF(INDEX(Data!$A:$G,MATCH($B2284,Data!$A:$A,0),MATCH($C$7,Data!$4:$4,0))="","",INDEX(Data!$A:$G,MATCH($B2284,Data!$A:$A,0),MATCH($C$7,Data!$4:$4,0))))</f>
        <v>43.6</v>
      </c>
      <c r="D2284" s="148">
        <f t="shared" ca="1" si="76"/>
        <v>21.4</v>
      </c>
      <c r="E2284" s="148">
        <f t="shared" ca="1" si="77"/>
        <v>0</v>
      </c>
    </row>
    <row r="2285" spans="2:5" x14ac:dyDescent="0.25">
      <c r="B2285" s="8">
        <v>39879</v>
      </c>
      <c r="C2285" s="6">
        <f ca="1">IF(OR($C$7="",$B2285&gt;NOW()),"",IF(INDEX(Data!$A:$G,MATCH($B2285,Data!$A:$A,0),MATCH($C$7,Data!$4:$4,0))="","",INDEX(Data!$A:$G,MATCH($B2285,Data!$A:$A,0),MATCH($C$7,Data!$4:$4,0))))</f>
        <v>54.9</v>
      </c>
      <c r="D2285" s="148">
        <f t="shared" ca="1" si="76"/>
        <v>10.100000000000001</v>
      </c>
      <c r="E2285" s="148">
        <f t="shared" ca="1" si="77"/>
        <v>0</v>
      </c>
    </row>
    <row r="2286" spans="2:5" x14ac:dyDescent="0.25">
      <c r="B2286" s="8">
        <v>39880</v>
      </c>
      <c r="C2286" s="6">
        <f ca="1">IF(OR($C$7="",$B2286&gt;NOW()),"",IF(INDEX(Data!$A:$G,MATCH($B2286,Data!$A:$A,0),MATCH($C$7,Data!$4:$4,0))="","",INDEX(Data!$A:$G,MATCH($B2286,Data!$A:$A,0),MATCH($C$7,Data!$4:$4,0))))</f>
        <v>56.4</v>
      </c>
      <c r="D2286" s="148">
        <f t="shared" ca="1" si="76"/>
        <v>8.6000000000000014</v>
      </c>
      <c r="E2286" s="148">
        <f t="shared" ca="1" si="77"/>
        <v>0</v>
      </c>
    </row>
    <row r="2287" spans="2:5" x14ac:dyDescent="0.25">
      <c r="B2287" s="8">
        <v>39881</v>
      </c>
      <c r="C2287" s="6">
        <f ca="1">IF(OR($C$7="",$B2287&gt;NOW()),"",IF(INDEX(Data!$A:$G,MATCH($B2287,Data!$A:$A,0),MATCH($C$7,Data!$4:$4,0))="","",INDEX(Data!$A:$G,MATCH($B2287,Data!$A:$A,0),MATCH($C$7,Data!$4:$4,0))))</f>
        <v>43.7</v>
      </c>
      <c r="D2287" s="148">
        <f t="shared" ca="1" si="76"/>
        <v>21.299999999999997</v>
      </c>
      <c r="E2287" s="148">
        <f t="shared" ca="1" si="77"/>
        <v>0</v>
      </c>
    </row>
    <row r="2288" spans="2:5" x14ac:dyDescent="0.25">
      <c r="B2288" s="8">
        <v>39882</v>
      </c>
      <c r="C2288" s="6">
        <f ca="1">IF(OR($C$7="",$B2288&gt;NOW()),"",IF(INDEX(Data!$A:$G,MATCH($B2288,Data!$A:$A,0),MATCH($C$7,Data!$4:$4,0))="","",INDEX(Data!$A:$G,MATCH($B2288,Data!$A:$A,0),MATCH($C$7,Data!$4:$4,0))))</f>
        <v>39.700000000000003</v>
      </c>
      <c r="D2288" s="148">
        <f t="shared" ca="1" si="76"/>
        <v>25.299999999999997</v>
      </c>
      <c r="E2288" s="148">
        <f t="shared" ca="1" si="77"/>
        <v>0</v>
      </c>
    </row>
    <row r="2289" spans="2:5" x14ac:dyDescent="0.25">
      <c r="B2289" s="8">
        <v>39883</v>
      </c>
      <c r="C2289" s="6">
        <f ca="1">IF(OR($C$7="",$B2289&gt;NOW()),"",IF(INDEX(Data!$A:$G,MATCH($B2289,Data!$A:$A,0),MATCH($C$7,Data!$4:$4,0))="","",INDEX(Data!$A:$G,MATCH($B2289,Data!$A:$A,0),MATCH($C$7,Data!$4:$4,0))))</f>
        <v>46.1</v>
      </c>
      <c r="D2289" s="148">
        <f t="shared" ca="1" si="76"/>
        <v>18.899999999999999</v>
      </c>
      <c r="E2289" s="148">
        <f t="shared" ca="1" si="77"/>
        <v>0</v>
      </c>
    </row>
    <row r="2290" spans="2:5" x14ac:dyDescent="0.25">
      <c r="B2290" s="8">
        <v>39884</v>
      </c>
      <c r="C2290" s="6">
        <f ca="1">IF(OR($C$7="",$B2290&gt;NOW()),"",IF(INDEX(Data!$A:$G,MATCH($B2290,Data!$A:$A,0),MATCH($C$7,Data!$4:$4,0))="","",INDEX(Data!$A:$G,MATCH($B2290,Data!$A:$A,0),MATCH($C$7,Data!$4:$4,0))))</f>
        <v>41.2</v>
      </c>
      <c r="D2290" s="148">
        <f t="shared" ca="1" si="76"/>
        <v>23.799999999999997</v>
      </c>
      <c r="E2290" s="148">
        <f t="shared" ca="1" si="77"/>
        <v>0</v>
      </c>
    </row>
    <row r="2291" spans="2:5" x14ac:dyDescent="0.25">
      <c r="B2291" s="8">
        <v>39885</v>
      </c>
      <c r="C2291" s="6">
        <f ca="1">IF(OR($C$7="",$B2291&gt;NOW()),"",IF(INDEX(Data!$A:$G,MATCH($B2291,Data!$A:$A,0),MATCH($C$7,Data!$4:$4,0))="","",INDEX(Data!$A:$G,MATCH($B2291,Data!$A:$A,0),MATCH($C$7,Data!$4:$4,0))))</f>
        <v>32.700000000000003</v>
      </c>
      <c r="D2291" s="148">
        <f t="shared" ca="1" si="76"/>
        <v>32.299999999999997</v>
      </c>
      <c r="E2291" s="148">
        <f t="shared" ca="1" si="77"/>
        <v>0</v>
      </c>
    </row>
    <row r="2292" spans="2:5" x14ac:dyDescent="0.25">
      <c r="B2292" s="8">
        <v>39886</v>
      </c>
      <c r="C2292" s="6">
        <f ca="1">IF(OR($C$7="",$B2292&gt;NOW()),"",IF(INDEX(Data!$A:$G,MATCH($B2292,Data!$A:$A,0),MATCH($C$7,Data!$4:$4,0))="","",INDEX(Data!$A:$G,MATCH($B2292,Data!$A:$A,0),MATCH($C$7,Data!$4:$4,0))))</f>
        <v>39.4</v>
      </c>
      <c r="D2292" s="148">
        <f t="shared" ca="1" si="76"/>
        <v>25.6</v>
      </c>
      <c r="E2292" s="148">
        <f t="shared" ca="1" si="77"/>
        <v>0</v>
      </c>
    </row>
    <row r="2293" spans="2:5" x14ac:dyDescent="0.25">
      <c r="B2293" s="8">
        <v>39887</v>
      </c>
      <c r="C2293" s="6">
        <f ca="1">IF(OR($C$7="",$B2293&gt;NOW()),"",IF(INDEX(Data!$A:$G,MATCH($B2293,Data!$A:$A,0),MATCH($C$7,Data!$4:$4,0))="","",INDEX(Data!$A:$G,MATCH($B2293,Data!$A:$A,0),MATCH($C$7,Data!$4:$4,0))))</f>
        <v>46.1</v>
      </c>
      <c r="D2293" s="148">
        <f t="shared" ca="1" si="76"/>
        <v>18.899999999999999</v>
      </c>
      <c r="E2293" s="148">
        <f t="shared" ca="1" si="77"/>
        <v>0</v>
      </c>
    </row>
    <row r="2294" spans="2:5" x14ac:dyDescent="0.25">
      <c r="B2294" s="8">
        <v>39888</v>
      </c>
      <c r="C2294" s="6">
        <f ca="1">IF(OR($C$7="",$B2294&gt;NOW()),"",IF(INDEX(Data!$A:$G,MATCH($B2294,Data!$A:$A,0),MATCH($C$7,Data!$4:$4,0))="","",INDEX(Data!$A:$G,MATCH($B2294,Data!$A:$A,0),MATCH($C$7,Data!$4:$4,0))))</f>
        <v>42.6</v>
      </c>
      <c r="D2294" s="148">
        <f t="shared" ca="1" si="76"/>
        <v>22.4</v>
      </c>
      <c r="E2294" s="148">
        <f t="shared" ca="1" si="77"/>
        <v>0</v>
      </c>
    </row>
    <row r="2295" spans="2:5" x14ac:dyDescent="0.25">
      <c r="B2295" s="8">
        <v>39889</v>
      </c>
      <c r="C2295" s="6">
        <f ca="1">IF(OR($C$7="",$B2295&gt;NOW()),"",IF(INDEX(Data!$A:$G,MATCH($B2295,Data!$A:$A,0),MATCH($C$7,Data!$4:$4,0))="","",INDEX(Data!$A:$G,MATCH($B2295,Data!$A:$A,0),MATCH($C$7,Data!$4:$4,0))))</f>
        <v>41.6</v>
      </c>
      <c r="D2295" s="148">
        <f t="shared" ca="1" si="76"/>
        <v>23.4</v>
      </c>
      <c r="E2295" s="148">
        <f t="shared" ca="1" si="77"/>
        <v>0</v>
      </c>
    </row>
    <row r="2296" spans="2:5" x14ac:dyDescent="0.25">
      <c r="B2296" s="8">
        <v>39890</v>
      </c>
      <c r="C2296" s="6">
        <f ca="1">IF(OR($C$7="",$B2296&gt;NOW()),"",IF(INDEX(Data!$A:$G,MATCH($B2296,Data!$A:$A,0),MATCH($C$7,Data!$4:$4,0))="","",INDEX(Data!$A:$G,MATCH($B2296,Data!$A:$A,0),MATCH($C$7,Data!$4:$4,0))))</f>
        <v>47</v>
      </c>
      <c r="D2296" s="148">
        <f t="shared" ca="1" si="76"/>
        <v>18</v>
      </c>
      <c r="E2296" s="148">
        <f t="shared" ca="1" si="77"/>
        <v>0</v>
      </c>
    </row>
    <row r="2297" spans="2:5" x14ac:dyDescent="0.25">
      <c r="B2297" s="8">
        <v>39891</v>
      </c>
      <c r="C2297" s="6">
        <f ca="1">IF(OR($C$7="",$B2297&gt;NOW()),"",IF(INDEX(Data!$A:$G,MATCH($B2297,Data!$A:$A,0),MATCH($C$7,Data!$4:$4,0))="","",INDEX(Data!$A:$G,MATCH($B2297,Data!$A:$A,0),MATCH($C$7,Data!$4:$4,0))))</f>
        <v>46.8</v>
      </c>
      <c r="D2297" s="148">
        <f t="shared" ca="1" si="76"/>
        <v>18.200000000000003</v>
      </c>
      <c r="E2297" s="148">
        <f t="shared" ca="1" si="77"/>
        <v>0</v>
      </c>
    </row>
    <row r="2298" spans="2:5" x14ac:dyDescent="0.25">
      <c r="B2298" s="8">
        <v>39892</v>
      </c>
      <c r="C2298" s="6">
        <f ca="1">IF(OR($C$7="",$B2298&gt;NOW()),"",IF(INDEX(Data!$A:$G,MATCH($B2298,Data!$A:$A,0),MATCH($C$7,Data!$4:$4,0))="","",INDEX(Data!$A:$G,MATCH($B2298,Data!$A:$A,0),MATCH($C$7,Data!$4:$4,0))))</f>
        <v>40.6</v>
      </c>
      <c r="D2298" s="148">
        <f t="shared" ca="1" si="76"/>
        <v>24.4</v>
      </c>
      <c r="E2298" s="148">
        <f t="shared" ca="1" si="77"/>
        <v>0</v>
      </c>
    </row>
    <row r="2299" spans="2:5" x14ac:dyDescent="0.25">
      <c r="B2299" s="8">
        <v>39893</v>
      </c>
      <c r="C2299" s="6">
        <f ca="1">IF(OR($C$7="",$B2299&gt;NOW()),"",IF(INDEX(Data!$A:$G,MATCH($B2299,Data!$A:$A,0),MATCH($C$7,Data!$4:$4,0))="","",INDEX(Data!$A:$G,MATCH($B2299,Data!$A:$A,0),MATCH($C$7,Data!$4:$4,0))))</f>
        <v>38.5</v>
      </c>
      <c r="D2299" s="148">
        <f t="shared" ca="1" si="76"/>
        <v>26.5</v>
      </c>
      <c r="E2299" s="148">
        <f t="shared" ca="1" si="77"/>
        <v>0</v>
      </c>
    </row>
    <row r="2300" spans="2:5" x14ac:dyDescent="0.25">
      <c r="B2300" s="8">
        <v>39894</v>
      </c>
      <c r="C2300" s="6">
        <f ca="1">IF(OR($C$7="",$B2300&gt;NOW()),"",IF(INDEX(Data!$A:$G,MATCH($B2300,Data!$A:$A,0),MATCH($C$7,Data!$4:$4,0))="","",INDEX(Data!$A:$G,MATCH($B2300,Data!$A:$A,0),MATCH($C$7,Data!$4:$4,0))))</f>
        <v>42.6</v>
      </c>
      <c r="D2300" s="148">
        <f t="shared" ca="1" si="76"/>
        <v>22.4</v>
      </c>
      <c r="E2300" s="148">
        <f t="shared" ca="1" si="77"/>
        <v>0</v>
      </c>
    </row>
    <row r="2301" spans="2:5" x14ac:dyDescent="0.25">
      <c r="B2301" s="8">
        <v>39895</v>
      </c>
      <c r="C2301" s="6">
        <f ca="1">IF(OR($C$7="",$B2301&gt;NOW()),"",IF(INDEX(Data!$A:$G,MATCH($B2301,Data!$A:$A,0),MATCH($C$7,Data!$4:$4,0))="","",INDEX(Data!$A:$G,MATCH($B2301,Data!$A:$A,0),MATCH($C$7,Data!$4:$4,0))))</f>
        <v>36.799999999999997</v>
      </c>
      <c r="D2301" s="148">
        <f t="shared" ca="1" si="76"/>
        <v>28.200000000000003</v>
      </c>
      <c r="E2301" s="148">
        <f t="shared" ca="1" si="77"/>
        <v>0</v>
      </c>
    </row>
    <row r="2302" spans="2:5" x14ac:dyDescent="0.25">
      <c r="B2302" s="8">
        <v>39896</v>
      </c>
      <c r="C2302" s="6">
        <f ca="1">IF(OR($C$7="",$B2302&gt;NOW()),"",IF(INDEX(Data!$A:$G,MATCH($B2302,Data!$A:$A,0),MATCH($C$7,Data!$4:$4,0))="","",INDEX(Data!$A:$G,MATCH($B2302,Data!$A:$A,0),MATCH($C$7,Data!$4:$4,0))))</f>
        <v>35.799999999999997</v>
      </c>
      <c r="D2302" s="148">
        <f t="shared" ca="1" si="76"/>
        <v>29.200000000000003</v>
      </c>
      <c r="E2302" s="148">
        <f t="shared" ca="1" si="77"/>
        <v>0</v>
      </c>
    </row>
    <row r="2303" spans="2:5" x14ac:dyDescent="0.25">
      <c r="B2303" s="8">
        <v>39897</v>
      </c>
      <c r="C2303" s="6">
        <f ca="1">IF(OR($C$7="",$B2303&gt;NOW()),"",IF(INDEX(Data!$A:$G,MATCH($B2303,Data!$A:$A,0),MATCH($C$7,Data!$4:$4,0))="","",INDEX(Data!$A:$G,MATCH($B2303,Data!$A:$A,0),MATCH($C$7,Data!$4:$4,0))))</f>
        <v>42.3</v>
      </c>
      <c r="D2303" s="148">
        <f t="shared" ca="1" si="76"/>
        <v>22.700000000000003</v>
      </c>
      <c r="E2303" s="148">
        <f t="shared" ca="1" si="77"/>
        <v>0</v>
      </c>
    </row>
    <row r="2304" spans="2:5" x14ac:dyDescent="0.25">
      <c r="B2304" s="8">
        <v>39898</v>
      </c>
      <c r="C2304" s="6">
        <f ca="1">IF(OR($C$7="",$B2304&gt;NOW()),"",IF(INDEX(Data!$A:$G,MATCH($B2304,Data!$A:$A,0),MATCH($C$7,Data!$4:$4,0))="","",INDEX(Data!$A:$G,MATCH($B2304,Data!$A:$A,0),MATCH($C$7,Data!$4:$4,0))))</f>
        <v>43.1</v>
      </c>
      <c r="D2304" s="148">
        <f t="shared" ca="1" si="76"/>
        <v>21.9</v>
      </c>
      <c r="E2304" s="148">
        <f t="shared" ca="1" si="77"/>
        <v>0</v>
      </c>
    </row>
    <row r="2305" spans="2:5" x14ac:dyDescent="0.25">
      <c r="B2305" s="8">
        <v>39899</v>
      </c>
      <c r="C2305" s="6">
        <f ca="1">IF(OR($C$7="",$B2305&gt;NOW()),"",IF(INDEX(Data!$A:$G,MATCH($B2305,Data!$A:$A,0),MATCH($C$7,Data!$4:$4,0))="","",INDEX(Data!$A:$G,MATCH($B2305,Data!$A:$A,0),MATCH($C$7,Data!$4:$4,0))))</f>
        <v>49.8</v>
      </c>
      <c r="D2305" s="148">
        <f t="shared" ca="1" si="76"/>
        <v>15.200000000000003</v>
      </c>
      <c r="E2305" s="148">
        <f t="shared" ca="1" si="77"/>
        <v>0</v>
      </c>
    </row>
    <row r="2306" spans="2:5" x14ac:dyDescent="0.25">
      <c r="B2306" s="8">
        <v>39900</v>
      </c>
      <c r="C2306" s="6">
        <f ca="1">IF(OR($C$7="",$B2306&gt;NOW()),"",IF(INDEX(Data!$A:$G,MATCH($B2306,Data!$A:$A,0),MATCH($C$7,Data!$4:$4,0))="","",INDEX(Data!$A:$G,MATCH($B2306,Data!$A:$A,0),MATCH($C$7,Data!$4:$4,0))))</f>
        <v>49.9</v>
      </c>
      <c r="D2306" s="148">
        <f t="shared" ca="1" si="76"/>
        <v>15.100000000000001</v>
      </c>
      <c r="E2306" s="148">
        <f t="shared" ca="1" si="77"/>
        <v>0</v>
      </c>
    </row>
    <row r="2307" spans="2:5" x14ac:dyDescent="0.25">
      <c r="B2307" s="8">
        <v>39901</v>
      </c>
      <c r="C2307" s="6">
        <f ca="1">IF(OR($C$7="",$B2307&gt;NOW()),"",IF(INDEX(Data!$A:$G,MATCH($B2307,Data!$A:$A,0),MATCH($C$7,Data!$4:$4,0))="","",INDEX(Data!$A:$G,MATCH($B2307,Data!$A:$A,0),MATCH($C$7,Data!$4:$4,0))))</f>
        <v>43.2</v>
      </c>
      <c r="D2307" s="148">
        <f t="shared" ca="1" si="76"/>
        <v>21.799999999999997</v>
      </c>
      <c r="E2307" s="148">
        <f t="shared" ca="1" si="77"/>
        <v>0</v>
      </c>
    </row>
    <row r="2308" spans="2:5" x14ac:dyDescent="0.25">
      <c r="B2308" s="8">
        <v>39902</v>
      </c>
      <c r="C2308" s="6">
        <f ca="1">IF(OR($C$7="",$B2308&gt;NOW()),"",IF(INDEX(Data!$A:$G,MATCH($B2308,Data!$A:$A,0),MATCH($C$7,Data!$4:$4,0))="","",INDEX(Data!$A:$G,MATCH($B2308,Data!$A:$A,0),MATCH($C$7,Data!$4:$4,0))))</f>
        <v>48.1</v>
      </c>
      <c r="D2308" s="148">
        <f t="shared" ca="1" si="76"/>
        <v>16.899999999999999</v>
      </c>
      <c r="E2308" s="148">
        <f t="shared" ca="1" si="77"/>
        <v>0</v>
      </c>
    </row>
    <row r="2309" spans="2:5" x14ac:dyDescent="0.25">
      <c r="B2309" s="8">
        <v>39903</v>
      </c>
      <c r="C2309" s="6">
        <f ca="1">IF(OR($C$7="",$B2309&gt;NOW()),"",IF(INDEX(Data!$A:$G,MATCH($B2309,Data!$A:$A,0),MATCH($C$7,Data!$4:$4,0))="","",INDEX(Data!$A:$G,MATCH($B2309,Data!$A:$A,0),MATCH($C$7,Data!$4:$4,0))))</f>
        <v>46.9</v>
      </c>
      <c r="D2309" s="148">
        <f t="shared" ca="1" si="76"/>
        <v>18.100000000000001</v>
      </c>
      <c r="E2309" s="148">
        <f t="shared" ca="1" si="77"/>
        <v>0</v>
      </c>
    </row>
    <row r="2310" spans="2:5" x14ac:dyDescent="0.25">
      <c r="B2310" s="8">
        <v>39904</v>
      </c>
      <c r="C2310" s="6">
        <f ca="1">IF(OR($C$7="",$B2310&gt;NOW()),"",IF(INDEX(Data!$A:$G,MATCH($B2310,Data!$A:$A,0),MATCH($C$7,Data!$4:$4,0))="","",INDEX(Data!$A:$G,MATCH($B2310,Data!$A:$A,0),MATCH($C$7,Data!$4:$4,0))))</f>
        <v>45.8</v>
      </c>
      <c r="D2310" s="148">
        <f t="shared" ca="1" si="76"/>
        <v>19.200000000000003</v>
      </c>
      <c r="E2310" s="148">
        <f t="shared" ca="1" si="77"/>
        <v>0</v>
      </c>
    </row>
    <row r="2311" spans="2:5" x14ac:dyDescent="0.25">
      <c r="B2311" s="8">
        <v>39905</v>
      </c>
      <c r="C2311" s="6">
        <f ca="1">IF(OR($C$7="",$B2311&gt;NOW()),"",IF(INDEX(Data!$A:$G,MATCH($B2311,Data!$A:$A,0),MATCH($C$7,Data!$4:$4,0))="","",INDEX(Data!$A:$G,MATCH($B2311,Data!$A:$A,0),MATCH($C$7,Data!$4:$4,0))))</f>
        <v>47.3</v>
      </c>
      <c r="D2311" s="148">
        <f t="shared" ca="1" si="76"/>
        <v>17.700000000000003</v>
      </c>
      <c r="E2311" s="148">
        <f t="shared" ca="1" si="77"/>
        <v>0</v>
      </c>
    </row>
    <row r="2312" spans="2:5" x14ac:dyDescent="0.25">
      <c r="B2312" s="8">
        <v>39906</v>
      </c>
      <c r="C2312" s="6">
        <f ca="1">IF(OR($C$7="",$B2312&gt;NOW()),"",IF(INDEX(Data!$A:$G,MATCH($B2312,Data!$A:$A,0),MATCH($C$7,Data!$4:$4,0))="","",INDEX(Data!$A:$G,MATCH($B2312,Data!$A:$A,0),MATCH($C$7,Data!$4:$4,0))))</f>
        <v>48.5</v>
      </c>
      <c r="D2312" s="148">
        <f t="shared" ca="1" si="76"/>
        <v>16.5</v>
      </c>
      <c r="E2312" s="148">
        <f t="shared" ca="1" si="77"/>
        <v>0</v>
      </c>
    </row>
    <row r="2313" spans="2:5" x14ac:dyDescent="0.25">
      <c r="B2313" s="8">
        <v>39907</v>
      </c>
      <c r="C2313" s="6">
        <f ca="1">IF(OR($C$7="",$B2313&gt;NOW()),"",IF(INDEX(Data!$A:$G,MATCH($B2313,Data!$A:$A,0),MATCH($C$7,Data!$4:$4,0))="","",INDEX(Data!$A:$G,MATCH($B2313,Data!$A:$A,0),MATCH($C$7,Data!$4:$4,0))))</f>
        <v>52.3</v>
      </c>
      <c r="D2313" s="148">
        <f t="shared" ca="1" si="76"/>
        <v>12.700000000000003</v>
      </c>
      <c r="E2313" s="148">
        <f t="shared" ca="1" si="77"/>
        <v>0</v>
      </c>
    </row>
    <row r="2314" spans="2:5" x14ac:dyDescent="0.25">
      <c r="B2314" s="8">
        <v>39908</v>
      </c>
      <c r="C2314" s="6">
        <f ca="1">IF(OR($C$7="",$B2314&gt;NOW()),"",IF(INDEX(Data!$A:$G,MATCH($B2314,Data!$A:$A,0),MATCH($C$7,Data!$4:$4,0))="","",INDEX(Data!$A:$G,MATCH($B2314,Data!$A:$A,0),MATCH($C$7,Data!$4:$4,0))))</f>
        <v>52.5</v>
      </c>
      <c r="D2314" s="148">
        <f t="shared" ca="1" si="76"/>
        <v>12.5</v>
      </c>
      <c r="E2314" s="148">
        <f t="shared" ca="1" si="77"/>
        <v>0</v>
      </c>
    </row>
    <row r="2315" spans="2:5" x14ac:dyDescent="0.25">
      <c r="B2315" s="8">
        <v>39909</v>
      </c>
      <c r="C2315" s="6">
        <f ca="1">IF(OR($C$7="",$B2315&gt;NOW()),"",IF(INDEX(Data!$A:$G,MATCH($B2315,Data!$A:$A,0),MATCH($C$7,Data!$4:$4,0))="","",INDEX(Data!$A:$G,MATCH($B2315,Data!$A:$A,0),MATCH($C$7,Data!$4:$4,0))))</f>
        <v>49.6</v>
      </c>
      <c r="D2315" s="148">
        <f t="shared" ca="1" si="76"/>
        <v>15.399999999999999</v>
      </c>
      <c r="E2315" s="148">
        <f t="shared" ca="1" si="77"/>
        <v>0</v>
      </c>
    </row>
    <row r="2316" spans="2:5" x14ac:dyDescent="0.25">
      <c r="B2316" s="8">
        <v>39910</v>
      </c>
      <c r="C2316" s="6">
        <f ca="1">IF(OR($C$7="",$B2316&gt;NOW()),"",IF(INDEX(Data!$A:$G,MATCH($B2316,Data!$A:$A,0),MATCH($C$7,Data!$4:$4,0))="","",INDEX(Data!$A:$G,MATCH($B2316,Data!$A:$A,0),MATCH($C$7,Data!$4:$4,0))))</f>
        <v>45.1</v>
      </c>
      <c r="D2316" s="148">
        <f t="shared" ca="1" si="76"/>
        <v>19.899999999999999</v>
      </c>
      <c r="E2316" s="148">
        <f t="shared" ca="1" si="77"/>
        <v>0</v>
      </c>
    </row>
    <row r="2317" spans="2:5" x14ac:dyDescent="0.25">
      <c r="B2317" s="8">
        <v>39911</v>
      </c>
      <c r="C2317" s="6">
        <f ca="1">IF(OR($C$7="",$B2317&gt;NOW()),"",IF(INDEX(Data!$A:$G,MATCH($B2317,Data!$A:$A,0),MATCH($C$7,Data!$4:$4,0))="","",INDEX(Data!$A:$G,MATCH($B2317,Data!$A:$A,0),MATCH($C$7,Data!$4:$4,0))))</f>
        <v>42.1</v>
      </c>
      <c r="D2317" s="148">
        <f t="shared" ca="1" si="76"/>
        <v>22.9</v>
      </c>
      <c r="E2317" s="148">
        <f t="shared" ca="1" si="77"/>
        <v>0</v>
      </c>
    </row>
    <row r="2318" spans="2:5" x14ac:dyDescent="0.25">
      <c r="B2318" s="8">
        <v>39912</v>
      </c>
      <c r="C2318" s="6">
        <f ca="1">IF(OR($C$7="",$B2318&gt;NOW()),"",IF(INDEX(Data!$A:$G,MATCH($B2318,Data!$A:$A,0),MATCH($C$7,Data!$4:$4,0))="","",INDEX(Data!$A:$G,MATCH($B2318,Data!$A:$A,0),MATCH($C$7,Data!$4:$4,0))))</f>
        <v>49.2</v>
      </c>
      <c r="D2318" s="148">
        <f t="shared" ca="1" si="76"/>
        <v>15.799999999999997</v>
      </c>
      <c r="E2318" s="148">
        <f t="shared" ca="1" si="77"/>
        <v>0</v>
      </c>
    </row>
    <row r="2319" spans="2:5" x14ac:dyDescent="0.25">
      <c r="B2319" s="8">
        <v>39913</v>
      </c>
      <c r="C2319" s="6">
        <f ca="1">IF(OR($C$7="",$B2319&gt;NOW()),"",IF(INDEX(Data!$A:$G,MATCH($B2319,Data!$A:$A,0),MATCH($C$7,Data!$4:$4,0))="","",INDEX(Data!$A:$G,MATCH($B2319,Data!$A:$A,0),MATCH($C$7,Data!$4:$4,0))))</f>
        <v>51.4</v>
      </c>
      <c r="D2319" s="148">
        <f t="shared" ca="1" si="76"/>
        <v>13.600000000000001</v>
      </c>
      <c r="E2319" s="148">
        <f t="shared" ca="1" si="77"/>
        <v>0</v>
      </c>
    </row>
    <row r="2320" spans="2:5" x14ac:dyDescent="0.25">
      <c r="B2320" s="8">
        <v>39914</v>
      </c>
      <c r="C2320" s="6">
        <f ca="1">IF(OR($C$7="",$B2320&gt;NOW()),"",IF(INDEX(Data!$A:$G,MATCH($B2320,Data!$A:$A,0),MATCH($C$7,Data!$4:$4,0))="","",INDEX(Data!$A:$G,MATCH($B2320,Data!$A:$A,0),MATCH($C$7,Data!$4:$4,0))))</f>
        <v>47.4</v>
      </c>
      <c r="D2320" s="148">
        <f t="shared" ca="1" si="76"/>
        <v>17.600000000000001</v>
      </c>
      <c r="E2320" s="148">
        <f t="shared" ca="1" si="77"/>
        <v>0</v>
      </c>
    </row>
    <row r="2321" spans="2:5" x14ac:dyDescent="0.25">
      <c r="B2321" s="8">
        <v>39915</v>
      </c>
      <c r="C2321" s="6">
        <f ca="1">IF(OR($C$7="",$B2321&gt;NOW()),"",IF(INDEX(Data!$A:$G,MATCH($B2321,Data!$A:$A,0),MATCH($C$7,Data!$4:$4,0))="","",INDEX(Data!$A:$G,MATCH($B2321,Data!$A:$A,0),MATCH($C$7,Data!$4:$4,0))))</f>
        <v>43.3</v>
      </c>
      <c r="D2321" s="148">
        <f t="shared" ca="1" si="76"/>
        <v>21.700000000000003</v>
      </c>
      <c r="E2321" s="148">
        <f t="shared" ca="1" si="77"/>
        <v>0</v>
      </c>
    </row>
    <row r="2322" spans="2:5" x14ac:dyDescent="0.25">
      <c r="B2322" s="8">
        <v>39916</v>
      </c>
      <c r="C2322" s="6">
        <f ca="1">IF(OR($C$7="",$B2322&gt;NOW()),"",IF(INDEX(Data!$A:$G,MATCH($B2322,Data!$A:$A,0),MATCH($C$7,Data!$4:$4,0))="","",INDEX(Data!$A:$G,MATCH($B2322,Data!$A:$A,0),MATCH($C$7,Data!$4:$4,0))))</f>
        <v>43.8</v>
      </c>
      <c r="D2322" s="148">
        <f t="shared" ca="1" si="76"/>
        <v>21.200000000000003</v>
      </c>
      <c r="E2322" s="148">
        <f t="shared" ca="1" si="77"/>
        <v>0</v>
      </c>
    </row>
    <row r="2323" spans="2:5" x14ac:dyDescent="0.25">
      <c r="B2323" s="8">
        <v>39917</v>
      </c>
      <c r="C2323" s="6">
        <f ca="1">IF(OR($C$7="",$B2323&gt;NOW()),"",IF(INDEX(Data!$A:$G,MATCH($B2323,Data!$A:$A,0),MATCH($C$7,Data!$4:$4,0))="","",INDEX(Data!$A:$G,MATCH($B2323,Data!$A:$A,0),MATCH($C$7,Data!$4:$4,0))))</f>
        <v>49.3</v>
      </c>
      <c r="D2323" s="148">
        <f t="shared" ca="1" si="76"/>
        <v>15.700000000000003</v>
      </c>
      <c r="E2323" s="148">
        <f t="shared" ca="1" si="77"/>
        <v>0</v>
      </c>
    </row>
    <row r="2324" spans="2:5" x14ac:dyDescent="0.25">
      <c r="B2324" s="8">
        <v>39918</v>
      </c>
      <c r="C2324" s="6">
        <f ca="1">IF(OR($C$7="",$B2324&gt;NOW()),"",IF(INDEX(Data!$A:$G,MATCH($B2324,Data!$A:$A,0),MATCH($C$7,Data!$4:$4,0))="","",INDEX(Data!$A:$G,MATCH($B2324,Data!$A:$A,0),MATCH($C$7,Data!$4:$4,0))))</f>
        <v>46.2</v>
      </c>
      <c r="D2324" s="148">
        <f t="shared" ca="1" si="76"/>
        <v>18.799999999999997</v>
      </c>
      <c r="E2324" s="148">
        <f t="shared" ca="1" si="77"/>
        <v>0</v>
      </c>
    </row>
    <row r="2325" spans="2:5" x14ac:dyDescent="0.25">
      <c r="B2325" s="8">
        <v>39919</v>
      </c>
      <c r="C2325" s="6">
        <f ca="1">IF(OR($C$7="",$B2325&gt;NOW()),"",IF(INDEX(Data!$A:$G,MATCH($B2325,Data!$A:$A,0),MATCH($C$7,Data!$4:$4,0))="","",INDEX(Data!$A:$G,MATCH($B2325,Data!$A:$A,0),MATCH($C$7,Data!$4:$4,0))))</f>
        <v>49.9</v>
      </c>
      <c r="D2325" s="148">
        <f t="shared" ca="1" si="76"/>
        <v>15.100000000000001</v>
      </c>
      <c r="E2325" s="148">
        <f t="shared" ca="1" si="77"/>
        <v>0</v>
      </c>
    </row>
    <row r="2326" spans="2:5" x14ac:dyDescent="0.25">
      <c r="B2326" s="8">
        <v>39920</v>
      </c>
      <c r="C2326" s="6">
        <f ca="1">IF(OR($C$7="",$B2326&gt;NOW()),"",IF(INDEX(Data!$A:$G,MATCH($B2326,Data!$A:$A,0),MATCH($C$7,Data!$4:$4,0))="","",INDEX(Data!$A:$G,MATCH($B2326,Data!$A:$A,0),MATCH($C$7,Data!$4:$4,0))))</f>
        <v>52.8</v>
      </c>
      <c r="D2326" s="148">
        <f t="shared" ca="1" si="76"/>
        <v>12.200000000000003</v>
      </c>
      <c r="E2326" s="148">
        <f t="shared" ca="1" si="77"/>
        <v>0</v>
      </c>
    </row>
    <row r="2327" spans="2:5" x14ac:dyDescent="0.25">
      <c r="B2327" s="8">
        <v>39921</v>
      </c>
      <c r="C2327" s="6">
        <f ca="1">IF(OR($C$7="",$B2327&gt;NOW()),"",IF(INDEX(Data!$A:$G,MATCH($B2327,Data!$A:$A,0),MATCH($C$7,Data!$4:$4,0))="","",INDEX(Data!$A:$G,MATCH($B2327,Data!$A:$A,0),MATCH($C$7,Data!$4:$4,0))))</f>
        <v>65.599999999999994</v>
      </c>
      <c r="D2327" s="148">
        <f t="shared" ca="1" si="76"/>
        <v>0</v>
      </c>
      <c r="E2327" s="148">
        <f t="shared" ca="1" si="77"/>
        <v>0.59999999999999432</v>
      </c>
    </row>
    <row r="2328" spans="2:5" x14ac:dyDescent="0.25">
      <c r="B2328" s="8">
        <v>39922</v>
      </c>
      <c r="C2328" s="6">
        <f ca="1">IF(OR($C$7="",$B2328&gt;NOW()),"",IF(INDEX(Data!$A:$G,MATCH($B2328,Data!$A:$A,0),MATCH($C$7,Data!$4:$4,0))="","",INDEX(Data!$A:$G,MATCH($B2328,Data!$A:$A,0),MATCH($C$7,Data!$4:$4,0))))</f>
        <v>58</v>
      </c>
      <c r="D2328" s="148">
        <f t="shared" ca="1" si="76"/>
        <v>7</v>
      </c>
      <c r="E2328" s="148">
        <f t="shared" ca="1" si="77"/>
        <v>0</v>
      </c>
    </row>
    <row r="2329" spans="2:5" x14ac:dyDescent="0.25">
      <c r="B2329" s="8">
        <v>39923</v>
      </c>
      <c r="C2329" s="6">
        <f ca="1">IF(OR($C$7="",$B2329&gt;NOW()),"",IF(INDEX(Data!$A:$G,MATCH($B2329,Data!$A:$A,0),MATCH($C$7,Data!$4:$4,0))="","",INDEX(Data!$A:$G,MATCH($B2329,Data!$A:$A,0),MATCH($C$7,Data!$4:$4,0))))</f>
        <v>46.8</v>
      </c>
      <c r="D2329" s="148">
        <f t="shared" ca="1" si="76"/>
        <v>18.200000000000003</v>
      </c>
      <c r="E2329" s="148">
        <f t="shared" ca="1" si="77"/>
        <v>0</v>
      </c>
    </row>
    <row r="2330" spans="2:5" x14ac:dyDescent="0.25">
      <c r="B2330" s="8">
        <v>39924</v>
      </c>
      <c r="C2330" s="6">
        <f ca="1">IF(OR($C$7="",$B2330&gt;NOW()),"",IF(INDEX(Data!$A:$G,MATCH($B2330,Data!$A:$A,0),MATCH($C$7,Data!$4:$4,0))="","",INDEX(Data!$A:$G,MATCH($B2330,Data!$A:$A,0),MATCH($C$7,Data!$4:$4,0))))</f>
        <v>48.9</v>
      </c>
      <c r="D2330" s="148">
        <f t="shared" ca="1" si="76"/>
        <v>16.100000000000001</v>
      </c>
      <c r="E2330" s="148">
        <f t="shared" ca="1" si="77"/>
        <v>0</v>
      </c>
    </row>
    <row r="2331" spans="2:5" x14ac:dyDescent="0.25">
      <c r="B2331" s="8">
        <v>39925</v>
      </c>
      <c r="C2331" s="6">
        <f ca="1">IF(OR($C$7="",$B2331&gt;NOW()),"",IF(INDEX(Data!$A:$G,MATCH($B2331,Data!$A:$A,0),MATCH($C$7,Data!$4:$4,0))="","",INDEX(Data!$A:$G,MATCH($B2331,Data!$A:$A,0),MATCH($C$7,Data!$4:$4,0))))</f>
        <v>52.3</v>
      </c>
      <c r="D2331" s="148">
        <f t="shared" ca="1" si="76"/>
        <v>12.700000000000003</v>
      </c>
      <c r="E2331" s="148">
        <f t="shared" ca="1" si="77"/>
        <v>0</v>
      </c>
    </row>
    <row r="2332" spans="2:5" x14ac:dyDescent="0.25">
      <c r="B2332" s="8">
        <v>39926</v>
      </c>
      <c r="C2332" s="6">
        <f ca="1">IF(OR($C$7="",$B2332&gt;NOW()),"",IF(INDEX(Data!$A:$G,MATCH($B2332,Data!$A:$A,0),MATCH($C$7,Data!$4:$4,0))="","",INDEX(Data!$A:$G,MATCH($B2332,Data!$A:$A,0),MATCH($C$7,Data!$4:$4,0))))</f>
        <v>50.4</v>
      </c>
      <c r="D2332" s="148">
        <f t="shared" ca="1" si="76"/>
        <v>14.600000000000001</v>
      </c>
      <c r="E2332" s="148">
        <f t="shared" ca="1" si="77"/>
        <v>0</v>
      </c>
    </row>
    <row r="2333" spans="2:5" x14ac:dyDescent="0.25">
      <c r="B2333" s="8">
        <v>39927</v>
      </c>
      <c r="C2333" s="6">
        <f ca="1">IF(OR($C$7="",$B2333&gt;NOW()),"",IF(INDEX(Data!$A:$G,MATCH($B2333,Data!$A:$A,0),MATCH($C$7,Data!$4:$4,0))="","",INDEX(Data!$A:$G,MATCH($B2333,Data!$A:$A,0),MATCH($C$7,Data!$4:$4,0))))</f>
        <v>56</v>
      </c>
      <c r="D2333" s="148">
        <f t="shared" ref="D2333:D2396" ca="1" si="78">IF($C2333="","",IF($C2333&gt;$D$26,0,$D$26-$C2333))</f>
        <v>9</v>
      </c>
      <c r="E2333" s="148">
        <f t="shared" ref="E2333:E2396" ca="1" si="79">IF($C2333="","",IF($C2333&lt;$E$26,0,$C2333-$E$26))</f>
        <v>0</v>
      </c>
    </row>
    <row r="2334" spans="2:5" x14ac:dyDescent="0.25">
      <c r="B2334" s="8">
        <v>39928</v>
      </c>
      <c r="C2334" s="6">
        <f ca="1">IF(OR($C$7="",$B2334&gt;NOW()),"",IF(INDEX(Data!$A:$G,MATCH($B2334,Data!$A:$A,0),MATCH($C$7,Data!$4:$4,0))="","",INDEX(Data!$A:$G,MATCH($B2334,Data!$A:$A,0),MATCH($C$7,Data!$4:$4,0))))</f>
        <v>65.099999999999994</v>
      </c>
      <c r="D2334" s="148">
        <f t="shared" ca="1" si="78"/>
        <v>0</v>
      </c>
      <c r="E2334" s="148">
        <f t="shared" ca="1" si="79"/>
        <v>9.9999999999994316E-2</v>
      </c>
    </row>
    <row r="2335" spans="2:5" x14ac:dyDescent="0.25">
      <c r="B2335" s="8">
        <v>39929</v>
      </c>
      <c r="C2335" s="6">
        <f ca="1">IF(OR($C$7="",$B2335&gt;NOW()),"",IF(INDEX(Data!$A:$G,MATCH($B2335,Data!$A:$A,0),MATCH($C$7,Data!$4:$4,0))="","",INDEX(Data!$A:$G,MATCH($B2335,Data!$A:$A,0),MATCH($C$7,Data!$4:$4,0))))</f>
        <v>78.599999999999994</v>
      </c>
      <c r="D2335" s="148">
        <f t="shared" ca="1" si="78"/>
        <v>0</v>
      </c>
      <c r="E2335" s="148">
        <f t="shared" ca="1" si="79"/>
        <v>13.599999999999994</v>
      </c>
    </row>
    <row r="2336" spans="2:5" x14ac:dyDescent="0.25">
      <c r="B2336" s="8">
        <v>39930</v>
      </c>
      <c r="C2336" s="6">
        <f ca="1">IF(OR($C$7="",$B2336&gt;NOW()),"",IF(INDEX(Data!$A:$G,MATCH($B2336,Data!$A:$A,0),MATCH($C$7,Data!$4:$4,0))="","",INDEX(Data!$A:$G,MATCH($B2336,Data!$A:$A,0),MATCH($C$7,Data!$4:$4,0))))</f>
        <v>63.6</v>
      </c>
      <c r="D2336" s="148">
        <f t="shared" ca="1" si="78"/>
        <v>1.3999999999999986</v>
      </c>
      <c r="E2336" s="148">
        <f t="shared" ca="1" si="79"/>
        <v>0</v>
      </c>
    </row>
    <row r="2337" spans="2:5" x14ac:dyDescent="0.25">
      <c r="B2337" s="8">
        <v>39931</v>
      </c>
      <c r="C2337" s="6">
        <f ca="1">IF(OR($C$7="",$B2337&gt;NOW()),"",IF(INDEX(Data!$A:$G,MATCH($B2337,Data!$A:$A,0),MATCH($C$7,Data!$4:$4,0))="","",INDEX(Data!$A:$G,MATCH($B2337,Data!$A:$A,0),MATCH($C$7,Data!$4:$4,0))))</f>
        <v>79</v>
      </c>
      <c r="D2337" s="148">
        <f t="shared" ca="1" si="78"/>
        <v>0</v>
      </c>
      <c r="E2337" s="148">
        <f t="shared" ca="1" si="79"/>
        <v>14</v>
      </c>
    </row>
    <row r="2338" spans="2:5" x14ac:dyDescent="0.25">
      <c r="B2338" s="8">
        <v>39932</v>
      </c>
      <c r="C2338" s="6">
        <f ca="1">IF(OR($C$7="",$B2338&gt;NOW()),"",IF(INDEX(Data!$A:$G,MATCH($B2338,Data!$A:$A,0),MATCH($C$7,Data!$4:$4,0))="","",INDEX(Data!$A:$G,MATCH($B2338,Data!$A:$A,0),MATCH($C$7,Data!$4:$4,0))))</f>
        <v>62.5</v>
      </c>
      <c r="D2338" s="148">
        <f t="shared" ca="1" si="78"/>
        <v>2.5</v>
      </c>
      <c r="E2338" s="148">
        <f t="shared" ca="1" si="79"/>
        <v>0</v>
      </c>
    </row>
    <row r="2339" spans="2:5" x14ac:dyDescent="0.25">
      <c r="B2339" s="8">
        <v>39933</v>
      </c>
      <c r="C2339" s="6">
        <f ca="1">IF(OR($C$7="",$B2339&gt;NOW()),"",IF(INDEX(Data!$A:$G,MATCH($B2339,Data!$A:$A,0),MATCH($C$7,Data!$4:$4,0))="","",INDEX(Data!$A:$G,MATCH($B2339,Data!$A:$A,0),MATCH($C$7,Data!$4:$4,0))))</f>
        <v>54</v>
      </c>
      <c r="D2339" s="148">
        <f t="shared" ca="1" si="78"/>
        <v>11</v>
      </c>
      <c r="E2339" s="148">
        <f t="shared" ca="1" si="79"/>
        <v>0</v>
      </c>
    </row>
    <row r="2340" spans="2:5" x14ac:dyDescent="0.25">
      <c r="B2340" s="8">
        <v>39934</v>
      </c>
      <c r="C2340" s="6">
        <f ca="1">IF(OR($C$7="",$B2340&gt;NOW()),"",IF(INDEX(Data!$A:$G,MATCH($B2340,Data!$A:$A,0),MATCH($C$7,Data!$4:$4,0))="","",INDEX(Data!$A:$G,MATCH($B2340,Data!$A:$A,0),MATCH($C$7,Data!$4:$4,0))))</f>
        <v>60.5</v>
      </c>
      <c r="D2340" s="148">
        <f t="shared" ca="1" si="78"/>
        <v>4.5</v>
      </c>
      <c r="E2340" s="148">
        <f t="shared" ca="1" si="79"/>
        <v>0</v>
      </c>
    </row>
    <row r="2341" spans="2:5" x14ac:dyDescent="0.25">
      <c r="B2341" s="8">
        <v>39935</v>
      </c>
      <c r="C2341" s="6">
        <f ca="1">IF(OR($C$7="",$B2341&gt;NOW()),"",IF(INDEX(Data!$A:$G,MATCH($B2341,Data!$A:$A,0),MATCH($C$7,Data!$4:$4,0))="","",INDEX(Data!$A:$G,MATCH($B2341,Data!$A:$A,0),MATCH($C$7,Data!$4:$4,0))))</f>
        <v>61.9</v>
      </c>
      <c r="D2341" s="148">
        <f t="shared" ca="1" si="78"/>
        <v>3.1000000000000014</v>
      </c>
      <c r="E2341" s="148">
        <f t="shared" ca="1" si="79"/>
        <v>0</v>
      </c>
    </row>
    <row r="2342" spans="2:5" x14ac:dyDescent="0.25">
      <c r="B2342" s="8">
        <v>39936</v>
      </c>
      <c r="C2342" s="6">
        <f ca="1">IF(OR($C$7="",$B2342&gt;NOW()),"",IF(INDEX(Data!$A:$G,MATCH($B2342,Data!$A:$A,0),MATCH($C$7,Data!$4:$4,0))="","",INDEX(Data!$A:$G,MATCH($B2342,Data!$A:$A,0),MATCH($C$7,Data!$4:$4,0))))</f>
        <v>56.2</v>
      </c>
      <c r="D2342" s="148">
        <f t="shared" ca="1" si="78"/>
        <v>8.7999999999999972</v>
      </c>
      <c r="E2342" s="148">
        <f t="shared" ca="1" si="79"/>
        <v>0</v>
      </c>
    </row>
    <row r="2343" spans="2:5" x14ac:dyDescent="0.25">
      <c r="B2343" s="8">
        <v>39937</v>
      </c>
      <c r="C2343" s="6">
        <f ca="1">IF(OR($C$7="",$B2343&gt;NOW()),"",IF(INDEX(Data!$A:$G,MATCH($B2343,Data!$A:$A,0),MATCH($C$7,Data!$4:$4,0))="","",INDEX(Data!$A:$G,MATCH($B2343,Data!$A:$A,0),MATCH($C$7,Data!$4:$4,0))))</f>
        <v>53.6</v>
      </c>
      <c r="D2343" s="148">
        <f t="shared" ca="1" si="78"/>
        <v>11.399999999999999</v>
      </c>
      <c r="E2343" s="148">
        <f t="shared" ca="1" si="79"/>
        <v>0</v>
      </c>
    </row>
    <row r="2344" spans="2:5" x14ac:dyDescent="0.25">
      <c r="B2344" s="8">
        <v>39938</v>
      </c>
      <c r="C2344" s="6">
        <f ca="1">IF(OR($C$7="",$B2344&gt;NOW()),"",IF(INDEX(Data!$A:$G,MATCH($B2344,Data!$A:$A,0),MATCH($C$7,Data!$4:$4,0))="","",INDEX(Data!$A:$G,MATCH($B2344,Data!$A:$A,0),MATCH($C$7,Data!$4:$4,0))))</f>
        <v>52.8</v>
      </c>
      <c r="D2344" s="148">
        <f t="shared" ca="1" si="78"/>
        <v>12.200000000000003</v>
      </c>
      <c r="E2344" s="148">
        <f t="shared" ca="1" si="79"/>
        <v>0</v>
      </c>
    </row>
    <row r="2345" spans="2:5" x14ac:dyDescent="0.25">
      <c r="B2345" s="8">
        <v>39939</v>
      </c>
      <c r="C2345" s="6">
        <f ca="1">IF(OR($C$7="",$B2345&gt;NOW()),"",IF(INDEX(Data!$A:$G,MATCH($B2345,Data!$A:$A,0),MATCH($C$7,Data!$4:$4,0))="","",INDEX(Data!$A:$G,MATCH($B2345,Data!$A:$A,0),MATCH($C$7,Data!$4:$4,0))))</f>
        <v>54.7</v>
      </c>
      <c r="D2345" s="148">
        <f t="shared" ca="1" si="78"/>
        <v>10.299999999999997</v>
      </c>
      <c r="E2345" s="148">
        <f t="shared" ca="1" si="79"/>
        <v>0</v>
      </c>
    </row>
    <row r="2346" spans="2:5" x14ac:dyDescent="0.25">
      <c r="B2346" s="8">
        <v>39940</v>
      </c>
      <c r="C2346" s="6">
        <f ca="1">IF(OR($C$7="",$B2346&gt;NOW()),"",IF(INDEX(Data!$A:$G,MATCH($B2346,Data!$A:$A,0),MATCH($C$7,Data!$4:$4,0))="","",INDEX(Data!$A:$G,MATCH($B2346,Data!$A:$A,0),MATCH($C$7,Data!$4:$4,0))))</f>
        <v>60.2</v>
      </c>
      <c r="D2346" s="148">
        <f t="shared" ca="1" si="78"/>
        <v>4.7999999999999972</v>
      </c>
      <c r="E2346" s="148">
        <f t="shared" ca="1" si="79"/>
        <v>0</v>
      </c>
    </row>
    <row r="2347" spans="2:5" x14ac:dyDescent="0.25">
      <c r="B2347" s="8">
        <v>39941</v>
      </c>
      <c r="C2347" s="6">
        <f ca="1">IF(OR($C$7="",$B2347&gt;NOW()),"",IF(INDEX(Data!$A:$G,MATCH($B2347,Data!$A:$A,0),MATCH($C$7,Data!$4:$4,0))="","",INDEX(Data!$A:$G,MATCH($B2347,Data!$A:$A,0),MATCH($C$7,Data!$4:$4,0))))</f>
        <v>65.7</v>
      </c>
      <c r="D2347" s="148">
        <f t="shared" ca="1" si="78"/>
        <v>0</v>
      </c>
      <c r="E2347" s="148">
        <f t="shared" ca="1" si="79"/>
        <v>0.70000000000000284</v>
      </c>
    </row>
    <row r="2348" spans="2:5" x14ac:dyDescent="0.25">
      <c r="B2348" s="8">
        <v>39942</v>
      </c>
      <c r="C2348" s="6">
        <f ca="1">IF(OR($C$7="",$B2348&gt;NOW()),"",IF(INDEX(Data!$A:$G,MATCH($B2348,Data!$A:$A,0),MATCH($C$7,Data!$4:$4,0))="","",INDEX(Data!$A:$G,MATCH($B2348,Data!$A:$A,0),MATCH($C$7,Data!$4:$4,0))))</f>
        <v>64.900000000000006</v>
      </c>
      <c r="D2348" s="148">
        <f t="shared" ca="1" si="78"/>
        <v>9.9999999999994316E-2</v>
      </c>
      <c r="E2348" s="148">
        <f t="shared" ca="1" si="79"/>
        <v>0</v>
      </c>
    </row>
    <row r="2349" spans="2:5" x14ac:dyDescent="0.25">
      <c r="B2349" s="8">
        <v>39943</v>
      </c>
      <c r="C2349" s="6">
        <f ca="1">IF(OR($C$7="",$B2349&gt;NOW()),"",IF(INDEX(Data!$A:$G,MATCH($B2349,Data!$A:$A,0),MATCH($C$7,Data!$4:$4,0))="","",INDEX(Data!$A:$G,MATCH($B2349,Data!$A:$A,0),MATCH($C$7,Data!$4:$4,0))))</f>
        <v>66.400000000000006</v>
      </c>
      <c r="D2349" s="148">
        <f t="shared" ca="1" si="78"/>
        <v>0</v>
      </c>
      <c r="E2349" s="148">
        <f t="shared" ca="1" si="79"/>
        <v>1.4000000000000057</v>
      </c>
    </row>
    <row r="2350" spans="2:5" x14ac:dyDescent="0.25">
      <c r="B2350" s="8">
        <v>39944</v>
      </c>
      <c r="C2350" s="6">
        <f ca="1">IF(OR($C$7="",$B2350&gt;NOW()),"",IF(INDEX(Data!$A:$G,MATCH($B2350,Data!$A:$A,0),MATCH($C$7,Data!$4:$4,0))="","",INDEX(Data!$A:$G,MATCH($B2350,Data!$A:$A,0),MATCH($C$7,Data!$4:$4,0))))</f>
        <v>57</v>
      </c>
      <c r="D2350" s="148">
        <f t="shared" ca="1" si="78"/>
        <v>8</v>
      </c>
      <c r="E2350" s="148">
        <f t="shared" ca="1" si="79"/>
        <v>0</v>
      </c>
    </row>
    <row r="2351" spans="2:5" x14ac:dyDescent="0.25">
      <c r="B2351" s="8">
        <v>39945</v>
      </c>
      <c r="C2351" s="6">
        <f ca="1">IF(OR($C$7="",$B2351&gt;NOW()),"",IF(INDEX(Data!$A:$G,MATCH($B2351,Data!$A:$A,0),MATCH($C$7,Data!$4:$4,0))="","",INDEX(Data!$A:$G,MATCH($B2351,Data!$A:$A,0),MATCH($C$7,Data!$4:$4,0))))</f>
        <v>58.7</v>
      </c>
      <c r="D2351" s="148">
        <f t="shared" ca="1" si="78"/>
        <v>6.2999999999999972</v>
      </c>
      <c r="E2351" s="148">
        <f t="shared" ca="1" si="79"/>
        <v>0</v>
      </c>
    </row>
    <row r="2352" spans="2:5" x14ac:dyDescent="0.25">
      <c r="B2352" s="8">
        <v>39946</v>
      </c>
      <c r="C2352" s="6">
        <f ca="1">IF(OR($C$7="",$B2352&gt;NOW()),"",IF(INDEX(Data!$A:$G,MATCH($B2352,Data!$A:$A,0),MATCH($C$7,Data!$4:$4,0))="","",INDEX(Data!$A:$G,MATCH($B2352,Data!$A:$A,0),MATCH($C$7,Data!$4:$4,0))))</f>
        <v>59.2</v>
      </c>
      <c r="D2352" s="148">
        <f t="shared" ca="1" si="78"/>
        <v>5.7999999999999972</v>
      </c>
      <c r="E2352" s="148">
        <f t="shared" ca="1" si="79"/>
        <v>0</v>
      </c>
    </row>
    <row r="2353" spans="2:5" x14ac:dyDescent="0.25">
      <c r="B2353" s="8">
        <v>39947</v>
      </c>
      <c r="C2353" s="6">
        <f ca="1">IF(OR($C$7="",$B2353&gt;NOW()),"",IF(INDEX(Data!$A:$G,MATCH($B2353,Data!$A:$A,0),MATCH($C$7,Data!$4:$4,0))="","",INDEX(Data!$A:$G,MATCH($B2353,Data!$A:$A,0),MATCH($C$7,Data!$4:$4,0))))</f>
        <v>59.2</v>
      </c>
      <c r="D2353" s="148">
        <f t="shared" ca="1" si="78"/>
        <v>5.7999999999999972</v>
      </c>
      <c r="E2353" s="148">
        <f t="shared" ca="1" si="79"/>
        <v>0</v>
      </c>
    </row>
    <row r="2354" spans="2:5" x14ac:dyDescent="0.25">
      <c r="B2354" s="8">
        <v>39948</v>
      </c>
      <c r="C2354" s="6">
        <f ca="1">IF(OR($C$7="",$B2354&gt;NOW()),"",IF(INDEX(Data!$A:$G,MATCH($B2354,Data!$A:$A,0),MATCH($C$7,Data!$4:$4,0))="","",INDEX(Data!$A:$G,MATCH($B2354,Data!$A:$A,0),MATCH($C$7,Data!$4:$4,0))))</f>
        <v>63.1</v>
      </c>
      <c r="D2354" s="148">
        <f t="shared" ca="1" si="78"/>
        <v>1.8999999999999986</v>
      </c>
      <c r="E2354" s="148">
        <f t="shared" ca="1" si="79"/>
        <v>0</v>
      </c>
    </row>
    <row r="2355" spans="2:5" x14ac:dyDescent="0.25">
      <c r="B2355" s="8">
        <v>39949</v>
      </c>
      <c r="C2355" s="6">
        <f ca="1">IF(OR($C$7="",$B2355&gt;NOW()),"",IF(INDEX(Data!$A:$G,MATCH($B2355,Data!$A:$A,0),MATCH($C$7,Data!$4:$4,0))="","",INDEX(Data!$A:$G,MATCH($B2355,Data!$A:$A,0),MATCH($C$7,Data!$4:$4,0))))</f>
        <v>62.4</v>
      </c>
      <c r="D2355" s="148">
        <f t="shared" ca="1" si="78"/>
        <v>2.6000000000000014</v>
      </c>
      <c r="E2355" s="148">
        <f t="shared" ca="1" si="79"/>
        <v>0</v>
      </c>
    </row>
    <row r="2356" spans="2:5" x14ac:dyDescent="0.25">
      <c r="B2356" s="8">
        <v>39950</v>
      </c>
      <c r="C2356" s="6">
        <f ca="1">IF(OR($C$7="",$B2356&gt;NOW()),"",IF(INDEX(Data!$A:$G,MATCH($B2356,Data!$A:$A,0),MATCH($C$7,Data!$4:$4,0))="","",INDEX(Data!$A:$G,MATCH($B2356,Data!$A:$A,0),MATCH($C$7,Data!$4:$4,0))))</f>
        <v>59.4</v>
      </c>
      <c r="D2356" s="148">
        <f t="shared" ca="1" si="78"/>
        <v>5.6000000000000014</v>
      </c>
      <c r="E2356" s="148">
        <f t="shared" ca="1" si="79"/>
        <v>0</v>
      </c>
    </row>
    <row r="2357" spans="2:5" x14ac:dyDescent="0.25">
      <c r="B2357" s="8">
        <v>39951</v>
      </c>
      <c r="C2357" s="6">
        <f ca="1">IF(OR($C$7="",$B2357&gt;NOW()),"",IF(INDEX(Data!$A:$G,MATCH($B2357,Data!$A:$A,0),MATCH($C$7,Data!$4:$4,0))="","",INDEX(Data!$A:$G,MATCH($B2357,Data!$A:$A,0),MATCH($C$7,Data!$4:$4,0))))</f>
        <v>53.7</v>
      </c>
      <c r="D2357" s="148">
        <f t="shared" ca="1" si="78"/>
        <v>11.299999999999997</v>
      </c>
      <c r="E2357" s="148">
        <f t="shared" ca="1" si="79"/>
        <v>0</v>
      </c>
    </row>
    <row r="2358" spans="2:5" x14ac:dyDescent="0.25">
      <c r="B2358" s="8">
        <v>39952</v>
      </c>
      <c r="C2358" s="6">
        <f ca="1">IF(OR($C$7="",$B2358&gt;NOW()),"",IF(INDEX(Data!$A:$G,MATCH($B2358,Data!$A:$A,0),MATCH($C$7,Data!$4:$4,0))="","",INDEX(Data!$A:$G,MATCH($B2358,Data!$A:$A,0),MATCH($C$7,Data!$4:$4,0))))</f>
        <v>56.9</v>
      </c>
      <c r="D2358" s="148">
        <f t="shared" ca="1" si="78"/>
        <v>8.1000000000000014</v>
      </c>
      <c r="E2358" s="148">
        <f t="shared" ca="1" si="79"/>
        <v>0</v>
      </c>
    </row>
    <row r="2359" spans="2:5" x14ac:dyDescent="0.25">
      <c r="B2359" s="8">
        <v>39953</v>
      </c>
      <c r="C2359" s="6">
        <f ca="1">IF(OR($C$7="",$B2359&gt;NOW()),"",IF(INDEX(Data!$A:$G,MATCH($B2359,Data!$A:$A,0),MATCH($C$7,Data!$4:$4,0))="","",INDEX(Data!$A:$G,MATCH($B2359,Data!$A:$A,0),MATCH($C$7,Data!$4:$4,0))))</f>
        <v>64.5</v>
      </c>
      <c r="D2359" s="148">
        <f t="shared" ca="1" si="78"/>
        <v>0.5</v>
      </c>
      <c r="E2359" s="148">
        <f t="shared" ca="1" si="79"/>
        <v>0</v>
      </c>
    </row>
    <row r="2360" spans="2:5" x14ac:dyDescent="0.25">
      <c r="B2360" s="8">
        <v>39954</v>
      </c>
      <c r="C2360" s="6">
        <f ca="1">IF(OR($C$7="",$B2360&gt;NOW()),"",IF(INDEX(Data!$A:$G,MATCH($B2360,Data!$A:$A,0),MATCH($C$7,Data!$4:$4,0))="","",INDEX(Data!$A:$G,MATCH($B2360,Data!$A:$A,0),MATCH($C$7,Data!$4:$4,0))))</f>
        <v>72.3</v>
      </c>
      <c r="D2360" s="148">
        <f t="shared" ca="1" si="78"/>
        <v>0</v>
      </c>
      <c r="E2360" s="148">
        <f t="shared" ca="1" si="79"/>
        <v>7.2999999999999972</v>
      </c>
    </row>
    <row r="2361" spans="2:5" x14ac:dyDescent="0.25">
      <c r="B2361" s="8">
        <v>39955</v>
      </c>
      <c r="C2361" s="6">
        <f ca="1">IF(OR($C$7="",$B2361&gt;NOW()),"",IF(INDEX(Data!$A:$G,MATCH($B2361,Data!$A:$A,0),MATCH($C$7,Data!$4:$4,0))="","",INDEX(Data!$A:$G,MATCH($B2361,Data!$A:$A,0),MATCH($C$7,Data!$4:$4,0))))</f>
        <v>74.099999999999994</v>
      </c>
      <c r="D2361" s="148">
        <f t="shared" ca="1" si="78"/>
        <v>0</v>
      </c>
      <c r="E2361" s="148">
        <f t="shared" ca="1" si="79"/>
        <v>9.0999999999999943</v>
      </c>
    </row>
    <row r="2362" spans="2:5" x14ac:dyDescent="0.25">
      <c r="B2362" s="8">
        <v>39956</v>
      </c>
      <c r="C2362" s="6">
        <f ca="1">IF(OR($C$7="",$B2362&gt;NOW()),"",IF(INDEX(Data!$A:$G,MATCH($B2362,Data!$A:$A,0),MATCH($C$7,Data!$4:$4,0))="","",INDEX(Data!$A:$G,MATCH($B2362,Data!$A:$A,0),MATCH($C$7,Data!$4:$4,0))))</f>
        <v>69.5</v>
      </c>
      <c r="D2362" s="148">
        <f t="shared" ca="1" si="78"/>
        <v>0</v>
      </c>
      <c r="E2362" s="148">
        <f t="shared" ca="1" si="79"/>
        <v>4.5</v>
      </c>
    </row>
    <row r="2363" spans="2:5" x14ac:dyDescent="0.25">
      <c r="B2363" s="8">
        <v>39957</v>
      </c>
      <c r="C2363" s="6">
        <f ca="1">IF(OR($C$7="",$B2363&gt;NOW()),"",IF(INDEX(Data!$A:$G,MATCH($B2363,Data!$A:$A,0),MATCH($C$7,Data!$4:$4,0))="","",INDEX(Data!$A:$G,MATCH($B2363,Data!$A:$A,0),MATCH($C$7,Data!$4:$4,0))))</f>
        <v>66.900000000000006</v>
      </c>
      <c r="D2363" s="148">
        <f t="shared" ca="1" si="78"/>
        <v>0</v>
      </c>
      <c r="E2363" s="148">
        <f t="shared" ca="1" si="79"/>
        <v>1.9000000000000057</v>
      </c>
    </row>
    <row r="2364" spans="2:5" x14ac:dyDescent="0.25">
      <c r="B2364" s="8">
        <v>39958</v>
      </c>
      <c r="C2364" s="6">
        <f ca="1">IF(OR($C$7="",$B2364&gt;NOW()),"",IF(INDEX(Data!$A:$G,MATCH($B2364,Data!$A:$A,0),MATCH($C$7,Data!$4:$4,0))="","",INDEX(Data!$A:$G,MATCH($B2364,Data!$A:$A,0),MATCH($C$7,Data!$4:$4,0))))</f>
        <v>73.7</v>
      </c>
      <c r="D2364" s="148">
        <f t="shared" ca="1" si="78"/>
        <v>0</v>
      </c>
      <c r="E2364" s="148">
        <f t="shared" ca="1" si="79"/>
        <v>8.7000000000000028</v>
      </c>
    </row>
    <row r="2365" spans="2:5" x14ac:dyDescent="0.25">
      <c r="B2365" s="8">
        <v>39959</v>
      </c>
      <c r="C2365" s="6">
        <f ca="1">IF(OR($C$7="",$B2365&gt;NOW()),"",IF(INDEX(Data!$A:$G,MATCH($B2365,Data!$A:$A,0),MATCH($C$7,Data!$4:$4,0))="","",INDEX(Data!$A:$G,MATCH($B2365,Data!$A:$A,0),MATCH($C$7,Data!$4:$4,0))))</f>
        <v>61.5</v>
      </c>
      <c r="D2365" s="148">
        <f t="shared" ca="1" si="78"/>
        <v>3.5</v>
      </c>
      <c r="E2365" s="148">
        <f t="shared" ca="1" si="79"/>
        <v>0</v>
      </c>
    </row>
    <row r="2366" spans="2:5" x14ac:dyDescent="0.25">
      <c r="B2366" s="8">
        <v>39960</v>
      </c>
      <c r="C2366" s="6">
        <f ca="1">IF(OR($C$7="",$B2366&gt;NOW()),"",IF(INDEX(Data!$A:$G,MATCH($B2366,Data!$A:$A,0),MATCH($C$7,Data!$4:$4,0))="","",INDEX(Data!$A:$G,MATCH($B2366,Data!$A:$A,0),MATCH($C$7,Data!$4:$4,0))))</f>
        <v>55.3</v>
      </c>
      <c r="D2366" s="148">
        <f t="shared" ca="1" si="78"/>
        <v>9.7000000000000028</v>
      </c>
      <c r="E2366" s="148">
        <f t="shared" ca="1" si="79"/>
        <v>0</v>
      </c>
    </row>
    <row r="2367" spans="2:5" x14ac:dyDescent="0.25">
      <c r="B2367" s="8">
        <v>39961</v>
      </c>
      <c r="C2367" s="6">
        <f ca="1">IF(OR($C$7="",$B2367&gt;NOW()),"",IF(INDEX(Data!$A:$G,MATCH($B2367,Data!$A:$A,0),MATCH($C$7,Data!$4:$4,0))="","",INDEX(Data!$A:$G,MATCH($B2367,Data!$A:$A,0),MATCH($C$7,Data!$4:$4,0))))</f>
        <v>57</v>
      </c>
      <c r="D2367" s="148">
        <f t="shared" ca="1" si="78"/>
        <v>8</v>
      </c>
      <c r="E2367" s="148">
        <f t="shared" ca="1" si="79"/>
        <v>0</v>
      </c>
    </row>
    <row r="2368" spans="2:5" x14ac:dyDescent="0.25">
      <c r="B2368" s="8">
        <v>39962</v>
      </c>
      <c r="C2368" s="6">
        <f ca="1">IF(OR($C$7="",$B2368&gt;NOW()),"",IF(INDEX(Data!$A:$G,MATCH($B2368,Data!$A:$A,0),MATCH($C$7,Data!$4:$4,0))="","",INDEX(Data!$A:$G,MATCH($B2368,Data!$A:$A,0),MATCH($C$7,Data!$4:$4,0))))</f>
        <v>59.7</v>
      </c>
      <c r="D2368" s="148">
        <f t="shared" ca="1" si="78"/>
        <v>5.2999999999999972</v>
      </c>
      <c r="E2368" s="148">
        <f t="shared" ca="1" si="79"/>
        <v>0</v>
      </c>
    </row>
    <row r="2369" spans="2:5" x14ac:dyDescent="0.25">
      <c r="B2369" s="8">
        <v>39963</v>
      </c>
      <c r="C2369" s="6">
        <f ca="1">IF(OR($C$7="",$B2369&gt;NOW()),"",IF(INDEX(Data!$A:$G,MATCH($B2369,Data!$A:$A,0),MATCH($C$7,Data!$4:$4,0))="","",INDEX(Data!$A:$G,MATCH($B2369,Data!$A:$A,0),MATCH($C$7,Data!$4:$4,0))))</f>
        <v>69.099999999999994</v>
      </c>
      <c r="D2369" s="148">
        <f t="shared" ca="1" si="78"/>
        <v>0</v>
      </c>
      <c r="E2369" s="148">
        <f t="shared" ca="1" si="79"/>
        <v>4.0999999999999943</v>
      </c>
    </row>
    <row r="2370" spans="2:5" x14ac:dyDescent="0.25">
      <c r="B2370" s="8">
        <v>39964</v>
      </c>
      <c r="C2370" s="6">
        <f ca="1">IF(OR($C$7="",$B2370&gt;NOW()),"",IF(INDEX(Data!$A:$G,MATCH($B2370,Data!$A:$A,0),MATCH($C$7,Data!$4:$4,0))="","",INDEX(Data!$A:$G,MATCH($B2370,Data!$A:$A,0),MATCH($C$7,Data!$4:$4,0))))</f>
        <v>72.099999999999994</v>
      </c>
      <c r="D2370" s="148">
        <f t="shared" ca="1" si="78"/>
        <v>0</v>
      </c>
      <c r="E2370" s="148">
        <f t="shared" ca="1" si="79"/>
        <v>7.0999999999999943</v>
      </c>
    </row>
    <row r="2371" spans="2:5" x14ac:dyDescent="0.25">
      <c r="B2371" s="8">
        <v>39965</v>
      </c>
      <c r="C2371" s="6">
        <f ca="1">IF(OR($C$7="",$B2371&gt;NOW()),"",IF(INDEX(Data!$A:$G,MATCH($B2371,Data!$A:$A,0),MATCH($C$7,Data!$4:$4,0))="","",INDEX(Data!$A:$G,MATCH($B2371,Data!$A:$A,0),MATCH($C$7,Data!$4:$4,0))))</f>
        <v>60.7</v>
      </c>
      <c r="D2371" s="148">
        <f t="shared" ca="1" si="78"/>
        <v>4.2999999999999972</v>
      </c>
      <c r="E2371" s="148">
        <f t="shared" ca="1" si="79"/>
        <v>0</v>
      </c>
    </row>
    <row r="2372" spans="2:5" x14ac:dyDescent="0.25">
      <c r="B2372" s="8">
        <v>39966</v>
      </c>
      <c r="C2372" s="6">
        <f ca="1">IF(OR($C$7="",$B2372&gt;NOW()),"",IF(INDEX(Data!$A:$G,MATCH($B2372,Data!$A:$A,0),MATCH($C$7,Data!$4:$4,0))="","",INDEX(Data!$A:$G,MATCH($B2372,Data!$A:$A,0),MATCH($C$7,Data!$4:$4,0))))</f>
        <v>69</v>
      </c>
      <c r="D2372" s="148">
        <f t="shared" ca="1" si="78"/>
        <v>0</v>
      </c>
      <c r="E2372" s="148">
        <f t="shared" ca="1" si="79"/>
        <v>4</v>
      </c>
    </row>
    <row r="2373" spans="2:5" x14ac:dyDescent="0.25">
      <c r="B2373" s="8">
        <v>39967</v>
      </c>
      <c r="C2373" s="6">
        <f ca="1">IF(OR($C$7="",$B2373&gt;NOW()),"",IF(INDEX(Data!$A:$G,MATCH($B2373,Data!$A:$A,0),MATCH($C$7,Data!$4:$4,0))="","",INDEX(Data!$A:$G,MATCH($B2373,Data!$A:$A,0),MATCH($C$7,Data!$4:$4,0))))</f>
        <v>66.900000000000006</v>
      </c>
      <c r="D2373" s="148">
        <f t="shared" ca="1" si="78"/>
        <v>0</v>
      </c>
      <c r="E2373" s="148">
        <f t="shared" ca="1" si="79"/>
        <v>1.9000000000000057</v>
      </c>
    </row>
    <row r="2374" spans="2:5" x14ac:dyDescent="0.25">
      <c r="B2374" s="8">
        <v>39968</v>
      </c>
      <c r="C2374" s="6">
        <f ca="1">IF(OR($C$7="",$B2374&gt;NOW()),"",IF(INDEX(Data!$A:$G,MATCH($B2374,Data!$A:$A,0),MATCH($C$7,Data!$4:$4,0))="","",INDEX(Data!$A:$G,MATCH($B2374,Data!$A:$A,0),MATCH($C$7,Data!$4:$4,0))))</f>
        <v>59.5</v>
      </c>
      <c r="D2374" s="148">
        <f t="shared" ca="1" si="78"/>
        <v>5.5</v>
      </c>
      <c r="E2374" s="148">
        <f t="shared" ca="1" si="79"/>
        <v>0</v>
      </c>
    </row>
    <row r="2375" spans="2:5" x14ac:dyDescent="0.25">
      <c r="B2375" s="8">
        <v>39969</v>
      </c>
      <c r="C2375" s="6">
        <f ca="1">IF(OR($C$7="",$B2375&gt;NOW()),"",IF(INDEX(Data!$A:$G,MATCH($B2375,Data!$A:$A,0),MATCH($C$7,Data!$4:$4,0))="","",INDEX(Data!$A:$G,MATCH($B2375,Data!$A:$A,0),MATCH($C$7,Data!$4:$4,0))))</f>
        <v>59.8</v>
      </c>
      <c r="D2375" s="148">
        <f t="shared" ca="1" si="78"/>
        <v>5.2000000000000028</v>
      </c>
      <c r="E2375" s="148">
        <f t="shared" ca="1" si="79"/>
        <v>0</v>
      </c>
    </row>
    <row r="2376" spans="2:5" x14ac:dyDescent="0.25">
      <c r="B2376" s="8">
        <v>39970</v>
      </c>
      <c r="C2376" s="6">
        <f ca="1">IF(OR($C$7="",$B2376&gt;NOW()),"",IF(INDEX(Data!$A:$G,MATCH($B2376,Data!$A:$A,0),MATCH($C$7,Data!$4:$4,0))="","",INDEX(Data!$A:$G,MATCH($B2376,Data!$A:$A,0),MATCH($C$7,Data!$4:$4,0))))</f>
        <v>64.400000000000006</v>
      </c>
      <c r="D2376" s="148">
        <f t="shared" ca="1" si="78"/>
        <v>0.59999999999999432</v>
      </c>
      <c r="E2376" s="148">
        <f t="shared" ca="1" si="79"/>
        <v>0</v>
      </c>
    </row>
    <row r="2377" spans="2:5" x14ac:dyDescent="0.25">
      <c r="B2377" s="8">
        <v>39971</v>
      </c>
      <c r="C2377" s="6">
        <f ca="1">IF(OR($C$7="",$B2377&gt;NOW()),"",IF(INDEX(Data!$A:$G,MATCH($B2377,Data!$A:$A,0),MATCH($C$7,Data!$4:$4,0))="","",INDEX(Data!$A:$G,MATCH($B2377,Data!$A:$A,0),MATCH($C$7,Data!$4:$4,0))))</f>
        <v>71.900000000000006</v>
      </c>
      <c r="D2377" s="148">
        <f t="shared" ca="1" si="78"/>
        <v>0</v>
      </c>
      <c r="E2377" s="148">
        <f t="shared" ca="1" si="79"/>
        <v>6.9000000000000057</v>
      </c>
    </row>
    <row r="2378" spans="2:5" x14ac:dyDescent="0.25">
      <c r="B2378" s="8">
        <v>39972</v>
      </c>
      <c r="C2378" s="6">
        <f ca="1">IF(OR($C$7="",$B2378&gt;NOW()),"",IF(INDEX(Data!$A:$G,MATCH($B2378,Data!$A:$A,0),MATCH($C$7,Data!$4:$4,0))="","",INDEX(Data!$A:$G,MATCH($B2378,Data!$A:$A,0),MATCH($C$7,Data!$4:$4,0))))</f>
        <v>70.7</v>
      </c>
      <c r="D2378" s="148">
        <f t="shared" ca="1" si="78"/>
        <v>0</v>
      </c>
      <c r="E2378" s="148">
        <f t="shared" ca="1" si="79"/>
        <v>5.7000000000000028</v>
      </c>
    </row>
    <row r="2379" spans="2:5" x14ac:dyDescent="0.25">
      <c r="B2379" s="8">
        <v>39973</v>
      </c>
      <c r="C2379" s="6">
        <f ca="1">IF(OR($C$7="",$B2379&gt;NOW()),"",IF(INDEX(Data!$A:$G,MATCH($B2379,Data!$A:$A,0),MATCH($C$7,Data!$4:$4,0))="","",INDEX(Data!$A:$G,MATCH($B2379,Data!$A:$A,0),MATCH($C$7,Data!$4:$4,0))))</f>
        <v>64.5</v>
      </c>
      <c r="D2379" s="148">
        <f t="shared" ca="1" si="78"/>
        <v>0.5</v>
      </c>
      <c r="E2379" s="148">
        <f t="shared" ca="1" si="79"/>
        <v>0</v>
      </c>
    </row>
    <row r="2380" spans="2:5" x14ac:dyDescent="0.25">
      <c r="B2380" s="8">
        <v>39974</v>
      </c>
      <c r="C2380" s="6">
        <f ca="1">IF(OR($C$7="",$B2380&gt;NOW()),"",IF(INDEX(Data!$A:$G,MATCH($B2380,Data!$A:$A,0),MATCH($C$7,Data!$4:$4,0))="","",INDEX(Data!$A:$G,MATCH($B2380,Data!$A:$A,0),MATCH($C$7,Data!$4:$4,0))))</f>
        <v>61.7</v>
      </c>
      <c r="D2380" s="148">
        <f t="shared" ca="1" si="78"/>
        <v>3.2999999999999972</v>
      </c>
      <c r="E2380" s="148">
        <f t="shared" ca="1" si="79"/>
        <v>0</v>
      </c>
    </row>
    <row r="2381" spans="2:5" x14ac:dyDescent="0.25">
      <c r="B2381" s="8">
        <v>39975</v>
      </c>
      <c r="C2381" s="6">
        <f ca="1">IF(OR($C$7="",$B2381&gt;NOW()),"",IF(INDEX(Data!$A:$G,MATCH($B2381,Data!$A:$A,0),MATCH($C$7,Data!$4:$4,0))="","",INDEX(Data!$A:$G,MATCH($B2381,Data!$A:$A,0),MATCH($C$7,Data!$4:$4,0))))</f>
        <v>61.3</v>
      </c>
      <c r="D2381" s="148">
        <f t="shared" ca="1" si="78"/>
        <v>3.7000000000000028</v>
      </c>
      <c r="E2381" s="148">
        <f t="shared" ca="1" si="79"/>
        <v>0</v>
      </c>
    </row>
    <row r="2382" spans="2:5" x14ac:dyDescent="0.25">
      <c r="B2382" s="8">
        <v>39976</v>
      </c>
      <c r="C2382" s="6">
        <f ca="1">IF(OR($C$7="",$B2382&gt;NOW()),"",IF(INDEX(Data!$A:$G,MATCH($B2382,Data!$A:$A,0),MATCH($C$7,Data!$4:$4,0))="","",INDEX(Data!$A:$G,MATCH($B2382,Data!$A:$A,0),MATCH($C$7,Data!$4:$4,0))))</f>
        <v>68.3</v>
      </c>
      <c r="D2382" s="148">
        <f t="shared" ca="1" si="78"/>
        <v>0</v>
      </c>
      <c r="E2382" s="148">
        <f t="shared" ca="1" si="79"/>
        <v>3.2999999999999972</v>
      </c>
    </row>
    <row r="2383" spans="2:5" x14ac:dyDescent="0.25">
      <c r="B2383" s="8">
        <v>39977</v>
      </c>
      <c r="C2383" s="6">
        <f ca="1">IF(OR($C$7="",$B2383&gt;NOW()),"",IF(INDEX(Data!$A:$G,MATCH($B2383,Data!$A:$A,0),MATCH($C$7,Data!$4:$4,0))="","",INDEX(Data!$A:$G,MATCH($B2383,Data!$A:$A,0),MATCH($C$7,Data!$4:$4,0))))</f>
        <v>69.2</v>
      </c>
      <c r="D2383" s="148">
        <f t="shared" ca="1" si="78"/>
        <v>0</v>
      </c>
      <c r="E2383" s="148">
        <f t="shared" ca="1" si="79"/>
        <v>4.2000000000000028</v>
      </c>
    </row>
    <row r="2384" spans="2:5" x14ac:dyDescent="0.25">
      <c r="B2384" s="8">
        <v>39978</v>
      </c>
      <c r="C2384" s="6">
        <f ca="1">IF(OR($C$7="",$B2384&gt;NOW()),"",IF(INDEX(Data!$A:$G,MATCH($B2384,Data!$A:$A,0),MATCH($C$7,Data!$4:$4,0))="","",INDEX(Data!$A:$G,MATCH($B2384,Data!$A:$A,0),MATCH($C$7,Data!$4:$4,0))))</f>
        <v>65.3</v>
      </c>
      <c r="D2384" s="148">
        <f t="shared" ca="1" si="78"/>
        <v>0</v>
      </c>
      <c r="E2384" s="148">
        <f t="shared" ca="1" si="79"/>
        <v>0.29999999999999716</v>
      </c>
    </row>
    <row r="2385" spans="2:5" x14ac:dyDescent="0.25">
      <c r="B2385" s="8">
        <v>39979</v>
      </c>
      <c r="C2385" s="6">
        <f ca="1">IF(OR($C$7="",$B2385&gt;NOW()),"",IF(INDEX(Data!$A:$G,MATCH($B2385,Data!$A:$A,0),MATCH($C$7,Data!$4:$4,0))="","",INDEX(Data!$A:$G,MATCH($B2385,Data!$A:$A,0),MATCH($C$7,Data!$4:$4,0))))</f>
        <v>63.6</v>
      </c>
      <c r="D2385" s="148">
        <f t="shared" ca="1" si="78"/>
        <v>1.3999999999999986</v>
      </c>
      <c r="E2385" s="148">
        <f t="shared" ca="1" si="79"/>
        <v>0</v>
      </c>
    </row>
    <row r="2386" spans="2:5" x14ac:dyDescent="0.25">
      <c r="B2386" s="8">
        <v>39980</v>
      </c>
      <c r="C2386" s="6">
        <f ca="1">IF(OR($C$7="",$B2386&gt;NOW()),"",IF(INDEX(Data!$A:$G,MATCH($B2386,Data!$A:$A,0),MATCH($C$7,Data!$4:$4,0))="","",INDEX(Data!$A:$G,MATCH($B2386,Data!$A:$A,0),MATCH($C$7,Data!$4:$4,0))))</f>
        <v>61.4</v>
      </c>
      <c r="D2386" s="148">
        <f t="shared" ca="1" si="78"/>
        <v>3.6000000000000014</v>
      </c>
      <c r="E2386" s="148">
        <f t="shared" ca="1" si="79"/>
        <v>0</v>
      </c>
    </row>
    <row r="2387" spans="2:5" x14ac:dyDescent="0.25">
      <c r="B2387" s="8">
        <v>39981</v>
      </c>
      <c r="C2387" s="6">
        <f ca="1">IF(OR($C$7="",$B2387&gt;NOW()),"",IF(INDEX(Data!$A:$G,MATCH($B2387,Data!$A:$A,0),MATCH($C$7,Data!$4:$4,0))="","",INDEX(Data!$A:$G,MATCH($B2387,Data!$A:$A,0),MATCH($C$7,Data!$4:$4,0))))</f>
        <v>62.1</v>
      </c>
      <c r="D2387" s="148">
        <f t="shared" ca="1" si="78"/>
        <v>2.8999999999999986</v>
      </c>
      <c r="E2387" s="148">
        <f t="shared" ca="1" si="79"/>
        <v>0</v>
      </c>
    </row>
    <row r="2388" spans="2:5" x14ac:dyDescent="0.25">
      <c r="B2388" s="8">
        <v>39982</v>
      </c>
      <c r="C2388" s="6">
        <f ca="1">IF(OR($C$7="",$B2388&gt;NOW()),"",IF(INDEX(Data!$A:$G,MATCH($B2388,Data!$A:$A,0),MATCH($C$7,Data!$4:$4,0))="","",INDEX(Data!$A:$G,MATCH($B2388,Data!$A:$A,0),MATCH($C$7,Data!$4:$4,0))))</f>
        <v>63.1</v>
      </c>
      <c r="D2388" s="148">
        <f t="shared" ca="1" si="78"/>
        <v>1.8999999999999986</v>
      </c>
      <c r="E2388" s="148">
        <f t="shared" ca="1" si="79"/>
        <v>0</v>
      </c>
    </row>
    <row r="2389" spans="2:5" x14ac:dyDescent="0.25">
      <c r="B2389" s="8">
        <v>39983</v>
      </c>
      <c r="C2389" s="6">
        <f ca="1">IF(OR($C$7="",$B2389&gt;NOW()),"",IF(INDEX(Data!$A:$G,MATCH($B2389,Data!$A:$A,0),MATCH($C$7,Data!$4:$4,0))="","",INDEX(Data!$A:$G,MATCH($B2389,Data!$A:$A,0),MATCH($C$7,Data!$4:$4,0))))</f>
        <v>68.7</v>
      </c>
      <c r="D2389" s="148">
        <f t="shared" ca="1" si="78"/>
        <v>0</v>
      </c>
      <c r="E2389" s="148">
        <f t="shared" ca="1" si="79"/>
        <v>3.7000000000000028</v>
      </c>
    </row>
    <row r="2390" spans="2:5" x14ac:dyDescent="0.25">
      <c r="B2390" s="8">
        <v>39984</v>
      </c>
      <c r="C2390" s="6">
        <f ca="1">IF(OR($C$7="",$B2390&gt;NOW()),"",IF(INDEX(Data!$A:$G,MATCH($B2390,Data!$A:$A,0),MATCH($C$7,Data!$4:$4,0))="","",INDEX(Data!$A:$G,MATCH($B2390,Data!$A:$A,0),MATCH($C$7,Data!$4:$4,0))))</f>
        <v>69.099999999999994</v>
      </c>
      <c r="D2390" s="148">
        <f t="shared" ca="1" si="78"/>
        <v>0</v>
      </c>
      <c r="E2390" s="148">
        <f t="shared" ca="1" si="79"/>
        <v>4.0999999999999943</v>
      </c>
    </row>
    <row r="2391" spans="2:5" x14ac:dyDescent="0.25">
      <c r="B2391" s="8">
        <v>39985</v>
      </c>
      <c r="C2391" s="6">
        <f ca="1">IF(OR($C$7="",$B2391&gt;NOW()),"",IF(INDEX(Data!$A:$G,MATCH($B2391,Data!$A:$A,0),MATCH($C$7,Data!$4:$4,0))="","",INDEX(Data!$A:$G,MATCH($B2391,Data!$A:$A,0),MATCH($C$7,Data!$4:$4,0))))</f>
        <v>67.900000000000006</v>
      </c>
      <c r="D2391" s="148">
        <f t="shared" ca="1" si="78"/>
        <v>0</v>
      </c>
      <c r="E2391" s="148">
        <f t="shared" ca="1" si="79"/>
        <v>2.9000000000000057</v>
      </c>
    </row>
    <row r="2392" spans="2:5" x14ac:dyDescent="0.25">
      <c r="B2392" s="8">
        <v>39986</v>
      </c>
      <c r="C2392" s="6">
        <f ca="1">IF(OR($C$7="",$B2392&gt;NOW()),"",IF(INDEX(Data!$A:$G,MATCH($B2392,Data!$A:$A,0),MATCH($C$7,Data!$4:$4,0))="","",INDEX(Data!$A:$G,MATCH($B2392,Data!$A:$A,0),MATCH($C$7,Data!$4:$4,0))))</f>
        <v>69.900000000000006</v>
      </c>
      <c r="D2392" s="148">
        <f t="shared" ca="1" si="78"/>
        <v>0</v>
      </c>
      <c r="E2392" s="148">
        <f t="shared" ca="1" si="79"/>
        <v>4.9000000000000057</v>
      </c>
    </row>
    <row r="2393" spans="2:5" x14ac:dyDescent="0.25">
      <c r="B2393" s="8">
        <v>39987</v>
      </c>
      <c r="C2393" s="6">
        <f ca="1">IF(OR($C$7="",$B2393&gt;NOW()),"",IF(INDEX(Data!$A:$G,MATCH($B2393,Data!$A:$A,0),MATCH($C$7,Data!$4:$4,0))="","",INDEX(Data!$A:$G,MATCH($B2393,Data!$A:$A,0),MATCH($C$7,Data!$4:$4,0))))</f>
        <v>71.2</v>
      </c>
      <c r="D2393" s="148">
        <f t="shared" ca="1" si="78"/>
        <v>0</v>
      </c>
      <c r="E2393" s="148">
        <f t="shared" ca="1" si="79"/>
        <v>6.2000000000000028</v>
      </c>
    </row>
    <row r="2394" spans="2:5" x14ac:dyDescent="0.25">
      <c r="B2394" s="8">
        <v>39988</v>
      </c>
      <c r="C2394" s="6">
        <f ca="1">IF(OR($C$7="",$B2394&gt;NOW()),"",IF(INDEX(Data!$A:$G,MATCH($B2394,Data!$A:$A,0),MATCH($C$7,Data!$4:$4,0))="","",INDEX(Data!$A:$G,MATCH($B2394,Data!$A:$A,0),MATCH($C$7,Data!$4:$4,0))))</f>
        <v>70.2</v>
      </c>
      <c r="D2394" s="148">
        <f t="shared" ca="1" si="78"/>
        <v>0</v>
      </c>
      <c r="E2394" s="148">
        <f t="shared" ca="1" si="79"/>
        <v>5.2000000000000028</v>
      </c>
    </row>
    <row r="2395" spans="2:5" x14ac:dyDescent="0.25">
      <c r="B2395" s="8">
        <v>39989</v>
      </c>
      <c r="C2395" s="6">
        <f ca="1">IF(OR($C$7="",$B2395&gt;NOW()),"",IF(INDEX(Data!$A:$G,MATCH($B2395,Data!$A:$A,0),MATCH($C$7,Data!$4:$4,0))="","",INDEX(Data!$A:$G,MATCH($B2395,Data!$A:$A,0),MATCH($C$7,Data!$4:$4,0))))</f>
        <v>70.599999999999994</v>
      </c>
      <c r="D2395" s="148">
        <f t="shared" ca="1" si="78"/>
        <v>0</v>
      </c>
      <c r="E2395" s="148">
        <f t="shared" ca="1" si="79"/>
        <v>5.5999999999999943</v>
      </c>
    </row>
    <row r="2396" spans="2:5" x14ac:dyDescent="0.25">
      <c r="B2396" s="8">
        <v>39990</v>
      </c>
      <c r="C2396" s="6">
        <f ca="1">IF(OR($C$7="",$B2396&gt;NOW()),"",IF(INDEX(Data!$A:$G,MATCH($B2396,Data!$A:$A,0),MATCH($C$7,Data!$4:$4,0))="","",INDEX(Data!$A:$G,MATCH($B2396,Data!$A:$A,0),MATCH($C$7,Data!$4:$4,0))))</f>
        <v>73.599999999999994</v>
      </c>
      <c r="D2396" s="148">
        <f t="shared" ca="1" si="78"/>
        <v>0</v>
      </c>
      <c r="E2396" s="148">
        <f t="shared" ca="1" si="79"/>
        <v>8.5999999999999943</v>
      </c>
    </row>
    <row r="2397" spans="2:5" x14ac:dyDescent="0.25">
      <c r="B2397" s="8">
        <v>39991</v>
      </c>
      <c r="C2397" s="6">
        <f ca="1">IF(OR($C$7="",$B2397&gt;NOW()),"",IF(INDEX(Data!$A:$G,MATCH($B2397,Data!$A:$A,0),MATCH($C$7,Data!$4:$4,0))="","",INDEX(Data!$A:$G,MATCH($B2397,Data!$A:$A,0),MATCH($C$7,Data!$4:$4,0))))</f>
        <v>71.8</v>
      </c>
      <c r="D2397" s="148">
        <f t="shared" ref="D2397:D2460" ca="1" si="80">IF($C2397="","",IF($C2397&gt;$D$26,0,$D$26-$C2397))</f>
        <v>0</v>
      </c>
      <c r="E2397" s="148">
        <f t="shared" ref="E2397:E2460" ca="1" si="81">IF($C2397="","",IF($C2397&lt;$E$26,0,$C2397-$E$26))</f>
        <v>6.7999999999999972</v>
      </c>
    </row>
    <row r="2398" spans="2:5" x14ac:dyDescent="0.25">
      <c r="B2398" s="8">
        <v>39992</v>
      </c>
      <c r="C2398" s="6">
        <f ca="1">IF(OR($C$7="",$B2398&gt;NOW()),"",IF(INDEX(Data!$A:$G,MATCH($B2398,Data!$A:$A,0),MATCH($C$7,Data!$4:$4,0))="","",INDEX(Data!$A:$G,MATCH($B2398,Data!$A:$A,0),MATCH($C$7,Data!$4:$4,0))))</f>
        <v>72.2</v>
      </c>
      <c r="D2398" s="148">
        <f t="shared" ca="1" si="80"/>
        <v>0</v>
      </c>
      <c r="E2398" s="148">
        <f t="shared" ca="1" si="81"/>
        <v>7.2000000000000028</v>
      </c>
    </row>
    <row r="2399" spans="2:5" x14ac:dyDescent="0.25">
      <c r="B2399" s="8">
        <v>39993</v>
      </c>
      <c r="C2399" s="6">
        <f ca="1">IF(OR($C$7="",$B2399&gt;NOW()),"",IF(INDEX(Data!$A:$G,MATCH($B2399,Data!$A:$A,0),MATCH($C$7,Data!$4:$4,0))="","",INDEX(Data!$A:$G,MATCH($B2399,Data!$A:$A,0),MATCH($C$7,Data!$4:$4,0))))</f>
        <v>74.5</v>
      </c>
      <c r="D2399" s="148">
        <f t="shared" ca="1" si="80"/>
        <v>0</v>
      </c>
      <c r="E2399" s="148">
        <f t="shared" ca="1" si="81"/>
        <v>9.5</v>
      </c>
    </row>
    <row r="2400" spans="2:5" x14ac:dyDescent="0.25">
      <c r="B2400" s="8">
        <v>39994</v>
      </c>
      <c r="C2400" s="6">
        <f ca="1">IF(OR($C$7="",$B2400&gt;NOW()),"",IF(INDEX(Data!$A:$G,MATCH($B2400,Data!$A:$A,0),MATCH($C$7,Data!$4:$4,0))="","",INDEX(Data!$A:$G,MATCH($B2400,Data!$A:$A,0),MATCH($C$7,Data!$4:$4,0))))</f>
        <v>76.3</v>
      </c>
      <c r="D2400" s="148">
        <f t="shared" ca="1" si="80"/>
        <v>0</v>
      </c>
      <c r="E2400" s="148">
        <f t="shared" ca="1" si="81"/>
        <v>11.299999999999997</v>
      </c>
    </row>
    <row r="2401" spans="2:5" x14ac:dyDescent="0.25">
      <c r="B2401" s="8">
        <v>39995</v>
      </c>
      <c r="C2401" s="6">
        <f ca="1">IF(OR($C$7="",$B2401&gt;NOW()),"",IF(INDEX(Data!$A:$G,MATCH($B2401,Data!$A:$A,0),MATCH($C$7,Data!$4:$4,0))="","",INDEX(Data!$A:$G,MATCH($B2401,Data!$A:$A,0),MATCH($C$7,Data!$4:$4,0))))</f>
        <v>71.400000000000006</v>
      </c>
      <c r="D2401" s="148">
        <f t="shared" ca="1" si="80"/>
        <v>0</v>
      </c>
      <c r="E2401" s="148">
        <f t="shared" ca="1" si="81"/>
        <v>6.4000000000000057</v>
      </c>
    </row>
    <row r="2402" spans="2:5" x14ac:dyDescent="0.25">
      <c r="B2402" s="8">
        <v>39996</v>
      </c>
      <c r="C2402" s="6">
        <f ca="1">IF(OR($C$7="",$B2402&gt;NOW()),"",IF(INDEX(Data!$A:$G,MATCH($B2402,Data!$A:$A,0),MATCH($C$7,Data!$4:$4,0))="","",INDEX(Data!$A:$G,MATCH($B2402,Data!$A:$A,0),MATCH($C$7,Data!$4:$4,0))))</f>
        <v>70.7</v>
      </c>
      <c r="D2402" s="148">
        <f t="shared" ca="1" si="80"/>
        <v>0</v>
      </c>
      <c r="E2402" s="148">
        <f t="shared" ca="1" si="81"/>
        <v>5.7000000000000028</v>
      </c>
    </row>
    <row r="2403" spans="2:5" x14ac:dyDescent="0.25">
      <c r="B2403" s="8">
        <v>39997</v>
      </c>
      <c r="C2403" s="6">
        <f ca="1">IF(OR($C$7="",$B2403&gt;NOW()),"",IF(INDEX(Data!$A:$G,MATCH($B2403,Data!$A:$A,0),MATCH($C$7,Data!$4:$4,0))="","",INDEX(Data!$A:$G,MATCH($B2403,Data!$A:$A,0),MATCH($C$7,Data!$4:$4,0))))</f>
        <v>73.099999999999994</v>
      </c>
      <c r="D2403" s="148">
        <f t="shared" ca="1" si="80"/>
        <v>0</v>
      </c>
      <c r="E2403" s="148">
        <f t="shared" ca="1" si="81"/>
        <v>8.0999999999999943</v>
      </c>
    </row>
    <row r="2404" spans="2:5" x14ac:dyDescent="0.25">
      <c r="B2404" s="8">
        <v>39998</v>
      </c>
      <c r="C2404" s="6">
        <f ca="1">IF(OR($C$7="",$B2404&gt;NOW()),"",IF(INDEX(Data!$A:$G,MATCH($B2404,Data!$A:$A,0),MATCH($C$7,Data!$4:$4,0))="","",INDEX(Data!$A:$G,MATCH($B2404,Data!$A:$A,0),MATCH($C$7,Data!$4:$4,0))))</f>
        <v>73.8</v>
      </c>
      <c r="D2404" s="148">
        <f t="shared" ca="1" si="80"/>
        <v>0</v>
      </c>
      <c r="E2404" s="148">
        <f t="shared" ca="1" si="81"/>
        <v>8.7999999999999972</v>
      </c>
    </row>
    <row r="2405" spans="2:5" x14ac:dyDescent="0.25">
      <c r="B2405" s="8">
        <v>39999</v>
      </c>
      <c r="C2405" s="6">
        <f ca="1">IF(OR($C$7="",$B2405&gt;NOW()),"",IF(INDEX(Data!$A:$G,MATCH($B2405,Data!$A:$A,0),MATCH($C$7,Data!$4:$4,0))="","",INDEX(Data!$A:$G,MATCH($B2405,Data!$A:$A,0),MATCH($C$7,Data!$4:$4,0))))</f>
        <v>72.2</v>
      </c>
      <c r="D2405" s="148">
        <f t="shared" ca="1" si="80"/>
        <v>0</v>
      </c>
      <c r="E2405" s="148">
        <f t="shared" ca="1" si="81"/>
        <v>7.2000000000000028</v>
      </c>
    </row>
    <row r="2406" spans="2:5" x14ac:dyDescent="0.25">
      <c r="B2406" s="8">
        <v>40000</v>
      </c>
      <c r="C2406" s="6">
        <f ca="1">IF(OR($C$7="",$B2406&gt;NOW()),"",IF(INDEX(Data!$A:$G,MATCH($B2406,Data!$A:$A,0),MATCH($C$7,Data!$4:$4,0))="","",INDEX(Data!$A:$G,MATCH($B2406,Data!$A:$A,0),MATCH($C$7,Data!$4:$4,0))))</f>
        <v>75.7</v>
      </c>
      <c r="D2406" s="148">
        <f t="shared" ca="1" si="80"/>
        <v>0</v>
      </c>
      <c r="E2406" s="148">
        <f t="shared" ca="1" si="81"/>
        <v>10.700000000000003</v>
      </c>
    </row>
    <row r="2407" spans="2:5" x14ac:dyDescent="0.25">
      <c r="B2407" s="8">
        <v>40001</v>
      </c>
      <c r="C2407" s="6">
        <f ca="1">IF(OR($C$7="",$B2407&gt;NOW()),"",IF(INDEX(Data!$A:$G,MATCH($B2407,Data!$A:$A,0),MATCH($C$7,Data!$4:$4,0))="","",INDEX(Data!$A:$G,MATCH($B2407,Data!$A:$A,0),MATCH($C$7,Data!$4:$4,0))))</f>
        <v>74.3</v>
      </c>
      <c r="D2407" s="148">
        <f t="shared" ca="1" si="80"/>
        <v>0</v>
      </c>
      <c r="E2407" s="148">
        <f t="shared" ca="1" si="81"/>
        <v>9.2999999999999972</v>
      </c>
    </row>
    <row r="2408" spans="2:5" x14ac:dyDescent="0.25">
      <c r="B2408" s="8">
        <v>40002</v>
      </c>
      <c r="C2408" s="6">
        <f ca="1">IF(OR($C$7="",$B2408&gt;NOW()),"",IF(INDEX(Data!$A:$G,MATCH($B2408,Data!$A:$A,0),MATCH($C$7,Data!$4:$4,0))="","",INDEX(Data!$A:$G,MATCH($B2408,Data!$A:$A,0),MATCH($C$7,Data!$4:$4,0))))</f>
        <v>68.7</v>
      </c>
      <c r="D2408" s="148">
        <f t="shared" ca="1" si="80"/>
        <v>0</v>
      </c>
      <c r="E2408" s="148">
        <f t="shared" ca="1" si="81"/>
        <v>3.7000000000000028</v>
      </c>
    </row>
    <row r="2409" spans="2:5" x14ac:dyDescent="0.25">
      <c r="B2409" s="8">
        <v>40003</v>
      </c>
      <c r="C2409" s="6">
        <f ca="1">IF(OR($C$7="",$B2409&gt;NOW()),"",IF(INDEX(Data!$A:$G,MATCH($B2409,Data!$A:$A,0),MATCH($C$7,Data!$4:$4,0))="","",INDEX(Data!$A:$G,MATCH($B2409,Data!$A:$A,0),MATCH($C$7,Data!$4:$4,0))))</f>
        <v>67.7</v>
      </c>
      <c r="D2409" s="148">
        <f t="shared" ca="1" si="80"/>
        <v>0</v>
      </c>
      <c r="E2409" s="148">
        <f t="shared" ca="1" si="81"/>
        <v>2.7000000000000028</v>
      </c>
    </row>
    <row r="2410" spans="2:5" x14ac:dyDescent="0.25">
      <c r="B2410" s="8">
        <v>40004</v>
      </c>
      <c r="C2410" s="6">
        <f ca="1">IF(OR($C$7="",$B2410&gt;NOW()),"",IF(INDEX(Data!$A:$G,MATCH($B2410,Data!$A:$A,0),MATCH($C$7,Data!$4:$4,0))="","",INDEX(Data!$A:$G,MATCH($B2410,Data!$A:$A,0),MATCH($C$7,Data!$4:$4,0))))</f>
        <v>67.900000000000006</v>
      </c>
      <c r="D2410" s="148">
        <f t="shared" ca="1" si="80"/>
        <v>0</v>
      </c>
      <c r="E2410" s="148">
        <f t="shared" ca="1" si="81"/>
        <v>2.9000000000000057</v>
      </c>
    </row>
    <row r="2411" spans="2:5" x14ac:dyDescent="0.25">
      <c r="B2411" s="8">
        <v>40005</v>
      </c>
      <c r="C2411" s="6">
        <f ca="1">IF(OR($C$7="",$B2411&gt;NOW()),"",IF(INDEX(Data!$A:$G,MATCH($B2411,Data!$A:$A,0),MATCH($C$7,Data!$4:$4,0))="","",INDEX(Data!$A:$G,MATCH($B2411,Data!$A:$A,0),MATCH($C$7,Data!$4:$4,0))))</f>
        <v>70.3</v>
      </c>
      <c r="D2411" s="148">
        <f t="shared" ca="1" si="80"/>
        <v>0</v>
      </c>
      <c r="E2411" s="148">
        <f t="shared" ca="1" si="81"/>
        <v>5.2999999999999972</v>
      </c>
    </row>
    <row r="2412" spans="2:5" x14ac:dyDescent="0.25">
      <c r="B2412" s="8">
        <v>40006</v>
      </c>
      <c r="C2412" s="6">
        <f ca="1">IF(OR($C$7="",$B2412&gt;NOW()),"",IF(INDEX(Data!$A:$G,MATCH($B2412,Data!$A:$A,0),MATCH($C$7,Data!$4:$4,0))="","",INDEX(Data!$A:$G,MATCH($B2412,Data!$A:$A,0),MATCH($C$7,Data!$4:$4,0))))</f>
        <v>73</v>
      </c>
      <c r="D2412" s="148">
        <f t="shared" ca="1" si="80"/>
        <v>0</v>
      </c>
      <c r="E2412" s="148">
        <f t="shared" ca="1" si="81"/>
        <v>8</v>
      </c>
    </row>
    <row r="2413" spans="2:5" x14ac:dyDescent="0.25">
      <c r="B2413" s="8">
        <v>40007</v>
      </c>
      <c r="C2413" s="6">
        <f ca="1">IF(OR($C$7="",$B2413&gt;NOW()),"",IF(INDEX(Data!$A:$G,MATCH($B2413,Data!$A:$A,0),MATCH($C$7,Data!$4:$4,0))="","",INDEX(Data!$A:$G,MATCH($B2413,Data!$A:$A,0),MATCH($C$7,Data!$4:$4,0))))</f>
        <v>72.599999999999994</v>
      </c>
      <c r="D2413" s="148">
        <f t="shared" ca="1" si="80"/>
        <v>0</v>
      </c>
      <c r="E2413" s="148">
        <f t="shared" ca="1" si="81"/>
        <v>7.5999999999999943</v>
      </c>
    </row>
    <row r="2414" spans="2:5" x14ac:dyDescent="0.25">
      <c r="B2414" s="8">
        <v>40008</v>
      </c>
      <c r="C2414" s="6">
        <f ca="1">IF(OR($C$7="",$B2414&gt;NOW()),"",IF(INDEX(Data!$A:$G,MATCH($B2414,Data!$A:$A,0),MATCH($C$7,Data!$4:$4,0))="","",INDEX(Data!$A:$G,MATCH($B2414,Data!$A:$A,0),MATCH($C$7,Data!$4:$4,0))))</f>
        <v>73</v>
      </c>
      <c r="D2414" s="148">
        <f t="shared" ca="1" si="80"/>
        <v>0</v>
      </c>
      <c r="E2414" s="148">
        <f t="shared" ca="1" si="81"/>
        <v>8</v>
      </c>
    </row>
    <row r="2415" spans="2:5" x14ac:dyDescent="0.25">
      <c r="B2415" s="8">
        <v>40009</v>
      </c>
      <c r="C2415" s="6">
        <f ca="1">IF(OR($C$7="",$B2415&gt;NOW()),"",IF(INDEX(Data!$A:$G,MATCH($B2415,Data!$A:$A,0),MATCH($C$7,Data!$4:$4,0))="","",INDEX(Data!$A:$G,MATCH($B2415,Data!$A:$A,0),MATCH($C$7,Data!$4:$4,0))))</f>
        <v>73.7</v>
      </c>
      <c r="D2415" s="148">
        <f t="shared" ca="1" si="80"/>
        <v>0</v>
      </c>
      <c r="E2415" s="148">
        <f t="shared" ca="1" si="81"/>
        <v>8.7000000000000028</v>
      </c>
    </row>
    <row r="2416" spans="2:5" x14ac:dyDescent="0.25">
      <c r="B2416" s="8">
        <v>40010</v>
      </c>
      <c r="C2416" s="6">
        <f ca="1">IF(OR($C$7="",$B2416&gt;NOW()),"",IF(INDEX(Data!$A:$G,MATCH($B2416,Data!$A:$A,0),MATCH($C$7,Data!$4:$4,0))="","",INDEX(Data!$A:$G,MATCH($B2416,Data!$A:$A,0),MATCH($C$7,Data!$4:$4,0))))</f>
        <v>77.400000000000006</v>
      </c>
      <c r="D2416" s="148">
        <f t="shared" ca="1" si="80"/>
        <v>0</v>
      </c>
      <c r="E2416" s="148">
        <f t="shared" ca="1" si="81"/>
        <v>12.400000000000006</v>
      </c>
    </row>
    <row r="2417" spans="2:5" x14ac:dyDescent="0.25">
      <c r="B2417" s="8">
        <v>40011</v>
      </c>
      <c r="C2417" s="6">
        <f ca="1">IF(OR($C$7="",$B2417&gt;NOW()),"",IF(INDEX(Data!$A:$G,MATCH($B2417,Data!$A:$A,0),MATCH($C$7,Data!$4:$4,0))="","",INDEX(Data!$A:$G,MATCH($B2417,Data!$A:$A,0),MATCH($C$7,Data!$4:$4,0))))</f>
        <v>77.7</v>
      </c>
      <c r="D2417" s="148">
        <f t="shared" ca="1" si="80"/>
        <v>0</v>
      </c>
      <c r="E2417" s="148">
        <f t="shared" ca="1" si="81"/>
        <v>12.700000000000003</v>
      </c>
    </row>
    <row r="2418" spans="2:5" x14ac:dyDescent="0.25">
      <c r="B2418" s="8">
        <v>40012</v>
      </c>
      <c r="C2418" s="6">
        <f ca="1">IF(OR($C$7="",$B2418&gt;NOW()),"",IF(INDEX(Data!$A:$G,MATCH($B2418,Data!$A:$A,0),MATCH($C$7,Data!$4:$4,0))="","",INDEX(Data!$A:$G,MATCH($B2418,Data!$A:$A,0),MATCH($C$7,Data!$4:$4,0))))</f>
        <v>76.400000000000006</v>
      </c>
      <c r="D2418" s="148">
        <f t="shared" ca="1" si="80"/>
        <v>0</v>
      </c>
      <c r="E2418" s="148">
        <f t="shared" ca="1" si="81"/>
        <v>11.400000000000006</v>
      </c>
    </row>
    <row r="2419" spans="2:5" x14ac:dyDescent="0.25">
      <c r="B2419" s="8">
        <v>40013</v>
      </c>
      <c r="C2419" s="6">
        <f ca="1">IF(OR($C$7="",$B2419&gt;NOW()),"",IF(INDEX(Data!$A:$G,MATCH($B2419,Data!$A:$A,0),MATCH($C$7,Data!$4:$4,0))="","",INDEX(Data!$A:$G,MATCH($B2419,Data!$A:$A,0),MATCH($C$7,Data!$4:$4,0))))</f>
        <v>75.2</v>
      </c>
      <c r="D2419" s="148">
        <f t="shared" ca="1" si="80"/>
        <v>0</v>
      </c>
      <c r="E2419" s="148">
        <f t="shared" ca="1" si="81"/>
        <v>10.200000000000003</v>
      </c>
    </row>
    <row r="2420" spans="2:5" x14ac:dyDescent="0.25">
      <c r="B2420" s="8">
        <v>40014</v>
      </c>
      <c r="C2420" s="6">
        <f ca="1">IF(OR($C$7="",$B2420&gt;NOW()),"",IF(INDEX(Data!$A:$G,MATCH($B2420,Data!$A:$A,0),MATCH($C$7,Data!$4:$4,0))="","",INDEX(Data!$A:$G,MATCH($B2420,Data!$A:$A,0),MATCH($C$7,Data!$4:$4,0))))</f>
        <v>74.3</v>
      </c>
      <c r="D2420" s="148">
        <f t="shared" ca="1" si="80"/>
        <v>0</v>
      </c>
      <c r="E2420" s="148">
        <f t="shared" ca="1" si="81"/>
        <v>9.2999999999999972</v>
      </c>
    </row>
    <row r="2421" spans="2:5" x14ac:dyDescent="0.25">
      <c r="B2421" s="8">
        <v>40015</v>
      </c>
      <c r="C2421" s="6">
        <f ca="1">IF(OR($C$7="",$B2421&gt;NOW()),"",IF(INDEX(Data!$A:$G,MATCH($B2421,Data!$A:$A,0),MATCH($C$7,Data!$4:$4,0))="","",INDEX(Data!$A:$G,MATCH($B2421,Data!$A:$A,0),MATCH($C$7,Data!$4:$4,0))))</f>
        <v>69</v>
      </c>
      <c r="D2421" s="148">
        <f t="shared" ca="1" si="80"/>
        <v>0</v>
      </c>
      <c r="E2421" s="148">
        <f t="shared" ca="1" si="81"/>
        <v>4</v>
      </c>
    </row>
    <row r="2422" spans="2:5" x14ac:dyDescent="0.25">
      <c r="B2422" s="8">
        <v>40016</v>
      </c>
      <c r="C2422" s="6">
        <f ca="1">IF(OR($C$7="",$B2422&gt;NOW()),"",IF(INDEX(Data!$A:$G,MATCH($B2422,Data!$A:$A,0),MATCH($C$7,Data!$4:$4,0))="","",INDEX(Data!$A:$G,MATCH($B2422,Data!$A:$A,0),MATCH($C$7,Data!$4:$4,0))))</f>
        <v>72.5</v>
      </c>
      <c r="D2422" s="148">
        <f t="shared" ca="1" si="80"/>
        <v>0</v>
      </c>
      <c r="E2422" s="148">
        <f t="shared" ca="1" si="81"/>
        <v>7.5</v>
      </c>
    </row>
    <row r="2423" spans="2:5" x14ac:dyDescent="0.25">
      <c r="B2423" s="8">
        <v>40017</v>
      </c>
      <c r="C2423" s="6">
        <f ca="1">IF(OR($C$7="",$B2423&gt;NOW()),"",IF(INDEX(Data!$A:$G,MATCH($B2423,Data!$A:$A,0),MATCH($C$7,Data!$4:$4,0))="","",INDEX(Data!$A:$G,MATCH($B2423,Data!$A:$A,0),MATCH($C$7,Data!$4:$4,0))))</f>
        <v>73.099999999999994</v>
      </c>
      <c r="D2423" s="148">
        <f t="shared" ca="1" si="80"/>
        <v>0</v>
      </c>
      <c r="E2423" s="148">
        <f t="shared" ca="1" si="81"/>
        <v>8.0999999999999943</v>
      </c>
    </row>
    <row r="2424" spans="2:5" x14ac:dyDescent="0.25">
      <c r="B2424" s="8">
        <v>40018</v>
      </c>
      <c r="C2424" s="6">
        <f ca="1">IF(OR($C$7="",$B2424&gt;NOW()),"",IF(INDEX(Data!$A:$G,MATCH($B2424,Data!$A:$A,0),MATCH($C$7,Data!$4:$4,0))="","",INDEX(Data!$A:$G,MATCH($B2424,Data!$A:$A,0),MATCH($C$7,Data!$4:$4,0))))</f>
        <v>70.7</v>
      </c>
      <c r="D2424" s="148">
        <f t="shared" ca="1" si="80"/>
        <v>0</v>
      </c>
      <c r="E2424" s="148">
        <f t="shared" ca="1" si="81"/>
        <v>5.7000000000000028</v>
      </c>
    </row>
    <row r="2425" spans="2:5" x14ac:dyDescent="0.25">
      <c r="B2425" s="8">
        <v>40019</v>
      </c>
      <c r="C2425" s="6">
        <f ca="1">IF(OR($C$7="",$B2425&gt;NOW()),"",IF(INDEX(Data!$A:$G,MATCH($B2425,Data!$A:$A,0),MATCH($C$7,Data!$4:$4,0))="","",INDEX(Data!$A:$G,MATCH($B2425,Data!$A:$A,0),MATCH($C$7,Data!$4:$4,0))))</f>
        <v>74.900000000000006</v>
      </c>
      <c r="D2425" s="148">
        <f t="shared" ca="1" si="80"/>
        <v>0</v>
      </c>
      <c r="E2425" s="148">
        <f t="shared" ca="1" si="81"/>
        <v>9.9000000000000057</v>
      </c>
    </row>
    <row r="2426" spans="2:5" x14ac:dyDescent="0.25">
      <c r="B2426" s="8">
        <v>40020</v>
      </c>
      <c r="C2426" s="6">
        <f ca="1">IF(OR($C$7="",$B2426&gt;NOW()),"",IF(INDEX(Data!$A:$G,MATCH($B2426,Data!$A:$A,0),MATCH($C$7,Data!$4:$4,0))="","",INDEX(Data!$A:$G,MATCH($B2426,Data!$A:$A,0),MATCH($C$7,Data!$4:$4,0))))</f>
        <v>76.8</v>
      </c>
      <c r="D2426" s="148">
        <f t="shared" ca="1" si="80"/>
        <v>0</v>
      </c>
      <c r="E2426" s="148">
        <f t="shared" ca="1" si="81"/>
        <v>11.799999999999997</v>
      </c>
    </row>
    <row r="2427" spans="2:5" x14ac:dyDescent="0.25">
      <c r="B2427" s="8">
        <v>40021</v>
      </c>
      <c r="C2427" s="6">
        <f ca="1">IF(OR($C$7="",$B2427&gt;NOW()),"",IF(INDEX(Data!$A:$G,MATCH($B2427,Data!$A:$A,0),MATCH($C$7,Data!$4:$4,0))="","",INDEX(Data!$A:$G,MATCH($B2427,Data!$A:$A,0),MATCH($C$7,Data!$4:$4,0))))</f>
        <v>76.2</v>
      </c>
      <c r="D2427" s="148">
        <f t="shared" ca="1" si="80"/>
        <v>0</v>
      </c>
      <c r="E2427" s="148">
        <f t="shared" ca="1" si="81"/>
        <v>11.200000000000003</v>
      </c>
    </row>
    <row r="2428" spans="2:5" x14ac:dyDescent="0.25">
      <c r="B2428" s="8">
        <v>40022</v>
      </c>
      <c r="C2428" s="6">
        <f ca="1">IF(OR($C$7="",$B2428&gt;NOW()),"",IF(INDEX(Data!$A:$G,MATCH($B2428,Data!$A:$A,0),MATCH($C$7,Data!$4:$4,0))="","",INDEX(Data!$A:$G,MATCH($B2428,Data!$A:$A,0),MATCH($C$7,Data!$4:$4,0))))</f>
        <v>79.400000000000006</v>
      </c>
      <c r="D2428" s="148">
        <f t="shared" ca="1" si="80"/>
        <v>0</v>
      </c>
      <c r="E2428" s="148">
        <f t="shared" ca="1" si="81"/>
        <v>14.400000000000006</v>
      </c>
    </row>
    <row r="2429" spans="2:5" x14ac:dyDescent="0.25">
      <c r="B2429" s="8">
        <v>40023</v>
      </c>
      <c r="C2429" s="6">
        <f ca="1">IF(OR($C$7="",$B2429&gt;NOW()),"",IF(INDEX(Data!$A:$G,MATCH($B2429,Data!$A:$A,0),MATCH($C$7,Data!$4:$4,0))="","",INDEX(Data!$A:$G,MATCH($B2429,Data!$A:$A,0),MATCH($C$7,Data!$4:$4,0))))</f>
        <v>77</v>
      </c>
      <c r="D2429" s="148">
        <f t="shared" ca="1" si="80"/>
        <v>0</v>
      </c>
      <c r="E2429" s="148">
        <f t="shared" ca="1" si="81"/>
        <v>12</v>
      </c>
    </row>
    <row r="2430" spans="2:5" x14ac:dyDescent="0.25">
      <c r="B2430" s="8">
        <v>40024</v>
      </c>
      <c r="C2430" s="6">
        <f ca="1">IF(OR($C$7="",$B2430&gt;NOW()),"",IF(INDEX(Data!$A:$G,MATCH($B2430,Data!$A:$A,0),MATCH($C$7,Data!$4:$4,0))="","",INDEX(Data!$A:$G,MATCH($B2430,Data!$A:$A,0),MATCH($C$7,Data!$4:$4,0))))</f>
        <v>78.599999999999994</v>
      </c>
      <c r="D2430" s="148">
        <f t="shared" ca="1" si="80"/>
        <v>0</v>
      </c>
      <c r="E2430" s="148">
        <f t="shared" ca="1" si="81"/>
        <v>13.599999999999994</v>
      </c>
    </row>
    <row r="2431" spans="2:5" x14ac:dyDescent="0.25">
      <c r="B2431" s="8">
        <v>40025</v>
      </c>
      <c r="C2431" s="6">
        <f ca="1">IF(OR($C$7="",$B2431&gt;NOW()),"",IF(INDEX(Data!$A:$G,MATCH($B2431,Data!$A:$A,0),MATCH($C$7,Data!$4:$4,0))="","",INDEX(Data!$A:$G,MATCH($B2431,Data!$A:$A,0),MATCH($C$7,Data!$4:$4,0))))</f>
        <v>79.400000000000006</v>
      </c>
      <c r="D2431" s="148">
        <f t="shared" ca="1" si="80"/>
        <v>0</v>
      </c>
      <c r="E2431" s="148">
        <f t="shared" ca="1" si="81"/>
        <v>14.400000000000006</v>
      </c>
    </row>
    <row r="2432" spans="2:5" x14ac:dyDescent="0.25">
      <c r="B2432" s="8">
        <v>40026</v>
      </c>
      <c r="C2432" s="6">
        <f ca="1">IF(OR($C$7="",$B2432&gt;NOW()),"",IF(INDEX(Data!$A:$G,MATCH($B2432,Data!$A:$A,0),MATCH($C$7,Data!$4:$4,0))="","",INDEX(Data!$A:$G,MATCH($B2432,Data!$A:$A,0),MATCH($C$7,Data!$4:$4,0))))</f>
        <v>74.599999999999994</v>
      </c>
      <c r="D2432" s="148">
        <f t="shared" ca="1" si="80"/>
        <v>0</v>
      </c>
      <c r="E2432" s="148">
        <f t="shared" ca="1" si="81"/>
        <v>9.5999999999999943</v>
      </c>
    </row>
    <row r="2433" spans="2:5" x14ac:dyDescent="0.25">
      <c r="B2433" s="8">
        <v>40027</v>
      </c>
      <c r="C2433" s="6">
        <f ca="1">IF(OR($C$7="",$B2433&gt;NOW()),"",IF(INDEX(Data!$A:$G,MATCH($B2433,Data!$A:$A,0),MATCH($C$7,Data!$4:$4,0))="","",INDEX(Data!$A:$G,MATCH($B2433,Data!$A:$A,0),MATCH($C$7,Data!$4:$4,0))))</f>
        <v>74.7</v>
      </c>
      <c r="D2433" s="148">
        <f t="shared" ca="1" si="80"/>
        <v>0</v>
      </c>
      <c r="E2433" s="148">
        <f t="shared" ca="1" si="81"/>
        <v>9.7000000000000028</v>
      </c>
    </row>
    <row r="2434" spans="2:5" x14ac:dyDescent="0.25">
      <c r="B2434" s="8">
        <v>40028</v>
      </c>
      <c r="C2434" s="6">
        <f ca="1">IF(OR($C$7="",$B2434&gt;NOW()),"",IF(INDEX(Data!$A:$G,MATCH($B2434,Data!$A:$A,0),MATCH($C$7,Data!$4:$4,0))="","",INDEX(Data!$A:$G,MATCH($B2434,Data!$A:$A,0),MATCH($C$7,Data!$4:$4,0))))</f>
        <v>76.900000000000006</v>
      </c>
      <c r="D2434" s="148">
        <f t="shared" ca="1" si="80"/>
        <v>0</v>
      </c>
      <c r="E2434" s="148">
        <f t="shared" ca="1" si="81"/>
        <v>11.900000000000006</v>
      </c>
    </row>
    <row r="2435" spans="2:5" x14ac:dyDescent="0.25">
      <c r="B2435" s="8">
        <v>40029</v>
      </c>
      <c r="C2435" s="6">
        <f ca="1">IF(OR($C$7="",$B2435&gt;NOW()),"",IF(INDEX(Data!$A:$G,MATCH($B2435,Data!$A:$A,0),MATCH($C$7,Data!$4:$4,0))="","",INDEX(Data!$A:$G,MATCH($B2435,Data!$A:$A,0),MATCH($C$7,Data!$4:$4,0))))</f>
        <v>79.3</v>
      </c>
      <c r="D2435" s="148">
        <f t="shared" ca="1" si="80"/>
        <v>0</v>
      </c>
      <c r="E2435" s="148">
        <f t="shared" ca="1" si="81"/>
        <v>14.299999999999997</v>
      </c>
    </row>
    <row r="2436" spans="2:5" x14ac:dyDescent="0.25">
      <c r="B2436" s="8">
        <v>40030</v>
      </c>
      <c r="C2436" s="6">
        <f ca="1">IF(OR($C$7="",$B2436&gt;NOW()),"",IF(INDEX(Data!$A:$G,MATCH($B2436,Data!$A:$A,0),MATCH($C$7,Data!$4:$4,0))="","",INDEX(Data!$A:$G,MATCH($B2436,Data!$A:$A,0),MATCH($C$7,Data!$4:$4,0))))</f>
        <v>80.7</v>
      </c>
      <c r="D2436" s="148">
        <f t="shared" ca="1" si="80"/>
        <v>0</v>
      </c>
      <c r="E2436" s="148">
        <f t="shared" ca="1" si="81"/>
        <v>15.700000000000003</v>
      </c>
    </row>
    <row r="2437" spans="2:5" x14ac:dyDescent="0.25">
      <c r="B2437" s="8">
        <v>40031</v>
      </c>
      <c r="C2437" s="6">
        <f ca="1">IF(OR($C$7="",$B2437&gt;NOW()),"",IF(INDEX(Data!$A:$G,MATCH($B2437,Data!$A:$A,0),MATCH($C$7,Data!$4:$4,0))="","",INDEX(Data!$A:$G,MATCH($B2437,Data!$A:$A,0),MATCH($C$7,Data!$4:$4,0))))</f>
        <v>73.8</v>
      </c>
      <c r="D2437" s="148">
        <f t="shared" ca="1" si="80"/>
        <v>0</v>
      </c>
      <c r="E2437" s="148">
        <f t="shared" ca="1" si="81"/>
        <v>8.7999999999999972</v>
      </c>
    </row>
    <row r="2438" spans="2:5" x14ac:dyDescent="0.25">
      <c r="B2438" s="8">
        <v>40032</v>
      </c>
      <c r="C2438" s="6">
        <f ca="1">IF(OR($C$7="",$B2438&gt;NOW()),"",IF(INDEX(Data!$A:$G,MATCH($B2438,Data!$A:$A,0),MATCH($C$7,Data!$4:$4,0))="","",INDEX(Data!$A:$G,MATCH($B2438,Data!$A:$A,0),MATCH($C$7,Data!$4:$4,0))))</f>
        <v>73.900000000000006</v>
      </c>
      <c r="D2438" s="148">
        <f t="shared" ca="1" si="80"/>
        <v>0</v>
      </c>
      <c r="E2438" s="148">
        <f t="shared" ca="1" si="81"/>
        <v>8.9000000000000057</v>
      </c>
    </row>
    <row r="2439" spans="2:5" x14ac:dyDescent="0.25">
      <c r="B2439" s="8">
        <v>40033</v>
      </c>
      <c r="C2439" s="6">
        <f ca="1">IF(OR($C$7="",$B2439&gt;NOW()),"",IF(INDEX(Data!$A:$G,MATCH($B2439,Data!$A:$A,0),MATCH($C$7,Data!$4:$4,0))="","",INDEX(Data!$A:$G,MATCH($B2439,Data!$A:$A,0),MATCH($C$7,Data!$4:$4,0))))</f>
        <v>72.3</v>
      </c>
      <c r="D2439" s="148">
        <f t="shared" ca="1" si="80"/>
        <v>0</v>
      </c>
      <c r="E2439" s="148">
        <f t="shared" ca="1" si="81"/>
        <v>7.2999999999999972</v>
      </c>
    </row>
    <row r="2440" spans="2:5" x14ac:dyDescent="0.25">
      <c r="B2440" s="8">
        <v>40034</v>
      </c>
      <c r="C2440" s="6">
        <f ca="1">IF(OR($C$7="",$B2440&gt;NOW()),"",IF(INDEX(Data!$A:$G,MATCH($B2440,Data!$A:$A,0),MATCH($C$7,Data!$4:$4,0))="","",INDEX(Data!$A:$G,MATCH($B2440,Data!$A:$A,0),MATCH($C$7,Data!$4:$4,0))))</f>
        <v>74.400000000000006</v>
      </c>
      <c r="D2440" s="148">
        <f t="shared" ca="1" si="80"/>
        <v>0</v>
      </c>
      <c r="E2440" s="148">
        <f t="shared" ca="1" si="81"/>
        <v>9.4000000000000057</v>
      </c>
    </row>
    <row r="2441" spans="2:5" x14ac:dyDescent="0.25">
      <c r="B2441" s="8">
        <v>40035</v>
      </c>
      <c r="C2441" s="6">
        <f ca="1">IF(OR($C$7="",$B2441&gt;NOW()),"",IF(INDEX(Data!$A:$G,MATCH($B2441,Data!$A:$A,0),MATCH($C$7,Data!$4:$4,0))="","",INDEX(Data!$A:$G,MATCH($B2441,Data!$A:$A,0),MATCH($C$7,Data!$4:$4,0))))</f>
        <v>81.400000000000006</v>
      </c>
      <c r="D2441" s="148">
        <f t="shared" ca="1" si="80"/>
        <v>0</v>
      </c>
      <c r="E2441" s="148">
        <f t="shared" ca="1" si="81"/>
        <v>16.400000000000006</v>
      </c>
    </row>
    <row r="2442" spans="2:5" x14ac:dyDescent="0.25">
      <c r="B2442" s="8">
        <v>40036</v>
      </c>
      <c r="C2442" s="6">
        <f ca="1">IF(OR($C$7="",$B2442&gt;NOW()),"",IF(INDEX(Data!$A:$G,MATCH($B2442,Data!$A:$A,0),MATCH($C$7,Data!$4:$4,0))="","",INDEX(Data!$A:$G,MATCH($B2442,Data!$A:$A,0),MATCH($C$7,Data!$4:$4,0))))</f>
        <v>82</v>
      </c>
      <c r="D2442" s="148">
        <f t="shared" ca="1" si="80"/>
        <v>0</v>
      </c>
      <c r="E2442" s="148">
        <f t="shared" ca="1" si="81"/>
        <v>17</v>
      </c>
    </row>
    <row r="2443" spans="2:5" x14ac:dyDescent="0.25">
      <c r="B2443" s="8">
        <v>40037</v>
      </c>
      <c r="C2443" s="6">
        <f ca="1">IF(OR($C$7="",$B2443&gt;NOW()),"",IF(INDEX(Data!$A:$G,MATCH($B2443,Data!$A:$A,0),MATCH($C$7,Data!$4:$4,0))="","",INDEX(Data!$A:$G,MATCH($B2443,Data!$A:$A,0),MATCH($C$7,Data!$4:$4,0))))</f>
        <v>77.599999999999994</v>
      </c>
      <c r="D2443" s="148">
        <f t="shared" ca="1" si="80"/>
        <v>0</v>
      </c>
      <c r="E2443" s="148">
        <f t="shared" ca="1" si="81"/>
        <v>12.599999999999994</v>
      </c>
    </row>
    <row r="2444" spans="2:5" x14ac:dyDescent="0.25">
      <c r="B2444" s="8">
        <v>40038</v>
      </c>
      <c r="C2444" s="6">
        <f ca="1">IF(OR($C$7="",$B2444&gt;NOW()),"",IF(INDEX(Data!$A:$G,MATCH($B2444,Data!$A:$A,0),MATCH($C$7,Data!$4:$4,0))="","",INDEX(Data!$A:$G,MATCH($B2444,Data!$A:$A,0),MATCH($C$7,Data!$4:$4,0))))</f>
        <v>71.8</v>
      </c>
      <c r="D2444" s="148">
        <f t="shared" ca="1" si="80"/>
        <v>0</v>
      </c>
      <c r="E2444" s="148">
        <f t="shared" ca="1" si="81"/>
        <v>6.7999999999999972</v>
      </c>
    </row>
    <row r="2445" spans="2:5" x14ac:dyDescent="0.25">
      <c r="B2445" s="8">
        <v>40039</v>
      </c>
      <c r="C2445" s="6">
        <f ca="1">IF(OR($C$7="",$B2445&gt;NOW()),"",IF(INDEX(Data!$A:$G,MATCH($B2445,Data!$A:$A,0),MATCH($C$7,Data!$4:$4,0))="","",INDEX(Data!$A:$G,MATCH($B2445,Data!$A:$A,0),MATCH($C$7,Data!$4:$4,0))))</f>
        <v>75.7</v>
      </c>
      <c r="D2445" s="148">
        <f t="shared" ca="1" si="80"/>
        <v>0</v>
      </c>
      <c r="E2445" s="148">
        <f t="shared" ca="1" si="81"/>
        <v>10.700000000000003</v>
      </c>
    </row>
    <row r="2446" spans="2:5" x14ac:dyDescent="0.25">
      <c r="B2446" s="8">
        <v>40040</v>
      </c>
      <c r="C2446" s="6">
        <f ca="1">IF(OR($C$7="",$B2446&gt;NOW()),"",IF(INDEX(Data!$A:$G,MATCH($B2446,Data!$A:$A,0),MATCH($C$7,Data!$4:$4,0))="","",INDEX(Data!$A:$G,MATCH($B2446,Data!$A:$A,0),MATCH($C$7,Data!$4:$4,0))))</f>
        <v>79.3</v>
      </c>
      <c r="D2446" s="148">
        <f t="shared" ca="1" si="80"/>
        <v>0</v>
      </c>
      <c r="E2446" s="148">
        <f t="shared" ca="1" si="81"/>
        <v>14.299999999999997</v>
      </c>
    </row>
    <row r="2447" spans="2:5" x14ac:dyDescent="0.25">
      <c r="B2447" s="8">
        <v>40041</v>
      </c>
      <c r="C2447" s="6">
        <f ca="1">IF(OR($C$7="",$B2447&gt;NOW()),"",IF(INDEX(Data!$A:$G,MATCH($B2447,Data!$A:$A,0),MATCH($C$7,Data!$4:$4,0))="","",INDEX(Data!$A:$G,MATCH($B2447,Data!$A:$A,0),MATCH($C$7,Data!$4:$4,0))))</f>
        <v>81</v>
      </c>
      <c r="D2447" s="148">
        <f t="shared" ca="1" si="80"/>
        <v>0</v>
      </c>
      <c r="E2447" s="148">
        <f t="shared" ca="1" si="81"/>
        <v>16</v>
      </c>
    </row>
    <row r="2448" spans="2:5" x14ac:dyDescent="0.25">
      <c r="B2448" s="8">
        <v>40042</v>
      </c>
      <c r="C2448" s="6">
        <f ca="1">IF(OR($C$7="",$B2448&gt;NOW()),"",IF(INDEX(Data!$A:$G,MATCH($B2448,Data!$A:$A,0),MATCH($C$7,Data!$4:$4,0))="","",INDEX(Data!$A:$G,MATCH($B2448,Data!$A:$A,0),MATCH($C$7,Data!$4:$4,0))))</f>
        <v>83.9</v>
      </c>
      <c r="D2448" s="148">
        <f t="shared" ca="1" si="80"/>
        <v>0</v>
      </c>
      <c r="E2448" s="148">
        <f t="shared" ca="1" si="81"/>
        <v>18.900000000000006</v>
      </c>
    </row>
    <row r="2449" spans="2:5" x14ac:dyDescent="0.25">
      <c r="B2449" s="8">
        <v>40043</v>
      </c>
      <c r="C2449" s="6">
        <f ca="1">IF(OR($C$7="",$B2449&gt;NOW()),"",IF(INDEX(Data!$A:$G,MATCH($B2449,Data!$A:$A,0),MATCH($C$7,Data!$4:$4,0))="","",INDEX(Data!$A:$G,MATCH($B2449,Data!$A:$A,0),MATCH($C$7,Data!$4:$4,0))))</f>
        <v>84.7</v>
      </c>
      <c r="D2449" s="148">
        <f t="shared" ca="1" si="80"/>
        <v>0</v>
      </c>
      <c r="E2449" s="148">
        <f t="shared" ca="1" si="81"/>
        <v>19.700000000000003</v>
      </c>
    </row>
    <row r="2450" spans="2:5" x14ac:dyDescent="0.25">
      <c r="B2450" s="8">
        <v>40044</v>
      </c>
      <c r="C2450" s="6">
        <f ca="1">IF(OR($C$7="",$B2450&gt;NOW()),"",IF(INDEX(Data!$A:$G,MATCH($B2450,Data!$A:$A,0),MATCH($C$7,Data!$4:$4,0))="","",INDEX(Data!$A:$G,MATCH($B2450,Data!$A:$A,0),MATCH($C$7,Data!$4:$4,0))))</f>
        <v>81.3</v>
      </c>
      <c r="D2450" s="148">
        <f t="shared" ca="1" si="80"/>
        <v>0</v>
      </c>
      <c r="E2450" s="148">
        <f t="shared" ca="1" si="81"/>
        <v>16.299999999999997</v>
      </c>
    </row>
    <row r="2451" spans="2:5" x14ac:dyDescent="0.25">
      <c r="B2451" s="8">
        <v>40045</v>
      </c>
      <c r="C2451" s="6">
        <f ca="1">IF(OR($C$7="",$B2451&gt;NOW()),"",IF(INDEX(Data!$A:$G,MATCH($B2451,Data!$A:$A,0),MATCH($C$7,Data!$4:$4,0))="","",INDEX(Data!$A:$G,MATCH($B2451,Data!$A:$A,0),MATCH($C$7,Data!$4:$4,0))))</f>
        <v>82.9</v>
      </c>
      <c r="D2451" s="148">
        <f t="shared" ca="1" si="80"/>
        <v>0</v>
      </c>
      <c r="E2451" s="148">
        <f t="shared" ca="1" si="81"/>
        <v>17.900000000000006</v>
      </c>
    </row>
    <row r="2452" spans="2:5" x14ac:dyDescent="0.25">
      <c r="B2452" s="8">
        <v>40046</v>
      </c>
      <c r="C2452" s="6">
        <f ca="1">IF(OR($C$7="",$B2452&gt;NOW()),"",IF(INDEX(Data!$A:$G,MATCH($B2452,Data!$A:$A,0),MATCH($C$7,Data!$4:$4,0))="","",INDEX(Data!$A:$G,MATCH($B2452,Data!$A:$A,0),MATCH($C$7,Data!$4:$4,0))))</f>
        <v>82.4</v>
      </c>
      <c r="D2452" s="148">
        <f t="shared" ca="1" si="80"/>
        <v>0</v>
      </c>
      <c r="E2452" s="148">
        <f t="shared" ca="1" si="81"/>
        <v>17.400000000000006</v>
      </c>
    </row>
    <row r="2453" spans="2:5" x14ac:dyDescent="0.25">
      <c r="B2453" s="8">
        <v>40047</v>
      </c>
      <c r="C2453" s="6">
        <f ca="1">IF(OR($C$7="",$B2453&gt;NOW()),"",IF(INDEX(Data!$A:$G,MATCH($B2453,Data!$A:$A,0),MATCH($C$7,Data!$4:$4,0))="","",INDEX(Data!$A:$G,MATCH($B2453,Data!$A:$A,0),MATCH($C$7,Data!$4:$4,0))))</f>
        <v>77.2</v>
      </c>
      <c r="D2453" s="148">
        <f t="shared" ca="1" si="80"/>
        <v>0</v>
      </c>
      <c r="E2453" s="148">
        <f t="shared" ca="1" si="81"/>
        <v>12.200000000000003</v>
      </c>
    </row>
    <row r="2454" spans="2:5" x14ac:dyDescent="0.25">
      <c r="B2454" s="8">
        <v>40048</v>
      </c>
      <c r="C2454" s="6">
        <f ca="1">IF(OR($C$7="",$B2454&gt;NOW()),"",IF(INDEX(Data!$A:$G,MATCH($B2454,Data!$A:$A,0),MATCH($C$7,Data!$4:$4,0))="","",INDEX(Data!$A:$G,MATCH($B2454,Data!$A:$A,0),MATCH($C$7,Data!$4:$4,0))))</f>
        <v>78.2</v>
      </c>
      <c r="D2454" s="148">
        <f t="shared" ca="1" si="80"/>
        <v>0</v>
      </c>
      <c r="E2454" s="148">
        <f t="shared" ca="1" si="81"/>
        <v>13.200000000000003</v>
      </c>
    </row>
    <row r="2455" spans="2:5" x14ac:dyDescent="0.25">
      <c r="B2455" s="8">
        <v>40049</v>
      </c>
      <c r="C2455" s="6">
        <f ca="1">IF(OR($C$7="",$B2455&gt;NOW()),"",IF(INDEX(Data!$A:$G,MATCH($B2455,Data!$A:$A,0),MATCH($C$7,Data!$4:$4,0))="","",INDEX(Data!$A:$G,MATCH($B2455,Data!$A:$A,0),MATCH($C$7,Data!$4:$4,0))))</f>
        <v>76.5</v>
      </c>
      <c r="D2455" s="148">
        <f t="shared" ca="1" si="80"/>
        <v>0</v>
      </c>
      <c r="E2455" s="148">
        <f t="shared" ca="1" si="81"/>
        <v>11.5</v>
      </c>
    </row>
    <row r="2456" spans="2:5" x14ac:dyDescent="0.25">
      <c r="B2456" s="8">
        <v>40050</v>
      </c>
      <c r="C2456" s="6">
        <f ca="1">IF(OR($C$7="",$B2456&gt;NOW()),"",IF(INDEX(Data!$A:$G,MATCH($B2456,Data!$A:$A,0),MATCH($C$7,Data!$4:$4,0))="","",INDEX(Data!$A:$G,MATCH($B2456,Data!$A:$A,0),MATCH($C$7,Data!$4:$4,0))))</f>
        <v>78</v>
      </c>
      <c r="D2456" s="148">
        <f t="shared" ca="1" si="80"/>
        <v>0</v>
      </c>
      <c r="E2456" s="148">
        <f t="shared" ca="1" si="81"/>
        <v>13</v>
      </c>
    </row>
    <row r="2457" spans="2:5" x14ac:dyDescent="0.25">
      <c r="B2457" s="8">
        <v>40051</v>
      </c>
      <c r="C2457" s="6">
        <f ca="1">IF(OR($C$7="",$B2457&gt;NOW()),"",IF(INDEX(Data!$A:$G,MATCH($B2457,Data!$A:$A,0),MATCH($C$7,Data!$4:$4,0))="","",INDEX(Data!$A:$G,MATCH($B2457,Data!$A:$A,0),MATCH($C$7,Data!$4:$4,0))))</f>
        <v>80</v>
      </c>
      <c r="D2457" s="148">
        <f t="shared" ca="1" si="80"/>
        <v>0</v>
      </c>
      <c r="E2457" s="148">
        <f t="shared" ca="1" si="81"/>
        <v>15</v>
      </c>
    </row>
    <row r="2458" spans="2:5" x14ac:dyDescent="0.25">
      <c r="B2458" s="8">
        <v>40052</v>
      </c>
      <c r="C2458" s="6">
        <f ca="1">IF(OR($C$7="",$B2458&gt;NOW()),"",IF(INDEX(Data!$A:$G,MATCH($B2458,Data!$A:$A,0),MATCH($C$7,Data!$4:$4,0))="","",INDEX(Data!$A:$G,MATCH($B2458,Data!$A:$A,0),MATCH($C$7,Data!$4:$4,0))))</f>
        <v>74.400000000000006</v>
      </c>
      <c r="D2458" s="148">
        <f t="shared" ca="1" si="80"/>
        <v>0</v>
      </c>
      <c r="E2458" s="148">
        <f t="shared" ca="1" si="81"/>
        <v>9.4000000000000057</v>
      </c>
    </row>
    <row r="2459" spans="2:5" x14ac:dyDescent="0.25">
      <c r="B2459" s="8">
        <v>40053</v>
      </c>
      <c r="C2459" s="6">
        <f ca="1">IF(OR($C$7="",$B2459&gt;NOW()),"",IF(INDEX(Data!$A:$G,MATCH($B2459,Data!$A:$A,0),MATCH($C$7,Data!$4:$4,0))="","",INDEX(Data!$A:$G,MATCH($B2459,Data!$A:$A,0),MATCH($C$7,Data!$4:$4,0))))</f>
        <v>70.2</v>
      </c>
      <c r="D2459" s="148">
        <f t="shared" ca="1" si="80"/>
        <v>0</v>
      </c>
      <c r="E2459" s="148">
        <f t="shared" ca="1" si="81"/>
        <v>5.2000000000000028</v>
      </c>
    </row>
    <row r="2460" spans="2:5" x14ac:dyDescent="0.25">
      <c r="B2460" s="8">
        <v>40054</v>
      </c>
      <c r="C2460" s="6">
        <f ca="1">IF(OR($C$7="",$B2460&gt;NOW()),"",IF(INDEX(Data!$A:$G,MATCH($B2460,Data!$A:$A,0),MATCH($C$7,Data!$4:$4,0))="","",INDEX(Data!$A:$G,MATCH($B2460,Data!$A:$A,0),MATCH($C$7,Data!$4:$4,0))))</f>
        <v>70.099999999999994</v>
      </c>
      <c r="D2460" s="148">
        <f t="shared" ca="1" si="80"/>
        <v>0</v>
      </c>
      <c r="E2460" s="148">
        <f t="shared" ca="1" si="81"/>
        <v>5.0999999999999943</v>
      </c>
    </row>
    <row r="2461" spans="2:5" x14ac:dyDescent="0.25">
      <c r="B2461" s="8">
        <v>40055</v>
      </c>
      <c r="C2461" s="6">
        <f ca="1">IF(OR($C$7="",$B2461&gt;NOW()),"",IF(INDEX(Data!$A:$G,MATCH($B2461,Data!$A:$A,0),MATCH($C$7,Data!$4:$4,0))="","",INDEX(Data!$A:$G,MATCH($B2461,Data!$A:$A,0),MATCH($C$7,Data!$4:$4,0))))</f>
        <v>71.599999999999994</v>
      </c>
      <c r="D2461" s="148">
        <f t="shared" ref="D2461:D2524" ca="1" si="82">IF($C2461="","",IF($C2461&gt;$D$26,0,$D$26-$C2461))</f>
        <v>0</v>
      </c>
      <c r="E2461" s="148">
        <f t="shared" ref="E2461:E2524" ca="1" si="83">IF($C2461="","",IF($C2461&lt;$E$26,0,$C2461-$E$26))</f>
        <v>6.5999999999999943</v>
      </c>
    </row>
    <row r="2462" spans="2:5" x14ac:dyDescent="0.25">
      <c r="B2462" s="8">
        <v>40056</v>
      </c>
      <c r="C2462" s="6">
        <f ca="1">IF(OR($C$7="",$B2462&gt;NOW()),"",IF(INDEX(Data!$A:$G,MATCH($B2462,Data!$A:$A,0),MATCH($C$7,Data!$4:$4,0))="","",INDEX(Data!$A:$G,MATCH($B2462,Data!$A:$A,0),MATCH($C$7,Data!$4:$4,0))))</f>
        <v>68.7</v>
      </c>
      <c r="D2462" s="148">
        <f t="shared" ca="1" si="82"/>
        <v>0</v>
      </c>
      <c r="E2462" s="148">
        <f t="shared" ca="1" si="83"/>
        <v>3.7000000000000028</v>
      </c>
    </row>
    <row r="2463" spans="2:5" x14ac:dyDescent="0.25">
      <c r="B2463" s="8">
        <v>40057</v>
      </c>
      <c r="C2463" s="6">
        <f ca="1">IF(OR($C$7="",$B2463&gt;NOW()),"",IF(INDEX(Data!$A:$G,MATCH($B2463,Data!$A:$A,0),MATCH($C$7,Data!$4:$4,0))="","",INDEX(Data!$A:$G,MATCH($B2463,Data!$A:$A,0),MATCH($C$7,Data!$4:$4,0))))</f>
        <v>66.599999999999994</v>
      </c>
      <c r="D2463" s="148">
        <f t="shared" ca="1" si="82"/>
        <v>0</v>
      </c>
      <c r="E2463" s="148">
        <f t="shared" ca="1" si="83"/>
        <v>1.5999999999999943</v>
      </c>
    </row>
    <row r="2464" spans="2:5" x14ac:dyDescent="0.25">
      <c r="B2464" s="8">
        <v>40058</v>
      </c>
      <c r="C2464" s="6">
        <f ca="1">IF(OR($C$7="",$B2464&gt;NOW()),"",IF(INDEX(Data!$A:$G,MATCH($B2464,Data!$A:$A,0),MATCH($C$7,Data!$4:$4,0))="","",INDEX(Data!$A:$G,MATCH($B2464,Data!$A:$A,0),MATCH($C$7,Data!$4:$4,0))))</f>
        <v>68.599999999999994</v>
      </c>
      <c r="D2464" s="148">
        <f t="shared" ca="1" si="82"/>
        <v>0</v>
      </c>
      <c r="E2464" s="148">
        <f t="shared" ca="1" si="83"/>
        <v>3.5999999999999943</v>
      </c>
    </row>
    <row r="2465" spans="2:5" x14ac:dyDescent="0.25">
      <c r="B2465" s="8">
        <v>40059</v>
      </c>
      <c r="C2465" s="6">
        <f ca="1">IF(OR($C$7="",$B2465&gt;NOW()),"",IF(INDEX(Data!$A:$G,MATCH($B2465,Data!$A:$A,0),MATCH($C$7,Data!$4:$4,0))="","",INDEX(Data!$A:$G,MATCH($B2465,Data!$A:$A,0),MATCH($C$7,Data!$4:$4,0))))</f>
        <v>69.2</v>
      </c>
      <c r="D2465" s="148">
        <f t="shared" ca="1" si="82"/>
        <v>0</v>
      </c>
      <c r="E2465" s="148">
        <f t="shared" ca="1" si="83"/>
        <v>4.2000000000000028</v>
      </c>
    </row>
    <row r="2466" spans="2:5" x14ac:dyDescent="0.25">
      <c r="B2466" s="8">
        <v>40060</v>
      </c>
      <c r="C2466" s="6">
        <f ca="1">IF(OR($C$7="",$B2466&gt;NOW()),"",IF(INDEX(Data!$A:$G,MATCH($B2466,Data!$A:$A,0),MATCH($C$7,Data!$4:$4,0))="","",INDEX(Data!$A:$G,MATCH($B2466,Data!$A:$A,0),MATCH($C$7,Data!$4:$4,0))))</f>
        <v>72.7</v>
      </c>
      <c r="D2466" s="148">
        <f t="shared" ca="1" si="82"/>
        <v>0</v>
      </c>
      <c r="E2466" s="148">
        <f t="shared" ca="1" si="83"/>
        <v>7.7000000000000028</v>
      </c>
    </row>
    <row r="2467" spans="2:5" x14ac:dyDescent="0.25">
      <c r="B2467" s="8">
        <v>40061</v>
      </c>
      <c r="C2467" s="6">
        <f ca="1">IF(OR($C$7="",$B2467&gt;NOW()),"",IF(INDEX(Data!$A:$G,MATCH($B2467,Data!$A:$A,0),MATCH($C$7,Data!$4:$4,0))="","",INDEX(Data!$A:$G,MATCH($B2467,Data!$A:$A,0),MATCH($C$7,Data!$4:$4,0))))</f>
        <v>77.3</v>
      </c>
      <c r="D2467" s="148">
        <f t="shared" ca="1" si="82"/>
        <v>0</v>
      </c>
      <c r="E2467" s="148">
        <f t="shared" ca="1" si="83"/>
        <v>12.299999999999997</v>
      </c>
    </row>
    <row r="2468" spans="2:5" x14ac:dyDescent="0.25">
      <c r="B2468" s="8">
        <v>40062</v>
      </c>
      <c r="C2468" s="6">
        <f ca="1">IF(OR($C$7="",$B2468&gt;NOW()),"",IF(INDEX(Data!$A:$G,MATCH($B2468,Data!$A:$A,0),MATCH($C$7,Data!$4:$4,0))="","",INDEX(Data!$A:$G,MATCH($B2468,Data!$A:$A,0),MATCH($C$7,Data!$4:$4,0))))</f>
        <v>70.900000000000006</v>
      </c>
      <c r="D2468" s="148">
        <f t="shared" ca="1" si="82"/>
        <v>0</v>
      </c>
      <c r="E2468" s="148">
        <f t="shared" ca="1" si="83"/>
        <v>5.9000000000000057</v>
      </c>
    </row>
    <row r="2469" spans="2:5" x14ac:dyDescent="0.25">
      <c r="B2469" s="8">
        <v>40063</v>
      </c>
      <c r="C2469" s="6">
        <f ca="1">IF(OR($C$7="",$B2469&gt;NOW()),"",IF(INDEX(Data!$A:$G,MATCH($B2469,Data!$A:$A,0),MATCH($C$7,Data!$4:$4,0))="","",INDEX(Data!$A:$G,MATCH($B2469,Data!$A:$A,0),MATCH($C$7,Data!$4:$4,0))))</f>
        <v>66.400000000000006</v>
      </c>
      <c r="D2469" s="148">
        <f t="shared" ca="1" si="82"/>
        <v>0</v>
      </c>
      <c r="E2469" s="148">
        <f t="shared" ca="1" si="83"/>
        <v>1.4000000000000057</v>
      </c>
    </row>
    <row r="2470" spans="2:5" x14ac:dyDescent="0.25">
      <c r="B2470" s="8">
        <v>40064</v>
      </c>
      <c r="C2470" s="6">
        <f ca="1">IF(OR($C$7="",$B2470&gt;NOW()),"",IF(INDEX(Data!$A:$G,MATCH($B2470,Data!$A:$A,0),MATCH($C$7,Data!$4:$4,0))="","",INDEX(Data!$A:$G,MATCH($B2470,Data!$A:$A,0),MATCH($C$7,Data!$4:$4,0))))</f>
        <v>68.8</v>
      </c>
      <c r="D2470" s="148">
        <f t="shared" ca="1" si="82"/>
        <v>0</v>
      </c>
      <c r="E2470" s="148">
        <f t="shared" ca="1" si="83"/>
        <v>3.7999999999999972</v>
      </c>
    </row>
    <row r="2471" spans="2:5" x14ac:dyDescent="0.25">
      <c r="B2471" s="8">
        <v>40065</v>
      </c>
      <c r="C2471" s="6">
        <f ca="1">IF(OR($C$7="",$B2471&gt;NOW()),"",IF(INDEX(Data!$A:$G,MATCH($B2471,Data!$A:$A,0),MATCH($C$7,Data!$4:$4,0))="","",INDEX(Data!$A:$G,MATCH($B2471,Data!$A:$A,0),MATCH($C$7,Data!$4:$4,0))))</f>
        <v>71.3</v>
      </c>
      <c r="D2471" s="148">
        <f t="shared" ca="1" si="82"/>
        <v>0</v>
      </c>
      <c r="E2471" s="148">
        <f t="shared" ca="1" si="83"/>
        <v>6.2999999999999972</v>
      </c>
    </row>
    <row r="2472" spans="2:5" x14ac:dyDescent="0.25">
      <c r="B2472" s="8">
        <v>40066</v>
      </c>
      <c r="C2472" s="6">
        <f ca="1">IF(OR($C$7="",$B2472&gt;NOW()),"",IF(INDEX(Data!$A:$G,MATCH($B2472,Data!$A:$A,0),MATCH($C$7,Data!$4:$4,0))="","",INDEX(Data!$A:$G,MATCH($B2472,Data!$A:$A,0),MATCH($C$7,Data!$4:$4,0))))</f>
        <v>66</v>
      </c>
      <c r="D2472" s="148">
        <f t="shared" ca="1" si="82"/>
        <v>0</v>
      </c>
      <c r="E2472" s="148">
        <f t="shared" ca="1" si="83"/>
        <v>1</v>
      </c>
    </row>
    <row r="2473" spans="2:5" x14ac:dyDescent="0.25">
      <c r="B2473" s="8">
        <v>40067</v>
      </c>
      <c r="C2473" s="6">
        <f ca="1">IF(OR($C$7="",$B2473&gt;NOW()),"",IF(INDEX(Data!$A:$G,MATCH($B2473,Data!$A:$A,0),MATCH($C$7,Data!$4:$4,0))="","",INDEX(Data!$A:$G,MATCH($B2473,Data!$A:$A,0),MATCH($C$7,Data!$4:$4,0))))</f>
        <v>62.9</v>
      </c>
      <c r="D2473" s="148">
        <f t="shared" ca="1" si="82"/>
        <v>2.1000000000000014</v>
      </c>
      <c r="E2473" s="148">
        <f t="shared" ca="1" si="83"/>
        <v>0</v>
      </c>
    </row>
    <row r="2474" spans="2:5" x14ac:dyDescent="0.25">
      <c r="B2474" s="8">
        <v>40068</v>
      </c>
      <c r="C2474" s="6">
        <f ca="1">IF(OR($C$7="",$B2474&gt;NOW()),"",IF(INDEX(Data!$A:$G,MATCH($B2474,Data!$A:$A,0),MATCH($C$7,Data!$4:$4,0))="","",INDEX(Data!$A:$G,MATCH($B2474,Data!$A:$A,0),MATCH($C$7,Data!$4:$4,0))))</f>
        <v>66</v>
      </c>
      <c r="D2474" s="148">
        <f t="shared" ca="1" si="82"/>
        <v>0</v>
      </c>
      <c r="E2474" s="148">
        <f t="shared" ca="1" si="83"/>
        <v>1</v>
      </c>
    </row>
    <row r="2475" spans="2:5" x14ac:dyDescent="0.25">
      <c r="B2475" s="8">
        <v>40069</v>
      </c>
      <c r="C2475" s="6">
        <f ca="1">IF(OR($C$7="",$B2475&gt;NOW()),"",IF(INDEX(Data!$A:$G,MATCH($B2475,Data!$A:$A,0),MATCH($C$7,Data!$4:$4,0))="","",INDEX(Data!$A:$G,MATCH($B2475,Data!$A:$A,0),MATCH($C$7,Data!$4:$4,0))))</f>
        <v>71.3</v>
      </c>
      <c r="D2475" s="148">
        <f t="shared" ca="1" si="82"/>
        <v>0</v>
      </c>
      <c r="E2475" s="148">
        <f t="shared" ca="1" si="83"/>
        <v>6.2999999999999972</v>
      </c>
    </row>
    <row r="2476" spans="2:5" x14ac:dyDescent="0.25">
      <c r="B2476" s="8">
        <v>40070</v>
      </c>
      <c r="C2476" s="6">
        <f ca="1">IF(OR($C$7="",$B2476&gt;NOW()),"",IF(INDEX(Data!$A:$G,MATCH($B2476,Data!$A:$A,0),MATCH($C$7,Data!$4:$4,0))="","",INDEX(Data!$A:$G,MATCH($B2476,Data!$A:$A,0),MATCH($C$7,Data!$4:$4,0))))</f>
        <v>71.599999999999994</v>
      </c>
      <c r="D2476" s="148">
        <f t="shared" ca="1" si="82"/>
        <v>0</v>
      </c>
      <c r="E2476" s="148">
        <f t="shared" ca="1" si="83"/>
        <v>6.5999999999999943</v>
      </c>
    </row>
    <row r="2477" spans="2:5" x14ac:dyDescent="0.25">
      <c r="B2477" s="8">
        <v>40071</v>
      </c>
      <c r="C2477" s="6">
        <f ca="1">IF(OR($C$7="",$B2477&gt;NOW()),"",IF(INDEX(Data!$A:$G,MATCH($B2477,Data!$A:$A,0),MATCH($C$7,Data!$4:$4,0))="","",INDEX(Data!$A:$G,MATCH($B2477,Data!$A:$A,0),MATCH($C$7,Data!$4:$4,0))))</f>
        <v>73.2</v>
      </c>
      <c r="D2477" s="148">
        <f t="shared" ca="1" si="82"/>
        <v>0</v>
      </c>
      <c r="E2477" s="148">
        <f t="shared" ca="1" si="83"/>
        <v>8.2000000000000028</v>
      </c>
    </row>
    <row r="2478" spans="2:5" x14ac:dyDescent="0.25">
      <c r="B2478" s="8">
        <v>40072</v>
      </c>
      <c r="C2478" s="6">
        <f ca="1">IF(OR($C$7="",$B2478&gt;NOW()),"",IF(INDEX(Data!$A:$G,MATCH($B2478,Data!$A:$A,0),MATCH($C$7,Data!$4:$4,0))="","",INDEX(Data!$A:$G,MATCH($B2478,Data!$A:$A,0),MATCH($C$7,Data!$4:$4,0))))</f>
        <v>68.7</v>
      </c>
      <c r="D2478" s="148">
        <f t="shared" ca="1" si="82"/>
        <v>0</v>
      </c>
      <c r="E2478" s="148">
        <f t="shared" ca="1" si="83"/>
        <v>3.7000000000000028</v>
      </c>
    </row>
    <row r="2479" spans="2:5" x14ac:dyDescent="0.25">
      <c r="B2479" s="8">
        <v>40073</v>
      </c>
      <c r="C2479" s="6">
        <f ca="1">IF(OR($C$7="",$B2479&gt;NOW()),"",IF(INDEX(Data!$A:$G,MATCH($B2479,Data!$A:$A,0),MATCH($C$7,Data!$4:$4,0))="","",INDEX(Data!$A:$G,MATCH($B2479,Data!$A:$A,0),MATCH($C$7,Data!$4:$4,0))))</f>
        <v>61.4</v>
      </c>
      <c r="D2479" s="148">
        <f t="shared" ca="1" si="82"/>
        <v>3.6000000000000014</v>
      </c>
      <c r="E2479" s="148">
        <f t="shared" ca="1" si="83"/>
        <v>0</v>
      </c>
    </row>
    <row r="2480" spans="2:5" x14ac:dyDescent="0.25">
      <c r="B2480" s="8">
        <v>40074</v>
      </c>
      <c r="C2480" s="6">
        <f ca="1">IF(OR($C$7="",$B2480&gt;NOW()),"",IF(INDEX(Data!$A:$G,MATCH($B2480,Data!$A:$A,0),MATCH($C$7,Data!$4:$4,0))="","",INDEX(Data!$A:$G,MATCH($B2480,Data!$A:$A,0),MATCH($C$7,Data!$4:$4,0))))</f>
        <v>65.3</v>
      </c>
      <c r="D2480" s="148">
        <f t="shared" ca="1" si="82"/>
        <v>0</v>
      </c>
      <c r="E2480" s="148">
        <f t="shared" ca="1" si="83"/>
        <v>0.29999999999999716</v>
      </c>
    </row>
    <row r="2481" spans="2:5" x14ac:dyDescent="0.25">
      <c r="B2481" s="8">
        <v>40075</v>
      </c>
      <c r="C2481" s="6">
        <f ca="1">IF(OR($C$7="",$B2481&gt;NOW()),"",IF(INDEX(Data!$A:$G,MATCH($B2481,Data!$A:$A,0),MATCH($C$7,Data!$4:$4,0))="","",INDEX(Data!$A:$G,MATCH($B2481,Data!$A:$A,0),MATCH($C$7,Data!$4:$4,0))))</f>
        <v>64.8</v>
      </c>
      <c r="D2481" s="148">
        <f t="shared" ca="1" si="82"/>
        <v>0.20000000000000284</v>
      </c>
      <c r="E2481" s="148">
        <f t="shared" ca="1" si="83"/>
        <v>0</v>
      </c>
    </row>
    <row r="2482" spans="2:5" x14ac:dyDescent="0.25">
      <c r="B2482" s="8">
        <v>40076</v>
      </c>
      <c r="C2482" s="6">
        <f ca="1">IF(OR($C$7="",$B2482&gt;NOW()),"",IF(INDEX(Data!$A:$G,MATCH($B2482,Data!$A:$A,0),MATCH($C$7,Data!$4:$4,0))="","",INDEX(Data!$A:$G,MATCH($B2482,Data!$A:$A,0),MATCH($C$7,Data!$4:$4,0))))</f>
        <v>64.900000000000006</v>
      </c>
      <c r="D2482" s="148">
        <f t="shared" ca="1" si="82"/>
        <v>9.9999999999994316E-2</v>
      </c>
      <c r="E2482" s="148">
        <f t="shared" ca="1" si="83"/>
        <v>0</v>
      </c>
    </row>
    <row r="2483" spans="2:5" x14ac:dyDescent="0.25">
      <c r="B2483" s="8">
        <v>40077</v>
      </c>
      <c r="C2483" s="6">
        <f ca="1">IF(OR($C$7="",$B2483&gt;NOW()),"",IF(INDEX(Data!$A:$G,MATCH($B2483,Data!$A:$A,0),MATCH($C$7,Data!$4:$4,0))="","",INDEX(Data!$A:$G,MATCH($B2483,Data!$A:$A,0),MATCH($C$7,Data!$4:$4,0))))</f>
        <v>66.900000000000006</v>
      </c>
      <c r="D2483" s="148">
        <f t="shared" ca="1" si="82"/>
        <v>0</v>
      </c>
      <c r="E2483" s="148">
        <f t="shared" ca="1" si="83"/>
        <v>1.9000000000000057</v>
      </c>
    </row>
    <row r="2484" spans="2:5" x14ac:dyDescent="0.25">
      <c r="B2484" s="8">
        <v>40078</v>
      </c>
      <c r="C2484" s="6">
        <f ca="1">IF(OR($C$7="",$B2484&gt;NOW()),"",IF(INDEX(Data!$A:$G,MATCH($B2484,Data!$A:$A,0),MATCH($C$7,Data!$4:$4,0))="","",INDEX(Data!$A:$G,MATCH($B2484,Data!$A:$A,0),MATCH($C$7,Data!$4:$4,0))))</f>
        <v>70</v>
      </c>
      <c r="D2484" s="148">
        <f t="shared" ca="1" si="82"/>
        <v>0</v>
      </c>
      <c r="E2484" s="148">
        <f t="shared" ca="1" si="83"/>
        <v>5</v>
      </c>
    </row>
    <row r="2485" spans="2:5" x14ac:dyDescent="0.25">
      <c r="B2485" s="8">
        <v>40079</v>
      </c>
      <c r="C2485" s="6">
        <f ca="1">IF(OR($C$7="",$B2485&gt;NOW()),"",IF(INDEX(Data!$A:$G,MATCH($B2485,Data!$A:$A,0),MATCH($C$7,Data!$4:$4,0))="","",INDEX(Data!$A:$G,MATCH($B2485,Data!$A:$A,0),MATCH($C$7,Data!$4:$4,0))))</f>
        <v>73.599999999999994</v>
      </c>
      <c r="D2485" s="148">
        <f t="shared" ca="1" si="82"/>
        <v>0</v>
      </c>
      <c r="E2485" s="148">
        <f t="shared" ca="1" si="83"/>
        <v>8.5999999999999943</v>
      </c>
    </row>
    <row r="2486" spans="2:5" x14ac:dyDescent="0.25">
      <c r="B2486" s="8">
        <v>40080</v>
      </c>
      <c r="C2486" s="6">
        <f ca="1">IF(OR($C$7="",$B2486&gt;NOW()),"",IF(INDEX(Data!$A:$G,MATCH($B2486,Data!$A:$A,0),MATCH($C$7,Data!$4:$4,0))="","",INDEX(Data!$A:$G,MATCH($B2486,Data!$A:$A,0),MATCH($C$7,Data!$4:$4,0))))</f>
        <v>76.8</v>
      </c>
      <c r="D2486" s="148">
        <f t="shared" ca="1" si="82"/>
        <v>0</v>
      </c>
      <c r="E2486" s="148">
        <f t="shared" ca="1" si="83"/>
        <v>11.799999999999997</v>
      </c>
    </row>
    <row r="2487" spans="2:5" x14ac:dyDescent="0.25">
      <c r="B2487" s="8">
        <v>40081</v>
      </c>
      <c r="C2487" s="6">
        <f ca="1">IF(OR($C$7="",$B2487&gt;NOW()),"",IF(INDEX(Data!$A:$G,MATCH($B2487,Data!$A:$A,0),MATCH($C$7,Data!$4:$4,0))="","",INDEX(Data!$A:$G,MATCH($B2487,Data!$A:$A,0),MATCH($C$7,Data!$4:$4,0))))</f>
        <v>67.099999999999994</v>
      </c>
      <c r="D2487" s="148">
        <f t="shared" ca="1" si="82"/>
        <v>0</v>
      </c>
      <c r="E2487" s="148">
        <f t="shared" ca="1" si="83"/>
        <v>2.0999999999999943</v>
      </c>
    </row>
    <row r="2488" spans="2:5" x14ac:dyDescent="0.25">
      <c r="B2488" s="8">
        <v>40082</v>
      </c>
      <c r="C2488" s="6">
        <f ca="1">IF(OR($C$7="",$B2488&gt;NOW()),"",IF(INDEX(Data!$A:$G,MATCH($B2488,Data!$A:$A,0),MATCH($C$7,Data!$4:$4,0))="","",INDEX(Data!$A:$G,MATCH($B2488,Data!$A:$A,0),MATCH($C$7,Data!$4:$4,0))))</f>
        <v>60.4</v>
      </c>
      <c r="D2488" s="148">
        <f t="shared" ca="1" si="82"/>
        <v>4.6000000000000014</v>
      </c>
      <c r="E2488" s="148">
        <f t="shared" ca="1" si="83"/>
        <v>0</v>
      </c>
    </row>
    <row r="2489" spans="2:5" x14ac:dyDescent="0.25">
      <c r="B2489" s="8">
        <v>40083</v>
      </c>
      <c r="C2489" s="6">
        <f ca="1">IF(OR($C$7="",$B2489&gt;NOW()),"",IF(INDEX(Data!$A:$G,MATCH($B2489,Data!$A:$A,0),MATCH($C$7,Data!$4:$4,0))="","",INDEX(Data!$A:$G,MATCH($B2489,Data!$A:$A,0),MATCH($C$7,Data!$4:$4,0))))</f>
        <v>63.8</v>
      </c>
      <c r="D2489" s="148">
        <f t="shared" ca="1" si="82"/>
        <v>1.2000000000000028</v>
      </c>
      <c r="E2489" s="148">
        <f t="shared" ca="1" si="83"/>
        <v>0</v>
      </c>
    </row>
    <row r="2490" spans="2:5" x14ac:dyDescent="0.25">
      <c r="B2490" s="8">
        <v>40084</v>
      </c>
      <c r="C2490" s="6">
        <f ca="1">IF(OR($C$7="",$B2490&gt;NOW()),"",IF(INDEX(Data!$A:$G,MATCH($B2490,Data!$A:$A,0),MATCH($C$7,Data!$4:$4,0))="","",INDEX(Data!$A:$G,MATCH($B2490,Data!$A:$A,0),MATCH($C$7,Data!$4:$4,0))))</f>
        <v>66.8</v>
      </c>
      <c r="D2490" s="148">
        <f t="shared" ca="1" si="82"/>
        <v>0</v>
      </c>
      <c r="E2490" s="148">
        <f t="shared" ca="1" si="83"/>
        <v>1.7999999999999972</v>
      </c>
    </row>
    <row r="2491" spans="2:5" x14ac:dyDescent="0.25">
      <c r="B2491" s="8">
        <v>40085</v>
      </c>
      <c r="C2491" s="6">
        <f ca="1">IF(OR($C$7="",$B2491&gt;NOW()),"",IF(INDEX(Data!$A:$G,MATCH($B2491,Data!$A:$A,0),MATCH($C$7,Data!$4:$4,0))="","",INDEX(Data!$A:$G,MATCH($B2491,Data!$A:$A,0),MATCH($C$7,Data!$4:$4,0))))</f>
        <v>63.5</v>
      </c>
      <c r="D2491" s="148">
        <f t="shared" ca="1" si="82"/>
        <v>1.5</v>
      </c>
      <c r="E2491" s="148">
        <f t="shared" ca="1" si="83"/>
        <v>0</v>
      </c>
    </row>
    <row r="2492" spans="2:5" x14ac:dyDescent="0.25">
      <c r="B2492" s="8">
        <v>40086</v>
      </c>
      <c r="C2492" s="6">
        <f ca="1">IF(OR($C$7="",$B2492&gt;NOW()),"",IF(INDEX(Data!$A:$G,MATCH($B2492,Data!$A:$A,0),MATCH($C$7,Data!$4:$4,0))="","",INDEX(Data!$A:$G,MATCH($B2492,Data!$A:$A,0),MATCH($C$7,Data!$4:$4,0))))</f>
        <v>58.9</v>
      </c>
      <c r="D2492" s="148">
        <f t="shared" ca="1" si="82"/>
        <v>6.1000000000000014</v>
      </c>
      <c r="E2492" s="148">
        <f t="shared" ca="1" si="83"/>
        <v>0</v>
      </c>
    </row>
    <row r="2493" spans="2:5" x14ac:dyDescent="0.25">
      <c r="B2493" s="8">
        <v>40087</v>
      </c>
      <c r="C2493" s="6">
        <f ca="1">IF(OR($C$7="",$B2493&gt;NOW()),"",IF(INDEX(Data!$A:$G,MATCH($B2493,Data!$A:$A,0),MATCH($C$7,Data!$4:$4,0))="","",INDEX(Data!$A:$G,MATCH($B2493,Data!$A:$A,0),MATCH($C$7,Data!$4:$4,0))))</f>
        <v>53.7</v>
      </c>
      <c r="D2493" s="148">
        <f t="shared" ca="1" si="82"/>
        <v>11.299999999999997</v>
      </c>
      <c r="E2493" s="148">
        <f t="shared" ca="1" si="83"/>
        <v>0</v>
      </c>
    </row>
    <row r="2494" spans="2:5" x14ac:dyDescent="0.25">
      <c r="B2494" s="8">
        <v>40088</v>
      </c>
      <c r="C2494" s="6">
        <f ca="1">IF(OR($C$7="",$B2494&gt;NOW()),"",IF(INDEX(Data!$A:$G,MATCH($B2494,Data!$A:$A,0),MATCH($C$7,Data!$4:$4,0))="","",INDEX(Data!$A:$G,MATCH($B2494,Data!$A:$A,0),MATCH($C$7,Data!$4:$4,0))))</f>
        <v>56.2</v>
      </c>
      <c r="D2494" s="148">
        <f t="shared" ca="1" si="82"/>
        <v>8.7999999999999972</v>
      </c>
      <c r="E2494" s="148">
        <f t="shared" ca="1" si="83"/>
        <v>0</v>
      </c>
    </row>
    <row r="2495" spans="2:5" x14ac:dyDescent="0.25">
      <c r="B2495" s="8">
        <v>40089</v>
      </c>
      <c r="C2495" s="6">
        <f ca="1">IF(OR($C$7="",$B2495&gt;NOW()),"",IF(INDEX(Data!$A:$G,MATCH($B2495,Data!$A:$A,0),MATCH($C$7,Data!$4:$4,0))="","",INDEX(Data!$A:$G,MATCH($B2495,Data!$A:$A,0),MATCH($C$7,Data!$4:$4,0))))</f>
        <v>66.599999999999994</v>
      </c>
      <c r="D2495" s="148">
        <f t="shared" ca="1" si="82"/>
        <v>0</v>
      </c>
      <c r="E2495" s="148">
        <f t="shared" ca="1" si="83"/>
        <v>1.5999999999999943</v>
      </c>
    </row>
    <row r="2496" spans="2:5" x14ac:dyDescent="0.25">
      <c r="B2496" s="8">
        <v>40090</v>
      </c>
      <c r="C2496" s="6">
        <f ca="1">IF(OR($C$7="",$B2496&gt;NOW()),"",IF(INDEX(Data!$A:$G,MATCH($B2496,Data!$A:$A,0),MATCH($C$7,Data!$4:$4,0))="","",INDEX(Data!$A:$G,MATCH($B2496,Data!$A:$A,0),MATCH($C$7,Data!$4:$4,0))))</f>
        <v>66.8</v>
      </c>
      <c r="D2496" s="148">
        <f t="shared" ca="1" si="82"/>
        <v>0</v>
      </c>
      <c r="E2496" s="148">
        <f t="shared" ca="1" si="83"/>
        <v>1.7999999999999972</v>
      </c>
    </row>
    <row r="2497" spans="2:5" x14ac:dyDescent="0.25">
      <c r="B2497" s="8">
        <v>40091</v>
      </c>
      <c r="C2497" s="6">
        <f ca="1">IF(OR($C$7="",$B2497&gt;NOW()),"",IF(INDEX(Data!$A:$G,MATCH($B2497,Data!$A:$A,0),MATCH($C$7,Data!$4:$4,0))="","",INDEX(Data!$A:$G,MATCH($B2497,Data!$A:$A,0),MATCH($C$7,Data!$4:$4,0))))</f>
        <v>61.6</v>
      </c>
      <c r="D2497" s="148">
        <f t="shared" ca="1" si="82"/>
        <v>3.3999999999999986</v>
      </c>
      <c r="E2497" s="148">
        <f t="shared" ca="1" si="83"/>
        <v>0</v>
      </c>
    </row>
    <row r="2498" spans="2:5" x14ac:dyDescent="0.25">
      <c r="B2498" s="8">
        <v>40092</v>
      </c>
      <c r="C2498" s="6">
        <f ca="1">IF(OR($C$7="",$B2498&gt;NOW()),"",IF(INDEX(Data!$A:$G,MATCH($B2498,Data!$A:$A,0),MATCH($C$7,Data!$4:$4,0))="","",INDEX(Data!$A:$G,MATCH($B2498,Data!$A:$A,0),MATCH($C$7,Data!$4:$4,0))))</f>
        <v>60.1</v>
      </c>
      <c r="D2498" s="148">
        <f t="shared" ca="1" si="82"/>
        <v>4.8999999999999986</v>
      </c>
      <c r="E2498" s="148">
        <f t="shared" ca="1" si="83"/>
        <v>0</v>
      </c>
    </row>
    <row r="2499" spans="2:5" x14ac:dyDescent="0.25">
      <c r="B2499" s="8">
        <v>40093</v>
      </c>
      <c r="C2499" s="6">
        <f ca="1">IF(OR($C$7="",$B2499&gt;NOW()),"",IF(INDEX(Data!$A:$G,MATCH($B2499,Data!$A:$A,0),MATCH($C$7,Data!$4:$4,0))="","",INDEX(Data!$A:$G,MATCH($B2499,Data!$A:$A,0),MATCH($C$7,Data!$4:$4,0))))</f>
        <v>65</v>
      </c>
      <c r="D2499" s="148">
        <f t="shared" ca="1" si="82"/>
        <v>0</v>
      </c>
      <c r="E2499" s="148">
        <f t="shared" ca="1" si="83"/>
        <v>0</v>
      </c>
    </row>
    <row r="2500" spans="2:5" x14ac:dyDescent="0.25">
      <c r="B2500" s="8">
        <v>40094</v>
      </c>
      <c r="C2500" s="6">
        <f ca="1">IF(OR($C$7="",$B2500&gt;NOW()),"",IF(INDEX(Data!$A:$G,MATCH($B2500,Data!$A:$A,0),MATCH($C$7,Data!$4:$4,0))="","",INDEX(Data!$A:$G,MATCH($B2500,Data!$A:$A,0),MATCH($C$7,Data!$4:$4,0))))</f>
        <v>59.6</v>
      </c>
      <c r="D2500" s="148">
        <f t="shared" ca="1" si="82"/>
        <v>5.3999999999999986</v>
      </c>
      <c r="E2500" s="148">
        <f t="shared" ca="1" si="83"/>
        <v>0</v>
      </c>
    </row>
    <row r="2501" spans="2:5" x14ac:dyDescent="0.25">
      <c r="B2501" s="8">
        <v>40095</v>
      </c>
      <c r="C2501" s="6">
        <f ca="1">IF(OR($C$7="",$B2501&gt;NOW()),"",IF(INDEX(Data!$A:$G,MATCH($B2501,Data!$A:$A,0),MATCH($C$7,Data!$4:$4,0))="","",INDEX(Data!$A:$G,MATCH($B2501,Data!$A:$A,0),MATCH($C$7,Data!$4:$4,0))))</f>
        <v>64.5</v>
      </c>
      <c r="D2501" s="148">
        <f t="shared" ca="1" si="82"/>
        <v>0.5</v>
      </c>
      <c r="E2501" s="148">
        <f t="shared" ca="1" si="83"/>
        <v>0</v>
      </c>
    </row>
    <row r="2502" spans="2:5" x14ac:dyDescent="0.25">
      <c r="B2502" s="8">
        <v>40096</v>
      </c>
      <c r="C2502" s="6">
        <f ca="1">IF(OR($C$7="",$B2502&gt;NOW()),"",IF(INDEX(Data!$A:$G,MATCH($B2502,Data!$A:$A,0),MATCH($C$7,Data!$4:$4,0))="","",INDEX(Data!$A:$G,MATCH($B2502,Data!$A:$A,0),MATCH($C$7,Data!$4:$4,0))))</f>
        <v>64.3</v>
      </c>
      <c r="D2502" s="148">
        <f t="shared" ca="1" si="82"/>
        <v>0.70000000000000284</v>
      </c>
      <c r="E2502" s="148">
        <f t="shared" ca="1" si="83"/>
        <v>0</v>
      </c>
    </row>
    <row r="2503" spans="2:5" x14ac:dyDescent="0.25">
      <c r="B2503" s="8">
        <v>40097</v>
      </c>
      <c r="C2503" s="6">
        <f ca="1">IF(OR($C$7="",$B2503&gt;NOW()),"",IF(INDEX(Data!$A:$G,MATCH($B2503,Data!$A:$A,0),MATCH($C$7,Data!$4:$4,0))="","",INDEX(Data!$A:$G,MATCH($B2503,Data!$A:$A,0),MATCH($C$7,Data!$4:$4,0))))</f>
        <v>57.2</v>
      </c>
      <c r="D2503" s="148">
        <f t="shared" ca="1" si="82"/>
        <v>7.7999999999999972</v>
      </c>
      <c r="E2503" s="148">
        <f t="shared" ca="1" si="83"/>
        <v>0</v>
      </c>
    </row>
    <row r="2504" spans="2:5" x14ac:dyDescent="0.25">
      <c r="B2504" s="8">
        <v>40098</v>
      </c>
      <c r="C2504" s="6">
        <f ca="1">IF(OR($C$7="",$B2504&gt;NOW()),"",IF(INDEX(Data!$A:$G,MATCH($B2504,Data!$A:$A,0),MATCH($C$7,Data!$4:$4,0))="","",INDEX(Data!$A:$G,MATCH($B2504,Data!$A:$A,0),MATCH($C$7,Data!$4:$4,0))))</f>
        <v>51.5</v>
      </c>
      <c r="D2504" s="148">
        <f t="shared" ca="1" si="82"/>
        <v>13.5</v>
      </c>
      <c r="E2504" s="148">
        <f t="shared" ca="1" si="83"/>
        <v>0</v>
      </c>
    </row>
    <row r="2505" spans="2:5" x14ac:dyDescent="0.25">
      <c r="B2505" s="8">
        <v>40099</v>
      </c>
      <c r="C2505" s="6">
        <f ca="1">IF(OR($C$7="",$B2505&gt;NOW()),"",IF(INDEX(Data!$A:$G,MATCH($B2505,Data!$A:$A,0),MATCH($C$7,Data!$4:$4,0))="","",INDEX(Data!$A:$G,MATCH($B2505,Data!$A:$A,0),MATCH($C$7,Data!$4:$4,0))))</f>
        <v>55.8</v>
      </c>
      <c r="D2505" s="148">
        <f t="shared" ca="1" si="82"/>
        <v>9.2000000000000028</v>
      </c>
      <c r="E2505" s="148">
        <f t="shared" ca="1" si="83"/>
        <v>0</v>
      </c>
    </row>
    <row r="2506" spans="2:5" x14ac:dyDescent="0.25">
      <c r="B2506" s="8">
        <v>40100</v>
      </c>
      <c r="C2506" s="6">
        <f ca="1">IF(OR($C$7="",$B2506&gt;NOW()),"",IF(INDEX(Data!$A:$G,MATCH($B2506,Data!$A:$A,0),MATCH($C$7,Data!$4:$4,0))="","",INDEX(Data!$A:$G,MATCH($B2506,Data!$A:$A,0),MATCH($C$7,Data!$4:$4,0))))</f>
        <v>49</v>
      </c>
      <c r="D2506" s="148">
        <f t="shared" ca="1" si="82"/>
        <v>16</v>
      </c>
      <c r="E2506" s="148">
        <f t="shared" ca="1" si="83"/>
        <v>0</v>
      </c>
    </row>
    <row r="2507" spans="2:5" x14ac:dyDescent="0.25">
      <c r="B2507" s="8">
        <v>40101</v>
      </c>
      <c r="C2507" s="6">
        <f ca="1">IF(OR($C$7="",$B2507&gt;NOW()),"",IF(INDEX(Data!$A:$G,MATCH($B2507,Data!$A:$A,0),MATCH($C$7,Data!$4:$4,0))="","",INDEX(Data!$A:$G,MATCH($B2507,Data!$A:$A,0),MATCH($C$7,Data!$4:$4,0))))</f>
        <v>45.7</v>
      </c>
      <c r="D2507" s="148">
        <f t="shared" ca="1" si="82"/>
        <v>19.299999999999997</v>
      </c>
      <c r="E2507" s="148">
        <f t="shared" ca="1" si="83"/>
        <v>0</v>
      </c>
    </row>
    <row r="2508" spans="2:5" x14ac:dyDescent="0.25">
      <c r="B2508" s="8">
        <v>40102</v>
      </c>
      <c r="C2508" s="6">
        <f ca="1">IF(OR($C$7="",$B2508&gt;NOW()),"",IF(INDEX(Data!$A:$G,MATCH($B2508,Data!$A:$A,0),MATCH($C$7,Data!$4:$4,0))="","",INDEX(Data!$A:$G,MATCH($B2508,Data!$A:$A,0),MATCH($C$7,Data!$4:$4,0))))</f>
        <v>42.4</v>
      </c>
      <c r="D2508" s="148">
        <f t="shared" ca="1" si="82"/>
        <v>22.6</v>
      </c>
      <c r="E2508" s="148">
        <f t="shared" ca="1" si="83"/>
        <v>0</v>
      </c>
    </row>
    <row r="2509" spans="2:5" x14ac:dyDescent="0.25">
      <c r="B2509" s="8">
        <v>40103</v>
      </c>
      <c r="C2509" s="6">
        <f ca="1">IF(OR($C$7="",$B2509&gt;NOW()),"",IF(INDEX(Data!$A:$G,MATCH($B2509,Data!$A:$A,0),MATCH($C$7,Data!$4:$4,0))="","",INDEX(Data!$A:$G,MATCH($B2509,Data!$A:$A,0),MATCH($C$7,Data!$4:$4,0))))</f>
        <v>46.9</v>
      </c>
      <c r="D2509" s="148">
        <f t="shared" ca="1" si="82"/>
        <v>18.100000000000001</v>
      </c>
      <c r="E2509" s="148">
        <f t="shared" ca="1" si="83"/>
        <v>0</v>
      </c>
    </row>
    <row r="2510" spans="2:5" x14ac:dyDescent="0.25">
      <c r="B2510" s="8">
        <v>40104</v>
      </c>
      <c r="C2510" s="6">
        <f ca="1">IF(OR($C$7="",$B2510&gt;NOW()),"",IF(INDEX(Data!$A:$G,MATCH($B2510,Data!$A:$A,0),MATCH($C$7,Data!$4:$4,0))="","",INDEX(Data!$A:$G,MATCH($B2510,Data!$A:$A,0),MATCH($C$7,Data!$4:$4,0))))</f>
        <v>45.8</v>
      </c>
      <c r="D2510" s="148">
        <f t="shared" ca="1" si="82"/>
        <v>19.200000000000003</v>
      </c>
      <c r="E2510" s="148">
        <f t="shared" ca="1" si="83"/>
        <v>0</v>
      </c>
    </row>
    <row r="2511" spans="2:5" x14ac:dyDescent="0.25">
      <c r="B2511" s="8">
        <v>40105</v>
      </c>
      <c r="C2511" s="6">
        <f ca="1">IF(OR($C$7="",$B2511&gt;NOW()),"",IF(INDEX(Data!$A:$G,MATCH($B2511,Data!$A:$A,0),MATCH($C$7,Data!$4:$4,0))="","",INDEX(Data!$A:$G,MATCH($B2511,Data!$A:$A,0),MATCH($C$7,Data!$4:$4,0))))</f>
        <v>47.3</v>
      </c>
      <c r="D2511" s="148">
        <f t="shared" ca="1" si="82"/>
        <v>17.700000000000003</v>
      </c>
      <c r="E2511" s="148">
        <f t="shared" ca="1" si="83"/>
        <v>0</v>
      </c>
    </row>
    <row r="2512" spans="2:5" x14ac:dyDescent="0.25">
      <c r="B2512" s="8">
        <v>40106</v>
      </c>
      <c r="C2512" s="6">
        <f ca="1">IF(OR($C$7="",$B2512&gt;NOW()),"",IF(INDEX(Data!$A:$G,MATCH($B2512,Data!$A:$A,0),MATCH($C$7,Data!$4:$4,0))="","",INDEX(Data!$A:$G,MATCH($B2512,Data!$A:$A,0),MATCH($C$7,Data!$4:$4,0))))</f>
        <v>55.6</v>
      </c>
      <c r="D2512" s="148">
        <f t="shared" ca="1" si="82"/>
        <v>9.3999999999999986</v>
      </c>
      <c r="E2512" s="148">
        <f t="shared" ca="1" si="83"/>
        <v>0</v>
      </c>
    </row>
    <row r="2513" spans="2:5" x14ac:dyDescent="0.25">
      <c r="B2513" s="8">
        <v>40107</v>
      </c>
      <c r="C2513" s="6">
        <f ca="1">IF(OR($C$7="",$B2513&gt;NOW()),"",IF(INDEX(Data!$A:$G,MATCH($B2513,Data!$A:$A,0),MATCH($C$7,Data!$4:$4,0))="","",INDEX(Data!$A:$G,MATCH($B2513,Data!$A:$A,0),MATCH($C$7,Data!$4:$4,0))))</f>
        <v>60.8</v>
      </c>
      <c r="D2513" s="148">
        <f t="shared" ca="1" si="82"/>
        <v>4.2000000000000028</v>
      </c>
      <c r="E2513" s="148">
        <f t="shared" ca="1" si="83"/>
        <v>0</v>
      </c>
    </row>
    <row r="2514" spans="2:5" x14ac:dyDescent="0.25">
      <c r="B2514" s="8">
        <v>40108</v>
      </c>
      <c r="C2514" s="6">
        <f ca="1">IF(OR($C$7="",$B2514&gt;NOW()),"",IF(INDEX(Data!$A:$G,MATCH($B2514,Data!$A:$A,0),MATCH($C$7,Data!$4:$4,0))="","",INDEX(Data!$A:$G,MATCH($B2514,Data!$A:$A,0),MATCH($C$7,Data!$4:$4,0))))</f>
        <v>63.3</v>
      </c>
      <c r="D2514" s="148">
        <f t="shared" ca="1" si="82"/>
        <v>1.7000000000000028</v>
      </c>
      <c r="E2514" s="148">
        <f t="shared" ca="1" si="83"/>
        <v>0</v>
      </c>
    </row>
    <row r="2515" spans="2:5" x14ac:dyDescent="0.25">
      <c r="B2515" s="8">
        <v>40109</v>
      </c>
      <c r="C2515" s="6">
        <f ca="1">IF(OR($C$7="",$B2515&gt;NOW()),"",IF(INDEX(Data!$A:$G,MATCH($B2515,Data!$A:$A,0),MATCH($C$7,Data!$4:$4,0))="","",INDEX(Data!$A:$G,MATCH($B2515,Data!$A:$A,0),MATCH($C$7,Data!$4:$4,0))))</f>
        <v>59.6</v>
      </c>
      <c r="D2515" s="148">
        <f t="shared" ca="1" si="82"/>
        <v>5.3999999999999986</v>
      </c>
      <c r="E2515" s="148">
        <f t="shared" ca="1" si="83"/>
        <v>0</v>
      </c>
    </row>
    <row r="2516" spans="2:5" x14ac:dyDescent="0.25">
      <c r="B2516" s="8">
        <v>40110</v>
      </c>
      <c r="C2516" s="6">
        <f ca="1">IF(OR($C$7="",$B2516&gt;NOW()),"",IF(INDEX(Data!$A:$G,MATCH($B2516,Data!$A:$A,0),MATCH($C$7,Data!$4:$4,0))="","",INDEX(Data!$A:$G,MATCH($B2516,Data!$A:$A,0),MATCH($C$7,Data!$4:$4,0))))</f>
        <v>60.5</v>
      </c>
      <c r="D2516" s="148">
        <f t="shared" ca="1" si="82"/>
        <v>4.5</v>
      </c>
      <c r="E2516" s="148">
        <f t="shared" ca="1" si="83"/>
        <v>0</v>
      </c>
    </row>
    <row r="2517" spans="2:5" x14ac:dyDescent="0.25">
      <c r="B2517" s="8">
        <v>40111</v>
      </c>
      <c r="C2517" s="6">
        <f ca="1">IF(OR($C$7="",$B2517&gt;NOW()),"",IF(INDEX(Data!$A:$G,MATCH($B2517,Data!$A:$A,0),MATCH($C$7,Data!$4:$4,0))="","",INDEX(Data!$A:$G,MATCH($B2517,Data!$A:$A,0),MATCH($C$7,Data!$4:$4,0))))</f>
        <v>60.5</v>
      </c>
      <c r="D2517" s="148">
        <f t="shared" ca="1" si="82"/>
        <v>4.5</v>
      </c>
      <c r="E2517" s="148">
        <f t="shared" ca="1" si="83"/>
        <v>0</v>
      </c>
    </row>
    <row r="2518" spans="2:5" x14ac:dyDescent="0.25">
      <c r="B2518" s="8">
        <v>40112</v>
      </c>
      <c r="C2518" s="6">
        <f ca="1">IF(OR($C$7="",$B2518&gt;NOW()),"",IF(INDEX(Data!$A:$G,MATCH($B2518,Data!$A:$A,0),MATCH($C$7,Data!$4:$4,0))="","",INDEX(Data!$A:$G,MATCH($B2518,Data!$A:$A,0),MATCH($C$7,Data!$4:$4,0))))</f>
        <v>54.9</v>
      </c>
      <c r="D2518" s="148">
        <f t="shared" ca="1" si="82"/>
        <v>10.100000000000001</v>
      </c>
      <c r="E2518" s="148">
        <f t="shared" ca="1" si="83"/>
        <v>0</v>
      </c>
    </row>
    <row r="2519" spans="2:5" x14ac:dyDescent="0.25">
      <c r="B2519" s="8">
        <v>40113</v>
      </c>
      <c r="C2519" s="6">
        <f ca="1">IF(OR($C$7="",$B2519&gt;NOW()),"",IF(INDEX(Data!$A:$G,MATCH($B2519,Data!$A:$A,0),MATCH($C$7,Data!$4:$4,0))="","",INDEX(Data!$A:$G,MATCH($B2519,Data!$A:$A,0),MATCH($C$7,Data!$4:$4,0))))</f>
        <v>53.7</v>
      </c>
      <c r="D2519" s="148">
        <f t="shared" ca="1" si="82"/>
        <v>11.299999999999997</v>
      </c>
      <c r="E2519" s="148">
        <f t="shared" ca="1" si="83"/>
        <v>0</v>
      </c>
    </row>
    <row r="2520" spans="2:5" x14ac:dyDescent="0.25">
      <c r="B2520" s="8">
        <v>40114</v>
      </c>
      <c r="C2520" s="6">
        <f ca="1">IF(OR($C$7="",$B2520&gt;NOW()),"",IF(INDEX(Data!$A:$G,MATCH($B2520,Data!$A:$A,0),MATCH($C$7,Data!$4:$4,0))="","",INDEX(Data!$A:$G,MATCH($B2520,Data!$A:$A,0),MATCH($C$7,Data!$4:$4,0))))</f>
        <v>54.3</v>
      </c>
      <c r="D2520" s="148">
        <f t="shared" ca="1" si="82"/>
        <v>10.700000000000003</v>
      </c>
      <c r="E2520" s="148">
        <f t="shared" ca="1" si="83"/>
        <v>0</v>
      </c>
    </row>
    <row r="2521" spans="2:5" x14ac:dyDescent="0.25">
      <c r="B2521" s="8">
        <v>40115</v>
      </c>
      <c r="C2521" s="6">
        <f ca="1">IF(OR($C$7="",$B2521&gt;NOW()),"",IF(INDEX(Data!$A:$G,MATCH($B2521,Data!$A:$A,0),MATCH($C$7,Data!$4:$4,0))="","",INDEX(Data!$A:$G,MATCH($B2521,Data!$A:$A,0),MATCH($C$7,Data!$4:$4,0))))</f>
        <v>52.2</v>
      </c>
      <c r="D2521" s="148">
        <f t="shared" ca="1" si="82"/>
        <v>12.799999999999997</v>
      </c>
      <c r="E2521" s="148">
        <f t="shared" ca="1" si="83"/>
        <v>0</v>
      </c>
    </row>
    <row r="2522" spans="2:5" x14ac:dyDescent="0.25">
      <c r="B2522" s="8">
        <v>40116</v>
      </c>
      <c r="C2522" s="6">
        <f ca="1">IF(OR($C$7="",$B2522&gt;NOW()),"",IF(INDEX(Data!$A:$G,MATCH($B2522,Data!$A:$A,0),MATCH($C$7,Data!$4:$4,0))="","",INDEX(Data!$A:$G,MATCH($B2522,Data!$A:$A,0),MATCH($C$7,Data!$4:$4,0))))</f>
        <v>54.7</v>
      </c>
      <c r="D2522" s="148">
        <f t="shared" ca="1" si="82"/>
        <v>10.299999999999997</v>
      </c>
      <c r="E2522" s="148">
        <f t="shared" ca="1" si="83"/>
        <v>0</v>
      </c>
    </row>
    <row r="2523" spans="2:5" x14ac:dyDescent="0.25">
      <c r="B2523" s="8">
        <v>40117</v>
      </c>
      <c r="C2523" s="6">
        <f ca="1">IF(OR($C$7="",$B2523&gt;NOW()),"",IF(INDEX(Data!$A:$G,MATCH($B2523,Data!$A:$A,0),MATCH($C$7,Data!$4:$4,0))="","",INDEX(Data!$A:$G,MATCH($B2523,Data!$A:$A,0),MATCH($C$7,Data!$4:$4,0))))</f>
        <v>61.9</v>
      </c>
      <c r="D2523" s="148">
        <f t="shared" ca="1" si="82"/>
        <v>3.1000000000000014</v>
      </c>
      <c r="E2523" s="148">
        <f t="shared" ca="1" si="83"/>
        <v>0</v>
      </c>
    </row>
    <row r="2524" spans="2:5" x14ac:dyDescent="0.25">
      <c r="B2524" s="8">
        <v>40118</v>
      </c>
      <c r="C2524" s="6">
        <f ca="1">IF(OR($C$7="",$B2524&gt;NOW()),"",IF(INDEX(Data!$A:$G,MATCH($B2524,Data!$A:$A,0),MATCH($C$7,Data!$4:$4,0))="","",INDEX(Data!$A:$G,MATCH($B2524,Data!$A:$A,0),MATCH($C$7,Data!$4:$4,0))))</f>
        <v>57.5</v>
      </c>
      <c r="D2524" s="148">
        <f t="shared" ca="1" si="82"/>
        <v>7.5</v>
      </c>
      <c r="E2524" s="148">
        <f t="shared" ca="1" si="83"/>
        <v>0</v>
      </c>
    </row>
    <row r="2525" spans="2:5" x14ac:dyDescent="0.25">
      <c r="B2525" s="8">
        <v>40119</v>
      </c>
      <c r="C2525" s="6">
        <f ca="1">IF(OR($C$7="",$B2525&gt;NOW()),"",IF(INDEX(Data!$A:$G,MATCH($B2525,Data!$A:$A,0),MATCH($C$7,Data!$4:$4,0))="","",INDEX(Data!$A:$G,MATCH($B2525,Data!$A:$A,0),MATCH($C$7,Data!$4:$4,0))))</f>
        <v>51.7</v>
      </c>
      <c r="D2525" s="148">
        <f t="shared" ref="D2525:D2588" ca="1" si="84">IF($C2525="","",IF($C2525&gt;$D$26,0,$D$26-$C2525))</f>
        <v>13.299999999999997</v>
      </c>
      <c r="E2525" s="148">
        <f t="shared" ref="E2525:E2588" ca="1" si="85">IF($C2525="","",IF($C2525&lt;$E$26,0,$C2525-$E$26))</f>
        <v>0</v>
      </c>
    </row>
    <row r="2526" spans="2:5" x14ac:dyDescent="0.25">
      <c r="B2526" s="8">
        <v>40120</v>
      </c>
      <c r="C2526" s="6">
        <f ca="1">IF(OR($C$7="",$B2526&gt;NOW()),"",IF(INDEX(Data!$A:$G,MATCH($B2526,Data!$A:$A,0),MATCH($C$7,Data!$4:$4,0))="","",INDEX(Data!$A:$G,MATCH($B2526,Data!$A:$A,0),MATCH($C$7,Data!$4:$4,0))))</f>
        <v>52.4</v>
      </c>
      <c r="D2526" s="148">
        <f t="shared" ca="1" si="84"/>
        <v>12.600000000000001</v>
      </c>
      <c r="E2526" s="148">
        <f t="shared" ca="1" si="85"/>
        <v>0</v>
      </c>
    </row>
    <row r="2527" spans="2:5" x14ac:dyDescent="0.25">
      <c r="B2527" s="8">
        <v>40121</v>
      </c>
      <c r="C2527" s="6">
        <f ca="1">IF(OR($C$7="",$B2527&gt;NOW()),"",IF(INDEX(Data!$A:$G,MATCH($B2527,Data!$A:$A,0),MATCH($C$7,Data!$4:$4,0))="","",INDEX(Data!$A:$G,MATCH($B2527,Data!$A:$A,0),MATCH($C$7,Data!$4:$4,0))))</f>
        <v>48.8</v>
      </c>
      <c r="D2527" s="148">
        <f t="shared" ca="1" si="84"/>
        <v>16.200000000000003</v>
      </c>
      <c r="E2527" s="148">
        <f t="shared" ca="1" si="85"/>
        <v>0</v>
      </c>
    </row>
    <row r="2528" spans="2:5" x14ac:dyDescent="0.25">
      <c r="B2528" s="8">
        <v>40122</v>
      </c>
      <c r="C2528" s="6">
        <f ca="1">IF(OR($C$7="",$B2528&gt;NOW()),"",IF(INDEX(Data!$A:$G,MATCH($B2528,Data!$A:$A,0),MATCH($C$7,Data!$4:$4,0))="","",INDEX(Data!$A:$G,MATCH($B2528,Data!$A:$A,0),MATCH($C$7,Data!$4:$4,0))))</f>
        <v>48.9</v>
      </c>
      <c r="D2528" s="148">
        <f t="shared" ca="1" si="84"/>
        <v>16.100000000000001</v>
      </c>
      <c r="E2528" s="148">
        <f t="shared" ca="1" si="85"/>
        <v>0</v>
      </c>
    </row>
    <row r="2529" spans="2:5" x14ac:dyDescent="0.25">
      <c r="B2529" s="8">
        <v>40123</v>
      </c>
      <c r="C2529" s="6">
        <f ca="1">IF(OR($C$7="",$B2529&gt;NOW()),"",IF(INDEX(Data!$A:$G,MATCH($B2529,Data!$A:$A,0),MATCH($C$7,Data!$4:$4,0))="","",INDEX(Data!$A:$G,MATCH($B2529,Data!$A:$A,0),MATCH($C$7,Data!$4:$4,0))))</f>
        <v>45.2</v>
      </c>
      <c r="D2529" s="148">
        <f t="shared" ca="1" si="84"/>
        <v>19.799999999999997</v>
      </c>
      <c r="E2529" s="148">
        <f t="shared" ca="1" si="85"/>
        <v>0</v>
      </c>
    </row>
    <row r="2530" spans="2:5" x14ac:dyDescent="0.25">
      <c r="B2530" s="8">
        <v>40124</v>
      </c>
      <c r="C2530" s="6">
        <f ca="1">IF(OR($C$7="",$B2530&gt;NOW()),"",IF(INDEX(Data!$A:$G,MATCH($B2530,Data!$A:$A,0),MATCH($C$7,Data!$4:$4,0))="","",INDEX(Data!$A:$G,MATCH($B2530,Data!$A:$A,0),MATCH($C$7,Data!$4:$4,0))))</f>
        <v>44.1</v>
      </c>
      <c r="D2530" s="148">
        <f t="shared" ca="1" si="84"/>
        <v>20.9</v>
      </c>
      <c r="E2530" s="148">
        <f t="shared" ca="1" si="85"/>
        <v>0</v>
      </c>
    </row>
    <row r="2531" spans="2:5" x14ac:dyDescent="0.25">
      <c r="B2531" s="8">
        <v>40125</v>
      </c>
      <c r="C2531" s="6">
        <f ca="1">IF(OR($C$7="",$B2531&gt;NOW()),"",IF(INDEX(Data!$A:$G,MATCH($B2531,Data!$A:$A,0),MATCH($C$7,Data!$4:$4,0))="","",INDEX(Data!$A:$G,MATCH($B2531,Data!$A:$A,0),MATCH($C$7,Data!$4:$4,0))))</f>
        <v>55.2</v>
      </c>
      <c r="D2531" s="148">
        <f t="shared" ca="1" si="84"/>
        <v>9.7999999999999972</v>
      </c>
      <c r="E2531" s="148">
        <f t="shared" ca="1" si="85"/>
        <v>0</v>
      </c>
    </row>
    <row r="2532" spans="2:5" x14ac:dyDescent="0.25">
      <c r="B2532" s="8">
        <v>40126</v>
      </c>
      <c r="C2532" s="6">
        <f ca="1">IF(OR($C$7="",$B2532&gt;NOW()),"",IF(INDEX(Data!$A:$G,MATCH($B2532,Data!$A:$A,0),MATCH($C$7,Data!$4:$4,0))="","",INDEX(Data!$A:$G,MATCH($B2532,Data!$A:$A,0),MATCH($C$7,Data!$4:$4,0))))</f>
        <v>56.8</v>
      </c>
      <c r="D2532" s="148">
        <f t="shared" ca="1" si="84"/>
        <v>8.2000000000000028</v>
      </c>
      <c r="E2532" s="148">
        <f t="shared" ca="1" si="85"/>
        <v>0</v>
      </c>
    </row>
    <row r="2533" spans="2:5" x14ac:dyDescent="0.25">
      <c r="B2533" s="8">
        <v>40127</v>
      </c>
      <c r="C2533" s="6">
        <f ca="1">IF(OR($C$7="",$B2533&gt;NOW()),"",IF(INDEX(Data!$A:$G,MATCH($B2533,Data!$A:$A,0),MATCH($C$7,Data!$4:$4,0))="","",INDEX(Data!$A:$G,MATCH($B2533,Data!$A:$A,0),MATCH($C$7,Data!$4:$4,0))))</f>
        <v>60.2</v>
      </c>
      <c r="D2533" s="148">
        <f t="shared" ca="1" si="84"/>
        <v>4.7999999999999972</v>
      </c>
      <c r="E2533" s="148">
        <f t="shared" ca="1" si="85"/>
        <v>0</v>
      </c>
    </row>
    <row r="2534" spans="2:5" x14ac:dyDescent="0.25">
      <c r="B2534" s="8">
        <v>40128</v>
      </c>
      <c r="C2534" s="6">
        <f ca="1">IF(OR($C$7="",$B2534&gt;NOW()),"",IF(INDEX(Data!$A:$G,MATCH($B2534,Data!$A:$A,0),MATCH($C$7,Data!$4:$4,0))="","",INDEX(Data!$A:$G,MATCH($B2534,Data!$A:$A,0),MATCH($C$7,Data!$4:$4,0))))</f>
        <v>56.1</v>
      </c>
      <c r="D2534" s="148">
        <f t="shared" ca="1" si="84"/>
        <v>8.8999999999999986</v>
      </c>
      <c r="E2534" s="148">
        <f t="shared" ca="1" si="85"/>
        <v>0</v>
      </c>
    </row>
    <row r="2535" spans="2:5" x14ac:dyDescent="0.25">
      <c r="B2535" s="8">
        <v>40129</v>
      </c>
      <c r="C2535" s="6">
        <f ca="1">IF(OR($C$7="",$B2535&gt;NOW()),"",IF(INDEX(Data!$A:$G,MATCH($B2535,Data!$A:$A,0),MATCH($C$7,Data!$4:$4,0))="","",INDEX(Data!$A:$G,MATCH($B2535,Data!$A:$A,0),MATCH($C$7,Data!$4:$4,0))))</f>
        <v>50</v>
      </c>
      <c r="D2535" s="148">
        <f t="shared" ca="1" si="84"/>
        <v>15</v>
      </c>
      <c r="E2535" s="148">
        <f t="shared" ca="1" si="85"/>
        <v>0</v>
      </c>
    </row>
    <row r="2536" spans="2:5" x14ac:dyDescent="0.25">
      <c r="B2536" s="8">
        <v>40130</v>
      </c>
      <c r="C2536" s="6">
        <f ca="1">IF(OR($C$7="",$B2536&gt;NOW()),"",IF(INDEX(Data!$A:$G,MATCH($B2536,Data!$A:$A,0),MATCH($C$7,Data!$4:$4,0))="","",INDEX(Data!$A:$G,MATCH($B2536,Data!$A:$A,0),MATCH($C$7,Data!$4:$4,0))))</f>
        <v>51.6</v>
      </c>
      <c r="D2536" s="148">
        <f t="shared" ca="1" si="84"/>
        <v>13.399999999999999</v>
      </c>
      <c r="E2536" s="148">
        <f t="shared" ca="1" si="85"/>
        <v>0</v>
      </c>
    </row>
    <row r="2537" spans="2:5" x14ac:dyDescent="0.25">
      <c r="B2537" s="8">
        <v>40131</v>
      </c>
      <c r="C2537" s="6">
        <f ca="1">IF(OR($C$7="",$B2537&gt;NOW()),"",IF(INDEX(Data!$A:$G,MATCH($B2537,Data!$A:$A,0),MATCH($C$7,Data!$4:$4,0))="","",INDEX(Data!$A:$G,MATCH($B2537,Data!$A:$A,0),MATCH($C$7,Data!$4:$4,0))))</f>
        <v>53.8</v>
      </c>
      <c r="D2537" s="148">
        <f t="shared" ca="1" si="84"/>
        <v>11.200000000000003</v>
      </c>
      <c r="E2537" s="148">
        <f t="shared" ca="1" si="85"/>
        <v>0</v>
      </c>
    </row>
    <row r="2538" spans="2:5" x14ac:dyDescent="0.25">
      <c r="B2538" s="8">
        <v>40132</v>
      </c>
      <c r="C2538" s="6">
        <f ca="1">IF(OR($C$7="",$B2538&gt;NOW()),"",IF(INDEX(Data!$A:$G,MATCH($B2538,Data!$A:$A,0),MATCH($C$7,Data!$4:$4,0))="","",INDEX(Data!$A:$G,MATCH($B2538,Data!$A:$A,0),MATCH($C$7,Data!$4:$4,0))))</f>
        <v>56.4</v>
      </c>
      <c r="D2538" s="148">
        <f t="shared" ca="1" si="84"/>
        <v>8.6000000000000014</v>
      </c>
      <c r="E2538" s="148">
        <f t="shared" ca="1" si="85"/>
        <v>0</v>
      </c>
    </row>
    <row r="2539" spans="2:5" x14ac:dyDescent="0.25">
      <c r="B2539" s="8">
        <v>40133</v>
      </c>
      <c r="C2539" s="6">
        <f ca="1">IF(OR($C$7="",$B2539&gt;NOW()),"",IF(INDEX(Data!$A:$G,MATCH($B2539,Data!$A:$A,0),MATCH($C$7,Data!$4:$4,0))="","",INDEX(Data!$A:$G,MATCH($B2539,Data!$A:$A,0),MATCH($C$7,Data!$4:$4,0))))</f>
        <v>55.4</v>
      </c>
      <c r="D2539" s="148">
        <f t="shared" ca="1" si="84"/>
        <v>9.6000000000000014</v>
      </c>
      <c r="E2539" s="148">
        <f t="shared" ca="1" si="85"/>
        <v>0</v>
      </c>
    </row>
    <row r="2540" spans="2:5" x14ac:dyDescent="0.25">
      <c r="B2540" s="8">
        <v>40134</v>
      </c>
      <c r="C2540" s="6">
        <f ca="1">IF(OR($C$7="",$B2540&gt;NOW()),"",IF(INDEX(Data!$A:$G,MATCH($B2540,Data!$A:$A,0),MATCH($C$7,Data!$4:$4,0))="","",INDEX(Data!$A:$G,MATCH($B2540,Data!$A:$A,0),MATCH($C$7,Data!$4:$4,0))))</f>
        <v>49.7</v>
      </c>
      <c r="D2540" s="148">
        <f t="shared" ca="1" si="84"/>
        <v>15.299999999999997</v>
      </c>
      <c r="E2540" s="148">
        <f t="shared" ca="1" si="85"/>
        <v>0</v>
      </c>
    </row>
    <row r="2541" spans="2:5" x14ac:dyDescent="0.25">
      <c r="B2541" s="8">
        <v>40135</v>
      </c>
      <c r="C2541" s="6">
        <f ca="1">IF(OR($C$7="",$B2541&gt;NOW()),"",IF(INDEX(Data!$A:$G,MATCH($B2541,Data!$A:$A,0),MATCH($C$7,Data!$4:$4,0))="","",INDEX(Data!$A:$G,MATCH($B2541,Data!$A:$A,0),MATCH($C$7,Data!$4:$4,0))))</f>
        <v>47.9</v>
      </c>
      <c r="D2541" s="148">
        <f t="shared" ca="1" si="84"/>
        <v>17.100000000000001</v>
      </c>
      <c r="E2541" s="148">
        <f t="shared" ca="1" si="85"/>
        <v>0</v>
      </c>
    </row>
    <row r="2542" spans="2:5" x14ac:dyDescent="0.25">
      <c r="B2542" s="8">
        <v>40136</v>
      </c>
      <c r="C2542" s="6">
        <f ca="1">IF(OR($C$7="",$B2542&gt;NOW()),"",IF(INDEX(Data!$A:$G,MATCH($B2542,Data!$A:$A,0),MATCH($C$7,Data!$4:$4,0))="","",INDEX(Data!$A:$G,MATCH($B2542,Data!$A:$A,0),MATCH($C$7,Data!$4:$4,0))))</f>
        <v>50.5</v>
      </c>
      <c r="D2542" s="148">
        <f t="shared" ca="1" si="84"/>
        <v>14.5</v>
      </c>
      <c r="E2542" s="148">
        <f t="shared" ca="1" si="85"/>
        <v>0</v>
      </c>
    </row>
    <row r="2543" spans="2:5" x14ac:dyDescent="0.25">
      <c r="B2543" s="8">
        <v>40137</v>
      </c>
      <c r="C2543" s="6">
        <f ca="1">IF(OR($C$7="",$B2543&gt;NOW()),"",IF(INDEX(Data!$A:$G,MATCH($B2543,Data!$A:$A,0),MATCH($C$7,Data!$4:$4,0))="","",INDEX(Data!$A:$G,MATCH($B2543,Data!$A:$A,0),MATCH($C$7,Data!$4:$4,0))))</f>
        <v>57</v>
      </c>
      <c r="D2543" s="148">
        <f t="shared" ca="1" si="84"/>
        <v>8</v>
      </c>
      <c r="E2543" s="148">
        <f t="shared" ca="1" si="85"/>
        <v>0</v>
      </c>
    </row>
    <row r="2544" spans="2:5" x14ac:dyDescent="0.25">
      <c r="B2544" s="8">
        <v>40138</v>
      </c>
      <c r="C2544" s="6">
        <f ca="1">IF(OR($C$7="",$B2544&gt;NOW()),"",IF(INDEX(Data!$A:$G,MATCH($B2544,Data!$A:$A,0),MATCH($C$7,Data!$4:$4,0))="","",INDEX(Data!$A:$G,MATCH($B2544,Data!$A:$A,0),MATCH($C$7,Data!$4:$4,0))))</f>
        <v>51.3</v>
      </c>
      <c r="D2544" s="148">
        <f t="shared" ca="1" si="84"/>
        <v>13.700000000000003</v>
      </c>
      <c r="E2544" s="148">
        <f t="shared" ca="1" si="85"/>
        <v>0</v>
      </c>
    </row>
    <row r="2545" spans="2:5" x14ac:dyDescent="0.25">
      <c r="B2545" s="8">
        <v>40139</v>
      </c>
      <c r="C2545" s="6">
        <f ca="1">IF(OR($C$7="",$B2545&gt;NOW()),"",IF(INDEX(Data!$A:$G,MATCH($B2545,Data!$A:$A,0),MATCH($C$7,Data!$4:$4,0))="","",INDEX(Data!$A:$G,MATCH($B2545,Data!$A:$A,0),MATCH($C$7,Data!$4:$4,0))))</f>
        <v>50.4</v>
      </c>
      <c r="D2545" s="148">
        <f t="shared" ca="1" si="84"/>
        <v>14.600000000000001</v>
      </c>
      <c r="E2545" s="148">
        <f t="shared" ca="1" si="85"/>
        <v>0</v>
      </c>
    </row>
    <row r="2546" spans="2:5" x14ac:dyDescent="0.25">
      <c r="B2546" s="8">
        <v>40140</v>
      </c>
      <c r="C2546" s="6">
        <f ca="1">IF(OR($C$7="",$B2546&gt;NOW()),"",IF(INDEX(Data!$A:$G,MATCH($B2546,Data!$A:$A,0),MATCH($C$7,Data!$4:$4,0))="","",INDEX(Data!$A:$G,MATCH($B2546,Data!$A:$A,0),MATCH($C$7,Data!$4:$4,0))))</f>
        <v>48.3</v>
      </c>
      <c r="D2546" s="148">
        <f t="shared" ca="1" si="84"/>
        <v>16.700000000000003</v>
      </c>
      <c r="E2546" s="148">
        <f t="shared" ca="1" si="85"/>
        <v>0</v>
      </c>
    </row>
    <row r="2547" spans="2:5" x14ac:dyDescent="0.25">
      <c r="B2547" s="8">
        <v>40141</v>
      </c>
      <c r="C2547" s="6">
        <f ca="1">IF(OR($C$7="",$B2547&gt;NOW()),"",IF(INDEX(Data!$A:$G,MATCH($B2547,Data!$A:$A,0),MATCH($C$7,Data!$4:$4,0))="","",INDEX(Data!$A:$G,MATCH($B2547,Data!$A:$A,0),MATCH($C$7,Data!$4:$4,0))))</f>
        <v>51.1</v>
      </c>
      <c r="D2547" s="148">
        <f t="shared" ca="1" si="84"/>
        <v>13.899999999999999</v>
      </c>
      <c r="E2547" s="148">
        <f t="shared" ca="1" si="85"/>
        <v>0</v>
      </c>
    </row>
    <row r="2548" spans="2:5" x14ac:dyDescent="0.25">
      <c r="B2548" s="8">
        <v>40142</v>
      </c>
      <c r="C2548" s="6">
        <f ca="1">IF(OR($C$7="",$B2548&gt;NOW()),"",IF(INDEX(Data!$A:$G,MATCH($B2548,Data!$A:$A,0),MATCH($C$7,Data!$4:$4,0))="","",INDEX(Data!$A:$G,MATCH($B2548,Data!$A:$A,0),MATCH($C$7,Data!$4:$4,0))))</f>
        <v>50.8</v>
      </c>
      <c r="D2548" s="148">
        <f t="shared" ca="1" si="84"/>
        <v>14.200000000000003</v>
      </c>
      <c r="E2548" s="148">
        <f t="shared" ca="1" si="85"/>
        <v>0</v>
      </c>
    </row>
    <row r="2549" spans="2:5" x14ac:dyDescent="0.25">
      <c r="B2549" s="8">
        <v>40143</v>
      </c>
      <c r="C2549" s="6">
        <f ca="1">IF(OR($C$7="",$B2549&gt;NOW()),"",IF(INDEX(Data!$A:$G,MATCH($B2549,Data!$A:$A,0),MATCH($C$7,Data!$4:$4,0))="","",INDEX(Data!$A:$G,MATCH($B2549,Data!$A:$A,0),MATCH($C$7,Data!$4:$4,0))))</f>
        <v>51.2</v>
      </c>
      <c r="D2549" s="148">
        <f t="shared" ca="1" si="84"/>
        <v>13.799999999999997</v>
      </c>
      <c r="E2549" s="148">
        <f t="shared" ca="1" si="85"/>
        <v>0</v>
      </c>
    </row>
    <row r="2550" spans="2:5" x14ac:dyDescent="0.25">
      <c r="B2550" s="8">
        <v>40144</v>
      </c>
      <c r="C2550" s="6">
        <f ca="1">IF(OR($C$7="",$B2550&gt;NOW()),"",IF(INDEX(Data!$A:$G,MATCH($B2550,Data!$A:$A,0),MATCH($C$7,Data!$4:$4,0))="","",INDEX(Data!$A:$G,MATCH($B2550,Data!$A:$A,0),MATCH($C$7,Data!$4:$4,0))))</f>
        <v>47.8</v>
      </c>
      <c r="D2550" s="148">
        <f t="shared" ca="1" si="84"/>
        <v>17.200000000000003</v>
      </c>
      <c r="E2550" s="148">
        <f t="shared" ca="1" si="85"/>
        <v>0</v>
      </c>
    </row>
    <row r="2551" spans="2:5" x14ac:dyDescent="0.25">
      <c r="B2551" s="8">
        <v>40145</v>
      </c>
      <c r="C2551" s="6">
        <f ca="1">IF(OR($C$7="",$B2551&gt;NOW()),"",IF(INDEX(Data!$A:$G,MATCH($B2551,Data!$A:$A,0),MATCH($C$7,Data!$4:$4,0))="","",INDEX(Data!$A:$G,MATCH($B2551,Data!$A:$A,0),MATCH($C$7,Data!$4:$4,0))))</f>
        <v>47.4</v>
      </c>
      <c r="D2551" s="148">
        <f t="shared" ca="1" si="84"/>
        <v>17.600000000000001</v>
      </c>
      <c r="E2551" s="148">
        <f t="shared" ca="1" si="85"/>
        <v>0</v>
      </c>
    </row>
    <row r="2552" spans="2:5" x14ac:dyDescent="0.25">
      <c r="B2552" s="8">
        <v>40146</v>
      </c>
      <c r="C2552" s="6">
        <f ca="1">IF(OR($C$7="",$B2552&gt;NOW()),"",IF(INDEX(Data!$A:$G,MATCH($B2552,Data!$A:$A,0),MATCH($C$7,Data!$4:$4,0))="","",INDEX(Data!$A:$G,MATCH($B2552,Data!$A:$A,0),MATCH($C$7,Data!$4:$4,0))))</f>
        <v>48.2</v>
      </c>
      <c r="D2552" s="148">
        <f t="shared" ca="1" si="84"/>
        <v>16.799999999999997</v>
      </c>
      <c r="E2552" s="148">
        <f t="shared" ca="1" si="85"/>
        <v>0</v>
      </c>
    </row>
    <row r="2553" spans="2:5" x14ac:dyDescent="0.25">
      <c r="B2553" s="8">
        <v>40147</v>
      </c>
      <c r="C2553" s="6">
        <f ca="1">IF(OR($C$7="",$B2553&gt;NOW()),"",IF(INDEX(Data!$A:$G,MATCH($B2553,Data!$A:$A,0),MATCH($C$7,Data!$4:$4,0))="","",INDEX(Data!$A:$G,MATCH($B2553,Data!$A:$A,0),MATCH($C$7,Data!$4:$4,0))))</f>
        <v>53.6</v>
      </c>
      <c r="D2553" s="148">
        <f t="shared" ca="1" si="84"/>
        <v>11.399999999999999</v>
      </c>
      <c r="E2553" s="148">
        <f t="shared" ca="1" si="85"/>
        <v>0</v>
      </c>
    </row>
    <row r="2554" spans="2:5" x14ac:dyDescent="0.25">
      <c r="B2554" s="8">
        <v>40148</v>
      </c>
      <c r="C2554" s="6">
        <f ca="1">IF(OR($C$7="",$B2554&gt;NOW()),"",IF(INDEX(Data!$A:$G,MATCH($B2554,Data!$A:$A,0),MATCH($C$7,Data!$4:$4,0))="","",INDEX(Data!$A:$G,MATCH($B2554,Data!$A:$A,0),MATCH($C$7,Data!$4:$4,0))))</f>
        <v>42.5</v>
      </c>
      <c r="D2554" s="148">
        <f t="shared" ca="1" si="84"/>
        <v>22.5</v>
      </c>
      <c r="E2554" s="148">
        <f t="shared" ca="1" si="85"/>
        <v>0</v>
      </c>
    </row>
    <row r="2555" spans="2:5" x14ac:dyDescent="0.25">
      <c r="B2555" s="8">
        <v>40149</v>
      </c>
      <c r="C2555" s="6">
        <f ca="1">IF(OR($C$7="",$B2555&gt;NOW()),"",IF(INDEX(Data!$A:$G,MATCH($B2555,Data!$A:$A,0),MATCH($C$7,Data!$4:$4,0))="","",INDEX(Data!$A:$G,MATCH($B2555,Data!$A:$A,0),MATCH($C$7,Data!$4:$4,0))))</f>
        <v>46.8</v>
      </c>
      <c r="D2555" s="148">
        <f t="shared" ca="1" si="84"/>
        <v>18.200000000000003</v>
      </c>
      <c r="E2555" s="148">
        <f t="shared" ca="1" si="85"/>
        <v>0</v>
      </c>
    </row>
    <row r="2556" spans="2:5" x14ac:dyDescent="0.25">
      <c r="B2556" s="8">
        <v>40150</v>
      </c>
      <c r="C2556" s="6">
        <f ca="1">IF(OR($C$7="",$B2556&gt;NOW()),"",IF(INDEX(Data!$A:$G,MATCH($B2556,Data!$A:$A,0),MATCH($C$7,Data!$4:$4,0))="","",INDEX(Data!$A:$G,MATCH($B2556,Data!$A:$A,0),MATCH($C$7,Data!$4:$4,0))))</f>
        <v>59.7</v>
      </c>
      <c r="D2556" s="148">
        <f t="shared" ca="1" si="84"/>
        <v>5.2999999999999972</v>
      </c>
      <c r="E2556" s="148">
        <f t="shared" ca="1" si="85"/>
        <v>0</v>
      </c>
    </row>
    <row r="2557" spans="2:5" x14ac:dyDescent="0.25">
      <c r="B2557" s="8">
        <v>40151</v>
      </c>
      <c r="C2557" s="6">
        <f ca="1">IF(OR($C$7="",$B2557&gt;NOW()),"",IF(INDEX(Data!$A:$G,MATCH($B2557,Data!$A:$A,0),MATCH($C$7,Data!$4:$4,0))="","",INDEX(Data!$A:$G,MATCH($B2557,Data!$A:$A,0),MATCH($C$7,Data!$4:$4,0))))</f>
        <v>50</v>
      </c>
      <c r="D2557" s="148">
        <f t="shared" ca="1" si="84"/>
        <v>15</v>
      </c>
      <c r="E2557" s="148">
        <f t="shared" ca="1" si="85"/>
        <v>0</v>
      </c>
    </row>
    <row r="2558" spans="2:5" x14ac:dyDescent="0.25">
      <c r="B2558" s="8">
        <v>40152</v>
      </c>
      <c r="C2558" s="6">
        <f ca="1">IF(OR($C$7="",$B2558&gt;NOW()),"",IF(INDEX(Data!$A:$G,MATCH($B2558,Data!$A:$A,0),MATCH($C$7,Data!$4:$4,0))="","",INDEX(Data!$A:$G,MATCH($B2558,Data!$A:$A,0),MATCH($C$7,Data!$4:$4,0))))</f>
        <v>43.4</v>
      </c>
      <c r="D2558" s="148">
        <f t="shared" ca="1" si="84"/>
        <v>21.6</v>
      </c>
      <c r="E2558" s="148">
        <f t="shared" ca="1" si="85"/>
        <v>0</v>
      </c>
    </row>
    <row r="2559" spans="2:5" x14ac:dyDescent="0.25">
      <c r="B2559" s="8">
        <v>40153</v>
      </c>
      <c r="C2559" s="6">
        <f ca="1">IF(OR($C$7="",$B2559&gt;NOW()),"",IF(INDEX(Data!$A:$G,MATCH($B2559,Data!$A:$A,0),MATCH($C$7,Data!$4:$4,0))="","",INDEX(Data!$A:$G,MATCH($B2559,Data!$A:$A,0),MATCH($C$7,Data!$4:$4,0))))</f>
        <v>36.799999999999997</v>
      </c>
      <c r="D2559" s="148">
        <f t="shared" ca="1" si="84"/>
        <v>28.200000000000003</v>
      </c>
      <c r="E2559" s="148">
        <f t="shared" ca="1" si="85"/>
        <v>0</v>
      </c>
    </row>
    <row r="2560" spans="2:5" x14ac:dyDescent="0.25">
      <c r="B2560" s="8">
        <v>40154</v>
      </c>
      <c r="C2560" s="6">
        <f ca="1">IF(OR($C$7="",$B2560&gt;NOW()),"",IF(INDEX(Data!$A:$G,MATCH($B2560,Data!$A:$A,0),MATCH($C$7,Data!$4:$4,0))="","",INDEX(Data!$A:$G,MATCH($B2560,Data!$A:$A,0),MATCH($C$7,Data!$4:$4,0))))</f>
        <v>37.1</v>
      </c>
      <c r="D2560" s="148">
        <f t="shared" ca="1" si="84"/>
        <v>27.9</v>
      </c>
      <c r="E2560" s="148">
        <f t="shared" ca="1" si="85"/>
        <v>0</v>
      </c>
    </row>
    <row r="2561" spans="2:5" x14ac:dyDescent="0.25">
      <c r="B2561" s="8">
        <v>40155</v>
      </c>
      <c r="C2561" s="6">
        <f ca="1">IF(OR($C$7="",$B2561&gt;NOW()),"",IF(INDEX(Data!$A:$G,MATCH($B2561,Data!$A:$A,0),MATCH($C$7,Data!$4:$4,0))="","",INDEX(Data!$A:$G,MATCH($B2561,Data!$A:$A,0),MATCH($C$7,Data!$4:$4,0))))</f>
        <v>39.6</v>
      </c>
      <c r="D2561" s="148">
        <f t="shared" ca="1" si="84"/>
        <v>25.4</v>
      </c>
      <c r="E2561" s="148">
        <f t="shared" ca="1" si="85"/>
        <v>0</v>
      </c>
    </row>
    <row r="2562" spans="2:5" x14ac:dyDescent="0.25">
      <c r="B2562" s="8">
        <v>40156</v>
      </c>
      <c r="C2562" s="6">
        <f ca="1">IF(OR($C$7="",$B2562&gt;NOW()),"",IF(INDEX(Data!$A:$G,MATCH($B2562,Data!$A:$A,0),MATCH($C$7,Data!$4:$4,0))="","",INDEX(Data!$A:$G,MATCH($B2562,Data!$A:$A,0),MATCH($C$7,Data!$4:$4,0))))</f>
        <v>43.7</v>
      </c>
      <c r="D2562" s="148">
        <f t="shared" ca="1" si="84"/>
        <v>21.299999999999997</v>
      </c>
      <c r="E2562" s="148">
        <f t="shared" ca="1" si="85"/>
        <v>0</v>
      </c>
    </row>
    <row r="2563" spans="2:5" x14ac:dyDescent="0.25">
      <c r="B2563" s="8">
        <v>40157</v>
      </c>
      <c r="C2563" s="6">
        <f ca="1">IF(OR($C$7="",$B2563&gt;NOW()),"",IF(INDEX(Data!$A:$G,MATCH($B2563,Data!$A:$A,0),MATCH($C$7,Data!$4:$4,0))="","",INDEX(Data!$A:$G,MATCH($B2563,Data!$A:$A,0),MATCH($C$7,Data!$4:$4,0))))</f>
        <v>43</v>
      </c>
      <c r="D2563" s="148">
        <f t="shared" ca="1" si="84"/>
        <v>22</v>
      </c>
      <c r="E2563" s="148">
        <f t="shared" ca="1" si="85"/>
        <v>0</v>
      </c>
    </row>
    <row r="2564" spans="2:5" x14ac:dyDescent="0.25">
      <c r="B2564" s="8">
        <v>40158</v>
      </c>
      <c r="C2564" s="6">
        <f ca="1">IF(OR($C$7="",$B2564&gt;NOW()),"",IF(INDEX(Data!$A:$G,MATCH($B2564,Data!$A:$A,0),MATCH($C$7,Data!$4:$4,0))="","",INDEX(Data!$A:$G,MATCH($B2564,Data!$A:$A,0),MATCH($C$7,Data!$4:$4,0))))</f>
        <v>27.6</v>
      </c>
      <c r="D2564" s="148">
        <f t="shared" ca="1" si="84"/>
        <v>37.4</v>
      </c>
      <c r="E2564" s="148">
        <f t="shared" ca="1" si="85"/>
        <v>0</v>
      </c>
    </row>
    <row r="2565" spans="2:5" x14ac:dyDescent="0.25">
      <c r="B2565" s="8">
        <v>40159</v>
      </c>
      <c r="C2565" s="6">
        <f ca="1">IF(OR($C$7="",$B2565&gt;NOW()),"",IF(INDEX(Data!$A:$G,MATCH($B2565,Data!$A:$A,0),MATCH($C$7,Data!$4:$4,0))="","",INDEX(Data!$A:$G,MATCH($B2565,Data!$A:$A,0),MATCH($C$7,Data!$4:$4,0))))</f>
        <v>30.7</v>
      </c>
      <c r="D2565" s="148">
        <f t="shared" ca="1" si="84"/>
        <v>34.299999999999997</v>
      </c>
      <c r="E2565" s="148">
        <f t="shared" ca="1" si="85"/>
        <v>0</v>
      </c>
    </row>
    <row r="2566" spans="2:5" x14ac:dyDescent="0.25">
      <c r="B2566" s="8">
        <v>40160</v>
      </c>
      <c r="C2566" s="6">
        <f ca="1">IF(OR($C$7="",$B2566&gt;NOW()),"",IF(INDEX(Data!$A:$G,MATCH($B2566,Data!$A:$A,0),MATCH($C$7,Data!$4:$4,0))="","",INDEX(Data!$A:$G,MATCH($B2566,Data!$A:$A,0),MATCH($C$7,Data!$4:$4,0))))</f>
        <v>39.6</v>
      </c>
      <c r="D2566" s="148">
        <f t="shared" ca="1" si="84"/>
        <v>25.4</v>
      </c>
      <c r="E2566" s="148">
        <f t="shared" ca="1" si="85"/>
        <v>0</v>
      </c>
    </row>
    <row r="2567" spans="2:5" x14ac:dyDescent="0.25">
      <c r="B2567" s="8">
        <v>40161</v>
      </c>
      <c r="C2567" s="6">
        <f ca="1">IF(OR($C$7="",$B2567&gt;NOW()),"",IF(INDEX(Data!$A:$G,MATCH($B2567,Data!$A:$A,0),MATCH($C$7,Data!$4:$4,0))="","",INDEX(Data!$A:$G,MATCH($B2567,Data!$A:$A,0),MATCH($C$7,Data!$4:$4,0))))</f>
        <v>44.1</v>
      </c>
      <c r="D2567" s="148">
        <f t="shared" ca="1" si="84"/>
        <v>20.9</v>
      </c>
      <c r="E2567" s="148">
        <f t="shared" ca="1" si="85"/>
        <v>0</v>
      </c>
    </row>
    <row r="2568" spans="2:5" x14ac:dyDescent="0.25">
      <c r="B2568" s="8">
        <v>40162</v>
      </c>
      <c r="C2568" s="6">
        <f ca="1">IF(OR($C$7="",$B2568&gt;NOW()),"",IF(INDEX(Data!$A:$G,MATCH($B2568,Data!$A:$A,0),MATCH($C$7,Data!$4:$4,0))="","",INDEX(Data!$A:$G,MATCH($B2568,Data!$A:$A,0),MATCH($C$7,Data!$4:$4,0))))</f>
        <v>46.7</v>
      </c>
      <c r="D2568" s="148">
        <f t="shared" ca="1" si="84"/>
        <v>18.299999999999997</v>
      </c>
      <c r="E2568" s="148">
        <f t="shared" ca="1" si="85"/>
        <v>0</v>
      </c>
    </row>
    <row r="2569" spans="2:5" x14ac:dyDescent="0.25">
      <c r="B2569" s="8">
        <v>40163</v>
      </c>
      <c r="C2569" s="6">
        <f ca="1">IF(OR($C$7="",$B2569&gt;NOW()),"",IF(INDEX(Data!$A:$G,MATCH($B2569,Data!$A:$A,0),MATCH($C$7,Data!$4:$4,0))="","",INDEX(Data!$A:$G,MATCH($B2569,Data!$A:$A,0),MATCH($C$7,Data!$4:$4,0))))</f>
        <v>37.9</v>
      </c>
      <c r="D2569" s="148">
        <f t="shared" ca="1" si="84"/>
        <v>27.1</v>
      </c>
      <c r="E2569" s="148">
        <f t="shared" ca="1" si="85"/>
        <v>0</v>
      </c>
    </row>
    <row r="2570" spans="2:5" x14ac:dyDescent="0.25">
      <c r="B2570" s="8">
        <v>40164</v>
      </c>
      <c r="C2570" s="6">
        <f ca="1">IF(OR($C$7="",$B2570&gt;NOW()),"",IF(INDEX(Data!$A:$G,MATCH($B2570,Data!$A:$A,0),MATCH($C$7,Data!$4:$4,0))="","",INDEX(Data!$A:$G,MATCH($B2570,Data!$A:$A,0),MATCH($C$7,Data!$4:$4,0))))</f>
        <v>29.6</v>
      </c>
      <c r="D2570" s="148">
        <f t="shared" ca="1" si="84"/>
        <v>35.4</v>
      </c>
      <c r="E2570" s="148">
        <f t="shared" ca="1" si="85"/>
        <v>0</v>
      </c>
    </row>
    <row r="2571" spans="2:5" x14ac:dyDescent="0.25">
      <c r="B2571" s="8">
        <v>40165</v>
      </c>
      <c r="C2571" s="6">
        <f ca="1">IF(OR($C$7="",$B2571&gt;NOW()),"",IF(INDEX(Data!$A:$G,MATCH($B2571,Data!$A:$A,0),MATCH($C$7,Data!$4:$4,0))="","",INDEX(Data!$A:$G,MATCH($B2571,Data!$A:$A,0),MATCH($C$7,Data!$4:$4,0))))</f>
        <v>23.4</v>
      </c>
      <c r="D2571" s="148">
        <f t="shared" ca="1" si="84"/>
        <v>41.6</v>
      </c>
      <c r="E2571" s="148">
        <f t="shared" ca="1" si="85"/>
        <v>0</v>
      </c>
    </row>
    <row r="2572" spans="2:5" x14ac:dyDescent="0.25">
      <c r="B2572" s="8">
        <v>40166</v>
      </c>
      <c r="C2572" s="6">
        <f ca="1">IF(OR($C$7="",$B2572&gt;NOW()),"",IF(INDEX(Data!$A:$G,MATCH($B2572,Data!$A:$A,0),MATCH($C$7,Data!$4:$4,0))="","",INDEX(Data!$A:$G,MATCH($B2572,Data!$A:$A,0),MATCH($C$7,Data!$4:$4,0))))</f>
        <v>28.1</v>
      </c>
      <c r="D2572" s="148">
        <f t="shared" ca="1" si="84"/>
        <v>36.9</v>
      </c>
      <c r="E2572" s="148">
        <f t="shared" ca="1" si="85"/>
        <v>0</v>
      </c>
    </row>
    <row r="2573" spans="2:5" x14ac:dyDescent="0.25">
      <c r="B2573" s="8">
        <v>40167</v>
      </c>
      <c r="C2573" s="6">
        <f ca="1">IF(OR($C$7="",$B2573&gt;NOW()),"",IF(INDEX(Data!$A:$G,MATCH($B2573,Data!$A:$A,0),MATCH($C$7,Data!$4:$4,0))="","",INDEX(Data!$A:$G,MATCH($B2573,Data!$A:$A,0),MATCH($C$7,Data!$4:$4,0))))</f>
        <v>27</v>
      </c>
      <c r="D2573" s="148">
        <f t="shared" ca="1" si="84"/>
        <v>38</v>
      </c>
      <c r="E2573" s="148">
        <f t="shared" ca="1" si="85"/>
        <v>0</v>
      </c>
    </row>
    <row r="2574" spans="2:5" x14ac:dyDescent="0.25">
      <c r="B2574" s="8">
        <v>40168</v>
      </c>
      <c r="C2574" s="6">
        <f ca="1">IF(OR($C$7="",$B2574&gt;NOW()),"",IF(INDEX(Data!$A:$G,MATCH($B2574,Data!$A:$A,0),MATCH($C$7,Data!$4:$4,0))="","",INDEX(Data!$A:$G,MATCH($B2574,Data!$A:$A,0),MATCH($C$7,Data!$4:$4,0))))</f>
        <v>32.5</v>
      </c>
      <c r="D2574" s="148">
        <f t="shared" ca="1" si="84"/>
        <v>32.5</v>
      </c>
      <c r="E2574" s="148">
        <f t="shared" ca="1" si="85"/>
        <v>0</v>
      </c>
    </row>
    <row r="2575" spans="2:5" x14ac:dyDescent="0.25">
      <c r="B2575" s="8">
        <v>40169</v>
      </c>
      <c r="C2575" s="6">
        <f ca="1">IF(OR($C$7="",$B2575&gt;NOW()),"",IF(INDEX(Data!$A:$G,MATCH($B2575,Data!$A:$A,0),MATCH($C$7,Data!$4:$4,0))="","",INDEX(Data!$A:$G,MATCH($B2575,Data!$A:$A,0),MATCH($C$7,Data!$4:$4,0))))</f>
        <v>32.9</v>
      </c>
      <c r="D2575" s="148">
        <f t="shared" ca="1" si="84"/>
        <v>32.1</v>
      </c>
      <c r="E2575" s="148">
        <f t="shared" ca="1" si="85"/>
        <v>0</v>
      </c>
    </row>
    <row r="2576" spans="2:5" x14ac:dyDescent="0.25">
      <c r="B2576" s="8">
        <v>40170</v>
      </c>
      <c r="C2576" s="6">
        <f ca="1">IF(OR($C$7="",$B2576&gt;NOW()),"",IF(INDEX(Data!$A:$G,MATCH($B2576,Data!$A:$A,0),MATCH($C$7,Data!$4:$4,0))="","",INDEX(Data!$A:$G,MATCH($B2576,Data!$A:$A,0),MATCH($C$7,Data!$4:$4,0))))</f>
        <v>26.5</v>
      </c>
      <c r="D2576" s="148">
        <f t="shared" ca="1" si="84"/>
        <v>38.5</v>
      </c>
      <c r="E2576" s="148">
        <f t="shared" ca="1" si="85"/>
        <v>0</v>
      </c>
    </row>
    <row r="2577" spans="2:5" x14ac:dyDescent="0.25">
      <c r="B2577" s="8">
        <v>40171</v>
      </c>
      <c r="C2577" s="6">
        <f ca="1">IF(OR($C$7="",$B2577&gt;NOW()),"",IF(INDEX(Data!$A:$G,MATCH($B2577,Data!$A:$A,0),MATCH($C$7,Data!$4:$4,0))="","",INDEX(Data!$A:$G,MATCH($B2577,Data!$A:$A,0),MATCH($C$7,Data!$4:$4,0))))</f>
        <v>31.2</v>
      </c>
      <c r="D2577" s="148">
        <f t="shared" ca="1" si="84"/>
        <v>33.799999999999997</v>
      </c>
      <c r="E2577" s="148">
        <f t="shared" ca="1" si="85"/>
        <v>0</v>
      </c>
    </row>
    <row r="2578" spans="2:5" x14ac:dyDescent="0.25">
      <c r="B2578" s="8">
        <v>40172</v>
      </c>
      <c r="C2578" s="6">
        <f ca="1">IF(OR($C$7="",$B2578&gt;NOW()),"",IF(INDEX(Data!$A:$G,MATCH($B2578,Data!$A:$A,0),MATCH($C$7,Data!$4:$4,0))="","",INDEX(Data!$A:$G,MATCH($B2578,Data!$A:$A,0),MATCH($C$7,Data!$4:$4,0))))</f>
        <v>35.4</v>
      </c>
      <c r="D2578" s="148">
        <f t="shared" ca="1" si="84"/>
        <v>29.6</v>
      </c>
      <c r="E2578" s="148">
        <f t="shared" ca="1" si="85"/>
        <v>0</v>
      </c>
    </row>
    <row r="2579" spans="2:5" x14ac:dyDescent="0.25">
      <c r="B2579" s="8">
        <v>40173</v>
      </c>
      <c r="C2579" s="6">
        <f ca="1">IF(OR($C$7="",$B2579&gt;NOW()),"",IF(INDEX(Data!$A:$G,MATCH($B2579,Data!$A:$A,0),MATCH($C$7,Data!$4:$4,0))="","",INDEX(Data!$A:$G,MATCH($B2579,Data!$A:$A,0),MATCH($C$7,Data!$4:$4,0))))</f>
        <v>38.9</v>
      </c>
      <c r="D2579" s="148">
        <f t="shared" ca="1" si="84"/>
        <v>26.1</v>
      </c>
      <c r="E2579" s="148">
        <f t="shared" ca="1" si="85"/>
        <v>0</v>
      </c>
    </row>
    <row r="2580" spans="2:5" x14ac:dyDescent="0.25">
      <c r="B2580" s="8">
        <v>40174</v>
      </c>
      <c r="C2580" s="6">
        <f ca="1">IF(OR($C$7="",$B2580&gt;NOW()),"",IF(INDEX(Data!$A:$G,MATCH($B2580,Data!$A:$A,0),MATCH($C$7,Data!$4:$4,0))="","",INDEX(Data!$A:$G,MATCH($B2580,Data!$A:$A,0),MATCH($C$7,Data!$4:$4,0))))</f>
        <v>49.1</v>
      </c>
      <c r="D2580" s="148">
        <f t="shared" ca="1" si="84"/>
        <v>15.899999999999999</v>
      </c>
      <c r="E2580" s="148">
        <f t="shared" ca="1" si="85"/>
        <v>0</v>
      </c>
    </row>
    <row r="2581" spans="2:5" x14ac:dyDescent="0.25">
      <c r="B2581" s="8">
        <v>40175</v>
      </c>
      <c r="C2581" s="6">
        <f ca="1">IF(OR($C$7="",$B2581&gt;NOW()),"",IF(INDEX(Data!$A:$G,MATCH($B2581,Data!$A:$A,0),MATCH($C$7,Data!$4:$4,0))="","",INDEX(Data!$A:$G,MATCH($B2581,Data!$A:$A,0),MATCH($C$7,Data!$4:$4,0))))</f>
        <v>38.9</v>
      </c>
      <c r="D2581" s="148">
        <f t="shared" ca="1" si="84"/>
        <v>26.1</v>
      </c>
      <c r="E2581" s="148">
        <f t="shared" ca="1" si="85"/>
        <v>0</v>
      </c>
    </row>
    <row r="2582" spans="2:5" x14ac:dyDescent="0.25">
      <c r="B2582" s="8">
        <v>40176</v>
      </c>
      <c r="C2582" s="6">
        <f ca="1">IF(OR($C$7="",$B2582&gt;NOW()),"",IF(INDEX(Data!$A:$G,MATCH($B2582,Data!$A:$A,0),MATCH($C$7,Data!$4:$4,0))="","",INDEX(Data!$A:$G,MATCH($B2582,Data!$A:$A,0),MATCH($C$7,Data!$4:$4,0))))</f>
        <v>26.2</v>
      </c>
      <c r="D2582" s="148">
        <f t="shared" ca="1" si="84"/>
        <v>38.799999999999997</v>
      </c>
      <c r="E2582" s="148">
        <f t="shared" ca="1" si="85"/>
        <v>0</v>
      </c>
    </row>
    <row r="2583" spans="2:5" x14ac:dyDescent="0.25">
      <c r="B2583" s="8">
        <v>40177</v>
      </c>
      <c r="C2583" s="6">
        <f ca="1">IF(OR($C$7="",$B2583&gt;NOW()),"",IF(INDEX(Data!$A:$G,MATCH($B2583,Data!$A:$A,0),MATCH($C$7,Data!$4:$4,0))="","",INDEX(Data!$A:$G,MATCH($B2583,Data!$A:$A,0),MATCH($C$7,Data!$4:$4,0))))</f>
        <v>23.7</v>
      </c>
      <c r="D2583" s="148">
        <f t="shared" ca="1" si="84"/>
        <v>41.3</v>
      </c>
      <c r="E2583" s="148">
        <f t="shared" ca="1" si="85"/>
        <v>0</v>
      </c>
    </row>
    <row r="2584" spans="2:5" x14ac:dyDescent="0.25">
      <c r="B2584" s="8">
        <v>40178</v>
      </c>
      <c r="C2584" s="6">
        <f ca="1">IF(OR($C$7="",$B2584&gt;NOW()),"",IF(INDEX(Data!$A:$G,MATCH($B2584,Data!$A:$A,0),MATCH($C$7,Data!$4:$4,0))="","",INDEX(Data!$A:$G,MATCH($B2584,Data!$A:$A,0),MATCH($C$7,Data!$4:$4,0))))</f>
        <v>31.8</v>
      </c>
      <c r="D2584" s="148">
        <f t="shared" ca="1" si="84"/>
        <v>33.200000000000003</v>
      </c>
      <c r="E2584" s="148">
        <f t="shared" ca="1" si="85"/>
        <v>0</v>
      </c>
    </row>
    <row r="2585" spans="2:5" x14ac:dyDescent="0.25">
      <c r="B2585" s="8">
        <v>40179</v>
      </c>
      <c r="C2585" s="6">
        <f ca="1">IF(OR($C$7="",$B2585&gt;NOW()),"",IF(INDEX(Data!$A:$G,MATCH($B2585,Data!$A:$A,0),MATCH($C$7,Data!$4:$4,0))="","",INDEX(Data!$A:$G,MATCH($B2585,Data!$A:$A,0),MATCH($C$7,Data!$4:$4,0))))</f>
        <v>35.1</v>
      </c>
      <c r="D2585" s="148">
        <f t="shared" ca="1" si="84"/>
        <v>29.9</v>
      </c>
      <c r="E2585" s="148">
        <f t="shared" ca="1" si="85"/>
        <v>0</v>
      </c>
    </row>
    <row r="2586" spans="2:5" x14ac:dyDescent="0.25">
      <c r="B2586" s="8">
        <v>40180</v>
      </c>
      <c r="C2586" s="6">
        <f ca="1">IF(OR($C$7="",$B2586&gt;NOW()),"",IF(INDEX(Data!$A:$G,MATCH($B2586,Data!$A:$A,0),MATCH($C$7,Data!$4:$4,0))="","",INDEX(Data!$A:$G,MATCH($B2586,Data!$A:$A,0),MATCH($C$7,Data!$4:$4,0))))</f>
        <v>29.2</v>
      </c>
      <c r="D2586" s="148">
        <f t="shared" ca="1" si="84"/>
        <v>35.799999999999997</v>
      </c>
      <c r="E2586" s="148">
        <f t="shared" ca="1" si="85"/>
        <v>0</v>
      </c>
    </row>
    <row r="2587" spans="2:5" x14ac:dyDescent="0.25">
      <c r="B2587" s="8">
        <v>40181</v>
      </c>
      <c r="C2587" s="6">
        <f ca="1">IF(OR($C$7="",$B2587&gt;NOW()),"",IF(INDEX(Data!$A:$G,MATCH($B2587,Data!$A:$A,0),MATCH($C$7,Data!$4:$4,0))="","",INDEX(Data!$A:$G,MATCH($B2587,Data!$A:$A,0),MATCH($C$7,Data!$4:$4,0))))</f>
        <v>19.7</v>
      </c>
      <c r="D2587" s="148">
        <f t="shared" ca="1" si="84"/>
        <v>45.3</v>
      </c>
      <c r="E2587" s="148">
        <f t="shared" ca="1" si="85"/>
        <v>0</v>
      </c>
    </row>
    <row r="2588" spans="2:5" x14ac:dyDescent="0.25">
      <c r="B2588" s="8">
        <v>40182</v>
      </c>
      <c r="C2588" s="6">
        <f ca="1">IF(OR($C$7="",$B2588&gt;NOW()),"",IF(INDEX(Data!$A:$G,MATCH($B2588,Data!$A:$A,0),MATCH($C$7,Data!$4:$4,0))="","",INDEX(Data!$A:$G,MATCH($B2588,Data!$A:$A,0),MATCH($C$7,Data!$4:$4,0))))</f>
        <v>24.2</v>
      </c>
      <c r="D2588" s="148">
        <f t="shared" ca="1" si="84"/>
        <v>40.799999999999997</v>
      </c>
      <c r="E2588" s="148">
        <f t="shared" ca="1" si="85"/>
        <v>0</v>
      </c>
    </row>
    <row r="2589" spans="2:5" x14ac:dyDescent="0.25">
      <c r="B2589" s="8">
        <v>40183</v>
      </c>
      <c r="C2589" s="6">
        <f ca="1">IF(OR($C$7="",$B2589&gt;NOW()),"",IF(INDEX(Data!$A:$G,MATCH($B2589,Data!$A:$A,0),MATCH($C$7,Data!$4:$4,0))="","",INDEX(Data!$A:$G,MATCH($B2589,Data!$A:$A,0),MATCH($C$7,Data!$4:$4,0))))</f>
        <v>25.4</v>
      </c>
      <c r="D2589" s="148">
        <f t="shared" ref="D2589:D2652" ca="1" si="86">IF($C2589="","",IF($C2589&gt;$D$26,0,$D$26-$C2589))</f>
        <v>39.6</v>
      </c>
      <c r="E2589" s="148">
        <f t="shared" ref="E2589:E2652" ca="1" si="87">IF($C2589="","",IF($C2589&lt;$E$26,0,$C2589-$E$26))</f>
        <v>0</v>
      </c>
    </row>
    <row r="2590" spans="2:5" x14ac:dyDescent="0.25">
      <c r="B2590" s="8">
        <v>40184</v>
      </c>
      <c r="C2590" s="6">
        <f ca="1">IF(OR($C$7="",$B2590&gt;NOW()),"",IF(INDEX(Data!$A:$G,MATCH($B2590,Data!$A:$A,0),MATCH($C$7,Data!$4:$4,0))="","",INDEX(Data!$A:$G,MATCH($B2590,Data!$A:$A,0),MATCH($C$7,Data!$4:$4,0))))</f>
        <v>29.2</v>
      </c>
      <c r="D2590" s="148">
        <f t="shared" ca="1" si="86"/>
        <v>35.799999999999997</v>
      </c>
      <c r="E2590" s="148">
        <f t="shared" ca="1" si="87"/>
        <v>0</v>
      </c>
    </row>
    <row r="2591" spans="2:5" x14ac:dyDescent="0.25">
      <c r="B2591" s="8">
        <v>40185</v>
      </c>
      <c r="C2591" s="6">
        <f ca="1">IF(OR($C$7="",$B2591&gt;NOW()),"",IF(INDEX(Data!$A:$G,MATCH($B2591,Data!$A:$A,0),MATCH($C$7,Data!$4:$4,0))="","",INDEX(Data!$A:$G,MATCH($B2591,Data!$A:$A,0),MATCH($C$7,Data!$4:$4,0))))</f>
        <v>32.700000000000003</v>
      </c>
      <c r="D2591" s="148">
        <f t="shared" ca="1" si="86"/>
        <v>32.299999999999997</v>
      </c>
      <c r="E2591" s="148">
        <f t="shared" ca="1" si="87"/>
        <v>0</v>
      </c>
    </row>
    <row r="2592" spans="2:5" x14ac:dyDescent="0.25">
      <c r="B2592" s="8">
        <v>40186</v>
      </c>
      <c r="C2592" s="6">
        <f ca="1">IF(OR($C$7="",$B2592&gt;NOW()),"",IF(INDEX(Data!$A:$G,MATCH($B2592,Data!$A:$A,0),MATCH($C$7,Data!$4:$4,0))="","",INDEX(Data!$A:$G,MATCH($B2592,Data!$A:$A,0),MATCH($C$7,Data!$4:$4,0))))</f>
        <v>32.299999999999997</v>
      </c>
      <c r="D2592" s="148">
        <f t="shared" ca="1" si="86"/>
        <v>32.700000000000003</v>
      </c>
      <c r="E2592" s="148">
        <f t="shared" ca="1" si="87"/>
        <v>0</v>
      </c>
    </row>
    <row r="2593" spans="2:5" x14ac:dyDescent="0.25">
      <c r="B2593" s="8">
        <v>40187</v>
      </c>
      <c r="C2593" s="6">
        <f ca="1">IF(OR($C$7="",$B2593&gt;NOW()),"",IF(INDEX(Data!$A:$G,MATCH($B2593,Data!$A:$A,0),MATCH($C$7,Data!$4:$4,0))="","",INDEX(Data!$A:$G,MATCH($B2593,Data!$A:$A,0),MATCH($C$7,Data!$4:$4,0))))</f>
        <v>25.2</v>
      </c>
      <c r="D2593" s="148">
        <f t="shared" ca="1" si="86"/>
        <v>39.799999999999997</v>
      </c>
      <c r="E2593" s="148">
        <f t="shared" ca="1" si="87"/>
        <v>0</v>
      </c>
    </row>
    <row r="2594" spans="2:5" x14ac:dyDescent="0.25">
      <c r="B2594" s="8">
        <v>40188</v>
      </c>
      <c r="C2594" s="6">
        <f ca="1">IF(OR($C$7="",$B2594&gt;NOW()),"",IF(INDEX(Data!$A:$G,MATCH($B2594,Data!$A:$A,0),MATCH($C$7,Data!$4:$4,0))="","",INDEX(Data!$A:$G,MATCH($B2594,Data!$A:$A,0),MATCH($C$7,Data!$4:$4,0))))</f>
        <v>21.7</v>
      </c>
      <c r="D2594" s="148">
        <f t="shared" ca="1" si="86"/>
        <v>43.3</v>
      </c>
      <c r="E2594" s="148">
        <f t="shared" ca="1" si="87"/>
        <v>0</v>
      </c>
    </row>
    <row r="2595" spans="2:5" x14ac:dyDescent="0.25">
      <c r="B2595" s="8">
        <v>40189</v>
      </c>
      <c r="C2595" s="6">
        <f ca="1">IF(OR($C$7="",$B2595&gt;NOW()),"",IF(INDEX(Data!$A:$G,MATCH($B2595,Data!$A:$A,0),MATCH($C$7,Data!$4:$4,0))="","",INDEX(Data!$A:$G,MATCH($B2595,Data!$A:$A,0),MATCH($C$7,Data!$4:$4,0))))</f>
        <v>26.8</v>
      </c>
      <c r="D2595" s="148">
        <f t="shared" ca="1" si="86"/>
        <v>38.200000000000003</v>
      </c>
      <c r="E2595" s="148">
        <f t="shared" ca="1" si="87"/>
        <v>0</v>
      </c>
    </row>
    <row r="2596" spans="2:5" x14ac:dyDescent="0.25">
      <c r="B2596" s="8">
        <v>40190</v>
      </c>
      <c r="C2596" s="6">
        <f ca="1">IF(OR($C$7="",$B2596&gt;NOW()),"",IF(INDEX(Data!$A:$G,MATCH($B2596,Data!$A:$A,0),MATCH($C$7,Data!$4:$4,0))="","",INDEX(Data!$A:$G,MATCH($B2596,Data!$A:$A,0),MATCH($C$7,Data!$4:$4,0))))</f>
        <v>31.5</v>
      </c>
      <c r="D2596" s="148">
        <f t="shared" ca="1" si="86"/>
        <v>33.5</v>
      </c>
      <c r="E2596" s="148">
        <f t="shared" ca="1" si="87"/>
        <v>0</v>
      </c>
    </row>
    <row r="2597" spans="2:5" x14ac:dyDescent="0.25">
      <c r="B2597" s="8">
        <v>40191</v>
      </c>
      <c r="C2597" s="6">
        <f ca="1">IF(OR($C$7="",$B2597&gt;NOW()),"",IF(INDEX(Data!$A:$G,MATCH($B2597,Data!$A:$A,0),MATCH($C$7,Data!$4:$4,0))="","",INDEX(Data!$A:$G,MATCH($B2597,Data!$A:$A,0),MATCH($C$7,Data!$4:$4,0))))</f>
        <v>28.5</v>
      </c>
      <c r="D2597" s="148">
        <f t="shared" ca="1" si="86"/>
        <v>36.5</v>
      </c>
      <c r="E2597" s="148">
        <f t="shared" ca="1" si="87"/>
        <v>0</v>
      </c>
    </row>
    <row r="2598" spans="2:5" x14ac:dyDescent="0.25">
      <c r="B2598" s="8">
        <v>40192</v>
      </c>
      <c r="C2598" s="6">
        <f ca="1">IF(OR($C$7="",$B2598&gt;NOW()),"",IF(INDEX(Data!$A:$G,MATCH($B2598,Data!$A:$A,0),MATCH($C$7,Data!$4:$4,0))="","",INDEX(Data!$A:$G,MATCH($B2598,Data!$A:$A,0),MATCH($C$7,Data!$4:$4,0))))</f>
        <v>35.4</v>
      </c>
      <c r="D2598" s="148">
        <f t="shared" ca="1" si="86"/>
        <v>29.6</v>
      </c>
      <c r="E2598" s="148">
        <f t="shared" ca="1" si="87"/>
        <v>0</v>
      </c>
    </row>
    <row r="2599" spans="2:5" x14ac:dyDescent="0.25">
      <c r="B2599" s="8">
        <v>40193</v>
      </c>
      <c r="C2599" s="6">
        <f ca="1">IF(OR($C$7="",$B2599&gt;NOW()),"",IF(INDEX(Data!$A:$G,MATCH($B2599,Data!$A:$A,0),MATCH($C$7,Data!$4:$4,0))="","",INDEX(Data!$A:$G,MATCH($B2599,Data!$A:$A,0),MATCH($C$7,Data!$4:$4,0))))</f>
        <v>40.5</v>
      </c>
      <c r="D2599" s="148">
        <f t="shared" ca="1" si="86"/>
        <v>24.5</v>
      </c>
      <c r="E2599" s="148">
        <f t="shared" ca="1" si="87"/>
        <v>0</v>
      </c>
    </row>
    <row r="2600" spans="2:5" x14ac:dyDescent="0.25">
      <c r="B2600" s="8">
        <v>40194</v>
      </c>
      <c r="C2600" s="6">
        <f ca="1">IF(OR($C$7="",$B2600&gt;NOW()),"",IF(INDEX(Data!$A:$G,MATCH($B2600,Data!$A:$A,0),MATCH($C$7,Data!$4:$4,0))="","",INDEX(Data!$A:$G,MATCH($B2600,Data!$A:$A,0),MATCH($C$7,Data!$4:$4,0))))</f>
        <v>42.6</v>
      </c>
      <c r="D2600" s="148">
        <f t="shared" ca="1" si="86"/>
        <v>22.4</v>
      </c>
      <c r="E2600" s="148">
        <f t="shared" ca="1" si="87"/>
        <v>0</v>
      </c>
    </row>
    <row r="2601" spans="2:5" x14ac:dyDescent="0.25">
      <c r="B2601" s="8">
        <v>40195</v>
      </c>
      <c r="C2601" s="6">
        <f ca="1">IF(OR($C$7="",$B2601&gt;NOW()),"",IF(INDEX(Data!$A:$G,MATCH($B2601,Data!$A:$A,0),MATCH($C$7,Data!$4:$4,0))="","",INDEX(Data!$A:$G,MATCH($B2601,Data!$A:$A,0),MATCH($C$7,Data!$4:$4,0))))</f>
        <v>38.799999999999997</v>
      </c>
      <c r="D2601" s="148">
        <f t="shared" ca="1" si="86"/>
        <v>26.200000000000003</v>
      </c>
      <c r="E2601" s="148">
        <f t="shared" ca="1" si="87"/>
        <v>0</v>
      </c>
    </row>
    <row r="2602" spans="2:5" x14ac:dyDescent="0.25">
      <c r="B2602" s="8">
        <v>40196</v>
      </c>
      <c r="C2602" s="6">
        <f ca="1">IF(OR($C$7="",$B2602&gt;NOW()),"",IF(INDEX(Data!$A:$G,MATCH($B2602,Data!$A:$A,0),MATCH($C$7,Data!$4:$4,0))="","",INDEX(Data!$A:$G,MATCH($B2602,Data!$A:$A,0),MATCH($C$7,Data!$4:$4,0))))</f>
        <v>39.9</v>
      </c>
      <c r="D2602" s="148">
        <f t="shared" ca="1" si="86"/>
        <v>25.1</v>
      </c>
      <c r="E2602" s="148">
        <f t="shared" ca="1" si="87"/>
        <v>0</v>
      </c>
    </row>
    <row r="2603" spans="2:5" x14ac:dyDescent="0.25">
      <c r="B2603" s="8">
        <v>40197</v>
      </c>
      <c r="C2603" s="6">
        <f ca="1">IF(OR($C$7="",$B2603&gt;NOW()),"",IF(INDEX(Data!$A:$G,MATCH($B2603,Data!$A:$A,0),MATCH($C$7,Data!$4:$4,0))="","",INDEX(Data!$A:$G,MATCH($B2603,Data!$A:$A,0),MATCH($C$7,Data!$4:$4,0))))</f>
        <v>43.6</v>
      </c>
      <c r="D2603" s="148">
        <f t="shared" ca="1" si="86"/>
        <v>21.4</v>
      </c>
      <c r="E2603" s="148">
        <f t="shared" ca="1" si="87"/>
        <v>0</v>
      </c>
    </row>
    <row r="2604" spans="2:5" x14ac:dyDescent="0.25">
      <c r="B2604" s="8">
        <v>40198</v>
      </c>
      <c r="C2604" s="6">
        <f ca="1">IF(OR($C$7="",$B2604&gt;NOW()),"",IF(INDEX(Data!$A:$G,MATCH($B2604,Data!$A:$A,0),MATCH($C$7,Data!$4:$4,0))="","",INDEX(Data!$A:$G,MATCH($B2604,Data!$A:$A,0),MATCH($C$7,Data!$4:$4,0))))</f>
        <v>39.299999999999997</v>
      </c>
      <c r="D2604" s="148">
        <f t="shared" ca="1" si="86"/>
        <v>25.700000000000003</v>
      </c>
      <c r="E2604" s="148">
        <f t="shared" ca="1" si="87"/>
        <v>0</v>
      </c>
    </row>
    <row r="2605" spans="2:5" x14ac:dyDescent="0.25">
      <c r="B2605" s="8">
        <v>40199</v>
      </c>
      <c r="C2605" s="6">
        <f ca="1">IF(OR($C$7="",$B2605&gt;NOW()),"",IF(INDEX(Data!$A:$G,MATCH($B2605,Data!$A:$A,0),MATCH($C$7,Data!$4:$4,0))="","",INDEX(Data!$A:$G,MATCH($B2605,Data!$A:$A,0),MATCH($C$7,Data!$4:$4,0))))</f>
        <v>36.799999999999997</v>
      </c>
      <c r="D2605" s="148">
        <f t="shared" ca="1" si="86"/>
        <v>28.200000000000003</v>
      </c>
      <c r="E2605" s="148">
        <f t="shared" ca="1" si="87"/>
        <v>0</v>
      </c>
    </row>
    <row r="2606" spans="2:5" x14ac:dyDescent="0.25">
      <c r="B2606" s="8">
        <v>40200</v>
      </c>
      <c r="C2606" s="6">
        <f ca="1">IF(OR($C$7="",$B2606&gt;NOW()),"",IF(INDEX(Data!$A:$G,MATCH($B2606,Data!$A:$A,0),MATCH($C$7,Data!$4:$4,0))="","",INDEX(Data!$A:$G,MATCH($B2606,Data!$A:$A,0),MATCH($C$7,Data!$4:$4,0))))</f>
        <v>37.200000000000003</v>
      </c>
      <c r="D2606" s="148">
        <f t="shared" ca="1" si="86"/>
        <v>27.799999999999997</v>
      </c>
      <c r="E2606" s="148">
        <f t="shared" ca="1" si="87"/>
        <v>0</v>
      </c>
    </row>
    <row r="2607" spans="2:5" x14ac:dyDescent="0.25">
      <c r="B2607" s="8">
        <v>40201</v>
      </c>
      <c r="C2607" s="6">
        <f ca="1">IF(OR($C$7="",$B2607&gt;NOW()),"",IF(INDEX(Data!$A:$G,MATCH($B2607,Data!$A:$A,0),MATCH($C$7,Data!$4:$4,0))="","",INDEX(Data!$A:$G,MATCH($B2607,Data!$A:$A,0),MATCH($C$7,Data!$4:$4,0))))</f>
        <v>34.9</v>
      </c>
      <c r="D2607" s="148">
        <f t="shared" ca="1" si="86"/>
        <v>30.1</v>
      </c>
      <c r="E2607" s="148">
        <f t="shared" ca="1" si="87"/>
        <v>0</v>
      </c>
    </row>
    <row r="2608" spans="2:5" x14ac:dyDescent="0.25">
      <c r="B2608" s="8">
        <v>40202</v>
      </c>
      <c r="C2608" s="6">
        <f ca="1">IF(OR($C$7="",$B2608&gt;NOW()),"",IF(INDEX(Data!$A:$G,MATCH($B2608,Data!$A:$A,0),MATCH($C$7,Data!$4:$4,0))="","",INDEX(Data!$A:$G,MATCH($B2608,Data!$A:$A,0),MATCH($C$7,Data!$4:$4,0))))</f>
        <v>35.6</v>
      </c>
      <c r="D2608" s="148">
        <f t="shared" ca="1" si="86"/>
        <v>29.4</v>
      </c>
      <c r="E2608" s="148">
        <f t="shared" ca="1" si="87"/>
        <v>0</v>
      </c>
    </row>
    <row r="2609" spans="2:5" x14ac:dyDescent="0.25">
      <c r="B2609" s="8">
        <v>40203</v>
      </c>
      <c r="C2609" s="6">
        <f ca="1">IF(OR($C$7="",$B2609&gt;NOW()),"",IF(INDEX(Data!$A:$G,MATCH($B2609,Data!$A:$A,0),MATCH($C$7,Data!$4:$4,0))="","",INDEX(Data!$A:$G,MATCH($B2609,Data!$A:$A,0),MATCH($C$7,Data!$4:$4,0))))</f>
        <v>50</v>
      </c>
      <c r="D2609" s="148">
        <f t="shared" ca="1" si="86"/>
        <v>15</v>
      </c>
      <c r="E2609" s="148">
        <f t="shared" ca="1" si="87"/>
        <v>0</v>
      </c>
    </row>
    <row r="2610" spans="2:5" x14ac:dyDescent="0.25">
      <c r="B2610" s="8">
        <v>40204</v>
      </c>
      <c r="C2610" s="6">
        <f ca="1">IF(OR($C$7="",$B2610&gt;NOW()),"",IF(INDEX(Data!$A:$G,MATCH($B2610,Data!$A:$A,0),MATCH($C$7,Data!$4:$4,0))="","",INDEX(Data!$A:$G,MATCH($B2610,Data!$A:$A,0),MATCH($C$7,Data!$4:$4,0))))</f>
        <v>43.3</v>
      </c>
      <c r="D2610" s="148">
        <f t="shared" ca="1" si="86"/>
        <v>21.700000000000003</v>
      </c>
      <c r="E2610" s="148">
        <f t="shared" ca="1" si="87"/>
        <v>0</v>
      </c>
    </row>
    <row r="2611" spans="2:5" x14ac:dyDescent="0.25">
      <c r="B2611" s="8">
        <v>40205</v>
      </c>
      <c r="C2611" s="6">
        <f ca="1">IF(OR($C$7="",$B2611&gt;NOW()),"",IF(INDEX(Data!$A:$G,MATCH($B2611,Data!$A:$A,0),MATCH($C$7,Data!$4:$4,0))="","",INDEX(Data!$A:$G,MATCH($B2611,Data!$A:$A,0),MATCH($C$7,Data!$4:$4,0))))</f>
        <v>35.799999999999997</v>
      </c>
      <c r="D2611" s="148">
        <f t="shared" ca="1" si="86"/>
        <v>29.200000000000003</v>
      </c>
      <c r="E2611" s="148">
        <f t="shared" ca="1" si="87"/>
        <v>0</v>
      </c>
    </row>
    <row r="2612" spans="2:5" x14ac:dyDescent="0.25">
      <c r="B2612" s="8">
        <v>40206</v>
      </c>
      <c r="C2612" s="6">
        <f ca="1">IF(OR($C$7="",$B2612&gt;NOW()),"",IF(INDEX(Data!$A:$G,MATCH($B2612,Data!$A:$A,0),MATCH($C$7,Data!$4:$4,0))="","",INDEX(Data!$A:$G,MATCH($B2612,Data!$A:$A,0),MATCH($C$7,Data!$4:$4,0))))</f>
        <v>36.299999999999997</v>
      </c>
      <c r="D2612" s="148">
        <f t="shared" ca="1" si="86"/>
        <v>28.700000000000003</v>
      </c>
      <c r="E2612" s="148">
        <f t="shared" ca="1" si="87"/>
        <v>0</v>
      </c>
    </row>
    <row r="2613" spans="2:5" x14ac:dyDescent="0.25">
      <c r="B2613" s="8">
        <v>40207</v>
      </c>
      <c r="C2613" s="6">
        <f ca="1">IF(OR($C$7="",$B2613&gt;NOW()),"",IF(INDEX(Data!$A:$G,MATCH($B2613,Data!$A:$A,0),MATCH($C$7,Data!$4:$4,0))="","",INDEX(Data!$A:$G,MATCH($B2613,Data!$A:$A,0),MATCH($C$7,Data!$4:$4,0))))</f>
        <v>21.8</v>
      </c>
      <c r="D2613" s="148">
        <f t="shared" ca="1" si="86"/>
        <v>43.2</v>
      </c>
      <c r="E2613" s="148">
        <f t="shared" ca="1" si="87"/>
        <v>0</v>
      </c>
    </row>
    <row r="2614" spans="2:5" x14ac:dyDescent="0.25">
      <c r="B2614" s="8">
        <v>40208</v>
      </c>
      <c r="C2614" s="6">
        <f ca="1">IF(OR($C$7="",$B2614&gt;NOW()),"",IF(INDEX(Data!$A:$G,MATCH($B2614,Data!$A:$A,0),MATCH($C$7,Data!$4:$4,0))="","",INDEX(Data!$A:$G,MATCH($B2614,Data!$A:$A,0),MATCH($C$7,Data!$4:$4,0))))</f>
        <v>17.8</v>
      </c>
      <c r="D2614" s="148">
        <f t="shared" ca="1" si="86"/>
        <v>47.2</v>
      </c>
      <c r="E2614" s="148">
        <f t="shared" ca="1" si="87"/>
        <v>0</v>
      </c>
    </row>
    <row r="2615" spans="2:5" x14ac:dyDescent="0.25">
      <c r="B2615" s="8">
        <v>40209</v>
      </c>
      <c r="C2615" s="6">
        <f ca="1">IF(OR($C$7="",$B2615&gt;NOW()),"",IF(INDEX(Data!$A:$G,MATCH($B2615,Data!$A:$A,0),MATCH($C$7,Data!$4:$4,0))="","",INDEX(Data!$A:$G,MATCH($B2615,Data!$A:$A,0),MATCH($C$7,Data!$4:$4,0))))</f>
        <v>21.4</v>
      </c>
      <c r="D2615" s="148">
        <f t="shared" ca="1" si="86"/>
        <v>43.6</v>
      </c>
      <c r="E2615" s="148">
        <f t="shared" ca="1" si="87"/>
        <v>0</v>
      </c>
    </row>
    <row r="2616" spans="2:5" x14ac:dyDescent="0.25">
      <c r="B2616" s="8">
        <v>40210</v>
      </c>
      <c r="C2616" s="6">
        <f ca="1">IF(OR($C$7="",$B2616&gt;NOW()),"",IF(INDEX(Data!$A:$G,MATCH($B2616,Data!$A:$A,0),MATCH($C$7,Data!$4:$4,0))="","",INDEX(Data!$A:$G,MATCH($B2616,Data!$A:$A,0),MATCH($C$7,Data!$4:$4,0))))</f>
        <v>30.4</v>
      </c>
      <c r="D2616" s="148">
        <f t="shared" ca="1" si="86"/>
        <v>34.6</v>
      </c>
      <c r="E2616" s="148">
        <f t="shared" ca="1" si="87"/>
        <v>0</v>
      </c>
    </row>
    <row r="2617" spans="2:5" x14ac:dyDescent="0.25">
      <c r="B2617" s="8">
        <v>40211</v>
      </c>
      <c r="C2617" s="6">
        <f ca="1">IF(OR($C$7="",$B2617&gt;NOW()),"",IF(INDEX(Data!$A:$G,MATCH($B2617,Data!$A:$A,0),MATCH($C$7,Data!$4:$4,0))="","",INDEX(Data!$A:$G,MATCH($B2617,Data!$A:$A,0),MATCH($C$7,Data!$4:$4,0))))</f>
        <v>32</v>
      </c>
      <c r="D2617" s="148">
        <f t="shared" ca="1" si="86"/>
        <v>33</v>
      </c>
      <c r="E2617" s="148">
        <f t="shared" ca="1" si="87"/>
        <v>0</v>
      </c>
    </row>
    <row r="2618" spans="2:5" x14ac:dyDescent="0.25">
      <c r="B2618" s="8">
        <v>40212</v>
      </c>
      <c r="C2618" s="6">
        <f ca="1">IF(OR($C$7="",$B2618&gt;NOW()),"",IF(INDEX(Data!$A:$G,MATCH($B2618,Data!$A:$A,0),MATCH($C$7,Data!$4:$4,0))="","",INDEX(Data!$A:$G,MATCH($B2618,Data!$A:$A,0),MATCH($C$7,Data!$4:$4,0))))</f>
        <v>32</v>
      </c>
      <c r="D2618" s="148">
        <f t="shared" ca="1" si="86"/>
        <v>33</v>
      </c>
      <c r="E2618" s="148">
        <f t="shared" ca="1" si="87"/>
        <v>0</v>
      </c>
    </row>
    <row r="2619" spans="2:5" x14ac:dyDescent="0.25">
      <c r="B2619" s="8">
        <v>40213</v>
      </c>
      <c r="C2619" s="6">
        <f ca="1">IF(OR($C$7="",$B2619&gt;NOW()),"",IF(INDEX(Data!$A:$G,MATCH($B2619,Data!$A:$A,0),MATCH($C$7,Data!$4:$4,0))="","",INDEX(Data!$A:$G,MATCH($B2619,Data!$A:$A,0),MATCH($C$7,Data!$4:$4,0))))</f>
        <v>33.299999999999997</v>
      </c>
      <c r="D2619" s="148">
        <f t="shared" ca="1" si="86"/>
        <v>31.700000000000003</v>
      </c>
      <c r="E2619" s="148">
        <f t="shared" ca="1" si="87"/>
        <v>0</v>
      </c>
    </row>
    <row r="2620" spans="2:5" x14ac:dyDescent="0.25">
      <c r="B2620" s="8">
        <v>40214</v>
      </c>
      <c r="C2620" s="6">
        <f ca="1">IF(OR($C$7="",$B2620&gt;NOW()),"",IF(INDEX(Data!$A:$G,MATCH($B2620,Data!$A:$A,0),MATCH($C$7,Data!$4:$4,0))="","",INDEX(Data!$A:$G,MATCH($B2620,Data!$A:$A,0),MATCH($C$7,Data!$4:$4,0))))</f>
        <v>33.799999999999997</v>
      </c>
      <c r="D2620" s="148">
        <f t="shared" ca="1" si="86"/>
        <v>31.200000000000003</v>
      </c>
      <c r="E2620" s="148">
        <f t="shared" ca="1" si="87"/>
        <v>0</v>
      </c>
    </row>
    <row r="2621" spans="2:5" x14ac:dyDescent="0.25">
      <c r="B2621" s="8">
        <v>40215</v>
      </c>
      <c r="C2621" s="6">
        <f ca="1">IF(OR($C$7="",$B2621&gt;NOW()),"",IF(INDEX(Data!$A:$G,MATCH($B2621,Data!$A:$A,0),MATCH($C$7,Data!$4:$4,0))="","",INDEX(Data!$A:$G,MATCH($B2621,Data!$A:$A,0),MATCH($C$7,Data!$4:$4,0))))</f>
        <v>30.1</v>
      </c>
      <c r="D2621" s="148">
        <f t="shared" ca="1" si="86"/>
        <v>34.9</v>
      </c>
      <c r="E2621" s="148">
        <f t="shared" ca="1" si="87"/>
        <v>0</v>
      </c>
    </row>
    <row r="2622" spans="2:5" x14ac:dyDescent="0.25">
      <c r="B2622" s="8">
        <v>40216</v>
      </c>
      <c r="C2622" s="6">
        <f ca="1">IF(OR($C$7="",$B2622&gt;NOW()),"",IF(INDEX(Data!$A:$G,MATCH($B2622,Data!$A:$A,0),MATCH($C$7,Data!$4:$4,0))="","",INDEX(Data!$A:$G,MATCH($B2622,Data!$A:$A,0),MATCH($C$7,Data!$4:$4,0))))</f>
        <v>24.8</v>
      </c>
      <c r="D2622" s="148">
        <f t="shared" ca="1" si="86"/>
        <v>40.200000000000003</v>
      </c>
      <c r="E2622" s="148">
        <f t="shared" ca="1" si="87"/>
        <v>0</v>
      </c>
    </row>
    <row r="2623" spans="2:5" x14ac:dyDescent="0.25">
      <c r="B2623" s="8">
        <v>40217</v>
      </c>
      <c r="C2623" s="6">
        <f ca="1">IF(OR($C$7="",$B2623&gt;NOW()),"",IF(INDEX(Data!$A:$G,MATCH($B2623,Data!$A:$A,0),MATCH($C$7,Data!$4:$4,0))="","",INDEX(Data!$A:$G,MATCH($B2623,Data!$A:$A,0),MATCH($C$7,Data!$4:$4,0))))</f>
        <v>28.8</v>
      </c>
      <c r="D2623" s="148">
        <f t="shared" ca="1" si="86"/>
        <v>36.200000000000003</v>
      </c>
      <c r="E2623" s="148">
        <f t="shared" ca="1" si="87"/>
        <v>0</v>
      </c>
    </row>
    <row r="2624" spans="2:5" x14ac:dyDescent="0.25">
      <c r="B2624" s="8">
        <v>40218</v>
      </c>
      <c r="C2624" s="6">
        <f ca="1">IF(OR($C$7="",$B2624&gt;NOW()),"",IF(INDEX(Data!$A:$G,MATCH($B2624,Data!$A:$A,0),MATCH($C$7,Data!$4:$4,0))="","",INDEX(Data!$A:$G,MATCH($B2624,Data!$A:$A,0),MATCH($C$7,Data!$4:$4,0))))</f>
        <v>34.1</v>
      </c>
      <c r="D2624" s="148">
        <f t="shared" ca="1" si="86"/>
        <v>30.9</v>
      </c>
      <c r="E2624" s="148">
        <f t="shared" ca="1" si="87"/>
        <v>0</v>
      </c>
    </row>
    <row r="2625" spans="2:5" x14ac:dyDescent="0.25">
      <c r="B2625" s="8">
        <v>40219</v>
      </c>
      <c r="C2625" s="6">
        <f ca="1">IF(OR($C$7="",$B2625&gt;NOW()),"",IF(INDEX(Data!$A:$G,MATCH($B2625,Data!$A:$A,0),MATCH($C$7,Data!$4:$4,0))="","",INDEX(Data!$A:$G,MATCH($B2625,Data!$A:$A,0),MATCH($C$7,Data!$4:$4,0))))</f>
        <v>33.1</v>
      </c>
      <c r="D2625" s="148">
        <f t="shared" ca="1" si="86"/>
        <v>31.9</v>
      </c>
      <c r="E2625" s="148">
        <f t="shared" ca="1" si="87"/>
        <v>0</v>
      </c>
    </row>
    <row r="2626" spans="2:5" x14ac:dyDescent="0.25">
      <c r="B2626" s="8">
        <v>40220</v>
      </c>
      <c r="C2626" s="6">
        <f ca="1">IF(OR($C$7="",$B2626&gt;NOW()),"",IF(INDEX(Data!$A:$G,MATCH($B2626,Data!$A:$A,0),MATCH($C$7,Data!$4:$4,0))="","",INDEX(Data!$A:$G,MATCH($B2626,Data!$A:$A,0),MATCH($C$7,Data!$4:$4,0))))</f>
        <v>32.799999999999997</v>
      </c>
      <c r="D2626" s="148">
        <f t="shared" ca="1" si="86"/>
        <v>32.200000000000003</v>
      </c>
      <c r="E2626" s="148">
        <f t="shared" ca="1" si="87"/>
        <v>0</v>
      </c>
    </row>
    <row r="2627" spans="2:5" x14ac:dyDescent="0.25">
      <c r="B2627" s="8">
        <v>40221</v>
      </c>
      <c r="C2627" s="6">
        <f ca="1">IF(OR($C$7="",$B2627&gt;NOW()),"",IF(INDEX(Data!$A:$G,MATCH($B2627,Data!$A:$A,0),MATCH($C$7,Data!$4:$4,0))="","",INDEX(Data!$A:$G,MATCH($B2627,Data!$A:$A,0),MATCH($C$7,Data!$4:$4,0))))</f>
        <v>31.6</v>
      </c>
      <c r="D2627" s="148">
        <f t="shared" ca="1" si="86"/>
        <v>33.4</v>
      </c>
      <c r="E2627" s="148">
        <f t="shared" ca="1" si="87"/>
        <v>0</v>
      </c>
    </row>
    <row r="2628" spans="2:5" x14ac:dyDescent="0.25">
      <c r="B2628" s="8">
        <v>40222</v>
      </c>
      <c r="C2628" s="6">
        <f ca="1">IF(OR($C$7="",$B2628&gt;NOW()),"",IF(INDEX(Data!$A:$G,MATCH($B2628,Data!$A:$A,0),MATCH($C$7,Data!$4:$4,0))="","",INDEX(Data!$A:$G,MATCH($B2628,Data!$A:$A,0),MATCH($C$7,Data!$4:$4,0))))</f>
        <v>29.9</v>
      </c>
      <c r="D2628" s="148">
        <f t="shared" ca="1" si="86"/>
        <v>35.1</v>
      </c>
      <c r="E2628" s="148">
        <f t="shared" ca="1" si="87"/>
        <v>0</v>
      </c>
    </row>
    <row r="2629" spans="2:5" x14ac:dyDescent="0.25">
      <c r="B2629" s="8">
        <v>40223</v>
      </c>
      <c r="C2629" s="6">
        <f ca="1">IF(OR($C$7="",$B2629&gt;NOW()),"",IF(INDEX(Data!$A:$G,MATCH($B2629,Data!$A:$A,0),MATCH($C$7,Data!$4:$4,0))="","",INDEX(Data!$A:$G,MATCH($B2629,Data!$A:$A,0),MATCH($C$7,Data!$4:$4,0))))</f>
        <v>32.799999999999997</v>
      </c>
      <c r="D2629" s="148">
        <f t="shared" ca="1" si="86"/>
        <v>32.200000000000003</v>
      </c>
      <c r="E2629" s="148">
        <f t="shared" ca="1" si="87"/>
        <v>0</v>
      </c>
    </row>
    <row r="2630" spans="2:5" x14ac:dyDescent="0.25">
      <c r="B2630" s="8">
        <v>40224</v>
      </c>
      <c r="C2630" s="6">
        <f ca="1">IF(OR($C$7="",$B2630&gt;NOW()),"",IF(INDEX(Data!$A:$G,MATCH($B2630,Data!$A:$A,0),MATCH($C$7,Data!$4:$4,0))="","",INDEX(Data!$A:$G,MATCH($B2630,Data!$A:$A,0),MATCH($C$7,Data!$4:$4,0))))</f>
        <v>34.5</v>
      </c>
      <c r="D2630" s="148">
        <f t="shared" ca="1" si="86"/>
        <v>30.5</v>
      </c>
      <c r="E2630" s="148">
        <f t="shared" ca="1" si="87"/>
        <v>0</v>
      </c>
    </row>
    <row r="2631" spans="2:5" x14ac:dyDescent="0.25">
      <c r="B2631" s="8">
        <v>40225</v>
      </c>
      <c r="C2631" s="6">
        <f ca="1">IF(OR($C$7="",$B2631&gt;NOW()),"",IF(INDEX(Data!$A:$G,MATCH($B2631,Data!$A:$A,0),MATCH($C$7,Data!$4:$4,0))="","",INDEX(Data!$A:$G,MATCH($B2631,Data!$A:$A,0),MATCH($C$7,Data!$4:$4,0))))</f>
        <v>32.200000000000003</v>
      </c>
      <c r="D2631" s="148">
        <f t="shared" ca="1" si="86"/>
        <v>32.799999999999997</v>
      </c>
      <c r="E2631" s="148">
        <f t="shared" ca="1" si="87"/>
        <v>0</v>
      </c>
    </row>
    <row r="2632" spans="2:5" x14ac:dyDescent="0.25">
      <c r="B2632" s="8">
        <v>40226</v>
      </c>
      <c r="C2632" s="6">
        <f ca="1">IF(OR($C$7="",$B2632&gt;NOW()),"",IF(INDEX(Data!$A:$G,MATCH($B2632,Data!$A:$A,0),MATCH($C$7,Data!$4:$4,0))="","",INDEX(Data!$A:$G,MATCH($B2632,Data!$A:$A,0),MATCH($C$7,Data!$4:$4,0))))</f>
        <v>30.9</v>
      </c>
      <c r="D2632" s="148">
        <f t="shared" ca="1" si="86"/>
        <v>34.1</v>
      </c>
      <c r="E2632" s="148">
        <f t="shared" ca="1" si="87"/>
        <v>0</v>
      </c>
    </row>
    <row r="2633" spans="2:5" x14ac:dyDescent="0.25">
      <c r="B2633" s="8">
        <v>40227</v>
      </c>
      <c r="C2633" s="6">
        <f ca="1">IF(OR($C$7="",$B2633&gt;NOW()),"",IF(INDEX(Data!$A:$G,MATCH($B2633,Data!$A:$A,0),MATCH($C$7,Data!$4:$4,0))="","",INDEX(Data!$A:$G,MATCH($B2633,Data!$A:$A,0),MATCH($C$7,Data!$4:$4,0))))</f>
        <v>35.1</v>
      </c>
      <c r="D2633" s="148">
        <f t="shared" ca="1" si="86"/>
        <v>29.9</v>
      </c>
      <c r="E2633" s="148">
        <f t="shared" ca="1" si="87"/>
        <v>0</v>
      </c>
    </row>
    <row r="2634" spans="2:5" x14ac:dyDescent="0.25">
      <c r="B2634" s="8">
        <v>40228</v>
      </c>
      <c r="C2634" s="6">
        <f ca="1">IF(OR($C$7="",$B2634&gt;NOW()),"",IF(INDEX(Data!$A:$G,MATCH($B2634,Data!$A:$A,0),MATCH($C$7,Data!$4:$4,0))="","",INDEX(Data!$A:$G,MATCH($B2634,Data!$A:$A,0),MATCH($C$7,Data!$4:$4,0))))</f>
        <v>38.6</v>
      </c>
      <c r="D2634" s="148">
        <f t="shared" ca="1" si="86"/>
        <v>26.4</v>
      </c>
      <c r="E2634" s="148">
        <f t="shared" ca="1" si="87"/>
        <v>0</v>
      </c>
    </row>
    <row r="2635" spans="2:5" x14ac:dyDescent="0.25">
      <c r="B2635" s="8">
        <v>40229</v>
      </c>
      <c r="C2635" s="6">
        <f ca="1">IF(OR($C$7="",$B2635&gt;NOW()),"",IF(INDEX(Data!$A:$G,MATCH($B2635,Data!$A:$A,0),MATCH($C$7,Data!$4:$4,0))="","",INDEX(Data!$A:$G,MATCH($B2635,Data!$A:$A,0),MATCH($C$7,Data!$4:$4,0))))</f>
        <v>39.6</v>
      </c>
      <c r="D2635" s="148">
        <f t="shared" ca="1" si="86"/>
        <v>25.4</v>
      </c>
      <c r="E2635" s="148">
        <f t="shared" ca="1" si="87"/>
        <v>0</v>
      </c>
    </row>
    <row r="2636" spans="2:5" x14ac:dyDescent="0.25">
      <c r="B2636" s="8">
        <v>40230</v>
      </c>
      <c r="C2636" s="6">
        <f ca="1">IF(OR($C$7="",$B2636&gt;NOW()),"",IF(INDEX(Data!$A:$G,MATCH($B2636,Data!$A:$A,0),MATCH($C$7,Data!$4:$4,0))="","",INDEX(Data!$A:$G,MATCH($B2636,Data!$A:$A,0),MATCH($C$7,Data!$4:$4,0))))</f>
        <v>40.200000000000003</v>
      </c>
      <c r="D2636" s="148">
        <f t="shared" ca="1" si="86"/>
        <v>24.799999999999997</v>
      </c>
      <c r="E2636" s="148">
        <f t="shared" ca="1" si="87"/>
        <v>0</v>
      </c>
    </row>
    <row r="2637" spans="2:5" x14ac:dyDescent="0.25">
      <c r="B2637" s="8">
        <v>40231</v>
      </c>
      <c r="C2637" s="6">
        <f ca="1">IF(OR($C$7="",$B2637&gt;NOW()),"",IF(INDEX(Data!$A:$G,MATCH($B2637,Data!$A:$A,0),MATCH($C$7,Data!$4:$4,0))="","",INDEX(Data!$A:$G,MATCH($B2637,Data!$A:$A,0),MATCH($C$7,Data!$4:$4,0))))</f>
        <v>37</v>
      </c>
      <c r="D2637" s="148">
        <f t="shared" ca="1" si="86"/>
        <v>28</v>
      </c>
      <c r="E2637" s="148">
        <f t="shared" ca="1" si="87"/>
        <v>0</v>
      </c>
    </row>
    <row r="2638" spans="2:5" x14ac:dyDescent="0.25">
      <c r="B2638" s="8">
        <v>40232</v>
      </c>
      <c r="C2638" s="6">
        <f ca="1">IF(OR($C$7="",$B2638&gt;NOW()),"",IF(INDEX(Data!$A:$G,MATCH($B2638,Data!$A:$A,0),MATCH($C$7,Data!$4:$4,0))="","",INDEX(Data!$A:$G,MATCH($B2638,Data!$A:$A,0),MATCH($C$7,Data!$4:$4,0))))</f>
        <v>37</v>
      </c>
      <c r="D2638" s="148">
        <f t="shared" ca="1" si="86"/>
        <v>28</v>
      </c>
      <c r="E2638" s="148">
        <f t="shared" ca="1" si="87"/>
        <v>0</v>
      </c>
    </row>
    <row r="2639" spans="2:5" x14ac:dyDescent="0.25">
      <c r="B2639" s="8">
        <v>40233</v>
      </c>
      <c r="C2639" s="6">
        <f ca="1">IF(OR($C$7="",$B2639&gt;NOW()),"",IF(INDEX(Data!$A:$G,MATCH($B2639,Data!$A:$A,0),MATCH($C$7,Data!$4:$4,0))="","",INDEX(Data!$A:$G,MATCH($B2639,Data!$A:$A,0),MATCH($C$7,Data!$4:$4,0))))</f>
        <v>36.5</v>
      </c>
      <c r="D2639" s="148">
        <f t="shared" ca="1" si="86"/>
        <v>28.5</v>
      </c>
      <c r="E2639" s="148">
        <f t="shared" ca="1" si="87"/>
        <v>0</v>
      </c>
    </row>
    <row r="2640" spans="2:5" x14ac:dyDescent="0.25">
      <c r="B2640" s="8">
        <v>40234</v>
      </c>
      <c r="C2640" s="6">
        <f ca="1">IF(OR($C$7="",$B2640&gt;NOW()),"",IF(INDEX(Data!$A:$G,MATCH($B2640,Data!$A:$A,0),MATCH($C$7,Data!$4:$4,0))="","",INDEX(Data!$A:$G,MATCH($B2640,Data!$A:$A,0),MATCH($C$7,Data!$4:$4,0))))</f>
        <v>34.200000000000003</v>
      </c>
      <c r="D2640" s="148">
        <f t="shared" ca="1" si="86"/>
        <v>30.799999999999997</v>
      </c>
      <c r="E2640" s="148">
        <f t="shared" ca="1" si="87"/>
        <v>0</v>
      </c>
    </row>
    <row r="2641" spans="2:5" x14ac:dyDescent="0.25">
      <c r="B2641" s="8">
        <v>40235</v>
      </c>
      <c r="C2641" s="6">
        <f ca="1">IF(OR($C$7="",$B2641&gt;NOW()),"",IF(INDEX(Data!$A:$G,MATCH($B2641,Data!$A:$A,0),MATCH($C$7,Data!$4:$4,0))="","",INDEX(Data!$A:$G,MATCH($B2641,Data!$A:$A,0),MATCH($C$7,Data!$4:$4,0))))</f>
        <v>30.8</v>
      </c>
      <c r="D2641" s="148">
        <f t="shared" ca="1" si="86"/>
        <v>34.200000000000003</v>
      </c>
      <c r="E2641" s="148">
        <f t="shared" ca="1" si="87"/>
        <v>0</v>
      </c>
    </row>
    <row r="2642" spans="2:5" x14ac:dyDescent="0.25">
      <c r="B2642" s="8">
        <v>40236</v>
      </c>
      <c r="C2642" s="6">
        <f ca="1">IF(OR($C$7="",$B2642&gt;NOW()),"",IF(INDEX(Data!$A:$G,MATCH($B2642,Data!$A:$A,0),MATCH($C$7,Data!$4:$4,0))="","",INDEX(Data!$A:$G,MATCH($B2642,Data!$A:$A,0),MATCH($C$7,Data!$4:$4,0))))</f>
        <v>34.1</v>
      </c>
      <c r="D2642" s="148">
        <f t="shared" ca="1" si="86"/>
        <v>30.9</v>
      </c>
      <c r="E2642" s="148">
        <f t="shared" ca="1" si="87"/>
        <v>0</v>
      </c>
    </row>
    <row r="2643" spans="2:5" x14ac:dyDescent="0.25">
      <c r="B2643" s="8">
        <v>40237</v>
      </c>
      <c r="C2643" s="6">
        <f ca="1">IF(OR($C$7="",$B2643&gt;NOW()),"",IF(INDEX(Data!$A:$G,MATCH($B2643,Data!$A:$A,0),MATCH($C$7,Data!$4:$4,0))="","",INDEX(Data!$A:$G,MATCH($B2643,Data!$A:$A,0),MATCH($C$7,Data!$4:$4,0))))</f>
        <v>37.299999999999997</v>
      </c>
      <c r="D2643" s="148">
        <f t="shared" ca="1" si="86"/>
        <v>27.700000000000003</v>
      </c>
      <c r="E2643" s="148">
        <f t="shared" ca="1" si="87"/>
        <v>0</v>
      </c>
    </row>
    <row r="2644" spans="2:5" x14ac:dyDescent="0.25">
      <c r="B2644" s="8">
        <v>40238</v>
      </c>
      <c r="C2644" s="6">
        <f ca="1">IF(OR($C$7="",$B2644&gt;NOW()),"",IF(INDEX(Data!$A:$G,MATCH($B2644,Data!$A:$A,0),MATCH($C$7,Data!$4:$4,0))="","",INDEX(Data!$A:$G,MATCH($B2644,Data!$A:$A,0),MATCH($C$7,Data!$4:$4,0))))</f>
        <v>41.2</v>
      </c>
      <c r="D2644" s="148">
        <f t="shared" ca="1" si="86"/>
        <v>23.799999999999997</v>
      </c>
      <c r="E2644" s="148">
        <f t="shared" ca="1" si="87"/>
        <v>0</v>
      </c>
    </row>
    <row r="2645" spans="2:5" x14ac:dyDescent="0.25">
      <c r="B2645" s="8">
        <v>40239</v>
      </c>
      <c r="C2645" s="6">
        <f ca="1">IF(OR($C$7="",$B2645&gt;NOW()),"",IF(INDEX(Data!$A:$G,MATCH($B2645,Data!$A:$A,0),MATCH($C$7,Data!$4:$4,0))="","",INDEX(Data!$A:$G,MATCH($B2645,Data!$A:$A,0),MATCH($C$7,Data!$4:$4,0))))</f>
        <v>41.7</v>
      </c>
      <c r="D2645" s="148">
        <f t="shared" ca="1" si="86"/>
        <v>23.299999999999997</v>
      </c>
      <c r="E2645" s="148">
        <f t="shared" ca="1" si="87"/>
        <v>0</v>
      </c>
    </row>
    <row r="2646" spans="2:5" x14ac:dyDescent="0.25">
      <c r="B2646" s="8">
        <v>40240</v>
      </c>
      <c r="C2646" s="6">
        <f ca="1">IF(OR($C$7="",$B2646&gt;NOW()),"",IF(INDEX(Data!$A:$G,MATCH($B2646,Data!$A:$A,0),MATCH($C$7,Data!$4:$4,0))="","",INDEX(Data!$A:$G,MATCH($B2646,Data!$A:$A,0),MATCH($C$7,Data!$4:$4,0))))</f>
        <v>39</v>
      </c>
      <c r="D2646" s="148">
        <f t="shared" ca="1" si="86"/>
        <v>26</v>
      </c>
      <c r="E2646" s="148">
        <f t="shared" ca="1" si="87"/>
        <v>0</v>
      </c>
    </row>
    <row r="2647" spans="2:5" x14ac:dyDescent="0.25">
      <c r="B2647" s="8">
        <v>40241</v>
      </c>
      <c r="C2647" s="6">
        <f ca="1">IF(OR($C$7="",$B2647&gt;NOW()),"",IF(INDEX(Data!$A:$G,MATCH($B2647,Data!$A:$A,0),MATCH($C$7,Data!$4:$4,0))="","",INDEX(Data!$A:$G,MATCH($B2647,Data!$A:$A,0),MATCH($C$7,Data!$4:$4,0))))</f>
        <v>40.9</v>
      </c>
      <c r="D2647" s="148">
        <f t="shared" ca="1" si="86"/>
        <v>24.1</v>
      </c>
      <c r="E2647" s="148">
        <f t="shared" ca="1" si="87"/>
        <v>0</v>
      </c>
    </row>
    <row r="2648" spans="2:5" x14ac:dyDescent="0.25">
      <c r="B2648" s="8">
        <v>40242</v>
      </c>
      <c r="C2648" s="6">
        <f ca="1">IF(OR($C$7="",$B2648&gt;NOW()),"",IF(INDEX(Data!$A:$G,MATCH($B2648,Data!$A:$A,0),MATCH($C$7,Data!$4:$4,0))="","",INDEX(Data!$A:$G,MATCH($B2648,Data!$A:$A,0),MATCH($C$7,Data!$4:$4,0))))</f>
        <v>40.1</v>
      </c>
      <c r="D2648" s="148">
        <f t="shared" ca="1" si="86"/>
        <v>24.9</v>
      </c>
      <c r="E2648" s="148">
        <f t="shared" ca="1" si="87"/>
        <v>0</v>
      </c>
    </row>
    <row r="2649" spans="2:5" x14ac:dyDescent="0.25">
      <c r="B2649" s="8">
        <v>40243</v>
      </c>
      <c r="C2649" s="6">
        <f ca="1">IF(OR($C$7="",$B2649&gt;NOW()),"",IF(INDEX(Data!$A:$G,MATCH($B2649,Data!$A:$A,0),MATCH($C$7,Data!$4:$4,0))="","",INDEX(Data!$A:$G,MATCH($B2649,Data!$A:$A,0),MATCH($C$7,Data!$4:$4,0))))</f>
        <v>41.7</v>
      </c>
      <c r="D2649" s="148">
        <f t="shared" ca="1" si="86"/>
        <v>23.299999999999997</v>
      </c>
      <c r="E2649" s="148">
        <f t="shared" ca="1" si="87"/>
        <v>0</v>
      </c>
    </row>
    <row r="2650" spans="2:5" x14ac:dyDescent="0.25">
      <c r="B2650" s="8">
        <v>40244</v>
      </c>
      <c r="C2650" s="6">
        <f ca="1">IF(OR($C$7="",$B2650&gt;NOW()),"",IF(INDEX(Data!$A:$G,MATCH($B2650,Data!$A:$A,0),MATCH($C$7,Data!$4:$4,0))="","",INDEX(Data!$A:$G,MATCH($B2650,Data!$A:$A,0),MATCH($C$7,Data!$4:$4,0))))</f>
        <v>46.3</v>
      </c>
      <c r="D2650" s="148">
        <f t="shared" ca="1" si="86"/>
        <v>18.700000000000003</v>
      </c>
      <c r="E2650" s="148">
        <f t="shared" ca="1" si="87"/>
        <v>0</v>
      </c>
    </row>
    <row r="2651" spans="2:5" x14ac:dyDescent="0.25">
      <c r="B2651" s="8">
        <v>40245</v>
      </c>
      <c r="C2651" s="6">
        <f ca="1">IF(OR($C$7="",$B2651&gt;NOW()),"",IF(INDEX(Data!$A:$G,MATCH($B2651,Data!$A:$A,0),MATCH($C$7,Data!$4:$4,0))="","",INDEX(Data!$A:$G,MATCH($B2651,Data!$A:$A,0),MATCH($C$7,Data!$4:$4,0))))</f>
        <v>50.9</v>
      </c>
      <c r="D2651" s="148">
        <f t="shared" ca="1" si="86"/>
        <v>14.100000000000001</v>
      </c>
      <c r="E2651" s="148">
        <f t="shared" ca="1" si="87"/>
        <v>0</v>
      </c>
    </row>
    <row r="2652" spans="2:5" x14ac:dyDescent="0.25">
      <c r="B2652" s="8">
        <v>40246</v>
      </c>
      <c r="C2652" s="6">
        <f ca="1">IF(OR($C$7="",$B2652&gt;NOW()),"",IF(INDEX(Data!$A:$G,MATCH($B2652,Data!$A:$A,0),MATCH($C$7,Data!$4:$4,0))="","",INDEX(Data!$A:$G,MATCH($B2652,Data!$A:$A,0),MATCH($C$7,Data!$4:$4,0))))</f>
        <v>52</v>
      </c>
      <c r="D2652" s="148">
        <f t="shared" ca="1" si="86"/>
        <v>13</v>
      </c>
      <c r="E2652" s="148">
        <f t="shared" ca="1" si="87"/>
        <v>0</v>
      </c>
    </row>
    <row r="2653" spans="2:5" x14ac:dyDescent="0.25">
      <c r="B2653" s="8">
        <v>40247</v>
      </c>
      <c r="C2653" s="6">
        <f ca="1">IF(OR($C$7="",$B2653&gt;NOW()),"",IF(INDEX(Data!$A:$G,MATCH($B2653,Data!$A:$A,0),MATCH($C$7,Data!$4:$4,0))="","",INDEX(Data!$A:$G,MATCH($B2653,Data!$A:$A,0),MATCH($C$7,Data!$4:$4,0))))</f>
        <v>47.5</v>
      </c>
      <c r="D2653" s="148">
        <f t="shared" ref="D2653:D2716" ca="1" si="88">IF($C2653="","",IF($C2653&gt;$D$26,0,$D$26-$C2653))</f>
        <v>17.5</v>
      </c>
      <c r="E2653" s="148">
        <f t="shared" ref="E2653:E2716" ca="1" si="89">IF($C2653="","",IF($C2653&lt;$E$26,0,$C2653-$E$26))</f>
        <v>0</v>
      </c>
    </row>
    <row r="2654" spans="2:5" x14ac:dyDescent="0.25">
      <c r="B2654" s="8">
        <v>40248</v>
      </c>
      <c r="C2654" s="6">
        <f ca="1">IF(OR($C$7="",$B2654&gt;NOW()),"",IF(INDEX(Data!$A:$G,MATCH($B2654,Data!$A:$A,0),MATCH($C$7,Data!$4:$4,0))="","",INDEX(Data!$A:$G,MATCH($B2654,Data!$A:$A,0),MATCH($C$7,Data!$4:$4,0))))</f>
        <v>44.5</v>
      </c>
      <c r="D2654" s="148">
        <f t="shared" ca="1" si="88"/>
        <v>20.5</v>
      </c>
      <c r="E2654" s="148">
        <f t="shared" ca="1" si="89"/>
        <v>0</v>
      </c>
    </row>
    <row r="2655" spans="2:5" x14ac:dyDescent="0.25">
      <c r="B2655" s="8">
        <v>40249</v>
      </c>
      <c r="C2655" s="6">
        <f ca="1">IF(OR($C$7="",$B2655&gt;NOW()),"",IF(INDEX(Data!$A:$G,MATCH($B2655,Data!$A:$A,0),MATCH($C$7,Data!$4:$4,0))="","",INDEX(Data!$A:$G,MATCH($B2655,Data!$A:$A,0),MATCH($C$7,Data!$4:$4,0))))</f>
        <v>42.2</v>
      </c>
      <c r="D2655" s="148">
        <f t="shared" ca="1" si="88"/>
        <v>22.799999999999997</v>
      </c>
      <c r="E2655" s="148">
        <f t="shared" ca="1" si="89"/>
        <v>0</v>
      </c>
    </row>
    <row r="2656" spans="2:5" x14ac:dyDescent="0.25">
      <c r="B2656" s="8">
        <v>40250</v>
      </c>
      <c r="C2656" s="6">
        <f ca="1">IF(OR($C$7="",$B2656&gt;NOW()),"",IF(INDEX(Data!$A:$G,MATCH($B2656,Data!$A:$A,0),MATCH($C$7,Data!$4:$4,0))="","",INDEX(Data!$A:$G,MATCH($B2656,Data!$A:$A,0),MATCH($C$7,Data!$4:$4,0))))</f>
        <v>41.8</v>
      </c>
      <c r="D2656" s="148">
        <f t="shared" ca="1" si="88"/>
        <v>23.200000000000003</v>
      </c>
      <c r="E2656" s="148">
        <f t="shared" ca="1" si="89"/>
        <v>0</v>
      </c>
    </row>
    <row r="2657" spans="2:5" x14ac:dyDescent="0.25">
      <c r="B2657" s="8">
        <v>40251</v>
      </c>
      <c r="C2657" s="6">
        <f ca="1">IF(OR($C$7="",$B2657&gt;NOW()),"",IF(INDEX(Data!$A:$G,MATCH($B2657,Data!$A:$A,0),MATCH($C$7,Data!$4:$4,0))="","",INDEX(Data!$A:$G,MATCH($B2657,Data!$A:$A,0),MATCH($C$7,Data!$4:$4,0))))</f>
        <v>45.7</v>
      </c>
      <c r="D2657" s="148">
        <f t="shared" ca="1" si="88"/>
        <v>19.299999999999997</v>
      </c>
      <c r="E2657" s="148">
        <f t="shared" ca="1" si="89"/>
        <v>0</v>
      </c>
    </row>
    <row r="2658" spans="2:5" x14ac:dyDescent="0.25">
      <c r="B2658" s="8">
        <v>40252</v>
      </c>
      <c r="C2658" s="6">
        <f ca="1">IF(OR($C$7="",$B2658&gt;NOW()),"",IF(INDEX(Data!$A:$G,MATCH($B2658,Data!$A:$A,0),MATCH($C$7,Data!$4:$4,0))="","",INDEX(Data!$A:$G,MATCH($B2658,Data!$A:$A,0),MATCH($C$7,Data!$4:$4,0))))</f>
        <v>45.1</v>
      </c>
      <c r="D2658" s="148">
        <f t="shared" ca="1" si="88"/>
        <v>19.899999999999999</v>
      </c>
      <c r="E2658" s="148">
        <f t="shared" ca="1" si="89"/>
        <v>0</v>
      </c>
    </row>
    <row r="2659" spans="2:5" x14ac:dyDescent="0.25">
      <c r="B2659" s="8">
        <v>40253</v>
      </c>
      <c r="C2659" s="6">
        <f ca="1">IF(OR($C$7="",$B2659&gt;NOW()),"",IF(INDEX(Data!$A:$G,MATCH($B2659,Data!$A:$A,0),MATCH($C$7,Data!$4:$4,0))="","",INDEX(Data!$A:$G,MATCH($B2659,Data!$A:$A,0),MATCH($C$7,Data!$4:$4,0))))</f>
        <v>49.5</v>
      </c>
      <c r="D2659" s="148">
        <f t="shared" ca="1" si="88"/>
        <v>15.5</v>
      </c>
      <c r="E2659" s="148">
        <f t="shared" ca="1" si="89"/>
        <v>0</v>
      </c>
    </row>
    <row r="2660" spans="2:5" x14ac:dyDescent="0.25">
      <c r="B2660" s="8">
        <v>40254</v>
      </c>
      <c r="C2660" s="6">
        <f ca="1">IF(OR($C$7="",$B2660&gt;NOW()),"",IF(INDEX(Data!$A:$G,MATCH($B2660,Data!$A:$A,0),MATCH($C$7,Data!$4:$4,0))="","",INDEX(Data!$A:$G,MATCH($B2660,Data!$A:$A,0),MATCH($C$7,Data!$4:$4,0))))</f>
        <v>52.8</v>
      </c>
      <c r="D2660" s="148">
        <f t="shared" ca="1" si="88"/>
        <v>12.200000000000003</v>
      </c>
      <c r="E2660" s="148">
        <f t="shared" ca="1" si="89"/>
        <v>0</v>
      </c>
    </row>
    <row r="2661" spans="2:5" x14ac:dyDescent="0.25">
      <c r="B2661" s="8">
        <v>40255</v>
      </c>
      <c r="C2661" s="6">
        <f ca="1">IF(OR($C$7="",$B2661&gt;NOW()),"",IF(INDEX(Data!$A:$G,MATCH($B2661,Data!$A:$A,0),MATCH($C$7,Data!$4:$4,0))="","",INDEX(Data!$A:$G,MATCH($B2661,Data!$A:$A,0),MATCH($C$7,Data!$4:$4,0))))</f>
        <v>57</v>
      </c>
      <c r="D2661" s="148">
        <f t="shared" ca="1" si="88"/>
        <v>8</v>
      </c>
      <c r="E2661" s="148">
        <f t="shared" ca="1" si="89"/>
        <v>0</v>
      </c>
    </row>
    <row r="2662" spans="2:5" x14ac:dyDescent="0.25">
      <c r="B2662" s="8">
        <v>40256</v>
      </c>
      <c r="C2662" s="6">
        <f ca="1">IF(OR($C$7="",$B2662&gt;NOW()),"",IF(INDEX(Data!$A:$G,MATCH($B2662,Data!$A:$A,0),MATCH($C$7,Data!$4:$4,0))="","",INDEX(Data!$A:$G,MATCH($B2662,Data!$A:$A,0),MATCH($C$7,Data!$4:$4,0))))</f>
        <v>56.4</v>
      </c>
      <c r="D2662" s="148">
        <f t="shared" ca="1" si="88"/>
        <v>8.6000000000000014</v>
      </c>
      <c r="E2662" s="148">
        <f t="shared" ca="1" si="89"/>
        <v>0</v>
      </c>
    </row>
    <row r="2663" spans="2:5" x14ac:dyDescent="0.25">
      <c r="B2663" s="8">
        <v>40257</v>
      </c>
      <c r="C2663" s="6">
        <f ca="1">IF(OR($C$7="",$B2663&gt;NOW()),"",IF(INDEX(Data!$A:$G,MATCH($B2663,Data!$A:$A,0),MATCH($C$7,Data!$4:$4,0))="","",INDEX(Data!$A:$G,MATCH($B2663,Data!$A:$A,0),MATCH($C$7,Data!$4:$4,0))))</f>
        <v>62.1</v>
      </c>
      <c r="D2663" s="148">
        <f t="shared" ca="1" si="88"/>
        <v>2.8999999999999986</v>
      </c>
      <c r="E2663" s="148">
        <f t="shared" ca="1" si="89"/>
        <v>0</v>
      </c>
    </row>
    <row r="2664" spans="2:5" x14ac:dyDescent="0.25">
      <c r="B2664" s="8">
        <v>40258</v>
      </c>
      <c r="C2664" s="6">
        <f ca="1">IF(OR($C$7="",$B2664&gt;NOW()),"",IF(INDEX(Data!$A:$G,MATCH($B2664,Data!$A:$A,0),MATCH($C$7,Data!$4:$4,0))="","",INDEX(Data!$A:$G,MATCH($B2664,Data!$A:$A,0),MATCH($C$7,Data!$4:$4,0))))</f>
        <v>54.5</v>
      </c>
      <c r="D2664" s="148">
        <f t="shared" ca="1" si="88"/>
        <v>10.5</v>
      </c>
      <c r="E2664" s="148">
        <f t="shared" ca="1" si="89"/>
        <v>0</v>
      </c>
    </row>
    <row r="2665" spans="2:5" x14ac:dyDescent="0.25">
      <c r="B2665" s="8">
        <v>40259</v>
      </c>
      <c r="C2665" s="6">
        <f ca="1">IF(OR($C$7="",$B2665&gt;NOW()),"",IF(INDEX(Data!$A:$G,MATCH($B2665,Data!$A:$A,0),MATCH($C$7,Data!$4:$4,0))="","",INDEX(Data!$A:$G,MATCH($B2665,Data!$A:$A,0),MATCH($C$7,Data!$4:$4,0))))</f>
        <v>48.9</v>
      </c>
      <c r="D2665" s="148">
        <f t="shared" ca="1" si="88"/>
        <v>16.100000000000001</v>
      </c>
      <c r="E2665" s="148">
        <f t="shared" ca="1" si="89"/>
        <v>0</v>
      </c>
    </row>
    <row r="2666" spans="2:5" x14ac:dyDescent="0.25">
      <c r="B2666" s="8">
        <v>40260</v>
      </c>
      <c r="C2666" s="6">
        <f ca="1">IF(OR($C$7="",$B2666&gt;NOW()),"",IF(INDEX(Data!$A:$G,MATCH($B2666,Data!$A:$A,0),MATCH($C$7,Data!$4:$4,0))="","",INDEX(Data!$A:$G,MATCH($B2666,Data!$A:$A,0),MATCH($C$7,Data!$4:$4,0))))</f>
        <v>51</v>
      </c>
      <c r="D2666" s="148">
        <f t="shared" ca="1" si="88"/>
        <v>14</v>
      </c>
      <c r="E2666" s="148">
        <f t="shared" ca="1" si="89"/>
        <v>0</v>
      </c>
    </row>
    <row r="2667" spans="2:5" x14ac:dyDescent="0.25">
      <c r="B2667" s="8">
        <v>40261</v>
      </c>
      <c r="C2667" s="6">
        <f ca="1">IF(OR($C$7="",$B2667&gt;NOW()),"",IF(INDEX(Data!$A:$G,MATCH($B2667,Data!$A:$A,0),MATCH($C$7,Data!$4:$4,0))="","",INDEX(Data!$A:$G,MATCH($B2667,Data!$A:$A,0),MATCH($C$7,Data!$4:$4,0))))</f>
        <v>50.4</v>
      </c>
      <c r="D2667" s="148">
        <f t="shared" ca="1" si="88"/>
        <v>14.600000000000001</v>
      </c>
      <c r="E2667" s="148">
        <f t="shared" ca="1" si="89"/>
        <v>0</v>
      </c>
    </row>
    <row r="2668" spans="2:5" x14ac:dyDescent="0.25">
      <c r="B2668" s="8">
        <v>40262</v>
      </c>
      <c r="C2668" s="6">
        <f ca="1">IF(OR($C$7="",$B2668&gt;NOW()),"",IF(INDEX(Data!$A:$G,MATCH($B2668,Data!$A:$A,0),MATCH($C$7,Data!$4:$4,0))="","",INDEX(Data!$A:$G,MATCH($B2668,Data!$A:$A,0),MATCH($C$7,Data!$4:$4,0))))</f>
        <v>54</v>
      </c>
      <c r="D2668" s="148">
        <f t="shared" ca="1" si="88"/>
        <v>11</v>
      </c>
      <c r="E2668" s="148">
        <f t="shared" ca="1" si="89"/>
        <v>0</v>
      </c>
    </row>
    <row r="2669" spans="2:5" x14ac:dyDescent="0.25">
      <c r="B2669" s="8">
        <v>40263</v>
      </c>
      <c r="C2669" s="6">
        <f ca="1">IF(OR($C$7="",$B2669&gt;NOW()),"",IF(INDEX(Data!$A:$G,MATCH($B2669,Data!$A:$A,0),MATCH($C$7,Data!$4:$4,0))="","",INDEX(Data!$A:$G,MATCH($B2669,Data!$A:$A,0),MATCH($C$7,Data!$4:$4,0))))</f>
        <v>46.2</v>
      </c>
      <c r="D2669" s="148">
        <f t="shared" ca="1" si="88"/>
        <v>18.799999999999997</v>
      </c>
      <c r="E2669" s="148">
        <f t="shared" ca="1" si="89"/>
        <v>0</v>
      </c>
    </row>
    <row r="2670" spans="2:5" x14ac:dyDescent="0.25">
      <c r="B2670" s="8">
        <v>40264</v>
      </c>
      <c r="C2670" s="6">
        <f ca="1">IF(OR($C$7="",$B2670&gt;NOW()),"",IF(INDEX(Data!$A:$G,MATCH($B2670,Data!$A:$A,0),MATCH($C$7,Data!$4:$4,0))="","",INDEX(Data!$A:$G,MATCH($B2670,Data!$A:$A,0),MATCH($C$7,Data!$4:$4,0))))</f>
        <v>35.700000000000003</v>
      </c>
      <c r="D2670" s="148">
        <f t="shared" ca="1" si="88"/>
        <v>29.299999999999997</v>
      </c>
      <c r="E2670" s="148">
        <f t="shared" ca="1" si="89"/>
        <v>0</v>
      </c>
    </row>
    <row r="2671" spans="2:5" x14ac:dyDescent="0.25">
      <c r="B2671" s="8">
        <v>40265</v>
      </c>
      <c r="C2671" s="6">
        <f ca="1">IF(OR($C$7="",$B2671&gt;NOW()),"",IF(INDEX(Data!$A:$G,MATCH($B2671,Data!$A:$A,0),MATCH($C$7,Data!$4:$4,0))="","",INDEX(Data!$A:$G,MATCH($B2671,Data!$A:$A,0),MATCH($C$7,Data!$4:$4,0))))</f>
        <v>41.1</v>
      </c>
      <c r="D2671" s="148">
        <f t="shared" ca="1" si="88"/>
        <v>23.9</v>
      </c>
      <c r="E2671" s="148">
        <f t="shared" ca="1" si="89"/>
        <v>0</v>
      </c>
    </row>
    <row r="2672" spans="2:5" x14ac:dyDescent="0.25">
      <c r="B2672" s="8">
        <v>40266</v>
      </c>
      <c r="C2672" s="6">
        <f ca="1">IF(OR($C$7="",$B2672&gt;NOW()),"",IF(INDEX(Data!$A:$G,MATCH($B2672,Data!$A:$A,0),MATCH($C$7,Data!$4:$4,0))="","",INDEX(Data!$A:$G,MATCH($B2672,Data!$A:$A,0),MATCH($C$7,Data!$4:$4,0))))</f>
        <v>50.9</v>
      </c>
      <c r="D2672" s="148">
        <f t="shared" ca="1" si="88"/>
        <v>14.100000000000001</v>
      </c>
      <c r="E2672" s="148">
        <f t="shared" ca="1" si="89"/>
        <v>0</v>
      </c>
    </row>
    <row r="2673" spans="2:5" x14ac:dyDescent="0.25">
      <c r="B2673" s="8">
        <v>40267</v>
      </c>
      <c r="C2673" s="6">
        <f ca="1">IF(OR($C$7="",$B2673&gt;NOW()),"",IF(INDEX(Data!$A:$G,MATCH($B2673,Data!$A:$A,0),MATCH($C$7,Data!$4:$4,0))="","",INDEX(Data!$A:$G,MATCH($B2673,Data!$A:$A,0),MATCH($C$7,Data!$4:$4,0))))</f>
        <v>46.8</v>
      </c>
      <c r="D2673" s="148">
        <f t="shared" ca="1" si="88"/>
        <v>18.200000000000003</v>
      </c>
      <c r="E2673" s="148">
        <f t="shared" ca="1" si="89"/>
        <v>0</v>
      </c>
    </row>
    <row r="2674" spans="2:5" x14ac:dyDescent="0.25">
      <c r="B2674" s="8">
        <v>40268</v>
      </c>
      <c r="C2674" s="6">
        <f ca="1">IF(OR($C$7="",$B2674&gt;NOW()),"",IF(INDEX(Data!$A:$G,MATCH($B2674,Data!$A:$A,0),MATCH($C$7,Data!$4:$4,0))="","",INDEX(Data!$A:$G,MATCH($B2674,Data!$A:$A,0),MATCH($C$7,Data!$4:$4,0))))</f>
        <v>49.9</v>
      </c>
      <c r="D2674" s="148">
        <f t="shared" ca="1" si="88"/>
        <v>15.100000000000001</v>
      </c>
      <c r="E2674" s="148">
        <f t="shared" ca="1" si="89"/>
        <v>0</v>
      </c>
    </row>
    <row r="2675" spans="2:5" x14ac:dyDescent="0.25">
      <c r="B2675" s="8">
        <v>40269</v>
      </c>
      <c r="C2675" s="6">
        <f ca="1">IF(OR($C$7="",$B2675&gt;NOW()),"",IF(INDEX(Data!$A:$G,MATCH($B2675,Data!$A:$A,0),MATCH($C$7,Data!$4:$4,0))="","",INDEX(Data!$A:$G,MATCH($B2675,Data!$A:$A,0),MATCH($C$7,Data!$4:$4,0))))</f>
        <v>55.1</v>
      </c>
      <c r="D2675" s="148">
        <f t="shared" ca="1" si="88"/>
        <v>9.8999999999999986</v>
      </c>
      <c r="E2675" s="148">
        <f t="shared" ca="1" si="89"/>
        <v>0</v>
      </c>
    </row>
    <row r="2676" spans="2:5" x14ac:dyDescent="0.25">
      <c r="B2676" s="8">
        <v>40270</v>
      </c>
      <c r="C2676" s="6">
        <f ca="1">IF(OR($C$7="",$B2676&gt;NOW()),"",IF(INDEX(Data!$A:$G,MATCH($B2676,Data!$A:$A,0),MATCH($C$7,Data!$4:$4,0))="","",INDEX(Data!$A:$G,MATCH($B2676,Data!$A:$A,0),MATCH($C$7,Data!$4:$4,0))))</f>
        <v>55</v>
      </c>
      <c r="D2676" s="148">
        <f t="shared" ca="1" si="88"/>
        <v>10</v>
      </c>
      <c r="E2676" s="148">
        <f t="shared" ca="1" si="89"/>
        <v>0</v>
      </c>
    </row>
    <row r="2677" spans="2:5" x14ac:dyDescent="0.25">
      <c r="B2677" s="8">
        <v>40271</v>
      </c>
      <c r="C2677" s="6">
        <f ca="1">IF(OR($C$7="",$B2677&gt;NOW()),"",IF(INDEX(Data!$A:$G,MATCH($B2677,Data!$A:$A,0),MATCH($C$7,Data!$4:$4,0))="","",INDEX(Data!$A:$G,MATCH($B2677,Data!$A:$A,0),MATCH($C$7,Data!$4:$4,0))))</f>
        <v>53.4</v>
      </c>
      <c r="D2677" s="148">
        <f t="shared" ca="1" si="88"/>
        <v>11.600000000000001</v>
      </c>
      <c r="E2677" s="148">
        <f t="shared" ca="1" si="89"/>
        <v>0</v>
      </c>
    </row>
    <row r="2678" spans="2:5" x14ac:dyDescent="0.25">
      <c r="B2678" s="8">
        <v>40272</v>
      </c>
      <c r="C2678" s="6">
        <f ca="1">IF(OR($C$7="",$B2678&gt;NOW()),"",IF(INDEX(Data!$A:$G,MATCH($B2678,Data!$A:$A,0),MATCH($C$7,Data!$4:$4,0))="","",INDEX(Data!$A:$G,MATCH($B2678,Data!$A:$A,0),MATCH($C$7,Data!$4:$4,0))))</f>
        <v>57.2</v>
      </c>
      <c r="D2678" s="148">
        <f t="shared" ca="1" si="88"/>
        <v>7.7999999999999972</v>
      </c>
      <c r="E2678" s="148">
        <f t="shared" ca="1" si="89"/>
        <v>0</v>
      </c>
    </row>
    <row r="2679" spans="2:5" x14ac:dyDescent="0.25">
      <c r="B2679" s="8">
        <v>40273</v>
      </c>
      <c r="C2679" s="6">
        <f ca="1">IF(OR($C$7="",$B2679&gt;NOW()),"",IF(INDEX(Data!$A:$G,MATCH($B2679,Data!$A:$A,0),MATCH($C$7,Data!$4:$4,0))="","",INDEX(Data!$A:$G,MATCH($B2679,Data!$A:$A,0),MATCH($C$7,Data!$4:$4,0))))</f>
        <v>63.1</v>
      </c>
      <c r="D2679" s="148">
        <f t="shared" ca="1" si="88"/>
        <v>1.8999999999999986</v>
      </c>
      <c r="E2679" s="148">
        <f t="shared" ca="1" si="89"/>
        <v>0</v>
      </c>
    </row>
    <row r="2680" spans="2:5" x14ac:dyDescent="0.25">
      <c r="B2680" s="8">
        <v>40274</v>
      </c>
      <c r="C2680" s="6">
        <f ca="1">IF(OR($C$7="",$B2680&gt;NOW()),"",IF(INDEX(Data!$A:$G,MATCH($B2680,Data!$A:$A,0),MATCH($C$7,Data!$4:$4,0))="","",INDEX(Data!$A:$G,MATCH($B2680,Data!$A:$A,0),MATCH($C$7,Data!$4:$4,0))))</f>
        <v>62.4</v>
      </c>
      <c r="D2680" s="148">
        <f t="shared" ca="1" si="88"/>
        <v>2.6000000000000014</v>
      </c>
      <c r="E2680" s="148">
        <f t="shared" ca="1" si="89"/>
        <v>0</v>
      </c>
    </row>
    <row r="2681" spans="2:5" x14ac:dyDescent="0.25">
      <c r="B2681" s="8">
        <v>40275</v>
      </c>
      <c r="C2681" s="6">
        <f ca="1">IF(OR($C$7="",$B2681&gt;NOW()),"",IF(INDEX(Data!$A:$G,MATCH($B2681,Data!$A:$A,0),MATCH($C$7,Data!$4:$4,0))="","",INDEX(Data!$A:$G,MATCH($B2681,Data!$A:$A,0),MATCH($C$7,Data!$4:$4,0))))</f>
        <v>68.8</v>
      </c>
      <c r="D2681" s="148">
        <f t="shared" ca="1" si="88"/>
        <v>0</v>
      </c>
      <c r="E2681" s="148">
        <f t="shared" ca="1" si="89"/>
        <v>3.7999999999999972</v>
      </c>
    </row>
    <row r="2682" spans="2:5" x14ac:dyDescent="0.25">
      <c r="B2682" s="8">
        <v>40276</v>
      </c>
      <c r="C2682" s="6">
        <f ca="1">IF(OR($C$7="",$B2682&gt;NOW()),"",IF(INDEX(Data!$A:$G,MATCH($B2682,Data!$A:$A,0),MATCH($C$7,Data!$4:$4,0))="","",INDEX(Data!$A:$G,MATCH($B2682,Data!$A:$A,0),MATCH($C$7,Data!$4:$4,0))))</f>
        <v>71.8</v>
      </c>
      <c r="D2682" s="148">
        <f t="shared" ca="1" si="88"/>
        <v>0</v>
      </c>
      <c r="E2682" s="148">
        <f t="shared" ca="1" si="89"/>
        <v>6.7999999999999972</v>
      </c>
    </row>
    <row r="2683" spans="2:5" x14ac:dyDescent="0.25">
      <c r="B2683" s="8">
        <v>40277</v>
      </c>
      <c r="C2683" s="6">
        <f ca="1">IF(OR($C$7="",$B2683&gt;NOW()),"",IF(INDEX(Data!$A:$G,MATCH($B2683,Data!$A:$A,0),MATCH($C$7,Data!$4:$4,0))="","",INDEX(Data!$A:$G,MATCH($B2683,Data!$A:$A,0),MATCH($C$7,Data!$4:$4,0))))</f>
        <v>58.9</v>
      </c>
      <c r="D2683" s="148">
        <f t="shared" ca="1" si="88"/>
        <v>6.1000000000000014</v>
      </c>
      <c r="E2683" s="148">
        <f t="shared" ca="1" si="89"/>
        <v>0</v>
      </c>
    </row>
    <row r="2684" spans="2:5" x14ac:dyDescent="0.25">
      <c r="B2684" s="8">
        <v>40278</v>
      </c>
      <c r="C2684" s="6">
        <f ca="1">IF(OR($C$7="",$B2684&gt;NOW()),"",IF(INDEX(Data!$A:$G,MATCH($B2684,Data!$A:$A,0),MATCH($C$7,Data!$4:$4,0))="","",INDEX(Data!$A:$G,MATCH($B2684,Data!$A:$A,0),MATCH($C$7,Data!$4:$4,0))))</f>
        <v>50.6</v>
      </c>
      <c r="D2684" s="148">
        <f t="shared" ca="1" si="88"/>
        <v>14.399999999999999</v>
      </c>
      <c r="E2684" s="148">
        <f t="shared" ca="1" si="89"/>
        <v>0</v>
      </c>
    </row>
    <row r="2685" spans="2:5" x14ac:dyDescent="0.25">
      <c r="B2685" s="8">
        <v>40279</v>
      </c>
      <c r="C2685" s="6">
        <f ca="1">IF(OR($C$7="",$B2685&gt;NOW()),"",IF(INDEX(Data!$A:$G,MATCH($B2685,Data!$A:$A,0),MATCH($C$7,Data!$4:$4,0))="","",INDEX(Data!$A:$G,MATCH($B2685,Data!$A:$A,0),MATCH($C$7,Data!$4:$4,0))))</f>
        <v>62.7</v>
      </c>
      <c r="D2685" s="148">
        <f t="shared" ca="1" si="88"/>
        <v>2.2999999999999972</v>
      </c>
      <c r="E2685" s="148">
        <f t="shared" ca="1" si="89"/>
        <v>0</v>
      </c>
    </row>
    <row r="2686" spans="2:5" x14ac:dyDescent="0.25">
      <c r="B2686" s="8">
        <v>40280</v>
      </c>
      <c r="C2686" s="6">
        <f ca="1">IF(OR($C$7="",$B2686&gt;NOW()),"",IF(INDEX(Data!$A:$G,MATCH($B2686,Data!$A:$A,0),MATCH($C$7,Data!$4:$4,0))="","",INDEX(Data!$A:$G,MATCH($B2686,Data!$A:$A,0),MATCH($C$7,Data!$4:$4,0))))</f>
        <v>59.6</v>
      </c>
      <c r="D2686" s="148">
        <f t="shared" ca="1" si="88"/>
        <v>5.3999999999999986</v>
      </c>
      <c r="E2686" s="148">
        <f t="shared" ca="1" si="89"/>
        <v>0</v>
      </c>
    </row>
    <row r="2687" spans="2:5" x14ac:dyDescent="0.25">
      <c r="B2687" s="8">
        <v>40281</v>
      </c>
      <c r="C2687" s="6">
        <f ca="1">IF(OR($C$7="",$B2687&gt;NOW()),"",IF(INDEX(Data!$A:$G,MATCH($B2687,Data!$A:$A,0),MATCH($C$7,Data!$4:$4,0))="","",INDEX(Data!$A:$G,MATCH($B2687,Data!$A:$A,0),MATCH($C$7,Data!$4:$4,0))))</f>
        <v>54.6</v>
      </c>
      <c r="D2687" s="148">
        <f t="shared" ca="1" si="88"/>
        <v>10.399999999999999</v>
      </c>
      <c r="E2687" s="148">
        <f t="shared" ca="1" si="89"/>
        <v>0</v>
      </c>
    </row>
    <row r="2688" spans="2:5" x14ac:dyDescent="0.25">
      <c r="B2688" s="8">
        <v>40282</v>
      </c>
      <c r="C2688" s="6">
        <f ca="1">IF(OR($C$7="",$B2688&gt;NOW()),"",IF(INDEX(Data!$A:$G,MATCH($B2688,Data!$A:$A,0),MATCH($C$7,Data!$4:$4,0))="","",INDEX(Data!$A:$G,MATCH($B2688,Data!$A:$A,0),MATCH($C$7,Data!$4:$4,0))))</f>
        <v>54.9</v>
      </c>
      <c r="D2688" s="148">
        <f t="shared" ca="1" si="88"/>
        <v>10.100000000000001</v>
      </c>
      <c r="E2688" s="148">
        <f t="shared" ca="1" si="89"/>
        <v>0</v>
      </c>
    </row>
    <row r="2689" spans="2:5" x14ac:dyDescent="0.25">
      <c r="B2689" s="8">
        <v>40283</v>
      </c>
      <c r="C2689" s="6">
        <f ca="1">IF(OR($C$7="",$B2689&gt;NOW()),"",IF(INDEX(Data!$A:$G,MATCH($B2689,Data!$A:$A,0),MATCH($C$7,Data!$4:$4,0))="","",INDEX(Data!$A:$G,MATCH($B2689,Data!$A:$A,0),MATCH($C$7,Data!$4:$4,0))))</f>
        <v>61.2</v>
      </c>
      <c r="D2689" s="148">
        <f t="shared" ca="1" si="88"/>
        <v>3.7999999999999972</v>
      </c>
      <c r="E2689" s="148">
        <f t="shared" ca="1" si="89"/>
        <v>0</v>
      </c>
    </row>
    <row r="2690" spans="2:5" x14ac:dyDescent="0.25">
      <c r="B2690" s="8">
        <v>40284</v>
      </c>
      <c r="C2690" s="6">
        <f ca="1">IF(OR($C$7="",$B2690&gt;NOW()),"",IF(INDEX(Data!$A:$G,MATCH($B2690,Data!$A:$A,0),MATCH($C$7,Data!$4:$4,0))="","",INDEX(Data!$A:$G,MATCH($B2690,Data!$A:$A,0),MATCH($C$7,Data!$4:$4,0))))</f>
        <v>52.8</v>
      </c>
      <c r="D2690" s="148">
        <f t="shared" ca="1" si="88"/>
        <v>12.200000000000003</v>
      </c>
      <c r="E2690" s="148">
        <f t="shared" ca="1" si="89"/>
        <v>0</v>
      </c>
    </row>
    <row r="2691" spans="2:5" x14ac:dyDescent="0.25">
      <c r="B2691" s="8">
        <v>40285</v>
      </c>
      <c r="C2691" s="6">
        <f ca="1">IF(OR($C$7="",$B2691&gt;NOW()),"",IF(INDEX(Data!$A:$G,MATCH($B2691,Data!$A:$A,0),MATCH($C$7,Data!$4:$4,0))="","",INDEX(Data!$A:$G,MATCH($B2691,Data!$A:$A,0),MATCH($C$7,Data!$4:$4,0))))</f>
        <v>49</v>
      </c>
      <c r="D2691" s="148">
        <f t="shared" ca="1" si="88"/>
        <v>16</v>
      </c>
      <c r="E2691" s="148">
        <f t="shared" ca="1" si="89"/>
        <v>0</v>
      </c>
    </row>
    <row r="2692" spans="2:5" x14ac:dyDescent="0.25">
      <c r="B2692" s="8">
        <v>40286</v>
      </c>
      <c r="C2692" s="6">
        <f ca="1">IF(OR($C$7="",$B2692&gt;NOW()),"",IF(INDEX(Data!$A:$G,MATCH($B2692,Data!$A:$A,0),MATCH($C$7,Data!$4:$4,0))="","",INDEX(Data!$A:$G,MATCH($B2692,Data!$A:$A,0),MATCH($C$7,Data!$4:$4,0))))</f>
        <v>49.4</v>
      </c>
      <c r="D2692" s="148">
        <f t="shared" ca="1" si="88"/>
        <v>15.600000000000001</v>
      </c>
      <c r="E2692" s="148">
        <f t="shared" ca="1" si="89"/>
        <v>0</v>
      </c>
    </row>
    <row r="2693" spans="2:5" x14ac:dyDescent="0.25">
      <c r="B2693" s="8">
        <v>40287</v>
      </c>
      <c r="C2693" s="6">
        <f ca="1">IF(OR($C$7="",$B2693&gt;NOW()),"",IF(INDEX(Data!$A:$G,MATCH($B2693,Data!$A:$A,0),MATCH($C$7,Data!$4:$4,0))="","",INDEX(Data!$A:$G,MATCH($B2693,Data!$A:$A,0),MATCH($C$7,Data!$4:$4,0))))</f>
        <v>54.1</v>
      </c>
      <c r="D2693" s="148">
        <f t="shared" ca="1" si="88"/>
        <v>10.899999999999999</v>
      </c>
      <c r="E2693" s="148">
        <f t="shared" ca="1" si="89"/>
        <v>0</v>
      </c>
    </row>
    <row r="2694" spans="2:5" x14ac:dyDescent="0.25">
      <c r="B2694" s="8">
        <v>40288</v>
      </c>
      <c r="C2694" s="6">
        <f ca="1">IF(OR($C$7="",$B2694&gt;NOW()),"",IF(INDEX(Data!$A:$G,MATCH($B2694,Data!$A:$A,0),MATCH($C$7,Data!$4:$4,0))="","",INDEX(Data!$A:$G,MATCH($B2694,Data!$A:$A,0),MATCH($C$7,Data!$4:$4,0))))</f>
        <v>58.8</v>
      </c>
      <c r="D2694" s="148">
        <f t="shared" ca="1" si="88"/>
        <v>6.2000000000000028</v>
      </c>
      <c r="E2694" s="148">
        <f t="shared" ca="1" si="89"/>
        <v>0</v>
      </c>
    </row>
    <row r="2695" spans="2:5" x14ac:dyDescent="0.25">
      <c r="B2695" s="8">
        <v>40289</v>
      </c>
      <c r="C2695" s="6">
        <f ca="1">IF(OR($C$7="",$B2695&gt;NOW()),"",IF(INDEX(Data!$A:$G,MATCH($B2695,Data!$A:$A,0),MATCH($C$7,Data!$4:$4,0))="","",INDEX(Data!$A:$G,MATCH($B2695,Data!$A:$A,0),MATCH($C$7,Data!$4:$4,0))))</f>
        <v>61</v>
      </c>
      <c r="D2695" s="148">
        <f t="shared" ca="1" si="88"/>
        <v>4</v>
      </c>
      <c r="E2695" s="148">
        <f t="shared" ca="1" si="89"/>
        <v>0</v>
      </c>
    </row>
    <row r="2696" spans="2:5" x14ac:dyDescent="0.25">
      <c r="B2696" s="8">
        <v>40290</v>
      </c>
      <c r="C2696" s="6">
        <f ca="1">IF(OR($C$7="",$B2696&gt;NOW()),"",IF(INDEX(Data!$A:$G,MATCH($B2696,Data!$A:$A,0),MATCH($C$7,Data!$4:$4,0))="","",INDEX(Data!$A:$G,MATCH($B2696,Data!$A:$A,0),MATCH($C$7,Data!$4:$4,0))))</f>
        <v>59.6</v>
      </c>
      <c r="D2696" s="148">
        <f t="shared" ca="1" si="88"/>
        <v>5.3999999999999986</v>
      </c>
      <c r="E2696" s="148">
        <f t="shared" ca="1" si="89"/>
        <v>0</v>
      </c>
    </row>
    <row r="2697" spans="2:5" x14ac:dyDescent="0.25">
      <c r="B2697" s="8">
        <v>40291</v>
      </c>
      <c r="C2697" s="6">
        <f ca="1">IF(OR($C$7="",$B2697&gt;NOW()),"",IF(INDEX(Data!$A:$G,MATCH($B2697,Data!$A:$A,0),MATCH($C$7,Data!$4:$4,0))="","",INDEX(Data!$A:$G,MATCH($B2697,Data!$A:$A,0),MATCH($C$7,Data!$4:$4,0))))</f>
        <v>57</v>
      </c>
      <c r="D2697" s="148">
        <f t="shared" ca="1" si="88"/>
        <v>8</v>
      </c>
      <c r="E2697" s="148">
        <f t="shared" ca="1" si="89"/>
        <v>0</v>
      </c>
    </row>
    <row r="2698" spans="2:5" x14ac:dyDescent="0.25">
      <c r="B2698" s="8">
        <v>40292</v>
      </c>
      <c r="C2698" s="6">
        <f ca="1">IF(OR($C$7="",$B2698&gt;NOW()),"",IF(INDEX(Data!$A:$G,MATCH($B2698,Data!$A:$A,0),MATCH($C$7,Data!$4:$4,0))="","",INDEX(Data!$A:$G,MATCH($B2698,Data!$A:$A,0),MATCH($C$7,Data!$4:$4,0))))</f>
        <v>58.8</v>
      </c>
      <c r="D2698" s="148">
        <f t="shared" ca="1" si="88"/>
        <v>6.2000000000000028</v>
      </c>
      <c r="E2698" s="148">
        <f t="shared" ca="1" si="89"/>
        <v>0</v>
      </c>
    </row>
    <row r="2699" spans="2:5" x14ac:dyDescent="0.25">
      <c r="B2699" s="8">
        <v>40293</v>
      </c>
      <c r="C2699" s="6">
        <f ca="1">IF(OR($C$7="",$B2699&gt;NOW()),"",IF(INDEX(Data!$A:$G,MATCH($B2699,Data!$A:$A,0),MATCH($C$7,Data!$4:$4,0))="","",INDEX(Data!$A:$G,MATCH($B2699,Data!$A:$A,0),MATCH($C$7,Data!$4:$4,0))))</f>
        <v>51.3</v>
      </c>
      <c r="D2699" s="148">
        <f t="shared" ca="1" si="88"/>
        <v>13.700000000000003</v>
      </c>
      <c r="E2699" s="148">
        <f t="shared" ca="1" si="89"/>
        <v>0</v>
      </c>
    </row>
    <row r="2700" spans="2:5" x14ac:dyDescent="0.25">
      <c r="B2700" s="8">
        <v>40294</v>
      </c>
      <c r="C2700" s="6">
        <f ca="1">IF(OR($C$7="",$B2700&gt;NOW()),"",IF(INDEX(Data!$A:$G,MATCH($B2700,Data!$A:$A,0),MATCH($C$7,Data!$4:$4,0))="","",INDEX(Data!$A:$G,MATCH($B2700,Data!$A:$A,0),MATCH($C$7,Data!$4:$4,0))))</f>
        <v>50.9</v>
      </c>
      <c r="D2700" s="148">
        <f t="shared" ca="1" si="88"/>
        <v>14.100000000000001</v>
      </c>
      <c r="E2700" s="148">
        <f t="shared" ca="1" si="89"/>
        <v>0</v>
      </c>
    </row>
    <row r="2701" spans="2:5" x14ac:dyDescent="0.25">
      <c r="B2701" s="8">
        <v>40295</v>
      </c>
      <c r="C2701" s="6">
        <f ca="1">IF(OR($C$7="",$B2701&gt;NOW()),"",IF(INDEX(Data!$A:$G,MATCH($B2701,Data!$A:$A,0),MATCH($C$7,Data!$4:$4,0))="","",INDEX(Data!$A:$G,MATCH($B2701,Data!$A:$A,0),MATCH($C$7,Data!$4:$4,0))))</f>
        <v>52</v>
      </c>
      <c r="D2701" s="148">
        <f t="shared" ca="1" si="88"/>
        <v>13</v>
      </c>
      <c r="E2701" s="148">
        <f t="shared" ca="1" si="89"/>
        <v>0</v>
      </c>
    </row>
    <row r="2702" spans="2:5" x14ac:dyDescent="0.25">
      <c r="B2702" s="8">
        <v>40296</v>
      </c>
      <c r="C2702" s="6">
        <f ca="1">IF(OR($C$7="",$B2702&gt;NOW()),"",IF(INDEX(Data!$A:$G,MATCH($B2702,Data!$A:$A,0),MATCH($C$7,Data!$4:$4,0))="","",INDEX(Data!$A:$G,MATCH($B2702,Data!$A:$A,0),MATCH($C$7,Data!$4:$4,0))))</f>
        <v>48.5</v>
      </c>
      <c r="D2702" s="148">
        <f t="shared" ca="1" si="88"/>
        <v>16.5</v>
      </c>
      <c r="E2702" s="148">
        <f t="shared" ca="1" si="89"/>
        <v>0</v>
      </c>
    </row>
    <row r="2703" spans="2:5" x14ac:dyDescent="0.25">
      <c r="B2703" s="8">
        <v>40297</v>
      </c>
      <c r="C2703" s="6">
        <f ca="1">IF(OR($C$7="",$B2703&gt;NOW()),"",IF(INDEX(Data!$A:$G,MATCH($B2703,Data!$A:$A,0),MATCH($C$7,Data!$4:$4,0))="","",INDEX(Data!$A:$G,MATCH($B2703,Data!$A:$A,0),MATCH($C$7,Data!$4:$4,0))))</f>
        <v>57.5</v>
      </c>
      <c r="D2703" s="148">
        <f t="shared" ca="1" si="88"/>
        <v>7.5</v>
      </c>
      <c r="E2703" s="148">
        <f t="shared" ca="1" si="89"/>
        <v>0</v>
      </c>
    </row>
    <row r="2704" spans="2:5" x14ac:dyDescent="0.25">
      <c r="B2704" s="8">
        <v>40298</v>
      </c>
      <c r="C2704" s="6">
        <f ca="1">IF(OR($C$7="",$B2704&gt;NOW()),"",IF(INDEX(Data!$A:$G,MATCH($B2704,Data!$A:$A,0),MATCH($C$7,Data!$4:$4,0))="","",INDEX(Data!$A:$G,MATCH($B2704,Data!$A:$A,0),MATCH($C$7,Data!$4:$4,0))))</f>
        <v>66.099999999999994</v>
      </c>
      <c r="D2704" s="148">
        <f t="shared" ca="1" si="88"/>
        <v>0</v>
      </c>
      <c r="E2704" s="148">
        <f t="shared" ca="1" si="89"/>
        <v>1.0999999999999943</v>
      </c>
    </row>
    <row r="2705" spans="2:5" x14ac:dyDescent="0.25">
      <c r="B2705" s="8">
        <v>40299</v>
      </c>
      <c r="C2705" s="6">
        <f ca="1">IF(OR($C$7="",$B2705&gt;NOW()),"",IF(INDEX(Data!$A:$G,MATCH($B2705,Data!$A:$A,0),MATCH($C$7,Data!$4:$4,0))="","",INDEX(Data!$A:$G,MATCH($B2705,Data!$A:$A,0),MATCH($C$7,Data!$4:$4,0))))</f>
        <v>69</v>
      </c>
      <c r="D2705" s="148">
        <f t="shared" ca="1" si="88"/>
        <v>0</v>
      </c>
      <c r="E2705" s="148">
        <f t="shared" ca="1" si="89"/>
        <v>4</v>
      </c>
    </row>
    <row r="2706" spans="2:5" x14ac:dyDescent="0.25">
      <c r="B2706" s="8">
        <v>40300</v>
      </c>
      <c r="C2706" s="6">
        <f ca="1">IF(OR($C$7="",$B2706&gt;NOW()),"",IF(INDEX(Data!$A:$G,MATCH($B2706,Data!$A:$A,0),MATCH($C$7,Data!$4:$4,0))="","",INDEX(Data!$A:$G,MATCH($B2706,Data!$A:$A,0),MATCH($C$7,Data!$4:$4,0))))</f>
        <v>75</v>
      </c>
      <c r="D2706" s="148">
        <f t="shared" ca="1" si="88"/>
        <v>0</v>
      </c>
      <c r="E2706" s="148">
        <f t="shared" ca="1" si="89"/>
        <v>10</v>
      </c>
    </row>
    <row r="2707" spans="2:5" x14ac:dyDescent="0.25">
      <c r="B2707" s="8">
        <v>40301</v>
      </c>
      <c r="C2707" s="6">
        <f ca="1">IF(OR($C$7="",$B2707&gt;NOW()),"",IF(INDEX(Data!$A:$G,MATCH($B2707,Data!$A:$A,0),MATCH($C$7,Data!$4:$4,0))="","",INDEX(Data!$A:$G,MATCH($B2707,Data!$A:$A,0),MATCH($C$7,Data!$4:$4,0))))</f>
        <v>75.599999999999994</v>
      </c>
      <c r="D2707" s="148">
        <f t="shared" ca="1" si="88"/>
        <v>0</v>
      </c>
      <c r="E2707" s="148">
        <f t="shared" ca="1" si="89"/>
        <v>10.599999999999994</v>
      </c>
    </row>
    <row r="2708" spans="2:5" x14ac:dyDescent="0.25">
      <c r="B2708" s="8">
        <v>40302</v>
      </c>
      <c r="C2708" s="6">
        <f ca="1">IF(OR($C$7="",$B2708&gt;NOW()),"",IF(INDEX(Data!$A:$G,MATCH($B2708,Data!$A:$A,0),MATCH($C$7,Data!$4:$4,0))="","",INDEX(Data!$A:$G,MATCH($B2708,Data!$A:$A,0),MATCH($C$7,Data!$4:$4,0))))</f>
        <v>73.2</v>
      </c>
      <c r="D2708" s="148">
        <f t="shared" ca="1" si="88"/>
        <v>0</v>
      </c>
      <c r="E2708" s="148">
        <f t="shared" ca="1" si="89"/>
        <v>8.2000000000000028</v>
      </c>
    </row>
    <row r="2709" spans="2:5" x14ac:dyDescent="0.25">
      <c r="B2709" s="8">
        <v>40303</v>
      </c>
      <c r="C2709" s="6">
        <f ca="1">IF(OR($C$7="",$B2709&gt;NOW()),"",IF(INDEX(Data!$A:$G,MATCH($B2709,Data!$A:$A,0),MATCH($C$7,Data!$4:$4,0))="","",INDEX(Data!$A:$G,MATCH($B2709,Data!$A:$A,0),MATCH($C$7,Data!$4:$4,0))))</f>
        <v>69.7</v>
      </c>
      <c r="D2709" s="148">
        <f t="shared" ca="1" si="88"/>
        <v>0</v>
      </c>
      <c r="E2709" s="148">
        <f t="shared" ca="1" si="89"/>
        <v>4.7000000000000028</v>
      </c>
    </row>
    <row r="2710" spans="2:5" x14ac:dyDescent="0.25">
      <c r="B2710" s="8">
        <v>40304</v>
      </c>
      <c r="C2710" s="6">
        <f ca="1">IF(OR($C$7="",$B2710&gt;NOW()),"",IF(INDEX(Data!$A:$G,MATCH($B2710,Data!$A:$A,0),MATCH($C$7,Data!$4:$4,0))="","",INDEX(Data!$A:$G,MATCH($B2710,Data!$A:$A,0),MATCH($C$7,Data!$4:$4,0))))</f>
        <v>68.599999999999994</v>
      </c>
      <c r="D2710" s="148">
        <f t="shared" ca="1" si="88"/>
        <v>0</v>
      </c>
      <c r="E2710" s="148">
        <f t="shared" ca="1" si="89"/>
        <v>3.5999999999999943</v>
      </c>
    </row>
    <row r="2711" spans="2:5" x14ac:dyDescent="0.25">
      <c r="B2711" s="8">
        <v>40305</v>
      </c>
      <c r="C2711" s="6">
        <f ca="1">IF(OR($C$7="",$B2711&gt;NOW()),"",IF(INDEX(Data!$A:$G,MATCH($B2711,Data!$A:$A,0),MATCH($C$7,Data!$4:$4,0))="","",INDEX(Data!$A:$G,MATCH($B2711,Data!$A:$A,0),MATCH($C$7,Data!$4:$4,0))))</f>
        <v>63.1</v>
      </c>
      <c r="D2711" s="148">
        <f t="shared" ca="1" si="88"/>
        <v>1.8999999999999986</v>
      </c>
      <c r="E2711" s="148">
        <f t="shared" ca="1" si="89"/>
        <v>0</v>
      </c>
    </row>
    <row r="2712" spans="2:5" x14ac:dyDescent="0.25">
      <c r="B2712" s="8">
        <v>40306</v>
      </c>
      <c r="C2712" s="6">
        <f ca="1">IF(OR($C$7="",$B2712&gt;NOW()),"",IF(INDEX(Data!$A:$G,MATCH($B2712,Data!$A:$A,0),MATCH($C$7,Data!$4:$4,0))="","",INDEX(Data!$A:$G,MATCH($B2712,Data!$A:$A,0),MATCH($C$7,Data!$4:$4,0))))</f>
        <v>63.8</v>
      </c>
      <c r="D2712" s="148">
        <f t="shared" ca="1" si="88"/>
        <v>1.2000000000000028</v>
      </c>
      <c r="E2712" s="148">
        <f t="shared" ca="1" si="89"/>
        <v>0</v>
      </c>
    </row>
    <row r="2713" spans="2:5" x14ac:dyDescent="0.25">
      <c r="B2713" s="8">
        <v>40307</v>
      </c>
      <c r="C2713" s="6">
        <f ca="1">IF(OR($C$7="",$B2713&gt;NOW()),"",IF(INDEX(Data!$A:$G,MATCH($B2713,Data!$A:$A,0),MATCH($C$7,Data!$4:$4,0))="","",INDEX(Data!$A:$G,MATCH($B2713,Data!$A:$A,0),MATCH($C$7,Data!$4:$4,0))))</f>
        <v>51.5</v>
      </c>
      <c r="D2713" s="148">
        <f t="shared" ca="1" si="88"/>
        <v>13.5</v>
      </c>
      <c r="E2713" s="148">
        <f t="shared" ca="1" si="89"/>
        <v>0</v>
      </c>
    </row>
    <row r="2714" spans="2:5" x14ac:dyDescent="0.25">
      <c r="B2714" s="8">
        <v>40308</v>
      </c>
      <c r="C2714" s="6">
        <f ca="1">IF(OR($C$7="",$B2714&gt;NOW()),"",IF(INDEX(Data!$A:$G,MATCH($B2714,Data!$A:$A,0),MATCH($C$7,Data!$4:$4,0))="","",INDEX(Data!$A:$G,MATCH($B2714,Data!$A:$A,0),MATCH($C$7,Data!$4:$4,0))))</f>
        <v>50.6</v>
      </c>
      <c r="D2714" s="148">
        <f t="shared" ca="1" si="88"/>
        <v>14.399999999999999</v>
      </c>
      <c r="E2714" s="148">
        <f t="shared" ca="1" si="89"/>
        <v>0</v>
      </c>
    </row>
    <row r="2715" spans="2:5" x14ac:dyDescent="0.25">
      <c r="B2715" s="8">
        <v>40309</v>
      </c>
      <c r="C2715" s="6">
        <f ca="1">IF(OR($C$7="",$B2715&gt;NOW()),"",IF(INDEX(Data!$A:$G,MATCH($B2715,Data!$A:$A,0),MATCH($C$7,Data!$4:$4,0))="","",INDEX(Data!$A:$G,MATCH($B2715,Data!$A:$A,0),MATCH($C$7,Data!$4:$4,0))))</f>
        <v>52.5</v>
      </c>
      <c r="D2715" s="148">
        <f t="shared" ca="1" si="88"/>
        <v>12.5</v>
      </c>
      <c r="E2715" s="148">
        <f t="shared" ca="1" si="89"/>
        <v>0</v>
      </c>
    </row>
    <row r="2716" spans="2:5" x14ac:dyDescent="0.25">
      <c r="B2716" s="8">
        <v>40310</v>
      </c>
      <c r="C2716" s="6">
        <f ca="1">IF(OR($C$7="",$B2716&gt;NOW()),"",IF(INDEX(Data!$A:$G,MATCH($B2716,Data!$A:$A,0),MATCH($C$7,Data!$4:$4,0))="","",INDEX(Data!$A:$G,MATCH($B2716,Data!$A:$A,0),MATCH($C$7,Data!$4:$4,0))))</f>
        <v>48.4</v>
      </c>
      <c r="D2716" s="148">
        <f t="shared" ca="1" si="88"/>
        <v>16.600000000000001</v>
      </c>
      <c r="E2716" s="148">
        <f t="shared" ca="1" si="89"/>
        <v>0</v>
      </c>
    </row>
    <row r="2717" spans="2:5" x14ac:dyDescent="0.25">
      <c r="B2717" s="8">
        <v>40311</v>
      </c>
      <c r="C2717" s="6">
        <f ca="1">IF(OR($C$7="",$B2717&gt;NOW()),"",IF(INDEX(Data!$A:$G,MATCH($B2717,Data!$A:$A,0),MATCH($C$7,Data!$4:$4,0))="","",INDEX(Data!$A:$G,MATCH($B2717,Data!$A:$A,0),MATCH($C$7,Data!$4:$4,0))))</f>
        <v>54.7</v>
      </c>
      <c r="D2717" s="148">
        <f t="shared" ref="D2717:D2780" ca="1" si="90">IF($C2717="","",IF($C2717&gt;$D$26,0,$D$26-$C2717))</f>
        <v>10.299999999999997</v>
      </c>
      <c r="E2717" s="148">
        <f t="shared" ref="E2717:E2780" ca="1" si="91">IF($C2717="","",IF($C2717&lt;$E$26,0,$C2717-$E$26))</f>
        <v>0</v>
      </c>
    </row>
    <row r="2718" spans="2:5" x14ac:dyDescent="0.25">
      <c r="B2718" s="8">
        <v>40312</v>
      </c>
      <c r="C2718" s="6">
        <f ca="1">IF(OR($C$7="",$B2718&gt;NOW()),"",IF(INDEX(Data!$A:$G,MATCH($B2718,Data!$A:$A,0),MATCH($C$7,Data!$4:$4,0))="","",INDEX(Data!$A:$G,MATCH($B2718,Data!$A:$A,0),MATCH($C$7,Data!$4:$4,0))))</f>
        <v>65.400000000000006</v>
      </c>
      <c r="D2718" s="148">
        <f t="shared" ca="1" si="90"/>
        <v>0</v>
      </c>
      <c r="E2718" s="148">
        <f t="shared" ca="1" si="91"/>
        <v>0.40000000000000568</v>
      </c>
    </row>
    <row r="2719" spans="2:5" x14ac:dyDescent="0.25">
      <c r="B2719" s="8">
        <v>40313</v>
      </c>
      <c r="C2719" s="6">
        <f ca="1">IF(OR($C$7="",$B2719&gt;NOW()),"",IF(INDEX(Data!$A:$G,MATCH($B2719,Data!$A:$A,0),MATCH($C$7,Data!$4:$4,0))="","",INDEX(Data!$A:$G,MATCH($B2719,Data!$A:$A,0),MATCH($C$7,Data!$4:$4,0))))</f>
        <v>69.400000000000006</v>
      </c>
      <c r="D2719" s="148">
        <f t="shared" ca="1" si="90"/>
        <v>0</v>
      </c>
      <c r="E2719" s="148">
        <f t="shared" ca="1" si="91"/>
        <v>4.4000000000000057</v>
      </c>
    </row>
    <row r="2720" spans="2:5" x14ac:dyDescent="0.25">
      <c r="B2720" s="8">
        <v>40314</v>
      </c>
      <c r="C2720" s="6">
        <f ca="1">IF(OR($C$7="",$B2720&gt;NOW()),"",IF(INDEX(Data!$A:$G,MATCH($B2720,Data!$A:$A,0),MATCH($C$7,Data!$4:$4,0))="","",INDEX(Data!$A:$G,MATCH($B2720,Data!$A:$A,0),MATCH($C$7,Data!$4:$4,0))))</f>
        <v>63.8</v>
      </c>
      <c r="D2720" s="148">
        <f t="shared" ca="1" si="90"/>
        <v>1.2000000000000028</v>
      </c>
      <c r="E2720" s="148">
        <f t="shared" ca="1" si="91"/>
        <v>0</v>
      </c>
    </row>
    <row r="2721" spans="2:5" x14ac:dyDescent="0.25">
      <c r="B2721" s="8">
        <v>40315</v>
      </c>
      <c r="C2721" s="6">
        <f ca="1">IF(OR($C$7="",$B2721&gt;NOW()),"",IF(INDEX(Data!$A:$G,MATCH($B2721,Data!$A:$A,0),MATCH($C$7,Data!$4:$4,0))="","",INDEX(Data!$A:$G,MATCH($B2721,Data!$A:$A,0),MATCH($C$7,Data!$4:$4,0))))</f>
        <v>66.3</v>
      </c>
      <c r="D2721" s="148">
        <f t="shared" ca="1" si="90"/>
        <v>0</v>
      </c>
      <c r="E2721" s="148">
        <f t="shared" ca="1" si="91"/>
        <v>1.2999999999999972</v>
      </c>
    </row>
    <row r="2722" spans="2:5" x14ac:dyDescent="0.25">
      <c r="B2722" s="8">
        <v>40316</v>
      </c>
      <c r="C2722" s="6">
        <f ca="1">IF(OR($C$7="",$B2722&gt;NOW()),"",IF(INDEX(Data!$A:$G,MATCH($B2722,Data!$A:$A,0),MATCH($C$7,Data!$4:$4,0))="","",INDEX(Data!$A:$G,MATCH($B2722,Data!$A:$A,0),MATCH($C$7,Data!$4:$4,0))))</f>
        <v>58.5</v>
      </c>
      <c r="D2722" s="148">
        <f t="shared" ca="1" si="90"/>
        <v>6.5</v>
      </c>
      <c r="E2722" s="148">
        <f t="shared" ca="1" si="91"/>
        <v>0</v>
      </c>
    </row>
    <row r="2723" spans="2:5" x14ac:dyDescent="0.25">
      <c r="B2723" s="8">
        <v>40317</v>
      </c>
      <c r="C2723" s="6">
        <f ca="1">IF(OR($C$7="",$B2723&gt;NOW()),"",IF(INDEX(Data!$A:$G,MATCH($B2723,Data!$A:$A,0),MATCH($C$7,Data!$4:$4,0))="","",INDEX(Data!$A:$G,MATCH($B2723,Data!$A:$A,0),MATCH($C$7,Data!$4:$4,0))))</f>
        <v>56.5</v>
      </c>
      <c r="D2723" s="148">
        <f t="shared" ca="1" si="90"/>
        <v>8.5</v>
      </c>
      <c r="E2723" s="148">
        <f t="shared" ca="1" si="91"/>
        <v>0</v>
      </c>
    </row>
    <row r="2724" spans="2:5" x14ac:dyDescent="0.25">
      <c r="B2724" s="8">
        <v>40318</v>
      </c>
      <c r="C2724" s="6">
        <f ca="1">IF(OR($C$7="",$B2724&gt;NOW()),"",IF(INDEX(Data!$A:$G,MATCH($B2724,Data!$A:$A,0),MATCH($C$7,Data!$4:$4,0))="","",INDEX(Data!$A:$G,MATCH($B2724,Data!$A:$A,0),MATCH($C$7,Data!$4:$4,0))))</f>
        <v>66.5</v>
      </c>
      <c r="D2724" s="148">
        <f t="shared" ca="1" si="90"/>
        <v>0</v>
      </c>
      <c r="E2724" s="148">
        <f t="shared" ca="1" si="91"/>
        <v>1.5</v>
      </c>
    </row>
    <row r="2725" spans="2:5" x14ac:dyDescent="0.25">
      <c r="B2725" s="8">
        <v>40319</v>
      </c>
      <c r="C2725" s="6">
        <f ca="1">IF(OR($C$7="",$B2725&gt;NOW()),"",IF(INDEX(Data!$A:$G,MATCH($B2725,Data!$A:$A,0),MATCH($C$7,Data!$4:$4,0))="","",INDEX(Data!$A:$G,MATCH($B2725,Data!$A:$A,0),MATCH($C$7,Data!$4:$4,0))))</f>
        <v>73.8</v>
      </c>
      <c r="D2725" s="148">
        <f t="shared" ca="1" si="90"/>
        <v>0</v>
      </c>
      <c r="E2725" s="148">
        <f t="shared" ca="1" si="91"/>
        <v>8.7999999999999972</v>
      </c>
    </row>
    <row r="2726" spans="2:5" x14ac:dyDescent="0.25">
      <c r="B2726" s="8">
        <v>40320</v>
      </c>
      <c r="C2726" s="6">
        <f ca="1">IF(OR($C$7="",$B2726&gt;NOW()),"",IF(INDEX(Data!$A:$G,MATCH($B2726,Data!$A:$A,0),MATCH($C$7,Data!$4:$4,0))="","",INDEX(Data!$A:$G,MATCH($B2726,Data!$A:$A,0),MATCH($C$7,Data!$4:$4,0))))</f>
        <v>63.8</v>
      </c>
      <c r="D2726" s="148">
        <f t="shared" ca="1" si="90"/>
        <v>1.2000000000000028</v>
      </c>
      <c r="E2726" s="148">
        <f t="shared" ca="1" si="91"/>
        <v>0</v>
      </c>
    </row>
    <row r="2727" spans="2:5" x14ac:dyDescent="0.25">
      <c r="B2727" s="8">
        <v>40321</v>
      </c>
      <c r="C2727" s="6">
        <f ca="1">IF(OR($C$7="",$B2727&gt;NOW()),"",IF(INDEX(Data!$A:$G,MATCH($B2727,Data!$A:$A,0),MATCH($C$7,Data!$4:$4,0))="","",INDEX(Data!$A:$G,MATCH($B2727,Data!$A:$A,0),MATCH($C$7,Data!$4:$4,0))))</f>
        <v>61.7</v>
      </c>
      <c r="D2727" s="148">
        <f t="shared" ca="1" si="90"/>
        <v>3.2999999999999972</v>
      </c>
      <c r="E2727" s="148">
        <f t="shared" ca="1" si="91"/>
        <v>0</v>
      </c>
    </row>
    <row r="2728" spans="2:5" x14ac:dyDescent="0.25">
      <c r="B2728" s="8">
        <v>40322</v>
      </c>
      <c r="C2728" s="6">
        <f ca="1">IF(OR($C$7="",$B2728&gt;NOW()),"",IF(INDEX(Data!$A:$G,MATCH($B2728,Data!$A:$A,0),MATCH($C$7,Data!$4:$4,0))="","",INDEX(Data!$A:$G,MATCH($B2728,Data!$A:$A,0),MATCH($C$7,Data!$4:$4,0))))</f>
        <v>63.2</v>
      </c>
      <c r="D2728" s="148">
        <f t="shared" ca="1" si="90"/>
        <v>1.7999999999999972</v>
      </c>
      <c r="E2728" s="148">
        <f t="shared" ca="1" si="91"/>
        <v>0</v>
      </c>
    </row>
    <row r="2729" spans="2:5" x14ac:dyDescent="0.25">
      <c r="B2729" s="8">
        <v>40323</v>
      </c>
      <c r="C2729" s="6">
        <f ca="1">IF(OR($C$7="",$B2729&gt;NOW()),"",IF(INDEX(Data!$A:$G,MATCH($B2729,Data!$A:$A,0),MATCH($C$7,Data!$4:$4,0))="","",INDEX(Data!$A:$G,MATCH($B2729,Data!$A:$A,0),MATCH($C$7,Data!$4:$4,0))))</f>
        <v>70.5</v>
      </c>
      <c r="D2729" s="148">
        <f t="shared" ca="1" si="90"/>
        <v>0</v>
      </c>
      <c r="E2729" s="148">
        <f t="shared" ca="1" si="91"/>
        <v>5.5</v>
      </c>
    </row>
    <row r="2730" spans="2:5" x14ac:dyDescent="0.25">
      <c r="B2730" s="8">
        <v>40324</v>
      </c>
      <c r="C2730" s="6">
        <f ca="1">IF(OR($C$7="",$B2730&gt;NOW()),"",IF(INDEX(Data!$A:$G,MATCH($B2730,Data!$A:$A,0),MATCH($C$7,Data!$4:$4,0))="","",INDEX(Data!$A:$G,MATCH($B2730,Data!$A:$A,0),MATCH($C$7,Data!$4:$4,0))))</f>
        <v>77.5</v>
      </c>
      <c r="D2730" s="148">
        <f t="shared" ca="1" si="90"/>
        <v>0</v>
      </c>
      <c r="E2730" s="148">
        <f t="shared" ca="1" si="91"/>
        <v>12.5</v>
      </c>
    </row>
    <row r="2731" spans="2:5" x14ac:dyDescent="0.25">
      <c r="B2731" s="8">
        <v>40325</v>
      </c>
      <c r="C2731" s="6">
        <f ca="1">IF(OR($C$7="",$B2731&gt;NOW()),"",IF(INDEX(Data!$A:$G,MATCH($B2731,Data!$A:$A,0),MATCH($C$7,Data!$4:$4,0))="","",INDEX(Data!$A:$G,MATCH($B2731,Data!$A:$A,0),MATCH($C$7,Data!$4:$4,0))))</f>
        <v>74.900000000000006</v>
      </c>
      <c r="D2731" s="148">
        <f t="shared" ca="1" si="90"/>
        <v>0</v>
      </c>
      <c r="E2731" s="148">
        <f t="shared" ca="1" si="91"/>
        <v>9.9000000000000057</v>
      </c>
    </row>
    <row r="2732" spans="2:5" x14ac:dyDescent="0.25">
      <c r="B2732" s="8">
        <v>40326</v>
      </c>
      <c r="C2732" s="6">
        <f ca="1">IF(OR($C$7="",$B2732&gt;NOW()),"",IF(INDEX(Data!$A:$G,MATCH($B2732,Data!$A:$A,0),MATCH($C$7,Data!$4:$4,0))="","",INDEX(Data!$A:$G,MATCH($B2732,Data!$A:$A,0),MATCH($C$7,Data!$4:$4,0))))</f>
        <v>64</v>
      </c>
      <c r="D2732" s="148">
        <f t="shared" ca="1" si="90"/>
        <v>1</v>
      </c>
      <c r="E2732" s="148">
        <f t="shared" ca="1" si="91"/>
        <v>0</v>
      </c>
    </row>
    <row r="2733" spans="2:5" x14ac:dyDescent="0.25">
      <c r="B2733" s="8">
        <v>40327</v>
      </c>
      <c r="C2733" s="6">
        <f ca="1">IF(OR($C$7="",$B2733&gt;NOW()),"",IF(INDEX(Data!$A:$G,MATCH($B2733,Data!$A:$A,0),MATCH($C$7,Data!$4:$4,0))="","",INDEX(Data!$A:$G,MATCH($B2733,Data!$A:$A,0),MATCH($C$7,Data!$4:$4,0))))</f>
        <v>67.7</v>
      </c>
      <c r="D2733" s="148">
        <f t="shared" ca="1" si="90"/>
        <v>0</v>
      </c>
      <c r="E2733" s="148">
        <f t="shared" ca="1" si="91"/>
        <v>2.7000000000000028</v>
      </c>
    </row>
    <row r="2734" spans="2:5" x14ac:dyDescent="0.25">
      <c r="B2734" s="8">
        <v>40328</v>
      </c>
      <c r="C2734" s="6">
        <f ca="1">IF(OR($C$7="",$B2734&gt;NOW()),"",IF(INDEX(Data!$A:$G,MATCH($B2734,Data!$A:$A,0),MATCH($C$7,Data!$4:$4,0))="","",INDEX(Data!$A:$G,MATCH($B2734,Data!$A:$A,0),MATCH($C$7,Data!$4:$4,0))))</f>
        <v>75.8</v>
      </c>
      <c r="D2734" s="148">
        <f t="shared" ca="1" si="90"/>
        <v>0</v>
      </c>
      <c r="E2734" s="148">
        <f t="shared" ca="1" si="91"/>
        <v>10.799999999999997</v>
      </c>
    </row>
    <row r="2735" spans="2:5" x14ac:dyDescent="0.25">
      <c r="B2735" s="8">
        <v>40329</v>
      </c>
      <c r="C2735" s="6">
        <f ca="1">IF(OR($C$7="",$B2735&gt;NOW()),"",IF(INDEX(Data!$A:$G,MATCH($B2735,Data!$A:$A,0),MATCH($C$7,Data!$4:$4,0))="","",INDEX(Data!$A:$G,MATCH($B2735,Data!$A:$A,0),MATCH($C$7,Data!$4:$4,0))))</f>
        <v>78.599999999999994</v>
      </c>
      <c r="D2735" s="148">
        <f t="shared" ca="1" si="90"/>
        <v>0</v>
      </c>
      <c r="E2735" s="148">
        <f t="shared" ca="1" si="91"/>
        <v>13.599999999999994</v>
      </c>
    </row>
    <row r="2736" spans="2:5" x14ac:dyDescent="0.25">
      <c r="B2736" s="8">
        <v>40330</v>
      </c>
      <c r="C2736" s="6">
        <f ca="1">IF(OR($C$7="",$B2736&gt;NOW()),"",IF(INDEX(Data!$A:$G,MATCH($B2736,Data!$A:$A,0),MATCH($C$7,Data!$4:$4,0))="","",INDEX(Data!$A:$G,MATCH($B2736,Data!$A:$A,0),MATCH($C$7,Data!$4:$4,0))))</f>
        <v>75.7</v>
      </c>
      <c r="D2736" s="148">
        <f t="shared" ca="1" si="90"/>
        <v>0</v>
      </c>
      <c r="E2736" s="148">
        <f t="shared" ca="1" si="91"/>
        <v>10.700000000000003</v>
      </c>
    </row>
    <row r="2737" spans="2:5" x14ac:dyDescent="0.25">
      <c r="B2737" s="8">
        <v>40331</v>
      </c>
      <c r="C2737" s="6">
        <f ca="1">IF(OR($C$7="",$B2737&gt;NOW()),"",IF(INDEX(Data!$A:$G,MATCH($B2737,Data!$A:$A,0),MATCH($C$7,Data!$4:$4,0))="","",INDEX(Data!$A:$G,MATCH($B2737,Data!$A:$A,0),MATCH($C$7,Data!$4:$4,0))))</f>
        <v>77.400000000000006</v>
      </c>
      <c r="D2737" s="148">
        <f t="shared" ca="1" si="90"/>
        <v>0</v>
      </c>
      <c r="E2737" s="148">
        <f t="shared" ca="1" si="91"/>
        <v>12.400000000000006</v>
      </c>
    </row>
    <row r="2738" spans="2:5" x14ac:dyDescent="0.25">
      <c r="B2738" s="8">
        <v>40332</v>
      </c>
      <c r="C2738" s="6">
        <f ca="1">IF(OR($C$7="",$B2738&gt;NOW()),"",IF(INDEX(Data!$A:$G,MATCH($B2738,Data!$A:$A,0),MATCH($C$7,Data!$4:$4,0))="","",INDEX(Data!$A:$G,MATCH($B2738,Data!$A:$A,0),MATCH($C$7,Data!$4:$4,0))))</f>
        <v>76.099999999999994</v>
      </c>
      <c r="D2738" s="148">
        <f t="shared" ca="1" si="90"/>
        <v>0</v>
      </c>
      <c r="E2738" s="148">
        <f t="shared" ca="1" si="91"/>
        <v>11.099999999999994</v>
      </c>
    </row>
    <row r="2739" spans="2:5" x14ac:dyDescent="0.25">
      <c r="B2739" s="8">
        <v>40333</v>
      </c>
      <c r="C2739" s="6">
        <f ca="1">IF(OR($C$7="",$B2739&gt;NOW()),"",IF(INDEX(Data!$A:$G,MATCH($B2739,Data!$A:$A,0),MATCH($C$7,Data!$4:$4,0))="","",INDEX(Data!$A:$G,MATCH($B2739,Data!$A:$A,0),MATCH($C$7,Data!$4:$4,0))))</f>
        <v>81.099999999999994</v>
      </c>
      <c r="D2739" s="148">
        <f t="shared" ca="1" si="90"/>
        <v>0</v>
      </c>
      <c r="E2739" s="148">
        <f t="shared" ca="1" si="91"/>
        <v>16.099999999999994</v>
      </c>
    </row>
    <row r="2740" spans="2:5" x14ac:dyDescent="0.25">
      <c r="B2740" s="8">
        <v>40334</v>
      </c>
      <c r="C2740" s="6">
        <f ca="1">IF(OR($C$7="",$B2740&gt;NOW()),"",IF(INDEX(Data!$A:$G,MATCH($B2740,Data!$A:$A,0),MATCH($C$7,Data!$4:$4,0))="","",INDEX(Data!$A:$G,MATCH($B2740,Data!$A:$A,0),MATCH($C$7,Data!$4:$4,0))))</f>
        <v>83.3</v>
      </c>
      <c r="D2740" s="148">
        <f t="shared" ca="1" si="90"/>
        <v>0</v>
      </c>
      <c r="E2740" s="148">
        <f t="shared" ca="1" si="91"/>
        <v>18.299999999999997</v>
      </c>
    </row>
    <row r="2741" spans="2:5" x14ac:dyDescent="0.25">
      <c r="B2741" s="8">
        <v>40335</v>
      </c>
      <c r="C2741" s="6">
        <f ca="1">IF(OR($C$7="",$B2741&gt;NOW()),"",IF(INDEX(Data!$A:$G,MATCH($B2741,Data!$A:$A,0),MATCH($C$7,Data!$4:$4,0))="","",INDEX(Data!$A:$G,MATCH($B2741,Data!$A:$A,0),MATCH($C$7,Data!$4:$4,0))))</f>
        <v>84</v>
      </c>
      <c r="D2741" s="148">
        <f t="shared" ca="1" si="90"/>
        <v>0</v>
      </c>
      <c r="E2741" s="148">
        <f t="shared" ca="1" si="91"/>
        <v>19</v>
      </c>
    </row>
    <row r="2742" spans="2:5" x14ac:dyDescent="0.25">
      <c r="B2742" s="8">
        <v>40336</v>
      </c>
      <c r="C2742" s="6">
        <f ca="1">IF(OR($C$7="",$B2742&gt;NOW()),"",IF(INDEX(Data!$A:$G,MATCH($B2742,Data!$A:$A,0),MATCH($C$7,Data!$4:$4,0))="","",INDEX(Data!$A:$G,MATCH($B2742,Data!$A:$A,0),MATCH($C$7,Data!$4:$4,0))))</f>
        <v>67.2</v>
      </c>
      <c r="D2742" s="148">
        <f t="shared" ca="1" si="90"/>
        <v>0</v>
      </c>
      <c r="E2742" s="148">
        <f t="shared" ca="1" si="91"/>
        <v>2.2000000000000028</v>
      </c>
    </row>
    <row r="2743" spans="2:5" x14ac:dyDescent="0.25">
      <c r="B2743" s="8">
        <v>40337</v>
      </c>
      <c r="C2743" s="6">
        <f ca="1">IF(OR($C$7="",$B2743&gt;NOW()),"",IF(INDEX(Data!$A:$G,MATCH($B2743,Data!$A:$A,0),MATCH($C$7,Data!$4:$4,0))="","",INDEX(Data!$A:$G,MATCH($B2743,Data!$A:$A,0),MATCH($C$7,Data!$4:$4,0))))</f>
        <v>68</v>
      </c>
      <c r="D2743" s="148">
        <f t="shared" ca="1" si="90"/>
        <v>0</v>
      </c>
      <c r="E2743" s="148">
        <f t="shared" ca="1" si="91"/>
        <v>3</v>
      </c>
    </row>
    <row r="2744" spans="2:5" x14ac:dyDescent="0.25">
      <c r="B2744" s="8">
        <v>40338</v>
      </c>
      <c r="C2744" s="6">
        <f ca="1">IF(OR($C$7="",$B2744&gt;NOW()),"",IF(INDEX(Data!$A:$G,MATCH($B2744,Data!$A:$A,0),MATCH($C$7,Data!$4:$4,0))="","",INDEX(Data!$A:$G,MATCH($B2744,Data!$A:$A,0),MATCH($C$7,Data!$4:$4,0))))</f>
        <v>64.900000000000006</v>
      </c>
      <c r="D2744" s="148">
        <f t="shared" ca="1" si="90"/>
        <v>9.9999999999994316E-2</v>
      </c>
      <c r="E2744" s="148">
        <f t="shared" ca="1" si="91"/>
        <v>0</v>
      </c>
    </row>
    <row r="2745" spans="2:5" x14ac:dyDescent="0.25">
      <c r="B2745" s="8">
        <v>40339</v>
      </c>
      <c r="C2745" s="6">
        <f ca="1">IF(OR($C$7="",$B2745&gt;NOW()),"",IF(INDEX(Data!$A:$G,MATCH($B2745,Data!$A:$A,0),MATCH($C$7,Data!$4:$4,0))="","",INDEX(Data!$A:$G,MATCH($B2745,Data!$A:$A,0),MATCH($C$7,Data!$4:$4,0))))</f>
        <v>64.8</v>
      </c>
      <c r="D2745" s="148">
        <f t="shared" ca="1" si="90"/>
        <v>0.20000000000000284</v>
      </c>
      <c r="E2745" s="148">
        <f t="shared" ca="1" si="91"/>
        <v>0</v>
      </c>
    </row>
    <row r="2746" spans="2:5" x14ac:dyDescent="0.25">
      <c r="B2746" s="8">
        <v>40340</v>
      </c>
      <c r="C2746" s="6">
        <f ca="1">IF(OR($C$7="",$B2746&gt;NOW()),"",IF(INDEX(Data!$A:$G,MATCH($B2746,Data!$A:$A,0),MATCH($C$7,Data!$4:$4,0))="","",INDEX(Data!$A:$G,MATCH($B2746,Data!$A:$A,0),MATCH($C$7,Data!$4:$4,0))))</f>
        <v>66.8</v>
      </c>
      <c r="D2746" s="148">
        <f t="shared" ca="1" si="90"/>
        <v>0</v>
      </c>
      <c r="E2746" s="148">
        <f t="shared" ca="1" si="91"/>
        <v>1.7999999999999972</v>
      </c>
    </row>
    <row r="2747" spans="2:5" x14ac:dyDescent="0.25">
      <c r="B2747" s="8">
        <v>40341</v>
      </c>
      <c r="C2747" s="6">
        <f ca="1">IF(OR($C$7="",$B2747&gt;NOW()),"",IF(INDEX(Data!$A:$G,MATCH($B2747,Data!$A:$A,0),MATCH($C$7,Data!$4:$4,0))="","",INDEX(Data!$A:$G,MATCH($B2747,Data!$A:$A,0),MATCH($C$7,Data!$4:$4,0))))</f>
        <v>68.400000000000006</v>
      </c>
      <c r="D2747" s="148">
        <f t="shared" ca="1" si="90"/>
        <v>0</v>
      </c>
      <c r="E2747" s="148">
        <f t="shared" ca="1" si="91"/>
        <v>3.4000000000000057</v>
      </c>
    </row>
    <row r="2748" spans="2:5" x14ac:dyDescent="0.25">
      <c r="B2748" s="8">
        <v>40342</v>
      </c>
      <c r="C2748" s="6">
        <f ca="1">IF(OR($C$7="",$B2748&gt;NOW()),"",IF(INDEX(Data!$A:$G,MATCH($B2748,Data!$A:$A,0),MATCH($C$7,Data!$4:$4,0))="","",INDEX(Data!$A:$G,MATCH($B2748,Data!$A:$A,0),MATCH($C$7,Data!$4:$4,0))))</f>
        <v>69.400000000000006</v>
      </c>
      <c r="D2748" s="148">
        <f t="shared" ca="1" si="90"/>
        <v>0</v>
      </c>
      <c r="E2748" s="148">
        <f t="shared" ca="1" si="91"/>
        <v>4.4000000000000057</v>
      </c>
    </row>
    <row r="2749" spans="2:5" x14ac:dyDescent="0.25">
      <c r="B2749" s="8">
        <v>40343</v>
      </c>
      <c r="C2749" s="6">
        <f ca="1">IF(OR($C$7="",$B2749&gt;NOW()),"",IF(INDEX(Data!$A:$G,MATCH($B2749,Data!$A:$A,0),MATCH($C$7,Data!$4:$4,0))="","",INDEX(Data!$A:$G,MATCH($B2749,Data!$A:$A,0),MATCH($C$7,Data!$4:$4,0))))</f>
        <v>69.599999999999994</v>
      </c>
      <c r="D2749" s="148">
        <f t="shared" ca="1" si="90"/>
        <v>0</v>
      </c>
      <c r="E2749" s="148">
        <f t="shared" ca="1" si="91"/>
        <v>4.5999999999999943</v>
      </c>
    </row>
    <row r="2750" spans="2:5" x14ac:dyDescent="0.25">
      <c r="B2750" s="8">
        <v>40344</v>
      </c>
      <c r="C2750" s="6">
        <f ca="1">IF(OR($C$7="",$B2750&gt;NOW()),"",IF(INDEX(Data!$A:$G,MATCH($B2750,Data!$A:$A,0),MATCH($C$7,Data!$4:$4,0))="","",INDEX(Data!$A:$G,MATCH($B2750,Data!$A:$A,0),MATCH($C$7,Data!$4:$4,0))))</f>
        <v>72.5</v>
      </c>
      <c r="D2750" s="148">
        <f t="shared" ca="1" si="90"/>
        <v>0</v>
      </c>
      <c r="E2750" s="148">
        <f t="shared" ca="1" si="91"/>
        <v>7.5</v>
      </c>
    </row>
    <row r="2751" spans="2:5" x14ac:dyDescent="0.25">
      <c r="B2751" s="8">
        <v>40345</v>
      </c>
      <c r="C2751" s="6">
        <f ca="1">IF(OR($C$7="",$B2751&gt;NOW()),"",IF(INDEX(Data!$A:$G,MATCH($B2751,Data!$A:$A,0),MATCH($C$7,Data!$4:$4,0))="","",INDEX(Data!$A:$G,MATCH($B2751,Data!$A:$A,0),MATCH($C$7,Data!$4:$4,0))))</f>
        <v>70.5</v>
      </c>
      <c r="D2751" s="148">
        <f t="shared" ca="1" si="90"/>
        <v>0</v>
      </c>
      <c r="E2751" s="148">
        <f t="shared" ca="1" si="91"/>
        <v>5.5</v>
      </c>
    </row>
    <row r="2752" spans="2:5" x14ac:dyDescent="0.25">
      <c r="B2752" s="8">
        <v>40346</v>
      </c>
      <c r="C2752" s="6">
        <f ca="1">IF(OR($C$7="",$B2752&gt;NOW()),"",IF(INDEX(Data!$A:$G,MATCH($B2752,Data!$A:$A,0),MATCH($C$7,Data!$4:$4,0))="","",INDEX(Data!$A:$G,MATCH($B2752,Data!$A:$A,0),MATCH($C$7,Data!$4:$4,0))))</f>
        <v>72.599999999999994</v>
      </c>
      <c r="D2752" s="148">
        <f t="shared" ca="1" si="90"/>
        <v>0</v>
      </c>
      <c r="E2752" s="148">
        <f t="shared" ca="1" si="91"/>
        <v>7.5999999999999943</v>
      </c>
    </row>
    <row r="2753" spans="2:5" x14ac:dyDescent="0.25">
      <c r="B2753" s="8">
        <v>40347</v>
      </c>
      <c r="C2753" s="6">
        <f ca="1">IF(OR($C$7="",$B2753&gt;NOW()),"",IF(INDEX(Data!$A:$G,MATCH($B2753,Data!$A:$A,0),MATCH($C$7,Data!$4:$4,0))="","",INDEX(Data!$A:$G,MATCH($B2753,Data!$A:$A,0),MATCH($C$7,Data!$4:$4,0))))</f>
        <v>73.7</v>
      </c>
      <c r="D2753" s="148">
        <f t="shared" ca="1" si="90"/>
        <v>0</v>
      </c>
      <c r="E2753" s="148">
        <f t="shared" ca="1" si="91"/>
        <v>8.7000000000000028</v>
      </c>
    </row>
    <row r="2754" spans="2:5" x14ac:dyDescent="0.25">
      <c r="B2754" s="8">
        <v>40348</v>
      </c>
      <c r="C2754" s="6">
        <f ca="1">IF(OR($C$7="",$B2754&gt;NOW()),"",IF(INDEX(Data!$A:$G,MATCH($B2754,Data!$A:$A,0),MATCH($C$7,Data!$4:$4,0))="","",INDEX(Data!$A:$G,MATCH($B2754,Data!$A:$A,0),MATCH($C$7,Data!$4:$4,0))))</f>
        <v>74.400000000000006</v>
      </c>
      <c r="D2754" s="148">
        <f t="shared" ca="1" si="90"/>
        <v>0</v>
      </c>
      <c r="E2754" s="148">
        <f t="shared" ca="1" si="91"/>
        <v>9.4000000000000057</v>
      </c>
    </row>
    <row r="2755" spans="2:5" x14ac:dyDescent="0.25">
      <c r="B2755" s="8">
        <v>40349</v>
      </c>
      <c r="C2755" s="6">
        <f ca="1">IF(OR($C$7="",$B2755&gt;NOW()),"",IF(INDEX(Data!$A:$G,MATCH($B2755,Data!$A:$A,0),MATCH($C$7,Data!$4:$4,0))="","",INDEX(Data!$A:$G,MATCH($B2755,Data!$A:$A,0),MATCH($C$7,Data!$4:$4,0))))</f>
        <v>79</v>
      </c>
      <c r="D2755" s="148">
        <f t="shared" ca="1" si="90"/>
        <v>0</v>
      </c>
      <c r="E2755" s="148">
        <f t="shared" ca="1" si="91"/>
        <v>14</v>
      </c>
    </row>
    <row r="2756" spans="2:5" x14ac:dyDescent="0.25">
      <c r="B2756" s="8">
        <v>40350</v>
      </c>
      <c r="C2756" s="6">
        <f ca="1">IF(OR($C$7="",$B2756&gt;NOW()),"",IF(INDEX(Data!$A:$G,MATCH($B2756,Data!$A:$A,0),MATCH($C$7,Data!$4:$4,0))="","",INDEX(Data!$A:$G,MATCH($B2756,Data!$A:$A,0),MATCH($C$7,Data!$4:$4,0))))</f>
        <v>81.400000000000006</v>
      </c>
      <c r="D2756" s="148">
        <f t="shared" ca="1" si="90"/>
        <v>0</v>
      </c>
      <c r="E2756" s="148">
        <f t="shared" ca="1" si="91"/>
        <v>16.400000000000006</v>
      </c>
    </row>
    <row r="2757" spans="2:5" x14ac:dyDescent="0.25">
      <c r="B2757" s="8">
        <v>40351</v>
      </c>
      <c r="C2757" s="6">
        <f ca="1">IF(OR($C$7="",$B2757&gt;NOW()),"",IF(INDEX(Data!$A:$G,MATCH($B2757,Data!$A:$A,0),MATCH($C$7,Data!$4:$4,0))="","",INDEX(Data!$A:$G,MATCH($B2757,Data!$A:$A,0),MATCH($C$7,Data!$4:$4,0))))</f>
        <v>77.5</v>
      </c>
      <c r="D2757" s="148">
        <f t="shared" ca="1" si="90"/>
        <v>0</v>
      </c>
      <c r="E2757" s="148">
        <f t="shared" ca="1" si="91"/>
        <v>12.5</v>
      </c>
    </row>
    <row r="2758" spans="2:5" x14ac:dyDescent="0.25">
      <c r="B2758" s="8">
        <v>40352</v>
      </c>
      <c r="C2758" s="6">
        <f ca="1">IF(OR($C$7="",$B2758&gt;NOW()),"",IF(INDEX(Data!$A:$G,MATCH($B2758,Data!$A:$A,0),MATCH($C$7,Data!$4:$4,0))="","",INDEX(Data!$A:$G,MATCH($B2758,Data!$A:$A,0),MATCH($C$7,Data!$4:$4,0))))</f>
        <v>80.7</v>
      </c>
      <c r="D2758" s="148">
        <f t="shared" ca="1" si="90"/>
        <v>0</v>
      </c>
      <c r="E2758" s="148">
        <f t="shared" ca="1" si="91"/>
        <v>15.700000000000003</v>
      </c>
    </row>
    <row r="2759" spans="2:5" x14ac:dyDescent="0.25">
      <c r="B2759" s="8">
        <v>40353</v>
      </c>
      <c r="C2759" s="6">
        <f ca="1">IF(OR($C$7="",$B2759&gt;NOW()),"",IF(INDEX(Data!$A:$G,MATCH($B2759,Data!$A:$A,0),MATCH($C$7,Data!$4:$4,0))="","",INDEX(Data!$A:$G,MATCH($B2759,Data!$A:$A,0),MATCH($C$7,Data!$4:$4,0))))</f>
        <v>87.4</v>
      </c>
      <c r="D2759" s="148">
        <f t="shared" ca="1" si="90"/>
        <v>0</v>
      </c>
      <c r="E2759" s="148">
        <f t="shared" ca="1" si="91"/>
        <v>22.400000000000006</v>
      </c>
    </row>
    <row r="2760" spans="2:5" x14ac:dyDescent="0.25">
      <c r="B2760" s="8">
        <v>40354</v>
      </c>
      <c r="C2760" s="6">
        <f ca="1">IF(OR($C$7="",$B2760&gt;NOW()),"",IF(INDEX(Data!$A:$G,MATCH($B2760,Data!$A:$A,0),MATCH($C$7,Data!$4:$4,0))="","",INDEX(Data!$A:$G,MATCH($B2760,Data!$A:$A,0),MATCH($C$7,Data!$4:$4,0))))</f>
        <v>80.400000000000006</v>
      </c>
      <c r="D2760" s="148">
        <f t="shared" ca="1" si="90"/>
        <v>0</v>
      </c>
      <c r="E2760" s="148">
        <f t="shared" ca="1" si="91"/>
        <v>15.400000000000006</v>
      </c>
    </row>
    <row r="2761" spans="2:5" x14ac:dyDescent="0.25">
      <c r="B2761" s="8">
        <v>40355</v>
      </c>
      <c r="C2761" s="6">
        <f ca="1">IF(OR($C$7="",$B2761&gt;NOW()),"",IF(INDEX(Data!$A:$G,MATCH($B2761,Data!$A:$A,0),MATCH($C$7,Data!$4:$4,0))="","",INDEX(Data!$A:$G,MATCH($B2761,Data!$A:$A,0),MATCH($C$7,Data!$4:$4,0))))</f>
        <v>81</v>
      </c>
      <c r="D2761" s="148">
        <f t="shared" ca="1" si="90"/>
        <v>0</v>
      </c>
      <c r="E2761" s="148">
        <f t="shared" ca="1" si="91"/>
        <v>16</v>
      </c>
    </row>
    <row r="2762" spans="2:5" x14ac:dyDescent="0.25">
      <c r="B2762" s="8">
        <v>40356</v>
      </c>
      <c r="C2762" s="6">
        <f ca="1">IF(OR($C$7="",$B2762&gt;NOW()),"",IF(INDEX(Data!$A:$G,MATCH($B2762,Data!$A:$A,0),MATCH($C$7,Data!$4:$4,0))="","",INDEX(Data!$A:$G,MATCH($B2762,Data!$A:$A,0),MATCH($C$7,Data!$4:$4,0))))</f>
        <v>80.7</v>
      </c>
      <c r="D2762" s="148">
        <f t="shared" ca="1" si="90"/>
        <v>0</v>
      </c>
      <c r="E2762" s="148">
        <f t="shared" ca="1" si="91"/>
        <v>15.700000000000003</v>
      </c>
    </row>
    <row r="2763" spans="2:5" x14ac:dyDescent="0.25">
      <c r="B2763" s="8">
        <v>40357</v>
      </c>
      <c r="C2763" s="6">
        <f ca="1">IF(OR($C$7="",$B2763&gt;NOW()),"",IF(INDEX(Data!$A:$G,MATCH($B2763,Data!$A:$A,0),MATCH($C$7,Data!$4:$4,0))="","",INDEX(Data!$A:$G,MATCH($B2763,Data!$A:$A,0),MATCH($C$7,Data!$4:$4,0))))</f>
        <v>87.6</v>
      </c>
      <c r="D2763" s="148">
        <f t="shared" ca="1" si="90"/>
        <v>0</v>
      </c>
      <c r="E2763" s="148">
        <f t="shared" ca="1" si="91"/>
        <v>22.599999999999994</v>
      </c>
    </row>
    <row r="2764" spans="2:5" x14ac:dyDescent="0.25">
      <c r="B2764" s="8">
        <v>40358</v>
      </c>
      <c r="C2764" s="6">
        <f ca="1">IF(OR($C$7="",$B2764&gt;NOW()),"",IF(INDEX(Data!$A:$G,MATCH($B2764,Data!$A:$A,0),MATCH($C$7,Data!$4:$4,0))="","",INDEX(Data!$A:$G,MATCH($B2764,Data!$A:$A,0),MATCH($C$7,Data!$4:$4,0))))</f>
        <v>84</v>
      </c>
      <c r="D2764" s="148">
        <f t="shared" ca="1" si="90"/>
        <v>0</v>
      </c>
      <c r="E2764" s="148">
        <f t="shared" ca="1" si="91"/>
        <v>19</v>
      </c>
    </row>
    <row r="2765" spans="2:5" x14ac:dyDescent="0.25">
      <c r="B2765" s="8">
        <v>40359</v>
      </c>
      <c r="C2765" s="6">
        <f ca="1">IF(OR($C$7="",$B2765&gt;NOW()),"",IF(INDEX(Data!$A:$G,MATCH($B2765,Data!$A:$A,0),MATCH($C$7,Data!$4:$4,0))="","",INDEX(Data!$A:$G,MATCH($B2765,Data!$A:$A,0),MATCH($C$7,Data!$4:$4,0))))</f>
        <v>73.099999999999994</v>
      </c>
      <c r="D2765" s="148">
        <f t="shared" ca="1" si="90"/>
        <v>0</v>
      </c>
      <c r="E2765" s="148">
        <f t="shared" ca="1" si="91"/>
        <v>8.0999999999999943</v>
      </c>
    </row>
    <row r="2766" spans="2:5" x14ac:dyDescent="0.25">
      <c r="B2766" s="8">
        <v>40360</v>
      </c>
      <c r="C2766" s="6">
        <f ca="1">IF(OR($C$7="",$B2766&gt;NOW()),"",IF(INDEX(Data!$A:$G,MATCH($B2766,Data!$A:$A,0),MATCH($C$7,Data!$4:$4,0))="","",INDEX(Data!$A:$G,MATCH($B2766,Data!$A:$A,0),MATCH($C$7,Data!$4:$4,0))))</f>
        <v>71.099999999999994</v>
      </c>
      <c r="D2766" s="148">
        <f t="shared" ca="1" si="90"/>
        <v>0</v>
      </c>
      <c r="E2766" s="148">
        <f t="shared" ca="1" si="91"/>
        <v>6.0999999999999943</v>
      </c>
    </row>
    <row r="2767" spans="2:5" x14ac:dyDescent="0.25">
      <c r="B2767" s="8">
        <v>40361</v>
      </c>
      <c r="C2767" s="6">
        <f ca="1">IF(OR($C$7="",$B2767&gt;NOW()),"",IF(INDEX(Data!$A:$G,MATCH($B2767,Data!$A:$A,0),MATCH($C$7,Data!$4:$4,0))="","",INDEX(Data!$A:$G,MATCH($B2767,Data!$A:$A,0),MATCH($C$7,Data!$4:$4,0))))</f>
        <v>72</v>
      </c>
      <c r="D2767" s="148">
        <f t="shared" ca="1" si="90"/>
        <v>0</v>
      </c>
      <c r="E2767" s="148">
        <f t="shared" ca="1" si="91"/>
        <v>7</v>
      </c>
    </row>
    <row r="2768" spans="2:5" x14ac:dyDescent="0.25">
      <c r="B2768" s="8">
        <v>40362</v>
      </c>
      <c r="C2768" s="6">
        <f ca="1">IF(OR($C$7="",$B2768&gt;NOW()),"",IF(INDEX(Data!$A:$G,MATCH($B2768,Data!$A:$A,0),MATCH($C$7,Data!$4:$4,0))="","",INDEX(Data!$A:$G,MATCH($B2768,Data!$A:$A,0),MATCH($C$7,Data!$4:$4,0))))</f>
        <v>78.2</v>
      </c>
      <c r="D2768" s="148">
        <f t="shared" ca="1" si="90"/>
        <v>0</v>
      </c>
      <c r="E2768" s="148">
        <f t="shared" ca="1" si="91"/>
        <v>13.200000000000003</v>
      </c>
    </row>
    <row r="2769" spans="2:5" x14ac:dyDescent="0.25">
      <c r="B2769" s="8">
        <v>40363</v>
      </c>
      <c r="C2769" s="6">
        <f ca="1">IF(OR($C$7="",$B2769&gt;NOW()),"",IF(INDEX(Data!$A:$G,MATCH($B2769,Data!$A:$A,0),MATCH($C$7,Data!$4:$4,0))="","",INDEX(Data!$A:$G,MATCH($B2769,Data!$A:$A,0),MATCH($C$7,Data!$4:$4,0))))</f>
        <v>85.8</v>
      </c>
      <c r="D2769" s="148">
        <f t="shared" ca="1" si="90"/>
        <v>0</v>
      </c>
      <c r="E2769" s="148">
        <f t="shared" ca="1" si="91"/>
        <v>20.799999999999997</v>
      </c>
    </row>
    <row r="2770" spans="2:5" x14ac:dyDescent="0.25">
      <c r="B2770" s="8">
        <v>40364</v>
      </c>
      <c r="C2770" s="6">
        <f ca="1">IF(OR($C$7="",$B2770&gt;NOW()),"",IF(INDEX(Data!$A:$G,MATCH($B2770,Data!$A:$A,0),MATCH($C$7,Data!$4:$4,0))="","",INDEX(Data!$A:$G,MATCH($B2770,Data!$A:$A,0),MATCH($C$7,Data!$4:$4,0))))</f>
        <v>88.9</v>
      </c>
      <c r="D2770" s="148">
        <f t="shared" ca="1" si="90"/>
        <v>0</v>
      </c>
      <c r="E2770" s="148">
        <f t="shared" ca="1" si="91"/>
        <v>23.900000000000006</v>
      </c>
    </row>
    <row r="2771" spans="2:5" x14ac:dyDescent="0.25">
      <c r="B2771" s="8">
        <v>40365</v>
      </c>
      <c r="C2771" s="6">
        <f ca="1">IF(OR($C$7="",$B2771&gt;NOW()),"",IF(INDEX(Data!$A:$G,MATCH($B2771,Data!$A:$A,0),MATCH($C$7,Data!$4:$4,0))="","",INDEX(Data!$A:$G,MATCH($B2771,Data!$A:$A,0),MATCH($C$7,Data!$4:$4,0))))</f>
        <v>91.3</v>
      </c>
      <c r="D2771" s="148">
        <f t="shared" ca="1" si="90"/>
        <v>0</v>
      </c>
      <c r="E2771" s="148">
        <f t="shared" ca="1" si="91"/>
        <v>26.299999999999997</v>
      </c>
    </row>
    <row r="2772" spans="2:5" x14ac:dyDescent="0.25">
      <c r="B2772" s="8">
        <v>40366</v>
      </c>
      <c r="C2772" s="6">
        <f ca="1">IF(OR($C$7="",$B2772&gt;NOW()),"",IF(INDEX(Data!$A:$G,MATCH($B2772,Data!$A:$A,0),MATCH($C$7,Data!$4:$4,0))="","",INDEX(Data!$A:$G,MATCH($B2772,Data!$A:$A,0),MATCH($C$7,Data!$4:$4,0))))</f>
        <v>91.1</v>
      </c>
      <c r="D2772" s="148">
        <f t="shared" ca="1" si="90"/>
        <v>0</v>
      </c>
      <c r="E2772" s="148">
        <f t="shared" ca="1" si="91"/>
        <v>26.099999999999994</v>
      </c>
    </row>
    <row r="2773" spans="2:5" x14ac:dyDescent="0.25">
      <c r="B2773" s="8">
        <v>40367</v>
      </c>
      <c r="C2773" s="6">
        <f ca="1">IF(OR($C$7="",$B2773&gt;NOW()),"",IF(INDEX(Data!$A:$G,MATCH($B2773,Data!$A:$A,0),MATCH($C$7,Data!$4:$4,0))="","",INDEX(Data!$A:$G,MATCH($B2773,Data!$A:$A,0),MATCH($C$7,Data!$4:$4,0))))</f>
        <v>82.6</v>
      </c>
      <c r="D2773" s="148">
        <f t="shared" ca="1" si="90"/>
        <v>0</v>
      </c>
      <c r="E2773" s="148">
        <f t="shared" ca="1" si="91"/>
        <v>17.599999999999994</v>
      </c>
    </row>
    <row r="2774" spans="2:5" x14ac:dyDescent="0.25">
      <c r="B2774" s="8">
        <v>40368</v>
      </c>
      <c r="C2774" s="6">
        <f ca="1">IF(OR($C$7="",$B2774&gt;NOW()),"",IF(INDEX(Data!$A:$G,MATCH($B2774,Data!$A:$A,0),MATCH($C$7,Data!$4:$4,0))="","",INDEX(Data!$A:$G,MATCH($B2774,Data!$A:$A,0),MATCH($C$7,Data!$4:$4,0))))</f>
        <v>82.2</v>
      </c>
      <c r="D2774" s="148">
        <f t="shared" ca="1" si="90"/>
        <v>0</v>
      </c>
      <c r="E2774" s="148">
        <f t="shared" ca="1" si="91"/>
        <v>17.200000000000003</v>
      </c>
    </row>
    <row r="2775" spans="2:5" x14ac:dyDescent="0.25">
      <c r="B2775" s="8">
        <v>40369</v>
      </c>
      <c r="C2775" s="6">
        <f ca="1">IF(OR($C$7="",$B2775&gt;NOW()),"",IF(INDEX(Data!$A:$G,MATCH($B2775,Data!$A:$A,0),MATCH($C$7,Data!$4:$4,0))="","",INDEX(Data!$A:$G,MATCH($B2775,Data!$A:$A,0),MATCH($C$7,Data!$4:$4,0))))</f>
        <v>79.7</v>
      </c>
      <c r="D2775" s="148">
        <f t="shared" ca="1" si="90"/>
        <v>0</v>
      </c>
      <c r="E2775" s="148">
        <f t="shared" ca="1" si="91"/>
        <v>14.700000000000003</v>
      </c>
    </row>
    <row r="2776" spans="2:5" x14ac:dyDescent="0.25">
      <c r="B2776" s="8">
        <v>40370</v>
      </c>
      <c r="C2776" s="6">
        <f ca="1">IF(OR($C$7="",$B2776&gt;NOW()),"",IF(INDEX(Data!$A:$G,MATCH($B2776,Data!$A:$A,0),MATCH($C$7,Data!$4:$4,0))="","",INDEX(Data!$A:$G,MATCH($B2776,Data!$A:$A,0),MATCH($C$7,Data!$4:$4,0))))</f>
        <v>80.099999999999994</v>
      </c>
      <c r="D2776" s="148">
        <f t="shared" ca="1" si="90"/>
        <v>0</v>
      </c>
      <c r="E2776" s="148">
        <f t="shared" ca="1" si="91"/>
        <v>15.099999999999994</v>
      </c>
    </row>
    <row r="2777" spans="2:5" x14ac:dyDescent="0.25">
      <c r="B2777" s="8">
        <v>40371</v>
      </c>
      <c r="C2777" s="6">
        <f ca="1">IF(OR($C$7="",$B2777&gt;NOW()),"",IF(INDEX(Data!$A:$G,MATCH($B2777,Data!$A:$A,0),MATCH($C$7,Data!$4:$4,0))="","",INDEX(Data!$A:$G,MATCH($B2777,Data!$A:$A,0),MATCH($C$7,Data!$4:$4,0))))</f>
        <v>83.6</v>
      </c>
      <c r="D2777" s="148">
        <f t="shared" ca="1" si="90"/>
        <v>0</v>
      </c>
      <c r="E2777" s="148">
        <f t="shared" ca="1" si="91"/>
        <v>18.599999999999994</v>
      </c>
    </row>
    <row r="2778" spans="2:5" x14ac:dyDescent="0.25">
      <c r="B2778" s="8">
        <v>40372</v>
      </c>
      <c r="C2778" s="6">
        <f ca="1">IF(OR($C$7="",$B2778&gt;NOW()),"",IF(INDEX(Data!$A:$G,MATCH($B2778,Data!$A:$A,0),MATCH($C$7,Data!$4:$4,0))="","",INDEX(Data!$A:$G,MATCH($B2778,Data!$A:$A,0),MATCH($C$7,Data!$4:$4,0))))</f>
        <v>80.3</v>
      </c>
      <c r="D2778" s="148">
        <f t="shared" ca="1" si="90"/>
        <v>0</v>
      </c>
      <c r="E2778" s="148">
        <f t="shared" ca="1" si="91"/>
        <v>15.299999999999997</v>
      </c>
    </row>
    <row r="2779" spans="2:5" x14ac:dyDescent="0.25">
      <c r="B2779" s="8">
        <v>40373</v>
      </c>
      <c r="C2779" s="6">
        <f ca="1">IF(OR($C$7="",$B2779&gt;NOW()),"",IF(INDEX(Data!$A:$G,MATCH($B2779,Data!$A:$A,0),MATCH($C$7,Data!$4:$4,0))="","",INDEX(Data!$A:$G,MATCH($B2779,Data!$A:$A,0),MATCH($C$7,Data!$4:$4,0))))</f>
        <v>78.3</v>
      </c>
      <c r="D2779" s="148">
        <f t="shared" ca="1" si="90"/>
        <v>0</v>
      </c>
      <c r="E2779" s="148">
        <f t="shared" ca="1" si="91"/>
        <v>13.299999999999997</v>
      </c>
    </row>
    <row r="2780" spans="2:5" x14ac:dyDescent="0.25">
      <c r="B2780" s="8">
        <v>40374</v>
      </c>
      <c r="C2780" s="6">
        <f ca="1">IF(OR($C$7="",$B2780&gt;NOW()),"",IF(INDEX(Data!$A:$G,MATCH($B2780,Data!$A:$A,0),MATCH($C$7,Data!$4:$4,0))="","",INDEX(Data!$A:$G,MATCH($B2780,Data!$A:$A,0),MATCH($C$7,Data!$4:$4,0))))</f>
        <v>77.900000000000006</v>
      </c>
      <c r="D2780" s="148">
        <f t="shared" ca="1" si="90"/>
        <v>0</v>
      </c>
      <c r="E2780" s="148">
        <f t="shared" ca="1" si="91"/>
        <v>12.900000000000006</v>
      </c>
    </row>
    <row r="2781" spans="2:5" x14ac:dyDescent="0.25">
      <c r="B2781" s="8">
        <v>40375</v>
      </c>
      <c r="C2781" s="6">
        <f ca="1">IF(OR($C$7="",$B2781&gt;NOW()),"",IF(INDEX(Data!$A:$G,MATCH($B2781,Data!$A:$A,0),MATCH($C$7,Data!$4:$4,0))="","",INDEX(Data!$A:$G,MATCH($B2781,Data!$A:$A,0),MATCH($C$7,Data!$4:$4,0))))</f>
        <v>82.5</v>
      </c>
      <c r="D2781" s="148">
        <f t="shared" ref="D2781:D2844" ca="1" si="92">IF($C2781="","",IF($C2781&gt;$D$26,0,$D$26-$C2781))</f>
        <v>0</v>
      </c>
      <c r="E2781" s="148">
        <f t="shared" ref="E2781:E2844" ca="1" si="93">IF($C2781="","",IF($C2781&lt;$E$26,0,$C2781-$E$26))</f>
        <v>17.5</v>
      </c>
    </row>
    <row r="2782" spans="2:5" x14ac:dyDescent="0.25">
      <c r="B2782" s="8">
        <v>40376</v>
      </c>
      <c r="C2782" s="6">
        <f ca="1">IF(OR($C$7="",$B2782&gt;NOW()),"",IF(INDEX(Data!$A:$G,MATCH($B2782,Data!$A:$A,0),MATCH($C$7,Data!$4:$4,0))="","",INDEX(Data!$A:$G,MATCH($B2782,Data!$A:$A,0),MATCH($C$7,Data!$4:$4,0))))</f>
        <v>86.9</v>
      </c>
      <c r="D2782" s="148">
        <f t="shared" ca="1" si="92"/>
        <v>0</v>
      </c>
      <c r="E2782" s="148">
        <f t="shared" ca="1" si="93"/>
        <v>21.900000000000006</v>
      </c>
    </row>
    <row r="2783" spans="2:5" x14ac:dyDescent="0.25">
      <c r="B2783" s="8">
        <v>40377</v>
      </c>
      <c r="C2783" s="6">
        <f ca="1">IF(OR($C$7="",$B2783&gt;NOW()),"",IF(INDEX(Data!$A:$G,MATCH($B2783,Data!$A:$A,0),MATCH($C$7,Data!$4:$4,0))="","",INDEX(Data!$A:$G,MATCH($B2783,Data!$A:$A,0),MATCH($C$7,Data!$4:$4,0))))</f>
        <v>87.6</v>
      </c>
      <c r="D2783" s="148">
        <f t="shared" ca="1" si="92"/>
        <v>0</v>
      </c>
      <c r="E2783" s="148">
        <f t="shared" ca="1" si="93"/>
        <v>22.599999999999994</v>
      </c>
    </row>
    <row r="2784" spans="2:5" x14ac:dyDescent="0.25">
      <c r="B2784" s="8">
        <v>40378</v>
      </c>
      <c r="C2784" s="6">
        <f ca="1">IF(OR($C$7="",$B2784&gt;NOW()),"",IF(INDEX(Data!$A:$G,MATCH($B2784,Data!$A:$A,0),MATCH($C$7,Data!$4:$4,0))="","",INDEX(Data!$A:$G,MATCH($B2784,Data!$A:$A,0),MATCH($C$7,Data!$4:$4,0))))</f>
        <v>85</v>
      </c>
      <c r="D2784" s="148">
        <f t="shared" ca="1" si="92"/>
        <v>0</v>
      </c>
      <c r="E2784" s="148">
        <f t="shared" ca="1" si="93"/>
        <v>20</v>
      </c>
    </row>
    <row r="2785" spans="2:5" x14ac:dyDescent="0.25">
      <c r="B2785" s="8">
        <v>40379</v>
      </c>
      <c r="C2785" s="6">
        <f ca="1">IF(OR($C$7="",$B2785&gt;NOW()),"",IF(INDEX(Data!$A:$G,MATCH($B2785,Data!$A:$A,0),MATCH($C$7,Data!$4:$4,0))="","",INDEX(Data!$A:$G,MATCH($B2785,Data!$A:$A,0),MATCH($C$7,Data!$4:$4,0))))</f>
        <v>82</v>
      </c>
      <c r="D2785" s="148">
        <f t="shared" ca="1" si="92"/>
        <v>0</v>
      </c>
      <c r="E2785" s="148">
        <f t="shared" ca="1" si="93"/>
        <v>17</v>
      </c>
    </row>
    <row r="2786" spans="2:5" x14ac:dyDescent="0.25">
      <c r="B2786" s="8">
        <v>40380</v>
      </c>
      <c r="C2786" s="6">
        <f ca="1">IF(OR($C$7="",$B2786&gt;NOW()),"",IF(INDEX(Data!$A:$G,MATCH($B2786,Data!$A:$A,0),MATCH($C$7,Data!$4:$4,0))="","",INDEX(Data!$A:$G,MATCH($B2786,Data!$A:$A,0),MATCH($C$7,Data!$4:$4,0))))</f>
        <v>86.1</v>
      </c>
      <c r="D2786" s="148">
        <f t="shared" ca="1" si="92"/>
        <v>0</v>
      </c>
      <c r="E2786" s="148">
        <f t="shared" ca="1" si="93"/>
        <v>21.099999999999994</v>
      </c>
    </row>
    <row r="2787" spans="2:5" x14ac:dyDescent="0.25">
      <c r="B2787" s="8">
        <v>40381</v>
      </c>
      <c r="C2787" s="6">
        <f ca="1">IF(OR($C$7="",$B2787&gt;NOW()),"",IF(INDEX(Data!$A:$G,MATCH($B2787,Data!$A:$A,0),MATCH($C$7,Data!$4:$4,0))="","",INDEX(Data!$A:$G,MATCH($B2787,Data!$A:$A,0),MATCH($C$7,Data!$4:$4,0))))</f>
        <v>81.8</v>
      </c>
      <c r="D2787" s="148">
        <f t="shared" ca="1" si="92"/>
        <v>0</v>
      </c>
      <c r="E2787" s="148">
        <f t="shared" ca="1" si="93"/>
        <v>16.799999999999997</v>
      </c>
    </row>
    <row r="2788" spans="2:5" x14ac:dyDescent="0.25">
      <c r="B2788" s="8">
        <v>40382</v>
      </c>
      <c r="C2788" s="6">
        <f ca="1">IF(OR($C$7="",$B2788&gt;NOW()),"",IF(INDEX(Data!$A:$G,MATCH($B2788,Data!$A:$A,0),MATCH($C$7,Data!$4:$4,0))="","",INDEX(Data!$A:$G,MATCH($B2788,Data!$A:$A,0),MATCH($C$7,Data!$4:$4,0))))</f>
        <v>81.3</v>
      </c>
      <c r="D2788" s="148">
        <f t="shared" ca="1" si="92"/>
        <v>0</v>
      </c>
      <c r="E2788" s="148">
        <f t="shared" ca="1" si="93"/>
        <v>16.299999999999997</v>
      </c>
    </row>
    <row r="2789" spans="2:5" x14ac:dyDescent="0.25">
      <c r="B2789" s="8">
        <v>40383</v>
      </c>
      <c r="C2789" s="6">
        <f ca="1">IF(OR($C$7="",$B2789&gt;NOW()),"",IF(INDEX(Data!$A:$G,MATCH($B2789,Data!$A:$A,0),MATCH($C$7,Data!$4:$4,0))="","",INDEX(Data!$A:$G,MATCH($B2789,Data!$A:$A,0),MATCH($C$7,Data!$4:$4,0))))</f>
        <v>89.1</v>
      </c>
      <c r="D2789" s="148">
        <f t="shared" ca="1" si="92"/>
        <v>0</v>
      </c>
      <c r="E2789" s="148">
        <f t="shared" ca="1" si="93"/>
        <v>24.099999999999994</v>
      </c>
    </row>
    <row r="2790" spans="2:5" x14ac:dyDescent="0.25">
      <c r="B2790" s="8">
        <v>40384</v>
      </c>
      <c r="C2790" s="6">
        <f ca="1">IF(OR($C$7="",$B2790&gt;NOW()),"",IF(INDEX(Data!$A:$G,MATCH($B2790,Data!$A:$A,0),MATCH($C$7,Data!$4:$4,0))="","",INDEX(Data!$A:$G,MATCH($B2790,Data!$A:$A,0),MATCH($C$7,Data!$4:$4,0))))</f>
        <v>86.4</v>
      </c>
      <c r="D2790" s="148">
        <f t="shared" ca="1" si="92"/>
        <v>0</v>
      </c>
      <c r="E2790" s="148">
        <f t="shared" ca="1" si="93"/>
        <v>21.400000000000006</v>
      </c>
    </row>
    <row r="2791" spans="2:5" x14ac:dyDescent="0.25">
      <c r="B2791" s="8">
        <v>40385</v>
      </c>
      <c r="C2791" s="6">
        <f ca="1">IF(OR($C$7="",$B2791&gt;NOW()),"",IF(INDEX(Data!$A:$G,MATCH($B2791,Data!$A:$A,0),MATCH($C$7,Data!$4:$4,0))="","",INDEX(Data!$A:$G,MATCH($B2791,Data!$A:$A,0),MATCH($C$7,Data!$4:$4,0))))</f>
        <v>78</v>
      </c>
      <c r="D2791" s="148">
        <f t="shared" ca="1" si="92"/>
        <v>0</v>
      </c>
      <c r="E2791" s="148">
        <f t="shared" ca="1" si="93"/>
        <v>13</v>
      </c>
    </row>
    <row r="2792" spans="2:5" x14ac:dyDescent="0.25">
      <c r="B2792" s="8">
        <v>40386</v>
      </c>
      <c r="C2792" s="6">
        <f ca="1">IF(OR($C$7="",$B2792&gt;NOW()),"",IF(INDEX(Data!$A:$G,MATCH($B2792,Data!$A:$A,0),MATCH($C$7,Data!$4:$4,0))="","",INDEX(Data!$A:$G,MATCH($B2792,Data!$A:$A,0),MATCH($C$7,Data!$4:$4,0))))</f>
        <v>81.400000000000006</v>
      </c>
      <c r="D2792" s="148">
        <f t="shared" ca="1" si="92"/>
        <v>0</v>
      </c>
      <c r="E2792" s="148">
        <f t="shared" ca="1" si="93"/>
        <v>16.400000000000006</v>
      </c>
    </row>
    <row r="2793" spans="2:5" x14ac:dyDescent="0.25">
      <c r="B2793" s="8">
        <v>40387</v>
      </c>
      <c r="C2793" s="6">
        <f ca="1">IF(OR($C$7="",$B2793&gt;NOW()),"",IF(INDEX(Data!$A:$G,MATCH($B2793,Data!$A:$A,0),MATCH($C$7,Data!$4:$4,0))="","",INDEX(Data!$A:$G,MATCH($B2793,Data!$A:$A,0),MATCH($C$7,Data!$4:$4,0))))</f>
        <v>83.7</v>
      </c>
      <c r="D2793" s="148">
        <f t="shared" ca="1" si="92"/>
        <v>0</v>
      </c>
      <c r="E2793" s="148">
        <f t="shared" ca="1" si="93"/>
        <v>18.700000000000003</v>
      </c>
    </row>
    <row r="2794" spans="2:5" x14ac:dyDescent="0.25">
      <c r="B2794" s="8">
        <v>40388</v>
      </c>
      <c r="C2794" s="6">
        <f ca="1">IF(OR($C$7="",$B2794&gt;NOW()),"",IF(INDEX(Data!$A:$G,MATCH($B2794,Data!$A:$A,0),MATCH($C$7,Data!$4:$4,0))="","",INDEX(Data!$A:$G,MATCH($B2794,Data!$A:$A,0),MATCH($C$7,Data!$4:$4,0))))</f>
        <v>83.6</v>
      </c>
      <c r="D2794" s="148">
        <f t="shared" ca="1" si="92"/>
        <v>0</v>
      </c>
      <c r="E2794" s="148">
        <f t="shared" ca="1" si="93"/>
        <v>18.599999999999994</v>
      </c>
    </row>
    <row r="2795" spans="2:5" x14ac:dyDescent="0.25">
      <c r="B2795" s="8">
        <v>40389</v>
      </c>
      <c r="C2795" s="6">
        <f ca="1">IF(OR($C$7="",$B2795&gt;NOW()),"",IF(INDEX(Data!$A:$G,MATCH($B2795,Data!$A:$A,0),MATCH($C$7,Data!$4:$4,0))="","",INDEX(Data!$A:$G,MATCH($B2795,Data!$A:$A,0),MATCH($C$7,Data!$4:$4,0))))</f>
        <v>77.400000000000006</v>
      </c>
      <c r="D2795" s="148">
        <f t="shared" ca="1" si="92"/>
        <v>0</v>
      </c>
      <c r="E2795" s="148">
        <f t="shared" ca="1" si="93"/>
        <v>12.400000000000006</v>
      </c>
    </row>
    <row r="2796" spans="2:5" x14ac:dyDescent="0.25">
      <c r="B2796" s="8">
        <v>40390</v>
      </c>
      <c r="C2796" s="6">
        <f ca="1">IF(OR($C$7="",$B2796&gt;NOW()),"",IF(INDEX(Data!$A:$G,MATCH($B2796,Data!$A:$A,0),MATCH($C$7,Data!$4:$4,0))="","",INDEX(Data!$A:$G,MATCH($B2796,Data!$A:$A,0),MATCH($C$7,Data!$4:$4,0))))</f>
        <v>75.3</v>
      </c>
      <c r="D2796" s="148">
        <f t="shared" ca="1" si="92"/>
        <v>0</v>
      </c>
      <c r="E2796" s="148">
        <f t="shared" ca="1" si="93"/>
        <v>10.299999999999997</v>
      </c>
    </row>
    <row r="2797" spans="2:5" x14ac:dyDescent="0.25">
      <c r="B2797" s="8">
        <v>40391</v>
      </c>
      <c r="C2797" s="6">
        <f ca="1">IF(OR($C$7="",$B2797&gt;NOW()),"",IF(INDEX(Data!$A:$G,MATCH($B2797,Data!$A:$A,0),MATCH($C$7,Data!$4:$4,0))="","",INDEX(Data!$A:$G,MATCH($B2797,Data!$A:$A,0),MATCH($C$7,Data!$4:$4,0))))</f>
        <v>74.8</v>
      </c>
      <c r="D2797" s="148">
        <f t="shared" ca="1" si="92"/>
        <v>0</v>
      </c>
      <c r="E2797" s="148">
        <f t="shared" ca="1" si="93"/>
        <v>9.7999999999999972</v>
      </c>
    </row>
    <row r="2798" spans="2:5" x14ac:dyDescent="0.25">
      <c r="B2798" s="8">
        <v>40392</v>
      </c>
      <c r="C2798" s="6">
        <f ca="1">IF(OR($C$7="",$B2798&gt;NOW()),"",IF(INDEX(Data!$A:$G,MATCH($B2798,Data!$A:$A,0),MATCH($C$7,Data!$4:$4,0))="","",INDEX(Data!$A:$G,MATCH($B2798,Data!$A:$A,0),MATCH($C$7,Data!$4:$4,0))))</f>
        <v>77</v>
      </c>
      <c r="D2798" s="148">
        <f t="shared" ca="1" si="92"/>
        <v>0</v>
      </c>
      <c r="E2798" s="148">
        <f t="shared" ca="1" si="93"/>
        <v>12</v>
      </c>
    </row>
    <row r="2799" spans="2:5" x14ac:dyDescent="0.25">
      <c r="B2799" s="8">
        <v>40393</v>
      </c>
      <c r="C2799" s="6">
        <f ca="1">IF(OR($C$7="",$B2799&gt;NOW()),"",IF(INDEX(Data!$A:$G,MATCH($B2799,Data!$A:$A,0),MATCH($C$7,Data!$4:$4,0))="","",INDEX(Data!$A:$G,MATCH($B2799,Data!$A:$A,0),MATCH($C$7,Data!$4:$4,0))))</f>
        <v>78</v>
      </c>
      <c r="D2799" s="148">
        <f t="shared" ca="1" si="92"/>
        <v>0</v>
      </c>
      <c r="E2799" s="148">
        <f t="shared" ca="1" si="93"/>
        <v>13</v>
      </c>
    </row>
    <row r="2800" spans="2:5" x14ac:dyDescent="0.25">
      <c r="B2800" s="8">
        <v>40394</v>
      </c>
      <c r="C2800" s="6">
        <f ca="1">IF(OR($C$7="",$B2800&gt;NOW()),"",IF(INDEX(Data!$A:$G,MATCH($B2800,Data!$A:$A,0),MATCH($C$7,Data!$4:$4,0))="","",INDEX(Data!$A:$G,MATCH($B2800,Data!$A:$A,0),MATCH($C$7,Data!$4:$4,0))))</f>
        <v>81.900000000000006</v>
      </c>
      <c r="D2800" s="148">
        <f t="shared" ca="1" si="92"/>
        <v>0</v>
      </c>
      <c r="E2800" s="148">
        <f t="shared" ca="1" si="93"/>
        <v>16.900000000000006</v>
      </c>
    </row>
    <row r="2801" spans="2:5" x14ac:dyDescent="0.25">
      <c r="B2801" s="8">
        <v>40395</v>
      </c>
      <c r="C2801" s="6">
        <f ca="1">IF(OR($C$7="",$B2801&gt;NOW()),"",IF(INDEX(Data!$A:$G,MATCH($B2801,Data!$A:$A,0),MATCH($C$7,Data!$4:$4,0))="","",INDEX(Data!$A:$G,MATCH($B2801,Data!$A:$A,0),MATCH($C$7,Data!$4:$4,0))))</f>
        <v>86.2</v>
      </c>
      <c r="D2801" s="148">
        <f t="shared" ca="1" si="92"/>
        <v>0</v>
      </c>
      <c r="E2801" s="148">
        <f t="shared" ca="1" si="93"/>
        <v>21.200000000000003</v>
      </c>
    </row>
    <row r="2802" spans="2:5" x14ac:dyDescent="0.25">
      <c r="B2802" s="8">
        <v>40396</v>
      </c>
      <c r="C2802" s="6">
        <f ca="1">IF(OR($C$7="",$B2802&gt;NOW()),"",IF(INDEX(Data!$A:$G,MATCH($B2802,Data!$A:$A,0),MATCH($C$7,Data!$4:$4,0))="","",INDEX(Data!$A:$G,MATCH($B2802,Data!$A:$A,0),MATCH($C$7,Data!$4:$4,0))))</f>
        <v>84.8</v>
      </c>
      <c r="D2802" s="148">
        <f t="shared" ca="1" si="92"/>
        <v>0</v>
      </c>
      <c r="E2802" s="148">
        <f t="shared" ca="1" si="93"/>
        <v>19.799999999999997</v>
      </c>
    </row>
    <row r="2803" spans="2:5" x14ac:dyDescent="0.25">
      <c r="B2803" s="8">
        <v>40397</v>
      </c>
      <c r="C2803" s="6">
        <f ca="1">IF(OR($C$7="",$B2803&gt;NOW()),"",IF(INDEX(Data!$A:$G,MATCH($B2803,Data!$A:$A,0),MATCH($C$7,Data!$4:$4,0))="","",INDEX(Data!$A:$G,MATCH($B2803,Data!$A:$A,0),MATCH($C$7,Data!$4:$4,0))))</f>
        <v>77.400000000000006</v>
      </c>
      <c r="D2803" s="148">
        <f t="shared" ca="1" si="92"/>
        <v>0</v>
      </c>
      <c r="E2803" s="148">
        <f t="shared" ca="1" si="93"/>
        <v>12.400000000000006</v>
      </c>
    </row>
    <row r="2804" spans="2:5" x14ac:dyDescent="0.25">
      <c r="B2804" s="8">
        <v>40398</v>
      </c>
      <c r="C2804" s="6">
        <f ca="1">IF(OR($C$7="",$B2804&gt;NOW()),"",IF(INDEX(Data!$A:$G,MATCH($B2804,Data!$A:$A,0),MATCH($C$7,Data!$4:$4,0))="","",INDEX(Data!$A:$G,MATCH($B2804,Data!$A:$A,0),MATCH($C$7,Data!$4:$4,0))))</f>
        <v>79.599999999999994</v>
      </c>
      <c r="D2804" s="148">
        <f t="shared" ca="1" si="92"/>
        <v>0</v>
      </c>
      <c r="E2804" s="148">
        <f t="shared" ca="1" si="93"/>
        <v>14.599999999999994</v>
      </c>
    </row>
    <row r="2805" spans="2:5" x14ac:dyDescent="0.25">
      <c r="B2805" s="8">
        <v>40399</v>
      </c>
      <c r="C2805" s="6">
        <f ca="1">IF(OR($C$7="",$B2805&gt;NOW()),"",IF(INDEX(Data!$A:$G,MATCH($B2805,Data!$A:$A,0),MATCH($C$7,Data!$4:$4,0))="","",INDEX(Data!$A:$G,MATCH($B2805,Data!$A:$A,0),MATCH($C$7,Data!$4:$4,0))))</f>
        <v>82.2</v>
      </c>
      <c r="D2805" s="148">
        <f t="shared" ca="1" si="92"/>
        <v>0</v>
      </c>
      <c r="E2805" s="148">
        <f t="shared" ca="1" si="93"/>
        <v>17.200000000000003</v>
      </c>
    </row>
    <row r="2806" spans="2:5" x14ac:dyDescent="0.25">
      <c r="B2806" s="8">
        <v>40400</v>
      </c>
      <c r="C2806" s="6">
        <f ca="1">IF(OR($C$7="",$B2806&gt;NOW()),"",IF(INDEX(Data!$A:$G,MATCH($B2806,Data!$A:$A,0),MATCH($C$7,Data!$4:$4,0))="","",INDEX(Data!$A:$G,MATCH($B2806,Data!$A:$A,0),MATCH($C$7,Data!$4:$4,0))))</f>
        <v>84.6</v>
      </c>
      <c r="D2806" s="148">
        <f t="shared" ca="1" si="92"/>
        <v>0</v>
      </c>
      <c r="E2806" s="148">
        <f t="shared" ca="1" si="93"/>
        <v>19.599999999999994</v>
      </c>
    </row>
    <row r="2807" spans="2:5" x14ac:dyDescent="0.25">
      <c r="B2807" s="8">
        <v>40401</v>
      </c>
      <c r="C2807" s="6">
        <f ca="1">IF(OR($C$7="",$B2807&gt;NOW()),"",IF(INDEX(Data!$A:$G,MATCH($B2807,Data!$A:$A,0),MATCH($C$7,Data!$4:$4,0))="","",INDEX(Data!$A:$G,MATCH($B2807,Data!$A:$A,0),MATCH($C$7,Data!$4:$4,0))))</f>
        <v>84.3</v>
      </c>
      <c r="D2807" s="148">
        <f t="shared" ca="1" si="92"/>
        <v>0</v>
      </c>
      <c r="E2807" s="148">
        <f t="shared" ca="1" si="93"/>
        <v>19.299999999999997</v>
      </c>
    </row>
    <row r="2808" spans="2:5" x14ac:dyDescent="0.25">
      <c r="B2808" s="8">
        <v>40402</v>
      </c>
      <c r="C2808" s="6">
        <f ca="1">IF(OR($C$7="",$B2808&gt;NOW()),"",IF(INDEX(Data!$A:$G,MATCH($B2808,Data!$A:$A,0),MATCH($C$7,Data!$4:$4,0))="","",INDEX(Data!$A:$G,MATCH($B2808,Data!$A:$A,0),MATCH($C$7,Data!$4:$4,0))))</f>
        <v>76</v>
      </c>
      <c r="D2808" s="148">
        <f t="shared" ca="1" si="92"/>
        <v>0</v>
      </c>
      <c r="E2808" s="148">
        <f t="shared" ca="1" si="93"/>
        <v>11</v>
      </c>
    </row>
    <row r="2809" spans="2:5" x14ac:dyDescent="0.25">
      <c r="B2809" s="8">
        <v>40403</v>
      </c>
      <c r="C2809" s="6">
        <f ca="1">IF(OR($C$7="",$B2809&gt;NOW()),"",IF(INDEX(Data!$A:$G,MATCH($B2809,Data!$A:$A,0),MATCH($C$7,Data!$4:$4,0))="","",INDEX(Data!$A:$G,MATCH($B2809,Data!$A:$A,0),MATCH($C$7,Data!$4:$4,0))))</f>
        <v>73.8</v>
      </c>
      <c r="D2809" s="148">
        <f t="shared" ca="1" si="92"/>
        <v>0</v>
      </c>
      <c r="E2809" s="148">
        <f t="shared" ca="1" si="93"/>
        <v>8.7999999999999972</v>
      </c>
    </row>
    <row r="2810" spans="2:5" x14ac:dyDescent="0.25">
      <c r="B2810" s="8">
        <v>40404</v>
      </c>
      <c r="C2810" s="6">
        <f ca="1">IF(OR($C$7="",$B2810&gt;NOW()),"",IF(INDEX(Data!$A:$G,MATCH($B2810,Data!$A:$A,0),MATCH($C$7,Data!$4:$4,0))="","",INDEX(Data!$A:$G,MATCH($B2810,Data!$A:$A,0),MATCH($C$7,Data!$4:$4,0))))</f>
        <v>73.400000000000006</v>
      </c>
      <c r="D2810" s="148">
        <f t="shared" ca="1" si="92"/>
        <v>0</v>
      </c>
      <c r="E2810" s="148">
        <f t="shared" ca="1" si="93"/>
        <v>8.4000000000000057</v>
      </c>
    </row>
    <row r="2811" spans="2:5" x14ac:dyDescent="0.25">
      <c r="B2811" s="8">
        <v>40405</v>
      </c>
      <c r="C2811" s="6">
        <f ca="1">IF(OR($C$7="",$B2811&gt;NOW()),"",IF(INDEX(Data!$A:$G,MATCH($B2811,Data!$A:$A,0),MATCH($C$7,Data!$4:$4,0))="","",INDEX(Data!$A:$G,MATCH($B2811,Data!$A:$A,0),MATCH($C$7,Data!$4:$4,0))))</f>
        <v>74.3</v>
      </c>
      <c r="D2811" s="148">
        <f t="shared" ca="1" si="92"/>
        <v>0</v>
      </c>
      <c r="E2811" s="148">
        <f t="shared" ca="1" si="93"/>
        <v>9.2999999999999972</v>
      </c>
    </row>
    <row r="2812" spans="2:5" x14ac:dyDescent="0.25">
      <c r="B2812" s="8">
        <v>40406</v>
      </c>
      <c r="C2812" s="6">
        <f ca="1">IF(OR($C$7="",$B2812&gt;NOW()),"",IF(INDEX(Data!$A:$G,MATCH($B2812,Data!$A:$A,0),MATCH($C$7,Data!$4:$4,0))="","",INDEX(Data!$A:$G,MATCH($B2812,Data!$A:$A,0),MATCH($C$7,Data!$4:$4,0))))</f>
        <v>77.2</v>
      </c>
      <c r="D2812" s="148">
        <f t="shared" ca="1" si="92"/>
        <v>0</v>
      </c>
      <c r="E2812" s="148">
        <f t="shared" ca="1" si="93"/>
        <v>12.200000000000003</v>
      </c>
    </row>
    <row r="2813" spans="2:5" x14ac:dyDescent="0.25">
      <c r="B2813" s="8">
        <v>40407</v>
      </c>
      <c r="C2813" s="6">
        <f ca="1">IF(OR($C$7="",$B2813&gt;NOW()),"",IF(INDEX(Data!$A:$G,MATCH($B2813,Data!$A:$A,0),MATCH($C$7,Data!$4:$4,0))="","",INDEX(Data!$A:$G,MATCH($B2813,Data!$A:$A,0),MATCH($C$7,Data!$4:$4,0))))</f>
        <v>82.1</v>
      </c>
      <c r="D2813" s="148">
        <f t="shared" ca="1" si="92"/>
        <v>0</v>
      </c>
      <c r="E2813" s="148">
        <f t="shared" ca="1" si="93"/>
        <v>17.099999999999994</v>
      </c>
    </row>
    <row r="2814" spans="2:5" x14ac:dyDescent="0.25">
      <c r="B2814" s="8">
        <v>40408</v>
      </c>
      <c r="C2814" s="6">
        <f ca="1">IF(OR($C$7="",$B2814&gt;NOW()),"",IF(INDEX(Data!$A:$G,MATCH($B2814,Data!$A:$A,0),MATCH($C$7,Data!$4:$4,0))="","",INDEX(Data!$A:$G,MATCH($B2814,Data!$A:$A,0),MATCH($C$7,Data!$4:$4,0))))</f>
        <v>79.2</v>
      </c>
      <c r="D2814" s="148">
        <f t="shared" ca="1" si="92"/>
        <v>0</v>
      </c>
      <c r="E2814" s="148">
        <f t="shared" ca="1" si="93"/>
        <v>14.200000000000003</v>
      </c>
    </row>
    <row r="2815" spans="2:5" x14ac:dyDescent="0.25">
      <c r="B2815" s="8">
        <v>40409</v>
      </c>
      <c r="C2815" s="6">
        <f ca="1">IF(OR($C$7="",$B2815&gt;NOW()),"",IF(INDEX(Data!$A:$G,MATCH($B2815,Data!$A:$A,0),MATCH($C$7,Data!$4:$4,0))="","",INDEX(Data!$A:$G,MATCH($B2815,Data!$A:$A,0),MATCH($C$7,Data!$4:$4,0))))</f>
        <v>79.5</v>
      </c>
      <c r="D2815" s="148">
        <f t="shared" ca="1" si="92"/>
        <v>0</v>
      </c>
      <c r="E2815" s="148">
        <f t="shared" ca="1" si="93"/>
        <v>14.5</v>
      </c>
    </row>
    <row r="2816" spans="2:5" x14ac:dyDescent="0.25">
      <c r="B2816" s="8">
        <v>40410</v>
      </c>
      <c r="C2816" s="6">
        <f ca="1">IF(OR($C$7="",$B2816&gt;NOW()),"",IF(INDEX(Data!$A:$G,MATCH($B2816,Data!$A:$A,0),MATCH($C$7,Data!$4:$4,0))="","",INDEX(Data!$A:$G,MATCH($B2816,Data!$A:$A,0),MATCH($C$7,Data!$4:$4,0))))</f>
        <v>82</v>
      </c>
      <c r="D2816" s="148">
        <f t="shared" ca="1" si="92"/>
        <v>0</v>
      </c>
      <c r="E2816" s="148">
        <f t="shared" ca="1" si="93"/>
        <v>17</v>
      </c>
    </row>
    <row r="2817" spans="2:5" x14ac:dyDescent="0.25">
      <c r="B2817" s="8">
        <v>40411</v>
      </c>
      <c r="C2817" s="6">
        <f ca="1">IF(OR($C$7="",$B2817&gt;NOW()),"",IF(INDEX(Data!$A:$G,MATCH($B2817,Data!$A:$A,0),MATCH($C$7,Data!$4:$4,0))="","",INDEX(Data!$A:$G,MATCH($B2817,Data!$A:$A,0),MATCH($C$7,Data!$4:$4,0))))</f>
        <v>75.5</v>
      </c>
      <c r="D2817" s="148">
        <f t="shared" ca="1" si="92"/>
        <v>0</v>
      </c>
      <c r="E2817" s="148">
        <f t="shared" ca="1" si="93"/>
        <v>10.5</v>
      </c>
    </row>
    <row r="2818" spans="2:5" x14ac:dyDescent="0.25">
      <c r="B2818" s="8">
        <v>40412</v>
      </c>
      <c r="C2818" s="6">
        <f ca="1">IF(OR($C$7="",$B2818&gt;NOW()),"",IF(INDEX(Data!$A:$G,MATCH($B2818,Data!$A:$A,0),MATCH($C$7,Data!$4:$4,0))="","",INDEX(Data!$A:$G,MATCH($B2818,Data!$A:$A,0),MATCH($C$7,Data!$4:$4,0))))</f>
        <v>77.900000000000006</v>
      </c>
      <c r="D2818" s="148">
        <f t="shared" ca="1" si="92"/>
        <v>0</v>
      </c>
      <c r="E2818" s="148">
        <f t="shared" ca="1" si="93"/>
        <v>12.900000000000006</v>
      </c>
    </row>
    <row r="2819" spans="2:5" x14ac:dyDescent="0.25">
      <c r="B2819" s="8">
        <v>40413</v>
      </c>
      <c r="C2819" s="6">
        <f ca="1">IF(OR($C$7="",$B2819&gt;NOW()),"",IF(INDEX(Data!$A:$G,MATCH($B2819,Data!$A:$A,0),MATCH($C$7,Data!$4:$4,0))="","",INDEX(Data!$A:$G,MATCH($B2819,Data!$A:$A,0),MATCH($C$7,Data!$4:$4,0))))</f>
        <v>71.599999999999994</v>
      </c>
      <c r="D2819" s="148">
        <f t="shared" ca="1" si="92"/>
        <v>0</v>
      </c>
      <c r="E2819" s="148">
        <f t="shared" ca="1" si="93"/>
        <v>6.5999999999999943</v>
      </c>
    </row>
    <row r="2820" spans="2:5" x14ac:dyDescent="0.25">
      <c r="B2820" s="8">
        <v>40414</v>
      </c>
      <c r="C2820" s="6">
        <f ca="1">IF(OR($C$7="",$B2820&gt;NOW()),"",IF(INDEX(Data!$A:$G,MATCH($B2820,Data!$A:$A,0),MATCH($C$7,Data!$4:$4,0))="","",INDEX(Data!$A:$G,MATCH($B2820,Data!$A:$A,0),MATCH($C$7,Data!$4:$4,0))))</f>
        <v>68.8</v>
      </c>
      <c r="D2820" s="148">
        <f t="shared" ca="1" si="92"/>
        <v>0</v>
      </c>
      <c r="E2820" s="148">
        <f t="shared" ca="1" si="93"/>
        <v>3.7999999999999972</v>
      </c>
    </row>
    <row r="2821" spans="2:5" x14ac:dyDescent="0.25">
      <c r="B2821" s="8">
        <v>40415</v>
      </c>
      <c r="C2821" s="6">
        <f ca="1">IF(OR($C$7="",$B2821&gt;NOW()),"",IF(INDEX(Data!$A:$G,MATCH($B2821,Data!$A:$A,0),MATCH($C$7,Data!$4:$4,0))="","",INDEX(Data!$A:$G,MATCH($B2821,Data!$A:$A,0),MATCH($C$7,Data!$4:$4,0))))</f>
        <v>67</v>
      </c>
      <c r="D2821" s="148">
        <f t="shared" ca="1" si="92"/>
        <v>0</v>
      </c>
      <c r="E2821" s="148">
        <f t="shared" ca="1" si="93"/>
        <v>2</v>
      </c>
    </row>
    <row r="2822" spans="2:5" x14ac:dyDescent="0.25">
      <c r="B2822" s="8">
        <v>40416</v>
      </c>
      <c r="C2822" s="6">
        <f ca="1">IF(OR($C$7="",$B2822&gt;NOW()),"",IF(INDEX(Data!$A:$G,MATCH($B2822,Data!$A:$A,0),MATCH($C$7,Data!$4:$4,0))="","",INDEX(Data!$A:$G,MATCH($B2822,Data!$A:$A,0),MATCH($C$7,Data!$4:$4,0))))</f>
        <v>74.099999999999994</v>
      </c>
      <c r="D2822" s="148">
        <f t="shared" ca="1" si="92"/>
        <v>0</v>
      </c>
      <c r="E2822" s="148">
        <f t="shared" ca="1" si="93"/>
        <v>9.0999999999999943</v>
      </c>
    </row>
    <row r="2823" spans="2:5" x14ac:dyDescent="0.25">
      <c r="B2823" s="8">
        <v>40417</v>
      </c>
      <c r="C2823" s="6">
        <f ca="1">IF(OR($C$7="",$B2823&gt;NOW()),"",IF(INDEX(Data!$A:$G,MATCH($B2823,Data!$A:$A,0),MATCH($C$7,Data!$4:$4,0))="","",INDEX(Data!$A:$G,MATCH($B2823,Data!$A:$A,0),MATCH($C$7,Data!$4:$4,0))))</f>
        <v>71.599999999999994</v>
      </c>
      <c r="D2823" s="148">
        <f t="shared" ca="1" si="92"/>
        <v>0</v>
      </c>
      <c r="E2823" s="148">
        <f t="shared" ca="1" si="93"/>
        <v>6.5999999999999943</v>
      </c>
    </row>
    <row r="2824" spans="2:5" x14ac:dyDescent="0.25">
      <c r="B2824" s="8">
        <v>40418</v>
      </c>
      <c r="C2824" s="6">
        <f ca="1">IF(OR($C$7="",$B2824&gt;NOW()),"",IF(INDEX(Data!$A:$G,MATCH($B2824,Data!$A:$A,0),MATCH($C$7,Data!$4:$4,0))="","",INDEX(Data!$A:$G,MATCH($B2824,Data!$A:$A,0),MATCH($C$7,Data!$4:$4,0))))</f>
        <v>74</v>
      </c>
      <c r="D2824" s="148">
        <f t="shared" ca="1" si="92"/>
        <v>0</v>
      </c>
      <c r="E2824" s="148">
        <f t="shared" ca="1" si="93"/>
        <v>9</v>
      </c>
    </row>
    <row r="2825" spans="2:5" x14ac:dyDescent="0.25">
      <c r="B2825" s="8">
        <v>40419</v>
      </c>
      <c r="C2825" s="6">
        <f ca="1">IF(OR($C$7="",$B2825&gt;NOW()),"",IF(INDEX(Data!$A:$G,MATCH($B2825,Data!$A:$A,0),MATCH($C$7,Data!$4:$4,0))="","",INDEX(Data!$A:$G,MATCH($B2825,Data!$A:$A,0),MATCH($C$7,Data!$4:$4,0))))</f>
        <v>80.900000000000006</v>
      </c>
      <c r="D2825" s="148">
        <f t="shared" ca="1" si="92"/>
        <v>0</v>
      </c>
      <c r="E2825" s="148">
        <f t="shared" ca="1" si="93"/>
        <v>15.900000000000006</v>
      </c>
    </row>
    <row r="2826" spans="2:5" x14ac:dyDescent="0.25">
      <c r="B2826" s="8">
        <v>40420</v>
      </c>
      <c r="C2826" s="6">
        <f ca="1">IF(OR($C$7="",$B2826&gt;NOW()),"",IF(INDEX(Data!$A:$G,MATCH($B2826,Data!$A:$A,0),MATCH($C$7,Data!$4:$4,0))="","",INDEX(Data!$A:$G,MATCH($B2826,Data!$A:$A,0),MATCH($C$7,Data!$4:$4,0))))</f>
        <v>83.2</v>
      </c>
      <c r="D2826" s="148">
        <f t="shared" ca="1" si="92"/>
        <v>0</v>
      </c>
      <c r="E2826" s="148">
        <f t="shared" ca="1" si="93"/>
        <v>18.200000000000003</v>
      </c>
    </row>
    <row r="2827" spans="2:5" x14ac:dyDescent="0.25">
      <c r="B2827" s="8">
        <v>40421</v>
      </c>
      <c r="C2827" s="6">
        <f ca="1">IF(OR($C$7="",$B2827&gt;NOW()),"",IF(INDEX(Data!$A:$G,MATCH($B2827,Data!$A:$A,0),MATCH($C$7,Data!$4:$4,0))="","",INDEX(Data!$A:$G,MATCH($B2827,Data!$A:$A,0),MATCH($C$7,Data!$4:$4,0))))</f>
        <v>85.7</v>
      </c>
      <c r="D2827" s="148">
        <f t="shared" ca="1" si="92"/>
        <v>0</v>
      </c>
      <c r="E2827" s="148">
        <f t="shared" ca="1" si="93"/>
        <v>20.700000000000003</v>
      </c>
    </row>
    <row r="2828" spans="2:5" x14ac:dyDescent="0.25">
      <c r="B2828" s="8">
        <v>40422</v>
      </c>
      <c r="C2828" s="6">
        <f ca="1">IF(OR($C$7="",$B2828&gt;NOW()),"",IF(INDEX(Data!$A:$G,MATCH($B2828,Data!$A:$A,0),MATCH($C$7,Data!$4:$4,0))="","",INDEX(Data!$A:$G,MATCH($B2828,Data!$A:$A,0),MATCH($C$7,Data!$4:$4,0))))</f>
        <v>87.1</v>
      </c>
      <c r="D2828" s="148">
        <f t="shared" ca="1" si="92"/>
        <v>0</v>
      </c>
      <c r="E2828" s="148">
        <f t="shared" ca="1" si="93"/>
        <v>22.099999999999994</v>
      </c>
    </row>
    <row r="2829" spans="2:5" x14ac:dyDescent="0.25">
      <c r="B2829" s="8">
        <v>40423</v>
      </c>
      <c r="C2829" s="6">
        <f ca="1">IF(OR($C$7="",$B2829&gt;NOW()),"",IF(INDEX(Data!$A:$G,MATCH($B2829,Data!$A:$A,0),MATCH($C$7,Data!$4:$4,0))="","",INDEX(Data!$A:$G,MATCH($B2829,Data!$A:$A,0),MATCH($C$7,Data!$4:$4,0))))</f>
        <v>86.1</v>
      </c>
      <c r="D2829" s="148">
        <f t="shared" ca="1" si="92"/>
        <v>0</v>
      </c>
      <c r="E2829" s="148">
        <f t="shared" ca="1" si="93"/>
        <v>21.099999999999994</v>
      </c>
    </row>
    <row r="2830" spans="2:5" x14ac:dyDescent="0.25">
      <c r="B2830" s="8">
        <v>40424</v>
      </c>
      <c r="C2830" s="6">
        <f ca="1">IF(OR($C$7="",$B2830&gt;NOW()),"",IF(INDEX(Data!$A:$G,MATCH($B2830,Data!$A:$A,0),MATCH($C$7,Data!$4:$4,0))="","",INDEX(Data!$A:$G,MATCH($B2830,Data!$A:$A,0),MATCH($C$7,Data!$4:$4,0))))</f>
        <v>80.5</v>
      </c>
      <c r="D2830" s="148">
        <f t="shared" ca="1" si="92"/>
        <v>0</v>
      </c>
      <c r="E2830" s="148">
        <f t="shared" ca="1" si="93"/>
        <v>15.5</v>
      </c>
    </row>
    <row r="2831" spans="2:5" x14ac:dyDescent="0.25">
      <c r="B2831" s="8">
        <v>40425</v>
      </c>
      <c r="C2831" s="6">
        <f ca="1">IF(OR($C$7="",$B2831&gt;NOW()),"",IF(INDEX(Data!$A:$G,MATCH($B2831,Data!$A:$A,0),MATCH($C$7,Data!$4:$4,0))="","",INDEX(Data!$A:$G,MATCH($B2831,Data!$A:$A,0),MATCH($C$7,Data!$4:$4,0))))</f>
        <v>78.3</v>
      </c>
      <c r="D2831" s="148">
        <f t="shared" ca="1" si="92"/>
        <v>0</v>
      </c>
      <c r="E2831" s="148">
        <f t="shared" ca="1" si="93"/>
        <v>13.299999999999997</v>
      </c>
    </row>
    <row r="2832" spans="2:5" x14ac:dyDescent="0.25">
      <c r="B2832" s="8">
        <v>40426</v>
      </c>
      <c r="C2832" s="6">
        <f ca="1">IF(OR($C$7="",$B2832&gt;NOW()),"",IF(INDEX(Data!$A:$G,MATCH($B2832,Data!$A:$A,0),MATCH($C$7,Data!$4:$4,0))="","",INDEX(Data!$A:$G,MATCH($B2832,Data!$A:$A,0),MATCH($C$7,Data!$4:$4,0))))</f>
        <v>69.8</v>
      </c>
      <c r="D2832" s="148">
        <f t="shared" ca="1" si="92"/>
        <v>0</v>
      </c>
      <c r="E2832" s="148">
        <f t="shared" ca="1" si="93"/>
        <v>4.7999999999999972</v>
      </c>
    </row>
    <row r="2833" spans="2:5" x14ac:dyDescent="0.25">
      <c r="B2833" s="8">
        <v>40427</v>
      </c>
      <c r="C2833" s="6">
        <f ca="1">IF(OR($C$7="",$B2833&gt;NOW()),"",IF(INDEX(Data!$A:$G,MATCH($B2833,Data!$A:$A,0),MATCH($C$7,Data!$4:$4,0))="","",INDEX(Data!$A:$G,MATCH($B2833,Data!$A:$A,0),MATCH($C$7,Data!$4:$4,0))))</f>
        <v>71.599999999999994</v>
      </c>
      <c r="D2833" s="148">
        <f t="shared" ca="1" si="92"/>
        <v>0</v>
      </c>
      <c r="E2833" s="148">
        <f t="shared" ca="1" si="93"/>
        <v>6.5999999999999943</v>
      </c>
    </row>
    <row r="2834" spans="2:5" x14ac:dyDescent="0.25">
      <c r="B2834" s="8">
        <v>40428</v>
      </c>
      <c r="C2834" s="6">
        <f ca="1">IF(OR($C$7="",$B2834&gt;NOW()),"",IF(INDEX(Data!$A:$G,MATCH($B2834,Data!$A:$A,0),MATCH($C$7,Data!$4:$4,0))="","",INDEX(Data!$A:$G,MATCH($B2834,Data!$A:$A,0),MATCH($C$7,Data!$4:$4,0))))</f>
        <v>76.5</v>
      </c>
      <c r="D2834" s="148">
        <f t="shared" ca="1" si="92"/>
        <v>0</v>
      </c>
      <c r="E2834" s="148">
        <f t="shared" ca="1" si="93"/>
        <v>11.5</v>
      </c>
    </row>
    <row r="2835" spans="2:5" x14ac:dyDescent="0.25">
      <c r="B2835" s="8">
        <v>40429</v>
      </c>
      <c r="C2835" s="6">
        <f ca="1">IF(OR($C$7="",$B2835&gt;NOW()),"",IF(INDEX(Data!$A:$G,MATCH($B2835,Data!$A:$A,0),MATCH($C$7,Data!$4:$4,0))="","",INDEX(Data!$A:$G,MATCH($B2835,Data!$A:$A,0),MATCH($C$7,Data!$4:$4,0))))</f>
        <v>80.7</v>
      </c>
      <c r="D2835" s="148">
        <f t="shared" ca="1" si="92"/>
        <v>0</v>
      </c>
      <c r="E2835" s="148">
        <f t="shared" ca="1" si="93"/>
        <v>15.700000000000003</v>
      </c>
    </row>
    <row r="2836" spans="2:5" x14ac:dyDescent="0.25">
      <c r="B2836" s="8">
        <v>40430</v>
      </c>
      <c r="C2836" s="6">
        <f ca="1">IF(OR($C$7="",$B2836&gt;NOW()),"",IF(INDEX(Data!$A:$G,MATCH($B2836,Data!$A:$A,0),MATCH($C$7,Data!$4:$4,0))="","",INDEX(Data!$A:$G,MATCH($B2836,Data!$A:$A,0),MATCH($C$7,Data!$4:$4,0))))</f>
        <v>68</v>
      </c>
      <c r="D2836" s="148">
        <f t="shared" ca="1" si="92"/>
        <v>0</v>
      </c>
      <c r="E2836" s="148">
        <f t="shared" ca="1" si="93"/>
        <v>3</v>
      </c>
    </row>
    <row r="2837" spans="2:5" x14ac:dyDescent="0.25">
      <c r="B2837" s="8">
        <v>40431</v>
      </c>
      <c r="C2837" s="6">
        <f ca="1">IF(OR($C$7="",$B2837&gt;NOW()),"",IF(INDEX(Data!$A:$G,MATCH($B2837,Data!$A:$A,0),MATCH($C$7,Data!$4:$4,0))="","",INDEX(Data!$A:$G,MATCH($B2837,Data!$A:$A,0),MATCH($C$7,Data!$4:$4,0))))</f>
        <v>66.8</v>
      </c>
      <c r="D2837" s="148">
        <f t="shared" ca="1" si="92"/>
        <v>0</v>
      </c>
      <c r="E2837" s="148">
        <f t="shared" ca="1" si="93"/>
        <v>1.7999999999999972</v>
      </c>
    </row>
    <row r="2838" spans="2:5" x14ac:dyDescent="0.25">
      <c r="B2838" s="8">
        <v>40432</v>
      </c>
      <c r="C2838" s="6">
        <f ca="1">IF(OR($C$7="",$B2838&gt;NOW()),"",IF(INDEX(Data!$A:$G,MATCH($B2838,Data!$A:$A,0),MATCH($C$7,Data!$4:$4,0))="","",INDEX(Data!$A:$G,MATCH($B2838,Data!$A:$A,0),MATCH($C$7,Data!$4:$4,0))))</f>
        <v>68.7</v>
      </c>
      <c r="D2838" s="148">
        <f t="shared" ca="1" si="92"/>
        <v>0</v>
      </c>
      <c r="E2838" s="148">
        <f t="shared" ca="1" si="93"/>
        <v>3.7000000000000028</v>
      </c>
    </row>
    <row r="2839" spans="2:5" x14ac:dyDescent="0.25">
      <c r="B2839" s="8">
        <v>40433</v>
      </c>
      <c r="C2839" s="6">
        <f ca="1">IF(OR($C$7="",$B2839&gt;NOW()),"",IF(INDEX(Data!$A:$G,MATCH($B2839,Data!$A:$A,0),MATCH($C$7,Data!$4:$4,0))="","",INDEX(Data!$A:$G,MATCH($B2839,Data!$A:$A,0),MATCH($C$7,Data!$4:$4,0))))</f>
        <v>66</v>
      </c>
      <c r="D2839" s="148">
        <f t="shared" ca="1" si="92"/>
        <v>0</v>
      </c>
      <c r="E2839" s="148">
        <f t="shared" ca="1" si="93"/>
        <v>1</v>
      </c>
    </row>
    <row r="2840" spans="2:5" x14ac:dyDescent="0.25">
      <c r="B2840" s="8">
        <v>40434</v>
      </c>
      <c r="C2840" s="6">
        <f ca="1">IF(OR($C$7="",$B2840&gt;NOW()),"",IF(INDEX(Data!$A:$G,MATCH($B2840,Data!$A:$A,0),MATCH($C$7,Data!$4:$4,0))="","",INDEX(Data!$A:$G,MATCH($B2840,Data!$A:$A,0),MATCH($C$7,Data!$4:$4,0))))</f>
        <v>65.7</v>
      </c>
      <c r="D2840" s="148">
        <f t="shared" ca="1" si="92"/>
        <v>0</v>
      </c>
      <c r="E2840" s="148">
        <f t="shared" ca="1" si="93"/>
        <v>0.70000000000000284</v>
      </c>
    </row>
    <row r="2841" spans="2:5" x14ac:dyDescent="0.25">
      <c r="B2841" s="8">
        <v>40435</v>
      </c>
      <c r="C2841" s="6">
        <f ca="1">IF(OR($C$7="",$B2841&gt;NOW()),"",IF(INDEX(Data!$A:$G,MATCH($B2841,Data!$A:$A,0),MATCH($C$7,Data!$4:$4,0))="","",INDEX(Data!$A:$G,MATCH($B2841,Data!$A:$A,0),MATCH($C$7,Data!$4:$4,0))))</f>
        <v>69</v>
      </c>
      <c r="D2841" s="148">
        <f t="shared" ca="1" si="92"/>
        <v>0</v>
      </c>
      <c r="E2841" s="148">
        <f t="shared" ca="1" si="93"/>
        <v>4</v>
      </c>
    </row>
    <row r="2842" spans="2:5" x14ac:dyDescent="0.25">
      <c r="B2842" s="8">
        <v>40436</v>
      </c>
      <c r="C2842" s="6">
        <f ca="1">IF(OR($C$7="",$B2842&gt;NOW()),"",IF(INDEX(Data!$A:$G,MATCH($B2842,Data!$A:$A,0),MATCH($C$7,Data!$4:$4,0))="","",INDEX(Data!$A:$G,MATCH($B2842,Data!$A:$A,0),MATCH($C$7,Data!$4:$4,0))))</f>
        <v>66.5</v>
      </c>
      <c r="D2842" s="148">
        <f t="shared" ca="1" si="92"/>
        <v>0</v>
      </c>
      <c r="E2842" s="148">
        <f t="shared" ca="1" si="93"/>
        <v>1.5</v>
      </c>
    </row>
    <row r="2843" spans="2:5" x14ac:dyDescent="0.25">
      <c r="B2843" s="8">
        <v>40437</v>
      </c>
      <c r="C2843" s="6">
        <f ca="1">IF(OR($C$7="",$B2843&gt;NOW()),"",IF(INDEX(Data!$A:$G,MATCH($B2843,Data!$A:$A,0),MATCH($C$7,Data!$4:$4,0))="","",INDEX(Data!$A:$G,MATCH($B2843,Data!$A:$A,0),MATCH($C$7,Data!$4:$4,0))))</f>
        <v>66.3</v>
      </c>
      <c r="D2843" s="148">
        <f t="shared" ca="1" si="92"/>
        <v>0</v>
      </c>
      <c r="E2843" s="148">
        <f t="shared" ca="1" si="93"/>
        <v>1.2999999999999972</v>
      </c>
    </row>
    <row r="2844" spans="2:5" x14ac:dyDescent="0.25">
      <c r="B2844" s="8">
        <v>40438</v>
      </c>
      <c r="C2844" s="6">
        <f ca="1">IF(OR($C$7="",$B2844&gt;NOW()),"",IF(INDEX(Data!$A:$G,MATCH($B2844,Data!$A:$A,0),MATCH($C$7,Data!$4:$4,0))="","",INDEX(Data!$A:$G,MATCH($B2844,Data!$A:$A,0),MATCH($C$7,Data!$4:$4,0))))</f>
        <v>69.7</v>
      </c>
      <c r="D2844" s="148">
        <f t="shared" ca="1" si="92"/>
        <v>0</v>
      </c>
      <c r="E2844" s="148">
        <f t="shared" ca="1" si="93"/>
        <v>4.7000000000000028</v>
      </c>
    </row>
    <row r="2845" spans="2:5" x14ac:dyDescent="0.25">
      <c r="B2845" s="8">
        <v>40439</v>
      </c>
      <c r="C2845" s="6">
        <f ca="1">IF(OR($C$7="",$B2845&gt;NOW()),"",IF(INDEX(Data!$A:$G,MATCH($B2845,Data!$A:$A,0),MATCH($C$7,Data!$4:$4,0))="","",INDEX(Data!$A:$G,MATCH($B2845,Data!$A:$A,0),MATCH($C$7,Data!$4:$4,0))))</f>
        <v>65.400000000000006</v>
      </c>
      <c r="D2845" s="148">
        <f t="shared" ref="D2845:D2908" ca="1" si="94">IF($C2845="","",IF($C2845&gt;$D$26,0,$D$26-$C2845))</f>
        <v>0</v>
      </c>
      <c r="E2845" s="148">
        <f t="shared" ref="E2845:E2908" ca="1" si="95">IF($C2845="","",IF($C2845&lt;$E$26,0,$C2845-$E$26))</f>
        <v>0.40000000000000568</v>
      </c>
    </row>
    <row r="2846" spans="2:5" x14ac:dyDescent="0.25">
      <c r="B2846" s="8">
        <v>40440</v>
      </c>
      <c r="C2846" s="6">
        <f ca="1">IF(OR($C$7="",$B2846&gt;NOW()),"",IF(INDEX(Data!$A:$G,MATCH($B2846,Data!$A:$A,0),MATCH($C$7,Data!$4:$4,0))="","",INDEX(Data!$A:$G,MATCH($B2846,Data!$A:$A,0),MATCH($C$7,Data!$4:$4,0))))</f>
        <v>69.8</v>
      </c>
      <c r="D2846" s="148">
        <f t="shared" ca="1" si="94"/>
        <v>0</v>
      </c>
      <c r="E2846" s="148">
        <f t="shared" ca="1" si="95"/>
        <v>4.7999999999999972</v>
      </c>
    </row>
    <row r="2847" spans="2:5" x14ac:dyDescent="0.25">
      <c r="B2847" s="8">
        <v>40441</v>
      </c>
      <c r="C2847" s="6">
        <f ca="1">IF(OR($C$7="",$B2847&gt;NOW()),"",IF(INDEX(Data!$A:$G,MATCH($B2847,Data!$A:$A,0),MATCH($C$7,Data!$4:$4,0))="","",INDEX(Data!$A:$G,MATCH($B2847,Data!$A:$A,0),MATCH($C$7,Data!$4:$4,0))))</f>
        <v>68.8</v>
      </c>
      <c r="D2847" s="148">
        <f t="shared" ca="1" si="94"/>
        <v>0</v>
      </c>
      <c r="E2847" s="148">
        <f t="shared" ca="1" si="95"/>
        <v>3.7999999999999972</v>
      </c>
    </row>
    <row r="2848" spans="2:5" x14ac:dyDescent="0.25">
      <c r="B2848" s="8">
        <v>40442</v>
      </c>
      <c r="C2848" s="6">
        <f ca="1">IF(OR($C$7="",$B2848&gt;NOW()),"",IF(INDEX(Data!$A:$G,MATCH($B2848,Data!$A:$A,0),MATCH($C$7,Data!$4:$4,0))="","",INDEX(Data!$A:$G,MATCH($B2848,Data!$A:$A,0),MATCH($C$7,Data!$4:$4,0))))</f>
        <v>65.400000000000006</v>
      </c>
      <c r="D2848" s="148">
        <f t="shared" ca="1" si="94"/>
        <v>0</v>
      </c>
      <c r="E2848" s="148">
        <f t="shared" ca="1" si="95"/>
        <v>0.40000000000000568</v>
      </c>
    </row>
    <row r="2849" spans="2:5" x14ac:dyDescent="0.25">
      <c r="B2849" s="8">
        <v>40443</v>
      </c>
      <c r="C2849" s="6">
        <f ca="1">IF(OR($C$7="",$B2849&gt;NOW()),"",IF(INDEX(Data!$A:$G,MATCH($B2849,Data!$A:$A,0),MATCH($C$7,Data!$4:$4,0))="","",INDEX(Data!$A:$G,MATCH($B2849,Data!$A:$A,0),MATCH($C$7,Data!$4:$4,0))))</f>
        <v>72.8</v>
      </c>
      <c r="D2849" s="148">
        <f t="shared" ca="1" si="94"/>
        <v>0</v>
      </c>
      <c r="E2849" s="148">
        <f t="shared" ca="1" si="95"/>
        <v>7.7999999999999972</v>
      </c>
    </row>
    <row r="2850" spans="2:5" x14ac:dyDescent="0.25">
      <c r="B2850" s="8">
        <v>40444</v>
      </c>
      <c r="C2850" s="6">
        <f ca="1">IF(OR($C$7="",$B2850&gt;NOW()),"",IF(INDEX(Data!$A:$G,MATCH($B2850,Data!$A:$A,0),MATCH($C$7,Data!$4:$4,0))="","",INDEX(Data!$A:$G,MATCH($B2850,Data!$A:$A,0),MATCH($C$7,Data!$4:$4,0))))</f>
        <v>73.599999999999994</v>
      </c>
      <c r="D2850" s="148">
        <f t="shared" ca="1" si="94"/>
        <v>0</v>
      </c>
      <c r="E2850" s="148">
        <f t="shared" ca="1" si="95"/>
        <v>8.5999999999999943</v>
      </c>
    </row>
    <row r="2851" spans="2:5" x14ac:dyDescent="0.25">
      <c r="B2851" s="8">
        <v>40445</v>
      </c>
      <c r="C2851" s="6">
        <f ca="1">IF(OR($C$7="",$B2851&gt;NOW()),"",IF(INDEX(Data!$A:$G,MATCH($B2851,Data!$A:$A,0),MATCH($C$7,Data!$4:$4,0))="","",INDEX(Data!$A:$G,MATCH($B2851,Data!$A:$A,0),MATCH($C$7,Data!$4:$4,0))))</f>
        <v>73.3</v>
      </c>
      <c r="D2851" s="148">
        <f t="shared" ca="1" si="94"/>
        <v>0</v>
      </c>
      <c r="E2851" s="148">
        <f t="shared" ca="1" si="95"/>
        <v>8.2999999999999972</v>
      </c>
    </row>
    <row r="2852" spans="2:5" x14ac:dyDescent="0.25">
      <c r="B2852" s="8">
        <v>40446</v>
      </c>
      <c r="C2852" s="6">
        <f ca="1">IF(OR($C$7="",$B2852&gt;NOW()),"",IF(INDEX(Data!$A:$G,MATCH($B2852,Data!$A:$A,0),MATCH($C$7,Data!$4:$4,0))="","",INDEX(Data!$A:$G,MATCH($B2852,Data!$A:$A,0),MATCH($C$7,Data!$4:$4,0))))</f>
        <v>81.400000000000006</v>
      </c>
      <c r="D2852" s="148">
        <f t="shared" ca="1" si="94"/>
        <v>0</v>
      </c>
      <c r="E2852" s="148">
        <f t="shared" ca="1" si="95"/>
        <v>16.400000000000006</v>
      </c>
    </row>
    <row r="2853" spans="2:5" x14ac:dyDescent="0.25">
      <c r="B2853" s="8">
        <v>40447</v>
      </c>
      <c r="C2853" s="6">
        <f ca="1">IF(OR($C$7="",$B2853&gt;NOW()),"",IF(INDEX(Data!$A:$G,MATCH($B2853,Data!$A:$A,0),MATCH($C$7,Data!$4:$4,0))="","",INDEX(Data!$A:$G,MATCH($B2853,Data!$A:$A,0),MATCH($C$7,Data!$4:$4,0))))</f>
        <v>70.2</v>
      </c>
      <c r="D2853" s="148">
        <f t="shared" ca="1" si="94"/>
        <v>0</v>
      </c>
      <c r="E2853" s="148">
        <f t="shared" ca="1" si="95"/>
        <v>5.2000000000000028</v>
      </c>
    </row>
    <row r="2854" spans="2:5" x14ac:dyDescent="0.25">
      <c r="B2854" s="8">
        <v>40448</v>
      </c>
      <c r="C2854" s="6">
        <f ca="1">IF(OR($C$7="",$B2854&gt;NOW()),"",IF(INDEX(Data!$A:$G,MATCH($B2854,Data!$A:$A,0),MATCH($C$7,Data!$4:$4,0))="","",INDEX(Data!$A:$G,MATCH($B2854,Data!$A:$A,0),MATCH($C$7,Data!$4:$4,0))))</f>
        <v>67.099999999999994</v>
      </c>
      <c r="D2854" s="148">
        <f t="shared" ca="1" si="94"/>
        <v>0</v>
      </c>
      <c r="E2854" s="148">
        <f t="shared" ca="1" si="95"/>
        <v>2.0999999999999943</v>
      </c>
    </row>
    <row r="2855" spans="2:5" x14ac:dyDescent="0.25">
      <c r="B2855" s="8">
        <v>40449</v>
      </c>
      <c r="C2855" s="6">
        <f ca="1">IF(OR($C$7="",$B2855&gt;NOW()),"",IF(INDEX(Data!$A:$G,MATCH($B2855,Data!$A:$A,0),MATCH($C$7,Data!$4:$4,0))="","",INDEX(Data!$A:$G,MATCH($B2855,Data!$A:$A,0),MATCH($C$7,Data!$4:$4,0))))</f>
        <v>73.5</v>
      </c>
      <c r="D2855" s="148">
        <f t="shared" ca="1" si="94"/>
        <v>0</v>
      </c>
      <c r="E2855" s="148">
        <f t="shared" ca="1" si="95"/>
        <v>8.5</v>
      </c>
    </row>
    <row r="2856" spans="2:5" x14ac:dyDescent="0.25">
      <c r="B2856" s="8">
        <v>40450</v>
      </c>
      <c r="C2856" s="6">
        <f ca="1">IF(OR($C$7="",$B2856&gt;NOW()),"",IF(INDEX(Data!$A:$G,MATCH($B2856,Data!$A:$A,0),MATCH($C$7,Data!$4:$4,0))="","",INDEX(Data!$A:$G,MATCH($B2856,Data!$A:$A,0),MATCH($C$7,Data!$4:$4,0))))</f>
        <v>72.599999999999994</v>
      </c>
      <c r="D2856" s="148">
        <f t="shared" ca="1" si="94"/>
        <v>0</v>
      </c>
      <c r="E2856" s="148">
        <f t="shared" ca="1" si="95"/>
        <v>7.5999999999999943</v>
      </c>
    </row>
    <row r="2857" spans="2:5" x14ac:dyDescent="0.25">
      <c r="B2857" s="8">
        <v>40451</v>
      </c>
      <c r="C2857" s="6">
        <f ca="1">IF(OR($C$7="",$B2857&gt;NOW()),"",IF(INDEX(Data!$A:$G,MATCH($B2857,Data!$A:$A,0),MATCH($C$7,Data!$4:$4,0))="","",INDEX(Data!$A:$G,MATCH($B2857,Data!$A:$A,0),MATCH($C$7,Data!$4:$4,0))))</f>
        <v>73.7</v>
      </c>
      <c r="D2857" s="148">
        <f t="shared" ca="1" si="94"/>
        <v>0</v>
      </c>
      <c r="E2857" s="148">
        <f t="shared" ca="1" si="95"/>
        <v>8.7000000000000028</v>
      </c>
    </row>
    <row r="2858" spans="2:5" x14ac:dyDescent="0.25">
      <c r="B2858" s="8">
        <v>40452</v>
      </c>
      <c r="C2858" s="6">
        <f ca="1">IF(OR($C$7="",$B2858&gt;NOW()),"",IF(INDEX(Data!$A:$G,MATCH($B2858,Data!$A:$A,0),MATCH($C$7,Data!$4:$4,0))="","",INDEX(Data!$A:$G,MATCH($B2858,Data!$A:$A,0),MATCH($C$7,Data!$4:$4,0))))</f>
        <v>69.400000000000006</v>
      </c>
      <c r="D2858" s="148">
        <f t="shared" ca="1" si="94"/>
        <v>0</v>
      </c>
      <c r="E2858" s="148">
        <f t="shared" ca="1" si="95"/>
        <v>4.4000000000000057</v>
      </c>
    </row>
    <row r="2859" spans="2:5" x14ac:dyDescent="0.25">
      <c r="B2859" s="8">
        <v>40453</v>
      </c>
      <c r="C2859" s="6">
        <f ca="1">IF(OR($C$7="",$B2859&gt;NOW()),"",IF(INDEX(Data!$A:$G,MATCH($B2859,Data!$A:$A,0),MATCH($C$7,Data!$4:$4,0))="","",INDEX(Data!$A:$G,MATCH($B2859,Data!$A:$A,0),MATCH($C$7,Data!$4:$4,0))))</f>
        <v>61</v>
      </c>
      <c r="D2859" s="148">
        <f t="shared" ca="1" si="94"/>
        <v>4</v>
      </c>
      <c r="E2859" s="148">
        <f t="shared" ca="1" si="95"/>
        <v>0</v>
      </c>
    </row>
    <row r="2860" spans="2:5" x14ac:dyDescent="0.25">
      <c r="B2860" s="8">
        <v>40454</v>
      </c>
      <c r="C2860" s="6">
        <f ca="1">IF(OR($C$7="",$B2860&gt;NOW()),"",IF(INDEX(Data!$A:$G,MATCH($B2860,Data!$A:$A,0),MATCH($C$7,Data!$4:$4,0))="","",INDEX(Data!$A:$G,MATCH($B2860,Data!$A:$A,0),MATCH($C$7,Data!$4:$4,0))))</f>
        <v>58.6</v>
      </c>
      <c r="D2860" s="148">
        <f t="shared" ca="1" si="94"/>
        <v>6.3999999999999986</v>
      </c>
      <c r="E2860" s="148">
        <f t="shared" ca="1" si="95"/>
        <v>0</v>
      </c>
    </row>
    <row r="2861" spans="2:5" x14ac:dyDescent="0.25">
      <c r="B2861" s="8">
        <v>40455</v>
      </c>
      <c r="C2861" s="6">
        <f ca="1">IF(OR($C$7="",$B2861&gt;NOW()),"",IF(INDEX(Data!$A:$G,MATCH($B2861,Data!$A:$A,0),MATCH($C$7,Data!$4:$4,0))="","",INDEX(Data!$A:$G,MATCH($B2861,Data!$A:$A,0),MATCH($C$7,Data!$4:$4,0))))</f>
        <v>56.7</v>
      </c>
      <c r="D2861" s="148">
        <f t="shared" ca="1" si="94"/>
        <v>8.2999999999999972</v>
      </c>
      <c r="E2861" s="148">
        <f t="shared" ca="1" si="95"/>
        <v>0</v>
      </c>
    </row>
    <row r="2862" spans="2:5" x14ac:dyDescent="0.25">
      <c r="B2862" s="8">
        <v>40456</v>
      </c>
      <c r="C2862" s="6">
        <f ca="1">IF(OR($C$7="",$B2862&gt;NOW()),"",IF(INDEX(Data!$A:$G,MATCH($B2862,Data!$A:$A,0),MATCH($C$7,Data!$4:$4,0))="","",INDEX(Data!$A:$G,MATCH($B2862,Data!$A:$A,0),MATCH($C$7,Data!$4:$4,0))))</f>
        <v>57.8</v>
      </c>
      <c r="D2862" s="148">
        <f t="shared" ca="1" si="94"/>
        <v>7.2000000000000028</v>
      </c>
      <c r="E2862" s="148">
        <f t="shared" ca="1" si="95"/>
        <v>0</v>
      </c>
    </row>
    <row r="2863" spans="2:5" x14ac:dyDescent="0.25">
      <c r="B2863" s="8">
        <v>40457</v>
      </c>
      <c r="C2863" s="6">
        <f ca="1">IF(OR($C$7="",$B2863&gt;NOW()),"",IF(INDEX(Data!$A:$G,MATCH($B2863,Data!$A:$A,0),MATCH($C$7,Data!$4:$4,0))="","",INDEX(Data!$A:$G,MATCH($B2863,Data!$A:$A,0),MATCH($C$7,Data!$4:$4,0))))</f>
        <v>60.3</v>
      </c>
      <c r="D2863" s="148">
        <f t="shared" ca="1" si="94"/>
        <v>4.7000000000000028</v>
      </c>
      <c r="E2863" s="148">
        <f t="shared" ca="1" si="95"/>
        <v>0</v>
      </c>
    </row>
    <row r="2864" spans="2:5" x14ac:dyDescent="0.25">
      <c r="B2864" s="8">
        <v>40458</v>
      </c>
      <c r="C2864" s="6">
        <f ca="1">IF(OR($C$7="",$B2864&gt;NOW()),"",IF(INDEX(Data!$A:$G,MATCH($B2864,Data!$A:$A,0),MATCH($C$7,Data!$4:$4,0))="","",INDEX(Data!$A:$G,MATCH($B2864,Data!$A:$A,0),MATCH($C$7,Data!$4:$4,0))))</f>
        <v>61.4</v>
      </c>
      <c r="D2864" s="148">
        <f t="shared" ca="1" si="94"/>
        <v>3.6000000000000014</v>
      </c>
      <c r="E2864" s="148">
        <f t="shared" ca="1" si="95"/>
        <v>0</v>
      </c>
    </row>
    <row r="2865" spans="2:5" x14ac:dyDescent="0.25">
      <c r="B2865" s="8">
        <v>40459</v>
      </c>
      <c r="C2865" s="6">
        <f ca="1">IF(OR($C$7="",$B2865&gt;NOW()),"",IF(INDEX(Data!$A:$G,MATCH($B2865,Data!$A:$A,0),MATCH($C$7,Data!$4:$4,0))="","",INDEX(Data!$A:$G,MATCH($B2865,Data!$A:$A,0),MATCH($C$7,Data!$4:$4,0))))</f>
        <v>65.7</v>
      </c>
      <c r="D2865" s="148">
        <f t="shared" ca="1" si="94"/>
        <v>0</v>
      </c>
      <c r="E2865" s="148">
        <f t="shared" ca="1" si="95"/>
        <v>0.70000000000000284</v>
      </c>
    </row>
    <row r="2866" spans="2:5" x14ac:dyDescent="0.25">
      <c r="B2866" s="8">
        <v>40460</v>
      </c>
      <c r="C2866" s="6">
        <f ca="1">IF(OR($C$7="",$B2866&gt;NOW()),"",IF(INDEX(Data!$A:$G,MATCH($B2866,Data!$A:$A,0),MATCH($C$7,Data!$4:$4,0))="","",INDEX(Data!$A:$G,MATCH($B2866,Data!$A:$A,0),MATCH($C$7,Data!$4:$4,0))))</f>
        <v>68.5</v>
      </c>
      <c r="D2866" s="148">
        <f t="shared" ca="1" si="94"/>
        <v>0</v>
      </c>
      <c r="E2866" s="148">
        <f t="shared" ca="1" si="95"/>
        <v>3.5</v>
      </c>
    </row>
    <row r="2867" spans="2:5" x14ac:dyDescent="0.25">
      <c r="B2867" s="8">
        <v>40461</v>
      </c>
      <c r="C2867" s="6">
        <f ca="1">IF(OR($C$7="",$B2867&gt;NOW()),"",IF(INDEX(Data!$A:$G,MATCH($B2867,Data!$A:$A,0),MATCH($C$7,Data!$4:$4,0))="","",INDEX(Data!$A:$G,MATCH($B2867,Data!$A:$A,0),MATCH($C$7,Data!$4:$4,0))))</f>
        <v>61</v>
      </c>
      <c r="D2867" s="148">
        <f t="shared" ca="1" si="94"/>
        <v>4</v>
      </c>
      <c r="E2867" s="148">
        <f t="shared" ca="1" si="95"/>
        <v>0</v>
      </c>
    </row>
    <row r="2868" spans="2:5" x14ac:dyDescent="0.25">
      <c r="B2868" s="8">
        <v>40462</v>
      </c>
      <c r="C2868" s="6">
        <f ca="1">IF(OR($C$7="",$B2868&gt;NOW()),"",IF(INDEX(Data!$A:$G,MATCH($B2868,Data!$A:$A,0),MATCH($C$7,Data!$4:$4,0))="","",INDEX(Data!$A:$G,MATCH($B2868,Data!$A:$A,0),MATCH($C$7,Data!$4:$4,0))))</f>
        <v>68.3</v>
      </c>
      <c r="D2868" s="148">
        <f t="shared" ca="1" si="94"/>
        <v>0</v>
      </c>
      <c r="E2868" s="148">
        <f t="shared" ca="1" si="95"/>
        <v>3.2999999999999972</v>
      </c>
    </row>
    <row r="2869" spans="2:5" x14ac:dyDescent="0.25">
      <c r="B2869" s="8">
        <v>40463</v>
      </c>
      <c r="C2869" s="6">
        <f ca="1">IF(OR($C$7="",$B2869&gt;NOW()),"",IF(INDEX(Data!$A:$G,MATCH($B2869,Data!$A:$A,0),MATCH($C$7,Data!$4:$4,0))="","",INDEX(Data!$A:$G,MATCH($B2869,Data!$A:$A,0),MATCH($C$7,Data!$4:$4,0))))</f>
        <v>65.2</v>
      </c>
      <c r="D2869" s="148">
        <f t="shared" ca="1" si="94"/>
        <v>0</v>
      </c>
      <c r="E2869" s="148">
        <f t="shared" ca="1" si="95"/>
        <v>0.20000000000000284</v>
      </c>
    </row>
    <row r="2870" spans="2:5" x14ac:dyDescent="0.25">
      <c r="B2870" s="8">
        <v>40464</v>
      </c>
      <c r="C2870" s="6">
        <f ca="1">IF(OR($C$7="",$B2870&gt;NOW()),"",IF(INDEX(Data!$A:$G,MATCH($B2870,Data!$A:$A,0),MATCH($C$7,Data!$4:$4,0))="","",INDEX(Data!$A:$G,MATCH($B2870,Data!$A:$A,0),MATCH($C$7,Data!$4:$4,0))))</f>
        <v>58</v>
      </c>
      <c r="D2870" s="148">
        <f t="shared" ca="1" si="94"/>
        <v>7</v>
      </c>
      <c r="E2870" s="148">
        <f t="shared" ca="1" si="95"/>
        <v>0</v>
      </c>
    </row>
    <row r="2871" spans="2:5" x14ac:dyDescent="0.25">
      <c r="B2871" s="8">
        <v>40465</v>
      </c>
      <c r="C2871" s="6">
        <f ca="1">IF(OR($C$7="",$B2871&gt;NOW()),"",IF(INDEX(Data!$A:$G,MATCH($B2871,Data!$A:$A,0),MATCH($C$7,Data!$4:$4,0))="","",INDEX(Data!$A:$G,MATCH($B2871,Data!$A:$A,0),MATCH($C$7,Data!$4:$4,0))))</f>
        <v>59</v>
      </c>
      <c r="D2871" s="148">
        <f t="shared" ca="1" si="94"/>
        <v>6</v>
      </c>
      <c r="E2871" s="148">
        <f t="shared" ca="1" si="95"/>
        <v>0</v>
      </c>
    </row>
    <row r="2872" spans="2:5" x14ac:dyDescent="0.25">
      <c r="B2872" s="8">
        <v>40466</v>
      </c>
      <c r="C2872" s="6">
        <f ca="1">IF(OR($C$7="",$B2872&gt;NOW()),"",IF(INDEX(Data!$A:$G,MATCH($B2872,Data!$A:$A,0),MATCH($C$7,Data!$4:$4,0))="","",INDEX(Data!$A:$G,MATCH($B2872,Data!$A:$A,0),MATCH($C$7,Data!$4:$4,0))))</f>
        <v>55.5</v>
      </c>
      <c r="D2872" s="148">
        <f t="shared" ca="1" si="94"/>
        <v>9.5</v>
      </c>
      <c r="E2872" s="148">
        <f t="shared" ca="1" si="95"/>
        <v>0</v>
      </c>
    </row>
    <row r="2873" spans="2:5" x14ac:dyDescent="0.25">
      <c r="B2873" s="8">
        <v>40467</v>
      </c>
      <c r="C2873" s="6">
        <f ca="1">IF(OR($C$7="",$B2873&gt;NOW()),"",IF(INDEX(Data!$A:$G,MATCH($B2873,Data!$A:$A,0),MATCH($C$7,Data!$4:$4,0))="","",INDEX(Data!$A:$G,MATCH($B2873,Data!$A:$A,0),MATCH($C$7,Data!$4:$4,0))))</f>
        <v>55.8</v>
      </c>
      <c r="D2873" s="148">
        <f t="shared" ca="1" si="94"/>
        <v>9.2000000000000028</v>
      </c>
      <c r="E2873" s="148">
        <f t="shared" ca="1" si="95"/>
        <v>0</v>
      </c>
    </row>
    <row r="2874" spans="2:5" x14ac:dyDescent="0.25">
      <c r="B2874" s="8">
        <v>40468</v>
      </c>
      <c r="C2874" s="6">
        <f ca="1">IF(OR($C$7="",$B2874&gt;NOW()),"",IF(INDEX(Data!$A:$G,MATCH($B2874,Data!$A:$A,0),MATCH($C$7,Data!$4:$4,0))="","",INDEX(Data!$A:$G,MATCH($B2874,Data!$A:$A,0),MATCH($C$7,Data!$4:$4,0))))</f>
        <v>59.4</v>
      </c>
      <c r="D2874" s="148">
        <f t="shared" ca="1" si="94"/>
        <v>5.6000000000000014</v>
      </c>
      <c r="E2874" s="148">
        <f t="shared" ca="1" si="95"/>
        <v>0</v>
      </c>
    </row>
    <row r="2875" spans="2:5" x14ac:dyDescent="0.25">
      <c r="B2875" s="8">
        <v>40469</v>
      </c>
      <c r="C2875" s="6">
        <f ca="1">IF(OR($C$7="",$B2875&gt;NOW()),"",IF(INDEX(Data!$A:$G,MATCH($B2875,Data!$A:$A,0),MATCH($C$7,Data!$4:$4,0))="","",INDEX(Data!$A:$G,MATCH($B2875,Data!$A:$A,0),MATCH($C$7,Data!$4:$4,0))))</f>
        <v>58.1</v>
      </c>
      <c r="D2875" s="148">
        <f t="shared" ca="1" si="94"/>
        <v>6.8999999999999986</v>
      </c>
      <c r="E2875" s="148">
        <f t="shared" ca="1" si="95"/>
        <v>0</v>
      </c>
    </row>
    <row r="2876" spans="2:5" x14ac:dyDescent="0.25">
      <c r="B2876" s="8">
        <v>40470</v>
      </c>
      <c r="C2876" s="6">
        <f ca="1">IF(OR($C$7="",$B2876&gt;NOW()),"",IF(INDEX(Data!$A:$G,MATCH($B2876,Data!$A:$A,0),MATCH($C$7,Data!$4:$4,0))="","",INDEX(Data!$A:$G,MATCH($B2876,Data!$A:$A,0),MATCH($C$7,Data!$4:$4,0))))</f>
        <v>55.1</v>
      </c>
      <c r="D2876" s="148">
        <f t="shared" ca="1" si="94"/>
        <v>9.8999999999999986</v>
      </c>
      <c r="E2876" s="148">
        <f t="shared" ca="1" si="95"/>
        <v>0</v>
      </c>
    </row>
    <row r="2877" spans="2:5" x14ac:dyDescent="0.25">
      <c r="B2877" s="8">
        <v>40471</v>
      </c>
      <c r="C2877" s="6">
        <f ca="1">IF(OR($C$7="",$B2877&gt;NOW()),"",IF(INDEX(Data!$A:$G,MATCH($B2877,Data!$A:$A,0),MATCH($C$7,Data!$4:$4,0))="","",INDEX(Data!$A:$G,MATCH($B2877,Data!$A:$A,0),MATCH($C$7,Data!$4:$4,0))))</f>
        <v>56.6</v>
      </c>
      <c r="D2877" s="148">
        <f t="shared" ca="1" si="94"/>
        <v>8.3999999999999986</v>
      </c>
      <c r="E2877" s="148">
        <f t="shared" ca="1" si="95"/>
        <v>0</v>
      </c>
    </row>
    <row r="2878" spans="2:5" x14ac:dyDescent="0.25">
      <c r="B2878" s="8">
        <v>40472</v>
      </c>
      <c r="C2878" s="6">
        <f ca="1">IF(OR($C$7="",$B2878&gt;NOW()),"",IF(INDEX(Data!$A:$G,MATCH($B2878,Data!$A:$A,0),MATCH($C$7,Data!$4:$4,0))="","",INDEX(Data!$A:$G,MATCH($B2878,Data!$A:$A,0),MATCH($C$7,Data!$4:$4,0))))</f>
        <v>55.6</v>
      </c>
      <c r="D2878" s="148">
        <f t="shared" ca="1" si="94"/>
        <v>9.3999999999999986</v>
      </c>
      <c r="E2878" s="148">
        <f t="shared" ca="1" si="95"/>
        <v>0</v>
      </c>
    </row>
    <row r="2879" spans="2:5" x14ac:dyDescent="0.25">
      <c r="B2879" s="8">
        <v>40473</v>
      </c>
      <c r="C2879" s="6">
        <f ca="1">IF(OR($C$7="",$B2879&gt;NOW()),"",IF(INDEX(Data!$A:$G,MATCH($B2879,Data!$A:$A,0),MATCH($C$7,Data!$4:$4,0))="","",INDEX(Data!$A:$G,MATCH($B2879,Data!$A:$A,0),MATCH($C$7,Data!$4:$4,0))))</f>
        <v>51.8</v>
      </c>
      <c r="D2879" s="148">
        <f t="shared" ca="1" si="94"/>
        <v>13.200000000000003</v>
      </c>
      <c r="E2879" s="148">
        <f t="shared" ca="1" si="95"/>
        <v>0</v>
      </c>
    </row>
    <row r="2880" spans="2:5" x14ac:dyDescent="0.25">
      <c r="B2880" s="8">
        <v>40474</v>
      </c>
      <c r="C2880" s="6">
        <f ca="1">IF(OR($C$7="",$B2880&gt;NOW()),"",IF(INDEX(Data!$A:$G,MATCH($B2880,Data!$A:$A,0),MATCH($C$7,Data!$4:$4,0))="","",INDEX(Data!$A:$G,MATCH($B2880,Data!$A:$A,0),MATCH($C$7,Data!$4:$4,0))))</f>
        <v>55</v>
      </c>
      <c r="D2880" s="148">
        <f t="shared" ca="1" si="94"/>
        <v>10</v>
      </c>
      <c r="E2880" s="148">
        <f t="shared" ca="1" si="95"/>
        <v>0</v>
      </c>
    </row>
    <row r="2881" spans="2:5" x14ac:dyDescent="0.25">
      <c r="B2881" s="8">
        <v>40475</v>
      </c>
      <c r="C2881" s="6">
        <f ca="1">IF(OR($C$7="",$B2881&gt;NOW()),"",IF(INDEX(Data!$A:$G,MATCH($B2881,Data!$A:$A,0),MATCH($C$7,Data!$4:$4,0))="","",INDEX(Data!$A:$G,MATCH($B2881,Data!$A:$A,0),MATCH($C$7,Data!$4:$4,0))))</f>
        <v>61.3</v>
      </c>
      <c r="D2881" s="148">
        <f t="shared" ca="1" si="94"/>
        <v>3.7000000000000028</v>
      </c>
      <c r="E2881" s="148">
        <f t="shared" ca="1" si="95"/>
        <v>0</v>
      </c>
    </row>
    <row r="2882" spans="2:5" x14ac:dyDescent="0.25">
      <c r="B2882" s="8">
        <v>40476</v>
      </c>
      <c r="C2882" s="6">
        <f ca="1">IF(OR($C$7="",$B2882&gt;NOW()),"",IF(INDEX(Data!$A:$G,MATCH($B2882,Data!$A:$A,0),MATCH($C$7,Data!$4:$4,0))="","",INDEX(Data!$A:$G,MATCH($B2882,Data!$A:$A,0),MATCH($C$7,Data!$4:$4,0))))</f>
        <v>63</v>
      </c>
      <c r="D2882" s="148">
        <f t="shared" ca="1" si="94"/>
        <v>2</v>
      </c>
      <c r="E2882" s="148">
        <f t="shared" ca="1" si="95"/>
        <v>0</v>
      </c>
    </row>
    <row r="2883" spans="2:5" x14ac:dyDescent="0.25">
      <c r="B2883" s="8">
        <v>40477</v>
      </c>
      <c r="C2883" s="6">
        <f ca="1">IF(OR($C$7="",$B2883&gt;NOW()),"",IF(INDEX(Data!$A:$G,MATCH($B2883,Data!$A:$A,0),MATCH($C$7,Data!$4:$4,0))="","",INDEX(Data!$A:$G,MATCH($B2883,Data!$A:$A,0),MATCH($C$7,Data!$4:$4,0))))</f>
        <v>67.5</v>
      </c>
      <c r="D2883" s="148">
        <f t="shared" ca="1" si="94"/>
        <v>0</v>
      </c>
      <c r="E2883" s="148">
        <f t="shared" ca="1" si="95"/>
        <v>2.5</v>
      </c>
    </row>
    <row r="2884" spans="2:5" x14ac:dyDescent="0.25">
      <c r="B2884" s="8">
        <v>40478</v>
      </c>
      <c r="C2884" s="6">
        <f ca="1">IF(OR($C$7="",$B2884&gt;NOW()),"",IF(INDEX(Data!$A:$G,MATCH($B2884,Data!$A:$A,0),MATCH($C$7,Data!$4:$4,0))="","",INDEX(Data!$A:$G,MATCH($B2884,Data!$A:$A,0),MATCH($C$7,Data!$4:$4,0))))</f>
        <v>68.7</v>
      </c>
      <c r="D2884" s="148">
        <f t="shared" ca="1" si="94"/>
        <v>0</v>
      </c>
      <c r="E2884" s="148">
        <f t="shared" ca="1" si="95"/>
        <v>3.7000000000000028</v>
      </c>
    </row>
    <row r="2885" spans="2:5" x14ac:dyDescent="0.25">
      <c r="B2885" s="8">
        <v>40479</v>
      </c>
      <c r="C2885" s="6">
        <f ca="1">IF(OR($C$7="",$B2885&gt;NOW()),"",IF(INDEX(Data!$A:$G,MATCH($B2885,Data!$A:$A,0),MATCH($C$7,Data!$4:$4,0))="","",INDEX(Data!$A:$G,MATCH($B2885,Data!$A:$A,0),MATCH($C$7,Data!$4:$4,0))))</f>
        <v>70.2</v>
      </c>
      <c r="D2885" s="148">
        <f t="shared" ca="1" si="94"/>
        <v>0</v>
      </c>
      <c r="E2885" s="148">
        <f t="shared" ca="1" si="95"/>
        <v>5.2000000000000028</v>
      </c>
    </row>
    <row r="2886" spans="2:5" x14ac:dyDescent="0.25">
      <c r="B2886" s="8">
        <v>40480</v>
      </c>
      <c r="C2886" s="6">
        <f ca="1">IF(OR($C$7="",$B2886&gt;NOW()),"",IF(INDEX(Data!$A:$G,MATCH($B2886,Data!$A:$A,0),MATCH($C$7,Data!$4:$4,0))="","",INDEX(Data!$A:$G,MATCH($B2886,Data!$A:$A,0),MATCH($C$7,Data!$4:$4,0))))</f>
        <v>57.1</v>
      </c>
      <c r="D2886" s="148">
        <f t="shared" ca="1" si="94"/>
        <v>7.8999999999999986</v>
      </c>
      <c r="E2886" s="148">
        <f t="shared" ca="1" si="95"/>
        <v>0</v>
      </c>
    </row>
    <row r="2887" spans="2:5" x14ac:dyDescent="0.25">
      <c r="B2887" s="8">
        <v>40481</v>
      </c>
      <c r="C2887" s="6">
        <f ca="1">IF(OR($C$7="",$B2887&gt;NOW()),"",IF(INDEX(Data!$A:$G,MATCH($B2887,Data!$A:$A,0),MATCH($C$7,Data!$4:$4,0))="","",INDEX(Data!$A:$G,MATCH($B2887,Data!$A:$A,0),MATCH($C$7,Data!$4:$4,0))))</f>
        <v>51.2</v>
      </c>
      <c r="D2887" s="148">
        <f t="shared" ca="1" si="94"/>
        <v>13.799999999999997</v>
      </c>
      <c r="E2887" s="148">
        <f t="shared" ca="1" si="95"/>
        <v>0</v>
      </c>
    </row>
    <row r="2888" spans="2:5" x14ac:dyDescent="0.25">
      <c r="B2888" s="8">
        <v>40482</v>
      </c>
      <c r="C2888" s="6">
        <f ca="1">IF(OR($C$7="",$B2888&gt;NOW()),"",IF(INDEX(Data!$A:$G,MATCH($B2888,Data!$A:$A,0),MATCH($C$7,Data!$4:$4,0))="","",INDEX(Data!$A:$G,MATCH($B2888,Data!$A:$A,0),MATCH($C$7,Data!$4:$4,0))))</f>
        <v>53.8</v>
      </c>
      <c r="D2888" s="148">
        <f t="shared" ca="1" si="94"/>
        <v>11.200000000000003</v>
      </c>
      <c r="E2888" s="148">
        <f t="shared" ca="1" si="95"/>
        <v>0</v>
      </c>
    </row>
    <row r="2889" spans="2:5" x14ac:dyDescent="0.25">
      <c r="B2889" s="8">
        <v>40483</v>
      </c>
      <c r="C2889" s="6">
        <f ca="1">IF(OR($C$7="",$B2889&gt;NOW()),"",IF(INDEX(Data!$A:$G,MATCH($B2889,Data!$A:$A,0),MATCH($C$7,Data!$4:$4,0))="","",INDEX(Data!$A:$G,MATCH($B2889,Data!$A:$A,0),MATCH($C$7,Data!$4:$4,0))))</f>
        <v>44.5</v>
      </c>
      <c r="D2889" s="148">
        <f t="shared" ca="1" si="94"/>
        <v>20.5</v>
      </c>
      <c r="E2889" s="148">
        <f t="shared" ca="1" si="95"/>
        <v>0</v>
      </c>
    </row>
    <row r="2890" spans="2:5" x14ac:dyDescent="0.25">
      <c r="B2890" s="8">
        <v>40484</v>
      </c>
      <c r="C2890" s="6">
        <f ca="1">IF(OR($C$7="",$B2890&gt;NOW()),"",IF(INDEX(Data!$A:$G,MATCH($B2890,Data!$A:$A,0),MATCH($C$7,Data!$4:$4,0))="","",INDEX(Data!$A:$G,MATCH($B2890,Data!$A:$A,0),MATCH($C$7,Data!$4:$4,0))))</f>
        <v>45</v>
      </c>
      <c r="D2890" s="148">
        <f t="shared" ca="1" si="94"/>
        <v>20</v>
      </c>
      <c r="E2890" s="148">
        <f t="shared" ca="1" si="95"/>
        <v>0</v>
      </c>
    </row>
    <row r="2891" spans="2:5" x14ac:dyDescent="0.25">
      <c r="B2891" s="8">
        <v>40485</v>
      </c>
      <c r="C2891" s="6">
        <f ca="1">IF(OR($C$7="",$B2891&gt;NOW()),"",IF(INDEX(Data!$A:$G,MATCH($B2891,Data!$A:$A,0),MATCH($C$7,Data!$4:$4,0))="","",INDEX(Data!$A:$G,MATCH($B2891,Data!$A:$A,0),MATCH($C$7,Data!$4:$4,0))))</f>
        <v>48</v>
      </c>
      <c r="D2891" s="148">
        <f t="shared" ca="1" si="94"/>
        <v>17</v>
      </c>
      <c r="E2891" s="148">
        <f t="shared" ca="1" si="95"/>
        <v>0</v>
      </c>
    </row>
    <row r="2892" spans="2:5" x14ac:dyDescent="0.25">
      <c r="B2892" s="8">
        <v>40486</v>
      </c>
      <c r="C2892" s="6">
        <f ca="1">IF(OR($C$7="",$B2892&gt;NOW()),"",IF(INDEX(Data!$A:$G,MATCH($B2892,Data!$A:$A,0),MATCH($C$7,Data!$4:$4,0))="","",INDEX(Data!$A:$G,MATCH($B2892,Data!$A:$A,0),MATCH($C$7,Data!$4:$4,0))))</f>
        <v>50.2</v>
      </c>
      <c r="D2892" s="148">
        <f t="shared" ca="1" si="94"/>
        <v>14.799999999999997</v>
      </c>
      <c r="E2892" s="148">
        <f t="shared" ca="1" si="95"/>
        <v>0</v>
      </c>
    </row>
    <row r="2893" spans="2:5" x14ac:dyDescent="0.25">
      <c r="B2893" s="8">
        <v>40487</v>
      </c>
      <c r="C2893" s="6">
        <f ca="1">IF(OR($C$7="",$B2893&gt;NOW()),"",IF(INDEX(Data!$A:$G,MATCH($B2893,Data!$A:$A,0),MATCH($C$7,Data!$4:$4,0))="","",INDEX(Data!$A:$G,MATCH($B2893,Data!$A:$A,0),MATCH($C$7,Data!$4:$4,0))))</f>
        <v>50</v>
      </c>
      <c r="D2893" s="148">
        <f t="shared" ca="1" si="94"/>
        <v>15</v>
      </c>
      <c r="E2893" s="148">
        <f t="shared" ca="1" si="95"/>
        <v>0</v>
      </c>
    </row>
    <row r="2894" spans="2:5" x14ac:dyDescent="0.25">
      <c r="B2894" s="8">
        <v>40488</v>
      </c>
      <c r="C2894" s="6">
        <f ca="1">IF(OR($C$7="",$B2894&gt;NOW()),"",IF(INDEX(Data!$A:$G,MATCH($B2894,Data!$A:$A,0),MATCH($C$7,Data!$4:$4,0))="","",INDEX(Data!$A:$G,MATCH($B2894,Data!$A:$A,0),MATCH($C$7,Data!$4:$4,0))))</f>
        <v>48</v>
      </c>
      <c r="D2894" s="148">
        <f t="shared" ca="1" si="94"/>
        <v>17</v>
      </c>
      <c r="E2894" s="148">
        <f t="shared" ca="1" si="95"/>
        <v>0</v>
      </c>
    </row>
    <row r="2895" spans="2:5" x14ac:dyDescent="0.25">
      <c r="B2895" s="8">
        <v>40489</v>
      </c>
      <c r="C2895" s="6">
        <f ca="1">IF(OR($C$7="",$B2895&gt;NOW()),"",IF(INDEX(Data!$A:$G,MATCH($B2895,Data!$A:$A,0),MATCH($C$7,Data!$4:$4,0))="","",INDEX(Data!$A:$G,MATCH($B2895,Data!$A:$A,0),MATCH($C$7,Data!$4:$4,0))))</f>
        <v>45.4</v>
      </c>
      <c r="D2895" s="148">
        <f t="shared" ca="1" si="94"/>
        <v>19.600000000000001</v>
      </c>
      <c r="E2895" s="148">
        <f t="shared" ca="1" si="95"/>
        <v>0</v>
      </c>
    </row>
    <row r="2896" spans="2:5" x14ac:dyDescent="0.25">
      <c r="B2896" s="8">
        <v>40490</v>
      </c>
      <c r="C2896" s="6">
        <f ca="1">IF(OR($C$7="",$B2896&gt;NOW()),"",IF(INDEX(Data!$A:$G,MATCH($B2896,Data!$A:$A,0),MATCH($C$7,Data!$4:$4,0))="","",INDEX(Data!$A:$G,MATCH($B2896,Data!$A:$A,0),MATCH($C$7,Data!$4:$4,0))))</f>
        <v>44.6</v>
      </c>
      <c r="D2896" s="148">
        <f t="shared" ca="1" si="94"/>
        <v>20.399999999999999</v>
      </c>
      <c r="E2896" s="148">
        <f t="shared" ca="1" si="95"/>
        <v>0</v>
      </c>
    </row>
    <row r="2897" spans="2:5" x14ac:dyDescent="0.25">
      <c r="B2897" s="8">
        <v>40491</v>
      </c>
      <c r="C2897" s="6">
        <f ca="1">IF(OR($C$7="",$B2897&gt;NOW()),"",IF(INDEX(Data!$A:$G,MATCH($B2897,Data!$A:$A,0),MATCH($C$7,Data!$4:$4,0))="","",INDEX(Data!$A:$G,MATCH($B2897,Data!$A:$A,0),MATCH($C$7,Data!$4:$4,0))))</f>
        <v>46.9</v>
      </c>
      <c r="D2897" s="148">
        <f t="shared" ca="1" si="94"/>
        <v>18.100000000000001</v>
      </c>
      <c r="E2897" s="148">
        <f t="shared" ca="1" si="95"/>
        <v>0</v>
      </c>
    </row>
    <row r="2898" spans="2:5" x14ac:dyDescent="0.25">
      <c r="B2898" s="8">
        <v>40492</v>
      </c>
      <c r="C2898" s="6">
        <f ca="1">IF(OR($C$7="",$B2898&gt;NOW()),"",IF(INDEX(Data!$A:$G,MATCH($B2898,Data!$A:$A,0),MATCH($C$7,Data!$4:$4,0))="","",INDEX(Data!$A:$G,MATCH($B2898,Data!$A:$A,0),MATCH($C$7,Data!$4:$4,0))))</f>
        <v>51.7</v>
      </c>
      <c r="D2898" s="148">
        <f t="shared" ca="1" si="94"/>
        <v>13.299999999999997</v>
      </c>
      <c r="E2898" s="148">
        <f t="shared" ca="1" si="95"/>
        <v>0</v>
      </c>
    </row>
    <row r="2899" spans="2:5" x14ac:dyDescent="0.25">
      <c r="B2899" s="8">
        <v>40493</v>
      </c>
      <c r="C2899" s="6">
        <f ca="1">IF(OR($C$7="",$B2899&gt;NOW()),"",IF(INDEX(Data!$A:$G,MATCH($B2899,Data!$A:$A,0),MATCH($C$7,Data!$4:$4,0))="","",INDEX(Data!$A:$G,MATCH($B2899,Data!$A:$A,0),MATCH($C$7,Data!$4:$4,0))))</f>
        <v>48.8</v>
      </c>
      <c r="D2899" s="148">
        <f t="shared" ca="1" si="94"/>
        <v>16.200000000000003</v>
      </c>
      <c r="E2899" s="148">
        <f t="shared" ca="1" si="95"/>
        <v>0</v>
      </c>
    </row>
    <row r="2900" spans="2:5" x14ac:dyDescent="0.25">
      <c r="B2900" s="8">
        <v>40494</v>
      </c>
      <c r="C2900" s="6">
        <f ca="1">IF(OR($C$7="",$B2900&gt;NOW()),"",IF(INDEX(Data!$A:$G,MATCH($B2900,Data!$A:$A,0),MATCH($C$7,Data!$4:$4,0))="","",INDEX(Data!$A:$G,MATCH($B2900,Data!$A:$A,0),MATCH($C$7,Data!$4:$4,0))))</f>
        <v>52.7</v>
      </c>
      <c r="D2900" s="148">
        <f t="shared" ca="1" si="94"/>
        <v>12.299999999999997</v>
      </c>
      <c r="E2900" s="148">
        <f t="shared" ca="1" si="95"/>
        <v>0</v>
      </c>
    </row>
    <row r="2901" spans="2:5" x14ac:dyDescent="0.25">
      <c r="B2901" s="8">
        <v>40495</v>
      </c>
      <c r="C2901" s="6">
        <f ca="1">IF(OR($C$7="",$B2901&gt;NOW()),"",IF(INDEX(Data!$A:$G,MATCH($B2901,Data!$A:$A,0),MATCH($C$7,Data!$4:$4,0))="","",INDEX(Data!$A:$G,MATCH($B2901,Data!$A:$A,0),MATCH($C$7,Data!$4:$4,0))))</f>
        <v>55.4</v>
      </c>
      <c r="D2901" s="148">
        <f t="shared" ca="1" si="94"/>
        <v>9.6000000000000014</v>
      </c>
      <c r="E2901" s="148">
        <f t="shared" ca="1" si="95"/>
        <v>0</v>
      </c>
    </row>
    <row r="2902" spans="2:5" x14ac:dyDescent="0.25">
      <c r="B2902" s="8">
        <v>40496</v>
      </c>
      <c r="C2902" s="6">
        <f ca="1">IF(OR($C$7="",$B2902&gt;NOW()),"",IF(INDEX(Data!$A:$G,MATCH($B2902,Data!$A:$A,0),MATCH($C$7,Data!$4:$4,0))="","",INDEX(Data!$A:$G,MATCH($B2902,Data!$A:$A,0),MATCH($C$7,Data!$4:$4,0))))</f>
        <v>51.8</v>
      </c>
      <c r="D2902" s="148">
        <f t="shared" ca="1" si="94"/>
        <v>13.200000000000003</v>
      </c>
      <c r="E2902" s="148">
        <f t="shared" ca="1" si="95"/>
        <v>0</v>
      </c>
    </row>
    <row r="2903" spans="2:5" x14ac:dyDescent="0.25">
      <c r="B2903" s="8">
        <v>40497</v>
      </c>
      <c r="C2903" s="6">
        <f ca="1">IF(OR($C$7="",$B2903&gt;NOW()),"",IF(INDEX(Data!$A:$G,MATCH($B2903,Data!$A:$A,0),MATCH($C$7,Data!$4:$4,0))="","",INDEX(Data!$A:$G,MATCH($B2903,Data!$A:$A,0),MATCH($C$7,Data!$4:$4,0))))</f>
        <v>53</v>
      </c>
      <c r="D2903" s="148">
        <f t="shared" ca="1" si="94"/>
        <v>12</v>
      </c>
      <c r="E2903" s="148">
        <f t="shared" ca="1" si="95"/>
        <v>0</v>
      </c>
    </row>
    <row r="2904" spans="2:5" x14ac:dyDescent="0.25">
      <c r="B2904" s="8">
        <v>40498</v>
      </c>
      <c r="C2904" s="6">
        <f ca="1">IF(OR($C$7="",$B2904&gt;NOW()),"",IF(INDEX(Data!$A:$G,MATCH($B2904,Data!$A:$A,0),MATCH($C$7,Data!$4:$4,0))="","",INDEX(Data!$A:$G,MATCH($B2904,Data!$A:$A,0),MATCH($C$7,Data!$4:$4,0))))</f>
        <v>54.9</v>
      </c>
      <c r="D2904" s="148">
        <f t="shared" ca="1" si="94"/>
        <v>10.100000000000001</v>
      </c>
      <c r="E2904" s="148">
        <f t="shared" ca="1" si="95"/>
        <v>0</v>
      </c>
    </row>
    <row r="2905" spans="2:5" x14ac:dyDescent="0.25">
      <c r="B2905" s="8">
        <v>40499</v>
      </c>
      <c r="C2905" s="6">
        <f ca="1">IF(OR($C$7="",$B2905&gt;NOW()),"",IF(INDEX(Data!$A:$G,MATCH($B2905,Data!$A:$A,0),MATCH($C$7,Data!$4:$4,0))="","",INDEX(Data!$A:$G,MATCH($B2905,Data!$A:$A,0),MATCH($C$7,Data!$4:$4,0))))</f>
        <v>59.7</v>
      </c>
      <c r="D2905" s="148">
        <f t="shared" ca="1" si="94"/>
        <v>5.2999999999999972</v>
      </c>
      <c r="E2905" s="148">
        <f t="shared" ca="1" si="95"/>
        <v>0</v>
      </c>
    </row>
    <row r="2906" spans="2:5" x14ac:dyDescent="0.25">
      <c r="B2906" s="8">
        <v>40500</v>
      </c>
      <c r="C2906" s="6">
        <f ca="1">IF(OR($C$7="",$B2906&gt;NOW()),"",IF(INDEX(Data!$A:$G,MATCH($B2906,Data!$A:$A,0),MATCH($C$7,Data!$4:$4,0))="","",INDEX(Data!$A:$G,MATCH($B2906,Data!$A:$A,0),MATCH($C$7,Data!$4:$4,0))))</f>
        <v>52.9</v>
      </c>
      <c r="D2906" s="148">
        <f t="shared" ca="1" si="94"/>
        <v>12.100000000000001</v>
      </c>
      <c r="E2906" s="148">
        <f t="shared" ca="1" si="95"/>
        <v>0</v>
      </c>
    </row>
    <row r="2907" spans="2:5" x14ac:dyDescent="0.25">
      <c r="B2907" s="8">
        <v>40501</v>
      </c>
      <c r="C2907" s="6">
        <f ca="1">IF(OR($C$7="",$B2907&gt;NOW()),"",IF(INDEX(Data!$A:$G,MATCH($B2907,Data!$A:$A,0),MATCH($C$7,Data!$4:$4,0))="","",INDEX(Data!$A:$G,MATCH($B2907,Data!$A:$A,0),MATCH($C$7,Data!$4:$4,0))))</f>
        <v>47</v>
      </c>
      <c r="D2907" s="148">
        <f t="shared" ca="1" si="94"/>
        <v>18</v>
      </c>
      <c r="E2907" s="148">
        <f t="shared" ca="1" si="95"/>
        <v>0</v>
      </c>
    </row>
    <row r="2908" spans="2:5" x14ac:dyDescent="0.25">
      <c r="B2908" s="8">
        <v>40502</v>
      </c>
      <c r="C2908" s="6">
        <f ca="1">IF(OR($C$7="",$B2908&gt;NOW()),"",IF(INDEX(Data!$A:$G,MATCH($B2908,Data!$A:$A,0),MATCH($C$7,Data!$4:$4,0))="","",INDEX(Data!$A:$G,MATCH($B2908,Data!$A:$A,0),MATCH($C$7,Data!$4:$4,0))))</f>
        <v>48</v>
      </c>
      <c r="D2908" s="148">
        <f t="shared" ca="1" si="94"/>
        <v>17</v>
      </c>
      <c r="E2908" s="148">
        <f t="shared" ca="1" si="95"/>
        <v>0</v>
      </c>
    </row>
    <row r="2909" spans="2:5" x14ac:dyDescent="0.25">
      <c r="B2909" s="8">
        <v>40503</v>
      </c>
      <c r="C2909" s="6">
        <f ca="1">IF(OR($C$7="",$B2909&gt;NOW()),"",IF(INDEX(Data!$A:$G,MATCH($B2909,Data!$A:$A,0),MATCH($C$7,Data!$4:$4,0))="","",INDEX(Data!$A:$G,MATCH($B2909,Data!$A:$A,0),MATCH($C$7,Data!$4:$4,0))))</f>
        <v>46.1</v>
      </c>
      <c r="D2909" s="148">
        <f t="shared" ref="D2909:D2972" ca="1" si="96">IF($C2909="","",IF($C2909&gt;$D$26,0,$D$26-$C2909))</f>
        <v>18.899999999999999</v>
      </c>
      <c r="E2909" s="148">
        <f t="shared" ref="E2909:E2972" ca="1" si="97">IF($C2909="","",IF($C2909&lt;$E$26,0,$C2909-$E$26))</f>
        <v>0</v>
      </c>
    </row>
    <row r="2910" spans="2:5" x14ac:dyDescent="0.25">
      <c r="B2910" s="8">
        <v>40504</v>
      </c>
      <c r="C2910" s="6">
        <f ca="1">IF(OR($C$7="",$B2910&gt;NOW()),"",IF(INDEX(Data!$A:$G,MATCH($B2910,Data!$A:$A,0),MATCH($C$7,Data!$4:$4,0))="","",INDEX(Data!$A:$G,MATCH($B2910,Data!$A:$A,0),MATCH($C$7,Data!$4:$4,0))))</f>
        <v>53.1</v>
      </c>
      <c r="D2910" s="148">
        <f t="shared" ca="1" si="96"/>
        <v>11.899999999999999</v>
      </c>
      <c r="E2910" s="148">
        <f t="shared" ca="1" si="97"/>
        <v>0</v>
      </c>
    </row>
    <row r="2911" spans="2:5" x14ac:dyDescent="0.25">
      <c r="B2911" s="8">
        <v>40505</v>
      </c>
      <c r="C2911" s="6">
        <f ca="1">IF(OR($C$7="",$B2911&gt;NOW()),"",IF(INDEX(Data!$A:$G,MATCH($B2911,Data!$A:$A,0),MATCH($C$7,Data!$4:$4,0))="","",INDEX(Data!$A:$G,MATCH($B2911,Data!$A:$A,0),MATCH($C$7,Data!$4:$4,0))))</f>
        <v>58.3</v>
      </c>
      <c r="D2911" s="148">
        <f t="shared" ca="1" si="96"/>
        <v>6.7000000000000028</v>
      </c>
      <c r="E2911" s="148">
        <f t="shared" ca="1" si="97"/>
        <v>0</v>
      </c>
    </row>
    <row r="2912" spans="2:5" x14ac:dyDescent="0.25">
      <c r="B2912" s="8">
        <v>40506</v>
      </c>
      <c r="C2912" s="6">
        <f ca="1">IF(OR($C$7="",$B2912&gt;NOW()),"",IF(INDEX(Data!$A:$G,MATCH($B2912,Data!$A:$A,0),MATCH($C$7,Data!$4:$4,0))="","",INDEX(Data!$A:$G,MATCH($B2912,Data!$A:$A,0),MATCH($C$7,Data!$4:$4,0))))</f>
        <v>50</v>
      </c>
      <c r="D2912" s="148">
        <f t="shared" ca="1" si="96"/>
        <v>15</v>
      </c>
      <c r="E2912" s="148">
        <f t="shared" ca="1" si="97"/>
        <v>0</v>
      </c>
    </row>
    <row r="2913" spans="2:5" x14ac:dyDescent="0.25">
      <c r="B2913" s="8">
        <v>40507</v>
      </c>
      <c r="C2913" s="6">
        <f ca="1">IF(OR($C$7="",$B2913&gt;NOW()),"",IF(INDEX(Data!$A:$G,MATCH($B2913,Data!$A:$A,0),MATCH($C$7,Data!$4:$4,0))="","",INDEX(Data!$A:$G,MATCH($B2913,Data!$A:$A,0),MATCH($C$7,Data!$4:$4,0))))</f>
        <v>42.5</v>
      </c>
      <c r="D2913" s="148">
        <f t="shared" ca="1" si="96"/>
        <v>22.5</v>
      </c>
      <c r="E2913" s="148">
        <f t="shared" ca="1" si="97"/>
        <v>0</v>
      </c>
    </row>
    <row r="2914" spans="2:5" x14ac:dyDescent="0.25">
      <c r="B2914" s="8">
        <v>40508</v>
      </c>
      <c r="C2914" s="6">
        <f ca="1">IF(OR($C$7="",$B2914&gt;NOW()),"",IF(INDEX(Data!$A:$G,MATCH($B2914,Data!$A:$A,0),MATCH($C$7,Data!$4:$4,0))="","",INDEX(Data!$A:$G,MATCH($B2914,Data!$A:$A,0),MATCH($C$7,Data!$4:$4,0))))</f>
        <v>49</v>
      </c>
      <c r="D2914" s="148">
        <f t="shared" ca="1" si="96"/>
        <v>16</v>
      </c>
      <c r="E2914" s="148">
        <f t="shared" ca="1" si="97"/>
        <v>0</v>
      </c>
    </row>
    <row r="2915" spans="2:5" x14ac:dyDescent="0.25">
      <c r="B2915" s="8">
        <v>40509</v>
      </c>
      <c r="C2915" s="6">
        <f ca="1">IF(OR($C$7="",$B2915&gt;NOW()),"",IF(INDEX(Data!$A:$G,MATCH($B2915,Data!$A:$A,0),MATCH($C$7,Data!$4:$4,0))="","",INDEX(Data!$A:$G,MATCH($B2915,Data!$A:$A,0),MATCH($C$7,Data!$4:$4,0))))</f>
        <v>41</v>
      </c>
      <c r="D2915" s="148">
        <f t="shared" ca="1" si="96"/>
        <v>24</v>
      </c>
      <c r="E2915" s="148">
        <f t="shared" ca="1" si="97"/>
        <v>0</v>
      </c>
    </row>
    <row r="2916" spans="2:5" x14ac:dyDescent="0.25">
      <c r="B2916" s="8">
        <v>40510</v>
      </c>
      <c r="C2916" s="6">
        <f ca="1">IF(OR($C$7="",$B2916&gt;NOW()),"",IF(INDEX(Data!$A:$G,MATCH($B2916,Data!$A:$A,0),MATCH($C$7,Data!$4:$4,0))="","",INDEX(Data!$A:$G,MATCH($B2916,Data!$A:$A,0),MATCH($C$7,Data!$4:$4,0))))</f>
        <v>42.3</v>
      </c>
      <c r="D2916" s="148">
        <f t="shared" ca="1" si="96"/>
        <v>22.700000000000003</v>
      </c>
      <c r="E2916" s="148">
        <f t="shared" ca="1" si="97"/>
        <v>0</v>
      </c>
    </row>
    <row r="2917" spans="2:5" x14ac:dyDescent="0.25">
      <c r="B2917" s="8">
        <v>40511</v>
      </c>
      <c r="C2917" s="6">
        <f ca="1">IF(OR($C$7="",$B2917&gt;NOW()),"",IF(INDEX(Data!$A:$G,MATCH($B2917,Data!$A:$A,0),MATCH($C$7,Data!$4:$4,0))="","",INDEX(Data!$A:$G,MATCH($B2917,Data!$A:$A,0),MATCH($C$7,Data!$4:$4,0))))</f>
        <v>44</v>
      </c>
      <c r="D2917" s="148">
        <f t="shared" ca="1" si="96"/>
        <v>21</v>
      </c>
      <c r="E2917" s="148">
        <f t="shared" ca="1" si="97"/>
        <v>0</v>
      </c>
    </row>
    <row r="2918" spans="2:5" x14ac:dyDescent="0.25">
      <c r="B2918" s="8">
        <v>40512</v>
      </c>
      <c r="C2918" s="6">
        <f ca="1">IF(OR($C$7="",$B2918&gt;NOW()),"",IF(INDEX(Data!$A:$G,MATCH($B2918,Data!$A:$A,0),MATCH($C$7,Data!$4:$4,0))="","",INDEX(Data!$A:$G,MATCH($B2918,Data!$A:$A,0),MATCH($C$7,Data!$4:$4,0))))</f>
        <v>50.2</v>
      </c>
      <c r="D2918" s="148">
        <f t="shared" ca="1" si="96"/>
        <v>14.799999999999997</v>
      </c>
      <c r="E2918" s="148">
        <f t="shared" ca="1" si="97"/>
        <v>0</v>
      </c>
    </row>
    <row r="2919" spans="2:5" x14ac:dyDescent="0.25">
      <c r="B2919" s="8">
        <v>40513</v>
      </c>
      <c r="C2919" s="6">
        <f ca="1">IF(OR($C$7="",$B2919&gt;NOW()),"",IF(INDEX(Data!$A:$G,MATCH($B2919,Data!$A:$A,0),MATCH($C$7,Data!$4:$4,0))="","",INDEX(Data!$A:$G,MATCH($B2919,Data!$A:$A,0),MATCH($C$7,Data!$4:$4,0))))</f>
        <v>58.4</v>
      </c>
      <c r="D2919" s="148">
        <f t="shared" ca="1" si="96"/>
        <v>6.6000000000000014</v>
      </c>
      <c r="E2919" s="148">
        <f t="shared" ca="1" si="97"/>
        <v>0</v>
      </c>
    </row>
    <row r="2920" spans="2:5" x14ac:dyDescent="0.25">
      <c r="B2920" s="8">
        <v>40514</v>
      </c>
      <c r="C2920" s="6">
        <f ca="1">IF(OR($C$7="",$B2920&gt;NOW()),"",IF(INDEX(Data!$A:$G,MATCH($B2920,Data!$A:$A,0),MATCH($C$7,Data!$4:$4,0))="","",INDEX(Data!$A:$G,MATCH($B2920,Data!$A:$A,0),MATCH($C$7,Data!$4:$4,0))))</f>
        <v>40.799999999999997</v>
      </c>
      <c r="D2920" s="148">
        <f t="shared" ca="1" si="96"/>
        <v>24.200000000000003</v>
      </c>
      <c r="E2920" s="148">
        <f t="shared" ca="1" si="97"/>
        <v>0</v>
      </c>
    </row>
    <row r="2921" spans="2:5" x14ac:dyDescent="0.25">
      <c r="B2921" s="8">
        <v>40515</v>
      </c>
      <c r="C2921" s="6">
        <f ca="1">IF(OR($C$7="",$B2921&gt;NOW()),"",IF(INDEX(Data!$A:$G,MATCH($B2921,Data!$A:$A,0),MATCH($C$7,Data!$4:$4,0))="","",INDEX(Data!$A:$G,MATCH($B2921,Data!$A:$A,0),MATCH($C$7,Data!$4:$4,0))))</f>
        <v>38.799999999999997</v>
      </c>
      <c r="D2921" s="148">
        <f t="shared" ca="1" si="96"/>
        <v>26.200000000000003</v>
      </c>
      <c r="E2921" s="148">
        <f t="shared" ca="1" si="97"/>
        <v>0</v>
      </c>
    </row>
    <row r="2922" spans="2:5" x14ac:dyDescent="0.25">
      <c r="B2922" s="8">
        <v>40516</v>
      </c>
      <c r="C2922" s="6">
        <f ca="1">IF(OR($C$7="",$B2922&gt;NOW()),"",IF(INDEX(Data!$A:$G,MATCH($B2922,Data!$A:$A,0),MATCH($C$7,Data!$4:$4,0))="","",INDEX(Data!$A:$G,MATCH($B2922,Data!$A:$A,0),MATCH($C$7,Data!$4:$4,0))))</f>
        <v>37.700000000000003</v>
      </c>
      <c r="D2922" s="148">
        <f t="shared" ca="1" si="96"/>
        <v>27.299999999999997</v>
      </c>
      <c r="E2922" s="148">
        <f t="shared" ca="1" si="97"/>
        <v>0</v>
      </c>
    </row>
    <row r="2923" spans="2:5" x14ac:dyDescent="0.25">
      <c r="B2923" s="8">
        <v>40517</v>
      </c>
      <c r="C2923" s="6">
        <f ca="1">IF(OR($C$7="",$B2923&gt;NOW()),"",IF(INDEX(Data!$A:$G,MATCH($B2923,Data!$A:$A,0),MATCH($C$7,Data!$4:$4,0))="","",INDEX(Data!$A:$G,MATCH($B2923,Data!$A:$A,0),MATCH($C$7,Data!$4:$4,0))))</f>
        <v>34.9</v>
      </c>
      <c r="D2923" s="148">
        <f t="shared" ca="1" si="96"/>
        <v>30.1</v>
      </c>
      <c r="E2923" s="148">
        <f t="shared" ca="1" si="97"/>
        <v>0</v>
      </c>
    </row>
    <row r="2924" spans="2:5" x14ac:dyDescent="0.25">
      <c r="B2924" s="8">
        <v>40518</v>
      </c>
      <c r="C2924" s="6">
        <f ca="1">IF(OR($C$7="",$B2924&gt;NOW()),"",IF(INDEX(Data!$A:$G,MATCH($B2924,Data!$A:$A,0),MATCH($C$7,Data!$4:$4,0))="","",INDEX(Data!$A:$G,MATCH($B2924,Data!$A:$A,0),MATCH($C$7,Data!$4:$4,0))))</f>
        <v>34.700000000000003</v>
      </c>
      <c r="D2924" s="148">
        <f t="shared" ca="1" si="96"/>
        <v>30.299999999999997</v>
      </c>
      <c r="E2924" s="148">
        <f t="shared" ca="1" si="97"/>
        <v>0</v>
      </c>
    </row>
    <row r="2925" spans="2:5" x14ac:dyDescent="0.25">
      <c r="B2925" s="8">
        <v>40519</v>
      </c>
      <c r="C2925" s="6">
        <f ca="1">IF(OR($C$7="",$B2925&gt;NOW()),"",IF(INDEX(Data!$A:$G,MATCH($B2925,Data!$A:$A,0),MATCH($C$7,Data!$4:$4,0))="","",INDEX(Data!$A:$G,MATCH($B2925,Data!$A:$A,0),MATCH($C$7,Data!$4:$4,0))))</f>
        <v>34.799999999999997</v>
      </c>
      <c r="D2925" s="148">
        <f t="shared" ca="1" si="96"/>
        <v>30.200000000000003</v>
      </c>
      <c r="E2925" s="148">
        <f t="shared" ca="1" si="97"/>
        <v>0</v>
      </c>
    </row>
    <row r="2926" spans="2:5" x14ac:dyDescent="0.25">
      <c r="B2926" s="8">
        <v>40520</v>
      </c>
      <c r="C2926" s="6">
        <f ca="1">IF(OR($C$7="",$B2926&gt;NOW()),"",IF(INDEX(Data!$A:$G,MATCH($B2926,Data!$A:$A,0),MATCH($C$7,Data!$4:$4,0))="","",INDEX(Data!$A:$G,MATCH($B2926,Data!$A:$A,0),MATCH($C$7,Data!$4:$4,0))))</f>
        <v>33.5</v>
      </c>
      <c r="D2926" s="148">
        <f t="shared" ca="1" si="96"/>
        <v>31.5</v>
      </c>
      <c r="E2926" s="148">
        <f t="shared" ca="1" si="97"/>
        <v>0</v>
      </c>
    </row>
    <row r="2927" spans="2:5" x14ac:dyDescent="0.25">
      <c r="B2927" s="8">
        <v>40521</v>
      </c>
      <c r="C2927" s="6">
        <f ca="1">IF(OR($C$7="",$B2927&gt;NOW()),"",IF(INDEX(Data!$A:$G,MATCH($B2927,Data!$A:$A,0),MATCH($C$7,Data!$4:$4,0))="","",INDEX(Data!$A:$G,MATCH($B2927,Data!$A:$A,0),MATCH($C$7,Data!$4:$4,0))))</f>
        <v>29.8</v>
      </c>
      <c r="D2927" s="148">
        <f t="shared" ca="1" si="96"/>
        <v>35.200000000000003</v>
      </c>
      <c r="E2927" s="148">
        <f t="shared" ca="1" si="97"/>
        <v>0</v>
      </c>
    </row>
    <row r="2928" spans="2:5" x14ac:dyDescent="0.25">
      <c r="B2928" s="8">
        <v>40522</v>
      </c>
      <c r="C2928" s="6">
        <f ca="1">IF(OR($C$7="",$B2928&gt;NOW()),"",IF(INDEX(Data!$A:$G,MATCH($B2928,Data!$A:$A,0),MATCH($C$7,Data!$4:$4,0))="","",INDEX(Data!$A:$G,MATCH($B2928,Data!$A:$A,0),MATCH($C$7,Data!$4:$4,0))))</f>
        <v>28.4</v>
      </c>
      <c r="D2928" s="148">
        <f t="shared" ca="1" si="96"/>
        <v>36.6</v>
      </c>
      <c r="E2928" s="148">
        <f t="shared" ca="1" si="97"/>
        <v>0</v>
      </c>
    </row>
    <row r="2929" spans="2:5" x14ac:dyDescent="0.25">
      <c r="B2929" s="8">
        <v>40523</v>
      </c>
      <c r="C2929" s="6">
        <f ca="1">IF(OR($C$7="",$B2929&gt;NOW()),"",IF(INDEX(Data!$A:$G,MATCH($B2929,Data!$A:$A,0),MATCH($C$7,Data!$4:$4,0))="","",INDEX(Data!$A:$G,MATCH($B2929,Data!$A:$A,0),MATCH($C$7,Data!$4:$4,0))))</f>
        <v>40.1</v>
      </c>
      <c r="D2929" s="148">
        <f t="shared" ca="1" si="96"/>
        <v>24.9</v>
      </c>
      <c r="E2929" s="148">
        <f t="shared" ca="1" si="97"/>
        <v>0</v>
      </c>
    </row>
    <row r="2930" spans="2:5" x14ac:dyDescent="0.25">
      <c r="B2930" s="8">
        <v>40524</v>
      </c>
      <c r="C2930" s="6">
        <f ca="1">IF(OR($C$7="",$B2930&gt;NOW()),"",IF(INDEX(Data!$A:$G,MATCH($B2930,Data!$A:$A,0),MATCH($C$7,Data!$4:$4,0))="","",INDEX(Data!$A:$G,MATCH($B2930,Data!$A:$A,0),MATCH($C$7,Data!$4:$4,0))))</f>
        <v>48.5</v>
      </c>
      <c r="D2930" s="148">
        <f t="shared" ca="1" si="96"/>
        <v>16.5</v>
      </c>
      <c r="E2930" s="148">
        <f t="shared" ca="1" si="97"/>
        <v>0</v>
      </c>
    </row>
    <row r="2931" spans="2:5" x14ac:dyDescent="0.25">
      <c r="B2931" s="8">
        <v>40525</v>
      </c>
      <c r="C2931" s="6">
        <f ca="1">IF(OR($C$7="",$B2931&gt;NOW()),"",IF(INDEX(Data!$A:$G,MATCH($B2931,Data!$A:$A,0),MATCH($C$7,Data!$4:$4,0))="","",INDEX(Data!$A:$G,MATCH($B2931,Data!$A:$A,0),MATCH($C$7,Data!$4:$4,0))))</f>
        <v>45.5</v>
      </c>
      <c r="D2931" s="148">
        <f t="shared" ca="1" si="96"/>
        <v>19.5</v>
      </c>
      <c r="E2931" s="148">
        <f t="shared" ca="1" si="97"/>
        <v>0</v>
      </c>
    </row>
    <row r="2932" spans="2:5" x14ac:dyDescent="0.25">
      <c r="B2932" s="8">
        <v>40526</v>
      </c>
      <c r="C2932" s="6">
        <f ca="1">IF(OR($C$7="",$B2932&gt;NOW()),"",IF(INDEX(Data!$A:$G,MATCH($B2932,Data!$A:$A,0),MATCH($C$7,Data!$4:$4,0))="","",INDEX(Data!$A:$G,MATCH($B2932,Data!$A:$A,0),MATCH($C$7,Data!$4:$4,0))))</f>
        <v>24.3</v>
      </c>
      <c r="D2932" s="148">
        <f t="shared" ca="1" si="96"/>
        <v>40.700000000000003</v>
      </c>
      <c r="E2932" s="148">
        <f t="shared" ca="1" si="97"/>
        <v>0</v>
      </c>
    </row>
    <row r="2933" spans="2:5" x14ac:dyDescent="0.25">
      <c r="B2933" s="8">
        <v>40527</v>
      </c>
      <c r="C2933" s="6">
        <f ca="1">IF(OR($C$7="",$B2933&gt;NOW()),"",IF(INDEX(Data!$A:$G,MATCH($B2933,Data!$A:$A,0),MATCH($C$7,Data!$4:$4,0))="","",INDEX(Data!$A:$G,MATCH($B2933,Data!$A:$A,0),MATCH($C$7,Data!$4:$4,0))))</f>
        <v>25.1</v>
      </c>
      <c r="D2933" s="148">
        <f t="shared" ca="1" si="96"/>
        <v>39.9</v>
      </c>
      <c r="E2933" s="148">
        <f t="shared" ca="1" si="97"/>
        <v>0</v>
      </c>
    </row>
    <row r="2934" spans="2:5" x14ac:dyDescent="0.25">
      <c r="B2934" s="8">
        <v>40528</v>
      </c>
      <c r="C2934" s="6">
        <f ca="1">IF(OR($C$7="",$B2934&gt;NOW()),"",IF(INDEX(Data!$A:$G,MATCH($B2934,Data!$A:$A,0),MATCH($C$7,Data!$4:$4,0))="","",INDEX(Data!$A:$G,MATCH($B2934,Data!$A:$A,0),MATCH($C$7,Data!$4:$4,0))))</f>
        <v>28.6</v>
      </c>
      <c r="D2934" s="148">
        <f t="shared" ca="1" si="96"/>
        <v>36.4</v>
      </c>
      <c r="E2934" s="148">
        <f t="shared" ca="1" si="97"/>
        <v>0</v>
      </c>
    </row>
    <row r="2935" spans="2:5" x14ac:dyDescent="0.25">
      <c r="B2935" s="8">
        <v>40529</v>
      </c>
      <c r="C2935" s="6">
        <f ca="1">IF(OR($C$7="",$B2935&gt;NOW()),"",IF(INDEX(Data!$A:$G,MATCH($B2935,Data!$A:$A,0),MATCH($C$7,Data!$4:$4,0))="","",INDEX(Data!$A:$G,MATCH($B2935,Data!$A:$A,0),MATCH($C$7,Data!$4:$4,0))))</f>
        <v>30.7</v>
      </c>
      <c r="D2935" s="148">
        <f t="shared" ca="1" si="96"/>
        <v>34.299999999999997</v>
      </c>
      <c r="E2935" s="148">
        <f t="shared" ca="1" si="97"/>
        <v>0</v>
      </c>
    </row>
    <row r="2936" spans="2:5" x14ac:dyDescent="0.25">
      <c r="B2936" s="8">
        <v>40530</v>
      </c>
      <c r="C2936" s="6">
        <f ca="1">IF(OR($C$7="",$B2936&gt;NOW()),"",IF(INDEX(Data!$A:$G,MATCH($B2936,Data!$A:$A,0),MATCH($C$7,Data!$4:$4,0))="","",INDEX(Data!$A:$G,MATCH($B2936,Data!$A:$A,0),MATCH($C$7,Data!$4:$4,0))))</f>
        <v>34.299999999999997</v>
      </c>
      <c r="D2936" s="148">
        <f t="shared" ca="1" si="96"/>
        <v>30.700000000000003</v>
      </c>
      <c r="E2936" s="148">
        <f t="shared" ca="1" si="97"/>
        <v>0</v>
      </c>
    </row>
    <row r="2937" spans="2:5" x14ac:dyDescent="0.25">
      <c r="B2937" s="8">
        <v>40531</v>
      </c>
      <c r="C2937" s="6">
        <f ca="1">IF(OR($C$7="",$B2937&gt;NOW()),"",IF(INDEX(Data!$A:$G,MATCH($B2937,Data!$A:$A,0),MATCH($C$7,Data!$4:$4,0))="","",INDEX(Data!$A:$G,MATCH($B2937,Data!$A:$A,0),MATCH($C$7,Data!$4:$4,0))))</f>
        <v>35.1</v>
      </c>
      <c r="D2937" s="148">
        <f t="shared" ca="1" si="96"/>
        <v>29.9</v>
      </c>
      <c r="E2937" s="148">
        <f t="shared" ca="1" si="97"/>
        <v>0</v>
      </c>
    </row>
    <row r="2938" spans="2:5" x14ac:dyDescent="0.25">
      <c r="B2938" s="8">
        <v>40532</v>
      </c>
      <c r="C2938" s="6">
        <f ca="1">IF(OR($C$7="",$B2938&gt;NOW()),"",IF(INDEX(Data!$A:$G,MATCH($B2938,Data!$A:$A,0),MATCH($C$7,Data!$4:$4,0))="","",INDEX(Data!$A:$G,MATCH($B2938,Data!$A:$A,0),MATCH($C$7,Data!$4:$4,0))))</f>
        <v>33.1</v>
      </c>
      <c r="D2938" s="148">
        <f t="shared" ca="1" si="96"/>
        <v>31.9</v>
      </c>
      <c r="E2938" s="148">
        <f t="shared" ca="1" si="97"/>
        <v>0</v>
      </c>
    </row>
    <row r="2939" spans="2:5" x14ac:dyDescent="0.25">
      <c r="B2939" s="8">
        <v>40533</v>
      </c>
      <c r="C2939" s="6">
        <f ca="1">IF(OR($C$7="",$B2939&gt;NOW()),"",IF(INDEX(Data!$A:$G,MATCH($B2939,Data!$A:$A,0),MATCH($C$7,Data!$4:$4,0))="","",INDEX(Data!$A:$G,MATCH($B2939,Data!$A:$A,0),MATCH($C$7,Data!$4:$4,0))))</f>
        <v>34.5</v>
      </c>
      <c r="D2939" s="148">
        <f t="shared" ca="1" si="96"/>
        <v>30.5</v>
      </c>
      <c r="E2939" s="148">
        <f t="shared" ca="1" si="97"/>
        <v>0</v>
      </c>
    </row>
    <row r="2940" spans="2:5" x14ac:dyDescent="0.25">
      <c r="B2940" s="8">
        <v>40534</v>
      </c>
      <c r="C2940" s="6">
        <f ca="1">IF(OR($C$7="",$B2940&gt;NOW()),"",IF(INDEX(Data!$A:$G,MATCH($B2940,Data!$A:$A,0),MATCH($C$7,Data!$4:$4,0))="","",INDEX(Data!$A:$G,MATCH($B2940,Data!$A:$A,0),MATCH($C$7,Data!$4:$4,0))))</f>
        <v>34.5</v>
      </c>
      <c r="D2940" s="148">
        <f t="shared" ca="1" si="96"/>
        <v>30.5</v>
      </c>
      <c r="E2940" s="148">
        <f t="shared" ca="1" si="97"/>
        <v>0</v>
      </c>
    </row>
    <row r="2941" spans="2:5" x14ac:dyDescent="0.25">
      <c r="B2941" s="8">
        <v>40535</v>
      </c>
      <c r="C2941" s="6">
        <f ca="1">IF(OR($C$7="",$B2941&gt;NOW()),"",IF(INDEX(Data!$A:$G,MATCH($B2941,Data!$A:$A,0),MATCH($C$7,Data!$4:$4,0))="","",INDEX(Data!$A:$G,MATCH($B2941,Data!$A:$A,0),MATCH($C$7,Data!$4:$4,0))))</f>
        <v>34.6</v>
      </c>
      <c r="D2941" s="148">
        <f t="shared" ca="1" si="96"/>
        <v>30.4</v>
      </c>
      <c r="E2941" s="148">
        <f t="shared" ca="1" si="97"/>
        <v>0</v>
      </c>
    </row>
    <row r="2942" spans="2:5" x14ac:dyDescent="0.25">
      <c r="B2942" s="8">
        <v>40536</v>
      </c>
      <c r="C2942" s="6">
        <f ca="1">IF(OR($C$7="",$B2942&gt;NOW()),"",IF(INDEX(Data!$A:$G,MATCH($B2942,Data!$A:$A,0),MATCH($C$7,Data!$4:$4,0))="","",INDEX(Data!$A:$G,MATCH($B2942,Data!$A:$A,0),MATCH($C$7,Data!$4:$4,0))))</f>
        <v>34.799999999999997</v>
      </c>
      <c r="D2942" s="148">
        <f t="shared" ca="1" si="96"/>
        <v>30.200000000000003</v>
      </c>
      <c r="E2942" s="148">
        <f t="shared" ca="1" si="97"/>
        <v>0</v>
      </c>
    </row>
    <row r="2943" spans="2:5" x14ac:dyDescent="0.25">
      <c r="B2943" s="8">
        <v>40537</v>
      </c>
      <c r="C2943" s="6">
        <f ca="1">IF(OR($C$7="",$B2943&gt;NOW()),"",IF(INDEX(Data!$A:$G,MATCH($B2943,Data!$A:$A,0),MATCH($C$7,Data!$4:$4,0))="","",INDEX(Data!$A:$G,MATCH($B2943,Data!$A:$A,0),MATCH($C$7,Data!$4:$4,0))))</f>
        <v>31.4</v>
      </c>
      <c r="D2943" s="148">
        <f t="shared" ca="1" si="96"/>
        <v>33.6</v>
      </c>
      <c r="E2943" s="148">
        <f t="shared" ca="1" si="97"/>
        <v>0</v>
      </c>
    </row>
    <row r="2944" spans="2:5" x14ac:dyDescent="0.25">
      <c r="B2944" s="8">
        <v>40538</v>
      </c>
      <c r="C2944" s="6">
        <f ca="1">IF(OR($C$7="",$B2944&gt;NOW()),"",IF(INDEX(Data!$A:$G,MATCH($B2944,Data!$A:$A,0),MATCH($C$7,Data!$4:$4,0))="","",INDEX(Data!$A:$G,MATCH($B2944,Data!$A:$A,0),MATCH($C$7,Data!$4:$4,0))))</f>
        <v>29.4</v>
      </c>
      <c r="D2944" s="148">
        <f t="shared" ca="1" si="96"/>
        <v>35.6</v>
      </c>
      <c r="E2944" s="148">
        <f t="shared" ca="1" si="97"/>
        <v>0</v>
      </c>
    </row>
    <row r="2945" spans="2:5" x14ac:dyDescent="0.25">
      <c r="B2945" s="8">
        <v>40539</v>
      </c>
      <c r="C2945" s="6">
        <f ca="1">IF(OR($C$7="",$B2945&gt;NOW()),"",IF(INDEX(Data!$A:$G,MATCH($B2945,Data!$A:$A,0),MATCH($C$7,Data!$4:$4,0))="","",INDEX(Data!$A:$G,MATCH($B2945,Data!$A:$A,0),MATCH($C$7,Data!$4:$4,0))))</f>
        <v>26</v>
      </c>
      <c r="D2945" s="148">
        <f t="shared" ca="1" si="96"/>
        <v>39</v>
      </c>
      <c r="E2945" s="148">
        <f t="shared" ca="1" si="97"/>
        <v>0</v>
      </c>
    </row>
    <row r="2946" spans="2:5" x14ac:dyDescent="0.25">
      <c r="B2946" s="8">
        <v>40540</v>
      </c>
      <c r="C2946" s="6">
        <f ca="1">IF(OR($C$7="",$B2946&gt;NOW()),"",IF(INDEX(Data!$A:$G,MATCH($B2946,Data!$A:$A,0),MATCH($C$7,Data!$4:$4,0))="","",INDEX(Data!$A:$G,MATCH($B2946,Data!$A:$A,0),MATCH($C$7,Data!$4:$4,0))))</f>
        <v>31.9</v>
      </c>
      <c r="D2946" s="148">
        <f t="shared" ca="1" si="96"/>
        <v>33.1</v>
      </c>
      <c r="E2946" s="148">
        <f t="shared" ca="1" si="97"/>
        <v>0</v>
      </c>
    </row>
    <row r="2947" spans="2:5" x14ac:dyDescent="0.25">
      <c r="B2947" s="8">
        <v>40541</v>
      </c>
      <c r="C2947" s="6">
        <f ca="1">IF(OR($C$7="",$B2947&gt;NOW()),"",IF(INDEX(Data!$A:$G,MATCH($B2947,Data!$A:$A,0),MATCH($C$7,Data!$4:$4,0))="","",INDEX(Data!$A:$G,MATCH($B2947,Data!$A:$A,0),MATCH($C$7,Data!$4:$4,0))))</f>
        <v>36.1</v>
      </c>
      <c r="D2947" s="148">
        <f t="shared" ca="1" si="96"/>
        <v>28.9</v>
      </c>
      <c r="E2947" s="148">
        <f t="shared" ca="1" si="97"/>
        <v>0</v>
      </c>
    </row>
    <row r="2948" spans="2:5" x14ac:dyDescent="0.25">
      <c r="B2948" s="8">
        <v>40542</v>
      </c>
      <c r="C2948" s="6">
        <f ca="1">IF(OR($C$7="",$B2948&gt;NOW()),"",IF(INDEX(Data!$A:$G,MATCH($B2948,Data!$A:$A,0),MATCH($C$7,Data!$4:$4,0))="","",INDEX(Data!$A:$G,MATCH($B2948,Data!$A:$A,0),MATCH($C$7,Data!$4:$4,0))))</f>
        <v>35.4</v>
      </c>
      <c r="D2948" s="148">
        <f t="shared" ca="1" si="96"/>
        <v>29.6</v>
      </c>
      <c r="E2948" s="148">
        <f t="shared" ca="1" si="97"/>
        <v>0</v>
      </c>
    </row>
    <row r="2949" spans="2:5" x14ac:dyDescent="0.25">
      <c r="B2949" s="8">
        <v>40543</v>
      </c>
      <c r="C2949" s="6">
        <f ca="1">IF(OR($C$7="",$B2949&gt;NOW()),"",IF(INDEX(Data!$A:$G,MATCH($B2949,Data!$A:$A,0),MATCH($C$7,Data!$4:$4,0))="","",INDEX(Data!$A:$G,MATCH($B2949,Data!$A:$A,0),MATCH($C$7,Data!$4:$4,0))))</f>
        <v>40.799999999999997</v>
      </c>
      <c r="D2949" s="148">
        <f t="shared" ca="1" si="96"/>
        <v>24.200000000000003</v>
      </c>
      <c r="E2949" s="148">
        <f t="shared" ca="1" si="97"/>
        <v>0</v>
      </c>
    </row>
    <row r="2950" spans="2:5" x14ac:dyDescent="0.25">
      <c r="B2950" s="8">
        <v>40544</v>
      </c>
      <c r="C2950" s="6">
        <f ca="1">IF(OR($C$7="",$B2950&gt;NOW()),"",IF(INDEX(Data!$A:$G,MATCH($B2950,Data!$A:$A,0),MATCH($C$7,Data!$4:$4,0))="","",INDEX(Data!$A:$G,MATCH($B2950,Data!$A:$A,0),MATCH($C$7,Data!$4:$4,0))))</f>
        <v>44.3</v>
      </c>
      <c r="D2950" s="148">
        <f t="shared" ca="1" si="96"/>
        <v>20.700000000000003</v>
      </c>
      <c r="E2950" s="148">
        <f t="shared" ca="1" si="97"/>
        <v>0</v>
      </c>
    </row>
    <row r="2951" spans="2:5" x14ac:dyDescent="0.25">
      <c r="B2951" s="8">
        <v>40545</v>
      </c>
      <c r="C2951" s="6">
        <f ca="1">IF(OR($C$7="",$B2951&gt;NOW()),"",IF(INDEX(Data!$A:$G,MATCH($B2951,Data!$A:$A,0),MATCH($C$7,Data!$4:$4,0))="","",INDEX(Data!$A:$G,MATCH($B2951,Data!$A:$A,0),MATCH($C$7,Data!$4:$4,0))))</f>
        <v>47.6</v>
      </c>
      <c r="D2951" s="148">
        <f t="shared" ca="1" si="96"/>
        <v>17.399999999999999</v>
      </c>
      <c r="E2951" s="148">
        <f t="shared" ca="1" si="97"/>
        <v>0</v>
      </c>
    </row>
    <row r="2952" spans="2:5" x14ac:dyDescent="0.25">
      <c r="B2952" s="8">
        <v>40546</v>
      </c>
      <c r="C2952" s="6">
        <f ca="1">IF(OR($C$7="",$B2952&gt;NOW()),"",IF(INDEX(Data!$A:$G,MATCH($B2952,Data!$A:$A,0),MATCH($C$7,Data!$4:$4,0))="","",INDEX(Data!$A:$G,MATCH($B2952,Data!$A:$A,0),MATCH($C$7,Data!$4:$4,0))))</f>
        <v>36.4</v>
      </c>
      <c r="D2952" s="148">
        <f t="shared" ca="1" si="96"/>
        <v>28.6</v>
      </c>
      <c r="E2952" s="148">
        <f t="shared" ca="1" si="97"/>
        <v>0</v>
      </c>
    </row>
    <row r="2953" spans="2:5" x14ac:dyDescent="0.25">
      <c r="B2953" s="8">
        <v>40547</v>
      </c>
      <c r="C2953" s="6">
        <f ca="1">IF(OR($C$7="",$B2953&gt;NOW()),"",IF(INDEX(Data!$A:$G,MATCH($B2953,Data!$A:$A,0),MATCH($C$7,Data!$4:$4,0))="","",INDEX(Data!$A:$G,MATCH($B2953,Data!$A:$A,0),MATCH($C$7,Data!$4:$4,0))))</f>
        <v>35.799999999999997</v>
      </c>
      <c r="D2953" s="148">
        <f t="shared" ca="1" si="96"/>
        <v>29.200000000000003</v>
      </c>
      <c r="E2953" s="148">
        <f t="shared" ca="1" si="97"/>
        <v>0</v>
      </c>
    </row>
    <row r="2954" spans="2:5" x14ac:dyDescent="0.25">
      <c r="B2954" s="8">
        <v>40548</v>
      </c>
      <c r="C2954" s="6">
        <f ca="1">IF(OR($C$7="",$B2954&gt;NOW()),"",IF(INDEX(Data!$A:$G,MATCH($B2954,Data!$A:$A,0),MATCH($C$7,Data!$4:$4,0))="","",INDEX(Data!$A:$G,MATCH($B2954,Data!$A:$A,0),MATCH($C$7,Data!$4:$4,0))))</f>
        <v>38.6</v>
      </c>
      <c r="D2954" s="148">
        <f t="shared" ca="1" si="96"/>
        <v>26.4</v>
      </c>
      <c r="E2954" s="148">
        <f t="shared" ca="1" si="97"/>
        <v>0</v>
      </c>
    </row>
    <row r="2955" spans="2:5" x14ac:dyDescent="0.25">
      <c r="B2955" s="8">
        <v>40549</v>
      </c>
      <c r="C2955" s="6">
        <f ca="1">IF(OR($C$7="",$B2955&gt;NOW()),"",IF(INDEX(Data!$A:$G,MATCH($B2955,Data!$A:$A,0),MATCH($C$7,Data!$4:$4,0))="","",INDEX(Data!$A:$G,MATCH($B2955,Data!$A:$A,0),MATCH($C$7,Data!$4:$4,0))))</f>
        <v>32.200000000000003</v>
      </c>
      <c r="D2955" s="148">
        <f t="shared" ca="1" si="96"/>
        <v>32.799999999999997</v>
      </c>
      <c r="E2955" s="148">
        <f t="shared" ca="1" si="97"/>
        <v>0</v>
      </c>
    </row>
    <row r="2956" spans="2:5" x14ac:dyDescent="0.25">
      <c r="B2956" s="8">
        <v>40550</v>
      </c>
      <c r="C2956" s="6">
        <f ca="1">IF(OR($C$7="",$B2956&gt;NOW()),"",IF(INDEX(Data!$A:$G,MATCH($B2956,Data!$A:$A,0),MATCH($C$7,Data!$4:$4,0))="","",INDEX(Data!$A:$G,MATCH($B2956,Data!$A:$A,0),MATCH($C$7,Data!$4:$4,0))))</f>
        <v>33.299999999999997</v>
      </c>
      <c r="D2956" s="148">
        <f t="shared" ca="1" si="96"/>
        <v>31.700000000000003</v>
      </c>
      <c r="E2956" s="148">
        <f t="shared" ca="1" si="97"/>
        <v>0</v>
      </c>
    </row>
    <row r="2957" spans="2:5" x14ac:dyDescent="0.25">
      <c r="B2957" s="8">
        <v>40551</v>
      </c>
      <c r="C2957" s="6">
        <f ca="1">IF(OR($C$7="",$B2957&gt;NOW()),"",IF(INDEX(Data!$A:$G,MATCH($B2957,Data!$A:$A,0),MATCH($C$7,Data!$4:$4,0))="","",INDEX(Data!$A:$G,MATCH($B2957,Data!$A:$A,0),MATCH($C$7,Data!$4:$4,0))))</f>
        <v>29.9</v>
      </c>
      <c r="D2957" s="148">
        <f t="shared" ca="1" si="96"/>
        <v>35.1</v>
      </c>
      <c r="E2957" s="148">
        <f t="shared" ca="1" si="97"/>
        <v>0</v>
      </c>
    </row>
    <row r="2958" spans="2:5" x14ac:dyDescent="0.25">
      <c r="B2958" s="8">
        <v>40552</v>
      </c>
      <c r="C2958" s="6">
        <f ca="1">IF(OR($C$7="",$B2958&gt;NOW()),"",IF(INDEX(Data!$A:$G,MATCH($B2958,Data!$A:$A,0),MATCH($C$7,Data!$4:$4,0))="","",INDEX(Data!$A:$G,MATCH($B2958,Data!$A:$A,0),MATCH($C$7,Data!$4:$4,0))))</f>
        <v>30.7</v>
      </c>
      <c r="D2958" s="148">
        <f t="shared" ca="1" si="96"/>
        <v>34.299999999999997</v>
      </c>
      <c r="E2958" s="148">
        <f t="shared" ca="1" si="97"/>
        <v>0</v>
      </c>
    </row>
    <row r="2959" spans="2:5" x14ac:dyDescent="0.25">
      <c r="B2959" s="8">
        <v>40553</v>
      </c>
      <c r="C2959" s="6">
        <f ca="1">IF(OR($C$7="",$B2959&gt;NOW()),"",IF(INDEX(Data!$A:$G,MATCH($B2959,Data!$A:$A,0),MATCH($C$7,Data!$4:$4,0))="","",INDEX(Data!$A:$G,MATCH($B2959,Data!$A:$A,0),MATCH($C$7,Data!$4:$4,0))))</f>
        <v>30.8</v>
      </c>
      <c r="D2959" s="148">
        <f t="shared" ca="1" si="96"/>
        <v>34.200000000000003</v>
      </c>
      <c r="E2959" s="148">
        <f t="shared" ca="1" si="97"/>
        <v>0</v>
      </c>
    </row>
    <row r="2960" spans="2:5" x14ac:dyDescent="0.25">
      <c r="B2960" s="8">
        <v>40554</v>
      </c>
      <c r="C2960" s="6">
        <f ca="1">IF(OR($C$7="",$B2960&gt;NOW()),"",IF(INDEX(Data!$A:$G,MATCH($B2960,Data!$A:$A,0),MATCH($C$7,Data!$4:$4,0))="","",INDEX(Data!$A:$G,MATCH($B2960,Data!$A:$A,0),MATCH($C$7,Data!$4:$4,0))))</f>
        <v>29.2</v>
      </c>
      <c r="D2960" s="148">
        <f t="shared" ca="1" si="96"/>
        <v>35.799999999999997</v>
      </c>
      <c r="E2960" s="148">
        <f t="shared" ca="1" si="97"/>
        <v>0</v>
      </c>
    </row>
    <row r="2961" spans="2:5" x14ac:dyDescent="0.25">
      <c r="B2961" s="8">
        <v>40555</v>
      </c>
      <c r="C2961" s="6">
        <f ca="1">IF(OR($C$7="",$B2961&gt;NOW()),"",IF(INDEX(Data!$A:$G,MATCH($B2961,Data!$A:$A,0),MATCH($C$7,Data!$4:$4,0))="","",INDEX(Data!$A:$G,MATCH($B2961,Data!$A:$A,0),MATCH($C$7,Data!$4:$4,0))))</f>
        <v>30</v>
      </c>
      <c r="D2961" s="148">
        <f t="shared" ca="1" si="96"/>
        <v>35</v>
      </c>
      <c r="E2961" s="148">
        <f t="shared" ca="1" si="97"/>
        <v>0</v>
      </c>
    </row>
    <row r="2962" spans="2:5" x14ac:dyDescent="0.25">
      <c r="B2962" s="8">
        <v>40556</v>
      </c>
      <c r="C2962" s="6">
        <f ca="1">IF(OR($C$7="",$B2962&gt;NOW()),"",IF(INDEX(Data!$A:$G,MATCH($B2962,Data!$A:$A,0),MATCH($C$7,Data!$4:$4,0))="","",INDEX(Data!$A:$G,MATCH($B2962,Data!$A:$A,0),MATCH($C$7,Data!$4:$4,0))))</f>
        <v>28.5</v>
      </c>
      <c r="D2962" s="148">
        <f t="shared" ca="1" si="96"/>
        <v>36.5</v>
      </c>
      <c r="E2962" s="148">
        <f t="shared" ca="1" si="97"/>
        <v>0</v>
      </c>
    </row>
    <row r="2963" spans="2:5" x14ac:dyDescent="0.25">
      <c r="B2963" s="8">
        <v>40557</v>
      </c>
      <c r="C2963" s="6">
        <f ca="1">IF(OR($C$7="",$B2963&gt;NOW()),"",IF(INDEX(Data!$A:$G,MATCH($B2963,Data!$A:$A,0),MATCH($C$7,Data!$4:$4,0))="","",INDEX(Data!$A:$G,MATCH($B2963,Data!$A:$A,0),MATCH($C$7,Data!$4:$4,0))))</f>
        <v>24.3</v>
      </c>
      <c r="D2963" s="148">
        <f t="shared" ca="1" si="96"/>
        <v>40.700000000000003</v>
      </c>
      <c r="E2963" s="148">
        <f t="shared" ca="1" si="97"/>
        <v>0</v>
      </c>
    </row>
    <row r="2964" spans="2:5" x14ac:dyDescent="0.25">
      <c r="B2964" s="8">
        <v>40558</v>
      </c>
      <c r="C2964" s="6">
        <f ca="1">IF(OR($C$7="",$B2964&gt;NOW()),"",IF(INDEX(Data!$A:$G,MATCH($B2964,Data!$A:$A,0),MATCH($C$7,Data!$4:$4,0))="","",INDEX(Data!$A:$G,MATCH($B2964,Data!$A:$A,0),MATCH($C$7,Data!$4:$4,0))))</f>
        <v>30.2</v>
      </c>
      <c r="D2964" s="148">
        <f t="shared" ca="1" si="96"/>
        <v>34.799999999999997</v>
      </c>
      <c r="E2964" s="148">
        <f t="shared" ca="1" si="97"/>
        <v>0</v>
      </c>
    </row>
    <row r="2965" spans="2:5" x14ac:dyDescent="0.25">
      <c r="B2965" s="8">
        <v>40559</v>
      </c>
      <c r="C2965" s="6">
        <f ca="1">IF(OR($C$7="",$B2965&gt;NOW()),"",IF(INDEX(Data!$A:$G,MATCH($B2965,Data!$A:$A,0),MATCH($C$7,Data!$4:$4,0))="","",INDEX(Data!$A:$G,MATCH($B2965,Data!$A:$A,0),MATCH($C$7,Data!$4:$4,0))))</f>
        <v>36.200000000000003</v>
      </c>
      <c r="D2965" s="148">
        <f t="shared" ca="1" si="96"/>
        <v>28.799999999999997</v>
      </c>
      <c r="E2965" s="148">
        <f t="shared" ca="1" si="97"/>
        <v>0</v>
      </c>
    </row>
    <row r="2966" spans="2:5" x14ac:dyDescent="0.25">
      <c r="B2966" s="8">
        <v>40560</v>
      </c>
      <c r="C2966" s="6">
        <f ca="1">IF(OR($C$7="",$B2966&gt;NOW()),"",IF(INDEX(Data!$A:$G,MATCH($B2966,Data!$A:$A,0),MATCH($C$7,Data!$4:$4,0))="","",INDEX(Data!$A:$G,MATCH($B2966,Data!$A:$A,0),MATCH($C$7,Data!$4:$4,0))))</f>
        <v>26.4</v>
      </c>
      <c r="D2966" s="148">
        <f t="shared" ca="1" si="96"/>
        <v>38.6</v>
      </c>
      <c r="E2966" s="148">
        <f t="shared" ca="1" si="97"/>
        <v>0</v>
      </c>
    </row>
    <row r="2967" spans="2:5" x14ac:dyDescent="0.25">
      <c r="B2967" s="8">
        <v>40561</v>
      </c>
      <c r="C2967" s="6">
        <f ca="1">IF(OR($C$7="",$B2967&gt;NOW()),"",IF(INDEX(Data!$A:$G,MATCH($B2967,Data!$A:$A,0),MATCH($C$7,Data!$4:$4,0))="","",INDEX(Data!$A:$G,MATCH($B2967,Data!$A:$A,0),MATCH($C$7,Data!$4:$4,0))))</f>
        <v>32.299999999999997</v>
      </c>
      <c r="D2967" s="148">
        <f t="shared" ca="1" si="96"/>
        <v>32.700000000000003</v>
      </c>
      <c r="E2967" s="148">
        <f t="shared" ca="1" si="97"/>
        <v>0</v>
      </c>
    </row>
    <row r="2968" spans="2:5" x14ac:dyDescent="0.25">
      <c r="B2968" s="8">
        <v>40562</v>
      </c>
      <c r="C2968" s="6">
        <f ca="1">IF(OR($C$7="",$B2968&gt;NOW()),"",IF(INDEX(Data!$A:$G,MATCH($B2968,Data!$A:$A,0),MATCH($C$7,Data!$4:$4,0))="","",INDEX(Data!$A:$G,MATCH($B2968,Data!$A:$A,0),MATCH($C$7,Data!$4:$4,0))))</f>
        <v>39.299999999999997</v>
      </c>
      <c r="D2968" s="148">
        <f t="shared" ca="1" si="96"/>
        <v>25.700000000000003</v>
      </c>
      <c r="E2968" s="148">
        <f t="shared" ca="1" si="97"/>
        <v>0</v>
      </c>
    </row>
    <row r="2969" spans="2:5" x14ac:dyDescent="0.25">
      <c r="B2969" s="8">
        <v>40563</v>
      </c>
      <c r="C2969" s="6">
        <f ca="1">IF(OR($C$7="",$B2969&gt;NOW()),"",IF(INDEX(Data!$A:$G,MATCH($B2969,Data!$A:$A,0),MATCH($C$7,Data!$4:$4,0))="","",INDEX(Data!$A:$G,MATCH($B2969,Data!$A:$A,0),MATCH($C$7,Data!$4:$4,0))))</f>
        <v>35</v>
      </c>
      <c r="D2969" s="148">
        <f t="shared" ca="1" si="96"/>
        <v>30</v>
      </c>
      <c r="E2969" s="148">
        <f t="shared" ca="1" si="97"/>
        <v>0</v>
      </c>
    </row>
    <row r="2970" spans="2:5" x14ac:dyDescent="0.25">
      <c r="B2970" s="8">
        <v>40564</v>
      </c>
      <c r="C2970" s="6">
        <f ca="1">IF(OR($C$7="",$B2970&gt;NOW()),"",IF(INDEX(Data!$A:$G,MATCH($B2970,Data!$A:$A,0),MATCH($C$7,Data!$4:$4,0))="","",INDEX(Data!$A:$G,MATCH($B2970,Data!$A:$A,0),MATCH($C$7,Data!$4:$4,0))))</f>
        <v>31.5</v>
      </c>
      <c r="D2970" s="148">
        <f t="shared" ca="1" si="96"/>
        <v>33.5</v>
      </c>
      <c r="E2970" s="148">
        <f t="shared" ca="1" si="97"/>
        <v>0</v>
      </c>
    </row>
    <row r="2971" spans="2:5" x14ac:dyDescent="0.25">
      <c r="B2971" s="8">
        <v>40565</v>
      </c>
      <c r="C2971" s="6">
        <f ca="1">IF(OR($C$7="",$B2971&gt;NOW()),"",IF(INDEX(Data!$A:$G,MATCH($B2971,Data!$A:$A,0),MATCH($C$7,Data!$4:$4,0))="","",INDEX(Data!$A:$G,MATCH($B2971,Data!$A:$A,0),MATCH($C$7,Data!$4:$4,0))))</f>
        <v>21.8</v>
      </c>
      <c r="D2971" s="148">
        <f t="shared" ca="1" si="96"/>
        <v>43.2</v>
      </c>
      <c r="E2971" s="148">
        <f t="shared" ca="1" si="97"/>
        <v>0</v>
      </c>
    </row>
    <row r="2972" spans="2:5" x14ac:dyDescent="0.25">
      <c r="B2972" s="8">
        <v>40566</v>
      </c>
      <c r="C2972" s="6">
        <f ca="1">IF(OR($C$7="",$B2972&gt;NOW()),"",IF(INDEX(Data!$A:$G,MATCH($B2972,Data!$A:$A,0),MATCH($C$7,Data!$4:$4,0))="","",INDEX(Data!$A:$G,MATCH($B2972,Data!$A:$A,0),MATCH($C$7,Data!$4:$4,0))))</f>
        <v>22.7</v>
      </c>
      <c r="D2972" s="148">
        <f t="shared" ca="1" si="96"/>
        <v>42.3</v>
      </c>
      <c r="E2972" s="148">
        <f t="shared" ca="1" si="97"/>
        <v>0</v>
      </c>
    </row>
    <row r="2973" spans="2:5" x14ac:dyDescent="0.25">
      <c r="B2973" s="8">
        <v>40567</v>
      </c>
      <c r="C2973" s="6">
        <f ca="1">IF(OR($C$7="",$B2973&gt;NOW()),"",IF(INDEX(Data!$A:$G,MATCH($B2973,Data!$A:$A,0),MATCH($C$7,Data!$4:$4,0))="","",INDEX(Data!$A:$G,MATCH($B2973,Data!$A:$A,0),MATCH($C$7,Data!$4:$4,0))))</f>
        <v>15.8</v>
      </c>
      <c r="D2973" s="148">
        <f t="shared" ref="D2973:D3036" ca="1" si="98">IF($C2973="","",IF($C2973&gt;$D$26,0,$D$26-$C2973))</f>
        <v>49.2</v>
      </c>
      <c r="E2973" s="148">
        <f t="shared" ref="E2973:E3036" ca="1" si="99">IF($C2973="","",IF($C2973&lt;$E$26,0,$C2973-$E$26))</f>
        <v>0</v>
      </c>
    </row>
    <row r="2974" spans="2:5" x14ac:dyDescent="0.25">
      <c r="B2974" s="8">
        <v>40568</v>
      </c>
      <c r="C2974" s="6">
        <f ca="1">IF(OR($C$7="",$B2974&gt;NOW()),"",IF(INDEX(Data!$A:$G,MATCH($B2974,Data!$A:$A,0),MATCH($C$7,Data!$4:$4,0))="","",INDEX(Data!$A:$G,MATCH($B2974,Data!$A:$A,0),MATCH($C$7,Data!$4:$4,0))))</f>
        <v>29.9</v>
      </c>
      <c r="D2974" s="148">
        <f t="shared" ca="1" si="98"/>
        <v>35.1</v>
      </c>
      <c r="E2974" s="148">
        <f t="shared" ca="1" si="99"/>
        <v>0</v>
      </c>
    </row>
    <row r="2975" spans="2:5" x14ac:dyDescent="0.25">
      <c r="B2975" s="8">
        <v>40569</v>
      </c>
      <c r="C2975" s="6">
        <f ca="1">IF(OR($C$7="",$B2975&gt;NOW()),"",IF(INDEX(Data!$A:$G,MATCH($B2975,Data!$A:$A,0),MATCH($C$7,Data!$4:$4,0))="","",INDEX(Data!$A:$G,MATCH($B2975,Data!$A:$A,0),MATCH($C$7,Data!$4:$4,0))))</f>
        <v>33.200000000000003</v>
      </c>
      <c r="D2975" s="148">
        <f t="shared" ca="1" si="98"/>
        <v>31.799999999999997</v>
      </c>
      <c r="E2975" s="148">
        <f t="shared" ca="1" si="99"/>
        <v>0</v>
      </c>
    </row>
    <row r="2976" spans="2:5" x14ac:dyDescent="0.25">
      <c r="B2976" s="8">
        <v>40570</v>
      </c>
      <c r="C2976" s="6">
        <f ca="1">IF(OR($C$7="",$B2976&gt;NOW()),"",IF(INDEX(Data!$A:$G,MATCH($B2976,Data!$A:$A,0),MATCH($C$7,Data!$4:$4,0))="","",INDEX(Data!$A:$G,MATCH($B2976,Data!$A:$A,0),MATCH($C$7,Data!$4:$4,0))))</f>
        <v>34.700000000000003</v>
      </c>
      <c r="D2976" s="148">
        <f t="shared" ca="1" si="98"/>
        <v>30.299999999999997</v>
      </c>
      <c r="E2976" s="148">
        <f t="shared" ca="1" si="99"/>
        <v>0</v>
      </c>
    </row>
    <row r="2977" spans="2:5" x14ac:dyDescent="0.25">
      <c r="B2977" s="8">
        <v>40571</v>
      </c>
      <c r="C2977" s="6">
        <f ca="1">IF(OR($C$7="",$B2977&gt;NOW()),"",IF(INDEX(Data!$A:$G,MATCH($B2977,Data!$A:$A,0),MATCH($C$7,Data!$4:$4,0))="","",INDEX(Data!$A:$G,MATCH($B2977,Data!$A:$A,0),MATCH($C$7,Data!$4:$4,0))))</f>
        <v>34.200000000000003</v>
      </c>
      <c r="D2977" s="148">
        <f t="shared" ca="1" si="98"/>
        <v>30.799999999999997</v>
      </c>
      <c r="E2977" s="148">
        <f t="shared" ca="1" si="99"/>
        <v>0</v>
      </c>
    </row>
    <row r="2978" spans="2:5" x14ac:dyDescent="0.25">
      <c r="B2978" s="8">
        <v>40572</v>
      </c>
      <c r="C2978" s="6">
        <f ca="1">IF(OR($C$7="",$B2978&gt;NOW()),"",IF(INDEX(Data!$A:$G,MATCH($B2978,Data!$A:$A,0),MATCH($C$7,Data!$4:$4,0))="","",INDEX(Data!$A:$G,MATCH($B2978,Data!$A:$A,0),MATCH($C$7,Data!$4:$4,0))))</f>
        <v>34.299999999999997</v>
      </c>
      <c r="D2978" s="148">
        <f t="shared" ca="1" si="98"/>
        <v>30.700000000000003</v>
      </c>
      <c r="E2978" s="148">
        <f t="shared" ca="1" si="99"/>
        <v>0</v>
      </c>
    </row>
    <row r="2979" spans="2:5" x14ac:dyDescent="0.25">
      <c r="B2979" s="8">
        <v>40573</v>
      </c>
      <c r="C2979" s="6">
        <f ca="1">IF(OR($C$7="",$B2979&gt;NOW()),"",IF(INDEX(Data!$A:$G,MATCH($B2979,Data!$A:$A,0),MATCH($C$7,Data!$4:$4,0))="","",INDEX(Data!$A:$G,MATCH($B2979,Data!$A:$A,0),MATCH($C$7,Data!$4:$4,0))))</f>
        <v>35.5</v>
      </c>
      <c r="D2979" s="148">
        <f t="shared" ca="1" si="98"/>
        <v>29.5</v>
      </c>
      <c r="E2979" s="148">
        <f t="shared" ca="1" si="99"/>
        <v>0</v>
      </c>
    </row>
    <row r="2980" spans="2:5" x14ac:dyDescent="0.25">
      <c r="B2980" s="8">
        <v>40574</v>
      </c>
      <c r="C2980" s="6">
        <f ca="1">IF(OR($C$7="",$B2980&gt;NOW()),"",IF(INDEX(Data!$A:$G,MATCH($B2980,Data!$A:$A,0),MATCH($C$7,Data!$4:$4,0))="","",INDEX(Data!$A:$G,MATCH($B2980,Data!$A:$A,0),MATCH($C$7,Data!$4:$4,0))))</f>
        <v>30.2</v>
      </c>
      <c r="D2980" s="148">
        <f t="shared" ca="1" si="98"/>
        <v>34.799999999999997</v>
      </c>
      <c r="E2980" s="148">
        <f t="shared" ca="1" si="99"/>
        <v>0</v>
      </c>
    </row>
    <row r="2981" spans="2:5" x14ac:dyDescent="0.25">
      <c r="B2981" s="8">
        <v>40575</v>
      </c>
      <c r="C2981" s="6">
        <f ca="1">IF(OR($C$7="",$B2981&gt;NOW()),"",IF(INDEX(Data!$A:$G,MATCH($B2981,Data!$A:$A,0),MATCH($C$7,Data!$4:$4,0))="","",INDEX(Data!$A:$G,MATCH($B2981,Data!$A:$A,0),MATCH($C$7,Data!$4:$4,0))))</f>
        <v>29.2</v>
      </c>
      <c r="D2981" s="148">
        <f t="shared" ca="1" si="98"/>
        <v>35.799999999999997</v>
      </c>
      <c r="E2981" s="148">
        <f t="shared" ca="1" si="99"/>
        <v>0</v>
      </c>
    </row>
    <row r="2982" spans="2:5" x14ac:dyDescent="0.25">
      <c r="B2982" s="8">
        <v>40576</v>
      </c>
      <c r="C2982" s="6">
        <f ca="1">IF(OR($C$7="",$B2982&gt;NOW()),"",IF(INDEX(Data!$A:$G,MATCH($B2982,Data!$A:$A,0),MATCH($C$7,Data!$4:$4,0))="","",INDEX(Data!$A:$G,MATCH($B2982,Data!$A:$A,0),MATCH($C$7,Data!$4:$4,0))))</f>
        <v>32.200000000000003</v>
      </c>
      <c r="D2982" s="148">
        <f t="shared" ca="1" si="98"/>
        <v>32.799999999999997</v>
      </c>
      <c r="E2982" s="148">
        <f t="shared" ca="1" si="99"/>
        <v>0</v>
      </c>
    </row>
    <row r="2983" spans="2:5" x14ac:dyDescent="0.25">
      <c r="B2983" s="8">
        <v>40577</v>
      </c>
      <c r="C2983" s="6">
        <f ca="1">IF(OR($C$7="",$B2983&gt;NOW()),"",IF(INDEX(Data!$A:$G,MATCH($B2983,Data!$A:$A,0),MATCH($C$7,Data!$4:$4,0))="","",INDEX(Data!$A:$G,MATCH($B2983,Data!$A:$A,0),MATCH($C$7,Data!$4:$4,0))))</f>
        <v>33.4</v>
      </c>
      <c r="D2983" s="148">
        <f t="shared" ca="1" si="98"/>
        <v>31.6</v>
      </c>
      <c r="E2983" s="148">
        <f t="shared" ca="1" si="99"/>
        <v>0</v>
      </c>
    </row>
    <row r="2984" spans="2:5" x14ac:dyDescent="0.25">
      <c r="B2984" s="8">
        <v>40578</v>
      </c>
      <c r="C2984" s="6">
        <f ca="1">IF(OR($C$7="",$B2984&gt;NOW()),"",IF(INDEX(Data!$A:$G,MATCH($B2984,Data!$A:$A,0),MATCH($C$7,Data!$4:$4,0))="","",INDEX(Data!$A:$G,MATCH($B2984,Data!$A:$A,0),MATCH($C$7,Data!$4:$4,0))))</f>
        <v>31.3</v>
      </c>
      <c r="D2984" s="148">
        <f t="shared" ca="1" si="98"/>
        <v>33.700000000000003</v>
      </c>
      <c r="E2984" s="148">
        <f t="shared" ca="1" si="99"/>
        <v>0</v>
      </c>
    </row>
    <row r="2985" spans="2:5" x14ac:dyDescent="0.25">
      <c r="B2985" s="8">
        <v>40579</v>
      </c>
      <c r="C2985" s="6">
        <f ca="1">IF(OR($C$7="",$B2985&gt;NOW()),"",IF(INDEX(Data!$A:$G,MATCH($B2985,Data!$A:$A,0),MATCH($C$7,Data!$4:$4,0))="","",INDEX(Data!$A:$G,MATCH($B2985,Data!$A:$A,0),MATCH($C$7,Data!$4:$4,0))))</f>
        <v>34.299999999999997</v>
      </c>
      <c r="D2985" s="148">
        <f t="shared" ca="1" si="98"/>
        <v>30.700000000000003</v>
      </c>
      <c r="E2985" s="148">
        <f t="shared" ca="1" si="99"/>
        <v>0</v>
      </c>
    </row>
    <row r="2986" spans="2:5" x14ac:dyDescent="0.25">
      <c r="B2986" s="8">
        <v>40580</v>
      </c>
      <c r="C2986" s="6">
        <f ca="1">IF(OR($C$7="",$B2986&gt;NOW()),"",IF(INDEX(Data!$A:$G,MATCH($B2986,Data!$A:$A,0),MATCH($C$7,Data!$4:$4,0))="","",INDEX(Data!$A:$G,MATCH($B2986,Data!$A:$A,0),MATCH($C$7,Data!$4:$4,0))))</f>
        <v>41.9</v>
      </c>
      <c r="D2986" s="148">
        <f t="shared" ca="1" si="98"/>
        <v>23.1</v>
      </c>
      <c r="E2986" s="148">
        <f t="shared" ca="1" si="99"/>
        <v>0</v>
      </c>
    </row>
    <row r="2987" spans="2:5" x14ac:dyDescent="0.25">
      <c r="B2987" s="8">
        <v>40581</v>
      </c>
      <c r="C2987" s="6">
        <f ca="1">IF(OR($C$7="",$B2987&gt;NOW()),"",IF(INDEX(Data!$A:$G,MATCH($B2987,Data!$A:$A,0),MATCH($C$7,Data!$4:$4,0))="","",INDEX(Data!$A:$G,MATCH($B2987,Data!$A:$A,0),MATCH($C$7,Data!$4:$4,0))))</f>
        <v>40.299999999999997</v>
      </c>
      <c r="D2987" s="148">
        <f t="shared" ca="1" si="98"/>
        <v>24.700000000000003</v>
      </c>
      <c r="E2987" s="148">
        <f t="shared" ca="1" si="99"/>
        <v>0</v>
      </c>
    </row>
    <row r="2988" spans="2:5" x14ac:dyDescent="0.25">
      <c r="B2988" s="8">
        <v>40582</v>
      </c>
      <c r="C2988" s="6">
        <f ca="1">IF(OR($C$7="",$B2988&gt;NOW()),"",IF(INDEX(Data!$A:$G,MATCH($B2988,Data!$A:$A,0),MATCH($C$7,Data!$4:$4,0))="","",INDEX(Data!$A:$G,MATCH($B2988,Data!$A:$A,0),MATCH($C$7,Data!$4:$4,0))))</f>
        <v>38.1</v>
      </c>
      <c r="D2988" s="148">
        <f t="shared" ca="1" si="98"/>
        <v>26.9</v>
      </c>
      <c r="E2988" s="148">
        <f t="shared" ca="1" si="99"/>
        <v>0</v>
      </c>
    </row>
    <row r="2989" spans="2:5" x14ac:dyDescent="0.25">
      <c r="B2989" s="8">
        <v>40583</v>
      </c>
      <c r="C2989" s="6">
        <f ca="1">IF(OR($C$7="",$B2989&gt;NOW()),"",IF(INDEX(Data!$A:$G,MATCH($B2989,Data!$A:$A,0),MATCH($C$7,Data!$4:$4,0))="","",INDEX(Data!$A:$G,MATCH($B2989,Data!$A:$A,0),MATCH($C$7,Data!$4:$4,0))))</f>
        <v>22</v>
      </c>
      <c r="D2989" s="148">
        <f t="shared" ca="1" si="98"/>
        <v>43</v>
      </c>
      <c r="E2989" s="148">
        <f t="shared" ca="1" si="99"/>
        <v>0</v>
      </c>
    </row>
    <row r="2990" spans="2:5" x14ac:dyDescent="0.25">
      <c r="B2990" s="8">
        <v>40584</v>
      </c>
      <c r="C2990" s="6">
        <f ca="1">IF(OR($C$7="",$B2990&gt;NOW()),"",IF(INDEX(Data!$A:$G,MATCH($B2990,Data!$A:$A,0),MATCH($C$7,Data!$4:$4,0))="","",INDEX(Data!$A:$G,MATCH($B2990,Data!$A:$A,0),MATCH($C$7,Data!$4:$4,0))))</f>
        <v>27.2</v>
      </c>
      <c r="D2990" s="148">
        <f t="shared" ca="1" si="98"/>
        <v>37.799999999999997</v>
      </c>
      <c r="E2990" s="148">
        <f t="shared" ca="1" si="99"/>
        <v>0</v>
      </c>
    </row>
    <row r="2991" spans="2:5" x14ac:dyDescent="0.25">
      <c r="B2991" s="8">
        <v>40585</v>
      </c>
      <c r="C2991" s="6">
        <f ca="1">IF(OR($C$7="",$B2991&gt;NOW()),"",IF(INDEX(Data!$A:$G,MATCH($B2991,Data!$A:$A,0),MATCH($C$7,Data!$4:$4,0))="","",INDEX(Data!$A:$G,MATCH($B2991,Data!$A:$A,0),MATCH($C$7,Data!$4:$4,0))))</f>
        <v>27.2</v>
      </c>
      <c r="D2991" s="148">
        <f t="shared" ca="1" si="98"/>
        <v>37.799999999999997</v>
      </c>
      <c r="E2991" s="148">
        <f t="shared" ca="1" si="99"/>
        <v>0</v>
      </c>
    </row>
    <row r="2992" spans="2:5" x14ac:dyDescent="0.25">
      <c r="B2992" s="8">
        <v>40586</v>
      </c>
      <c r="C2992" s="6">
        <f ca="1">IF(OR($C$7="",$B2992&gt;NOW()),"",IF(INDEX(Data!$A:$G,MATCH($B2992,Data!$A:$A,0),MATCH($C$7,Data!$4:$4,0))="","",INDEX(Data!$A:$G,MATCH($B2992,Data!$A:$A,0),MATCH($C$7,Data!$4:$4,0))))</f>
        <v>34.299999999999997</v>
      </c>
      <c r="D2992" s="148">
        <f t="shared" ca="1" si="98"/>
        <v>30.700000000000003</v>
      </c>
      <c r="E2992" s="148">
        <f t="shared" ca="1" si="99"/>
        <v>0</v>
      </c>
    </row>
    <row r="2993" spans="2:5" x14ac:dyDescent="0.25">
      <c r="B2993" s="8">
        <v>40587</v>
      </c>
      <c r="C2993" s="6">
        <f ca="1">IF(OR($C$7="",$B2993&gt;NOW()),"",IF(INDEX(Data!$A:$G,MATCH($B2993,Data!$A:$A,0),MATCH($C$7,Data!$4:$4,0))="","",INDEX(Data!$A:$G,MATCH($B2993,Data!$A:$A,0),MATCH($C$7,Data!$4:$4,0))))</f>
        <v>35</v>
      </c>
      <c r="D2993" s="148">
        <f t="shared" ca="1" si="98"/>
        <v>30</v>
      </c>
      <c r="E2993" s="148">
        <f t="shared" ca="1" si="99"/>
        <v>0</v>
      </c>
    </row>
    <row r="2994" spans="2:5" x14ac:dyDescent="0.25">
      <c r="B2994" s="8">
        <v>40588</v>
      </c>
      <c r="C2994" s="6">
        <f ca="1">IF(OR($C$7="",$B2994&gt;NOW()),"",IF(INDEX(Data!$A:$G,MATCH($B2994,Data!$A:$A,0),MATCH($C$7,Data!$4:$4,0))="","",INDEX(Data!$A:$G,MATCH($B2994,Data!$A:$A,0),MATCH($C$7,Data!$4:$4,0))))</f>
        <v>48.1</v>
      </c>
      <c r="D2994" s="148">
        <f t="shared" ca="1" si="98"/>
        <v>16.899999999999999</v>
      </c>
      <c r="E2994" s="148">
        <f t="shared" ca="1" si="99"/>
        <v>0</v>
      </c>
    </row>
    <row r="2995" spans="2:5" x14ac:dyDescent="0.25">
      <c r="B2995" s="8">
        <v>40589</v>
      </c>
      <c r="C2995" s="6">
        <f ca="1">IF(OR($C$7="",$B2995&gt;NOW()),"",IF(INDEX(Data!$A:$G,MATCH($B2995,Data!$A:$A,0),MATCH($C$7,Data!$4:$4,0))="","",INDEX(Data!$A:$G,MATCH($B2995,Data!$A:$A,0),MATCH($C$7,Data!$4:$4,0))))</f>
        <v>33.799999999999997</v>
      </c>
      <c r="D2995" s="148">
        <f t="shared" ca="1" si="98"/>
        <v>31.200000000000003</v>
      </c>
      <c r="E2995" s="148">
        <f t="shared" ca="1" si="99"/>
        <v>0</v>
      </c>
    </row>
    <row r="2996" spans="2:5" x14ac:dyDescent="0.25">
      <c r="B2996" s="8">
        <v>40590</v>
      </c>
      <c r="C2996" s="6">
        <f ca="1">IF(OR($C$7="",$B2996&gt;NOW()),"",IF(INDEX(Data!$A:$G,MATCH($B2996,Data!$A:$A,0),MATCH($C$7,Data!$4:$4,0))="","",INDEX(Data!$A:$G,MATCH($B2996,Data!$A:$A,0),MATCH($C$7,Data!$4:$4,0))))</f>
        <v>33.6</v>
      </c>
      <c r="D2996" s="148">
        <f t="shared" ca="1" si="98"/>
        <v>31.4</v>
      </c>
      <c r="E2996" s="148">
        <f t="shared" ca="1" si="99"/>
        <v>0</v>
      </c>
    </row>
    <row r="2997" spans="2:5" x14ac:dyDescent="0.25">
      <c r="B2997" s="8">
        <v>40591</v>
      </c>
      <c r="C2997" s="6">
        <f ca="1">IF(OR($C$7="",$B2997&gt;NOW()),"",IF(INDEX(Data!$A:$G,MATCH($B2997,Data!$A:$A,0),MATCH($C$7,Data!$4:$4,0))="","",INDEX(Data!$A:$G,MATCH($B2997,Data!$A:$A,0),MATCH($C$7,Data!$4:$4,0))))</f>
        <v>50.3</v>
      </c>
      <c r="D2997" s="148">
        <f t="shared" ca="1" si="98"/>
        <v>14.700000000000003</v>
      </c>
      <c r="E2997" s="148">
        <f t="shared" ca="1" si="99"/>
        <v>0</v>
      </c>
    </row>
    <row r="2998" spans="2:5" x14ac:dyDescent="0.25">
      <c r="B2998" s="8">
        <v>40592</v>
      </c>
      <c r="C2998" s="6">
        <f ca="1">IF(OR($C$7="",$B2998&gt;NOW()),"",IF(INDEX(Data!$A:$G,MATCH($B2998,Data!$A:$A,0),MATCH($C$7,Data!$4:$4,0))="","",INDEX(Data!$A:$G,MATCH($B2998,Data!$A:$A,0),MATCH($C$7,Data!$4:$4,0))))</f>
        <v>53.5</v>
      </c>
      <c r="D2998" s="148">
        <f t="shared" ca="1" si="98"/>
        <v>11.5</v>
      </c>
      <c r="E2998" s="148">
        <f t="shared" ca="1" si="99"/>
        <v>0</v>
      </c>
    </row>
    <row r="2999" spans="2:5" x14ac:dyDescent="0.25">
      <c r="B2999" s="8">
        <v>40593</v>
      </c>
      <c r="C2999" s="6">
        <f ca="1">IF(OR($C$7="",$B2999&gt;NOW()),"",IF(INDEX(Data!$A:$G,MATCH($B2999,Data!$A:$A,0),MATCH($C$7,Data!$4:$4,0))="","",INDEX(Data!$A:$G,MATCH($B2999,Data!$A:$A,0),MATCH($C$7,Data!$4:$4,0))))</f>
        <v>45.5</v>
      </c>
      <c r="D2999" s="148">
        <f t="shared" ca="1" si="98"/>
        <v>19.5</v>
      </c>
      <c r="E2999" s="148">
        <f t="shared" ca="1" si="99"/>
        <v>0</v>
      </c>
    </row>
    <row r="3000" spans="2:5" x14ac:dyDescent="0.25">
      <c r="B3000" s="8">
        <v>40594</v>
      </c>
      <c r="C3000" s="6">
        <f ca="1">IF(OR($C$7="",$B3000&gt;NOW()),"",IF(INDEX(Data!$A:$G,MATCH($B3000,Data!$A:$A,0),MATCH($C$7,Data!$4:$4,0))="","",INDEX(Data!$A:$G,MATCH($B3000,Data!$A:$A,0),MATCH($C$7,Data!$4:$4,0))))</f>
        <v>27.7</v>
      </c>
      <c r="D3000" s="148">
        <f t="shared" ca="1" si="98"/>
        <v>37.299999999999997</v>
      </c>
      <c r="E3000" s="148">
        <f t="shared" ca="1" si="99"/>
        <v>0</v>
      </c>
    </row>
    <row r="3001" spans="2:5" x14ac:dyDescent="0.25">
      <c r="B3001" s="8">
        <v>40595</v>
      </c>
      <c r="C3001" s="6">
        <f ca="1">IF(OR($C$7="",$B3001&gt;NOW()),"",IF(INDEX(Data!$A:$G,MATCH($B3001,Data!$A:$A,0),MATCH($C$7,Data!$4:$4,0))="","",INDEX(Data!$A:$G,MATCH($B3001,Data!$A:$A,0),MATCH($C$7,Data!$4:$4,0))))</f>
        <v>32.299999999999997</v>
      </c>
      <c r="D3001" s="148">
        <f t="shared" ca="1" si="98"/>
        <v>32.700000000000003</v>
      </c>
      <c r="E3001" s="148">
        <f t="shared" ca="1" si="99"/>
        <v>0</v>
      </c>
    </row>
    <row r="3002" spans="2:5" x14ac:dyDescent="0.25">
      <c r="B3002" s="8">
        <v>40596</v>
      </c>
      <c r="C3002" s="6">
        <f ca="1">IF(OR($C$7="",$B3002&gt;NOW()),"",IF(INDEX(Data!$A:$G,MATCH($B3002,Data!$A:$A,0),MATCH($C$7,Data!$4:$4,0))="","",INDEX(Data!$A:$G,MATCH($B3002,Data!$A:$A,0),MATCH($C$7,Data!$4:$4,0))))</f>
        <v>24.8</v>
      </c>
      <c r="D3002" s="148">
        <f t="shared" ca="1" si="98"/>
        <v>40.200000000000003</v>
      </c>
      <c r="E3002" s="148">
        <f t="shared" ca="1" si="99"/>
        <v>0</v>
      </c>
    </row>
    <row r="3003" spans="2:5" x14ac:dyDescent="0.25">
      <c r="B3003" s="8">
        <v>40597</v>
      </c>
      <c r="C3003" s="6">
        <f ca="1">IF(OR($C$7="",$B3003&gt;NOW()),"",IF(INDEX(Data!$A:$G,MATCH($B3003,Data!$A:$A,0),MATCH($C$7,Data!$4:$4,0))="","",INDEX(Data!$A:$G,MATCH($B3003,Data!$A:$A,0),MATCH($C$7,Data!$4:$4,0))))</f>
        <v>29.9</v>
      </c>
      <c r="D3003" s="148">
        <f t="shared" ca="1" si="98"/>
        <v>35.1</v>
      </c>
      <c r="E3003" s="148">
        <f t="shared" ca="1" si="99"/>
        <v>0</v>
      </c>
    </row>
    <row r="3004" spans="2:5" x14ac:dyDescent="0.25">
      <c r="B3004" s="8">
        <v>40598</v>
      </c>
      <c r="C3004" s="6">
        <f ca="1">IF(OR($C$7="",$B3004&gt;NOW()),"",IF(INDEX(Data!$A:$G,MATCH($B3004,Data!$A:$A,0),MATCH($C$7,Data!$4:$4,0))="","",INDEX(Data!$A:$G,MATCH($B3004,Data!$A:$A,0),MATCH($C$7,Data!$4:$4,0))))</f>
        <v>34.5</v>
      </c>
      <c r="D3004" s="148">
        <f t="shared" ca="1" si="98"/>
        <v>30.5</v>
      </c>
      <c r="E3004" s="148">
        <f t="shared" ca="1" si="99"/>
        <v>0</v>
      </c>
    </row>
    <row r="3005" spans="2:5" x14ac:dyDescent="0.25">
      <c r="B3005" s="8">
        <v>40599</v>
      </c>
      <c r="C3005" s="6">
        <f ca="1">IF(OR($C$7="",$B3005&gt;NOW()),"",IF(INDEX(Data!$A:$G,MATCH($B3005,Data!$A:$A,0),MATCH($C$7,Data!$4:$4,0))="","",INDEX(Data!$A:$G,MATCH($B3005,Data!$A:$A,0),MATCH($C$7,Data!$4:$4,0))))</f>
        <v>43</v>
      </c>
      <c r="D3005" s="148">
        <f t="shared" ca="1" si="98"/>
        <v>22</v>
      </c>
      <c r="E3005" s="148">
        <f t="shared" ca="1" si="99"/>
        <v>0</v>
      </c>
    </row>
    <row r="3006" spans="2:5" x14ac:dyDescent="0.25">
      <c r="B3006" s="8">
        <v>40600</v>
      </c>
      <c r="C3006" s="6">
        <f ca="1">IF(OR($C$7="",$B3006&gt;NOW()),"",IF(INDEX(Data!$A:$G,MATCH($B3006,Data!$A:$A,0),MATCH($C$7,Data!$4:$4,0))="","",INDEX(Data!$A:$G,MATCH($B3006,Data!$A:$A,0),MATCH($C$7,Data!$4:$4,0))))</f>
        <v>35.299999999999997</v>
      </c>
      <c r="D3006" s="148">
        <f t="shared" ca="1" si="98"/>
        <v>29.700000000000003</v>
      </c>
      <c r="E3006" s="148">
        <f t="shared" ca="1" si="99"/>
        <v>0</v>
      </c>
    </row>
    <row r="3007" spans="2:5" x14ac:dyDescent="0.25">
      <c r="B3007" s="8">
        <v>40601</v>
      </c>
      <c r="C3007" s="6">
        <f ca="1">IF(OR($C$7="",$B3007&gt;NOW()),"",IF(INDEX(Data!$A:$G,MATCH($B3007,Data!$A:$A,0),MATCH($C$7,Data!$4:$4,0))="","",INDEX(Data!$A:$G,MATCH($B3007,Data!$A:$A,0),MATCH($C$7,Data!$4:$4,0))))</f>
        <v>40.799999999999997</v>
      </c>
      <c r="D3007" s="148">
        <f t="shared" ca="1" si="98"/>
        <v>24.200000000000003</v>
      </c>
      <c r="E3007" s="148">
        <f t="shared" ca="1" si="99"/>
        <v>0</v>
      </c>
    </row>
    <row r="3008" spans="2:5" x14ac:dyDescent="0.25">
      <c r="B3008" s="8">
        <v>40602</v>
      </c>
      <c r="C3008" s="6">
        <f ca="1">IF(OR($C$7="",$B3008&gt;NOW()),"",IF(INDEX(Data!$A:$G,MATCH($B3008,Data!$A:$A,0),MATCH($C$7,Data!$4:$4,0))="","",INDEX(Data!$A:$G,MATCH($B3008,Data!$A:$A,0),MATCH($C$7,Data!$4:$4,0))))</f>
        <v>46.2</v>
      </c>
      <c r="D3008" s="148">
        <f t="shared" ca="1" si="98"/>
        <v>18.799999999999997</v>
      </c>
      <c r="E3008" s="148">
        <f t="shared" ca="1" si="99"/>
        <v>0</v>
      </c>
    </row>
    <row r="3009" spans="2:5" x14ac:dyDescent="0.25">
      <c r="B3009" s="8">
        <v>40603</v>
      </c>
      <c r="C3009" s="6">
        <f ca="1">IF(OR($C$7="",$B3009&gt;NOW()),"",IF(INDEX(Data!$A:$G,MATCH($B3009,Data!$A:$A,0),MATCH($C$7,Data!$4:$4,0))="","",INDEX(Data!$A:$G,MATCH($B3009,Data!$A:$A,0),MATCH($C$7,Data!$4:$4,0))))</f>
        <v>39.4</v>
      </c>
      <c r="D3009" s="148">
        <f t="shared" ca="1" si="98"/>
        <v>25.6</v>
      </c>
      <c r="E3009" s="148">
        <f t="shared" ca="1" si="99"/>
        <v>0</v>
      </c>
    </row>
    <row r="3010" spans="2:5" x14ac:dyDescent="0.25">
      <c r="B3010" s="8">
        <v>40604</v>
      </c>
      <c r="C3010" s="6">
        <f ca="1">IF(OR($C$7="",$B3010&gt;NOW()),"",IF(INDEX(Data!$A:$G,MATCH($B3010,Data!$A:$A,0),MATCH($C$7,Data!$4:$4,0))="","",INDEX(Data!$A:$G,MATCH($B3010,Data!$A:$A,0),MATCH($C$7,Data!$4:$4,0))))</f>
        <v>41.6</v>
      </c>
      <c r="D3010" s="148">
        <f t="shared" ca="1" si="98"/>
        <v>23.4</v>
      </c>
      <c r="E3010" s="148">
        <f t="shared" ca="1" si="99"/>
        <v>0</v>
      </c>
    </row>
    <row r="3011" spans="2:5" x14ac:dyDescent="0.25">
      <c r="B3011" s="8">
        <v>40605</v>
      </c>
      <c r="C3011" s="6">
        <f ca="1">IF(OR($C$7="",$B3011&gt;NOW()),"",IF(INDEX(Data!$A:$G,MATCH($B3011,Data!$A:$A,0),MATCH($C$7,Data!$4:$4,0))="","",INDEX(Data!$A:$G,MATCH($B3011,Data!$A:$A,0),MATCH($C$7,Data!$4:$4,0))))</f>
        <v>26.7</v>
      </c>
      <c r="D3011" s="148">
        <f t="shared" ca="1" si="98"/>
        <v>38.299999999999997</v>
      </c>
      <c r="E3011" s="148">
        <f t="shared" ca="1" si="99"/>
        <v>0</v>
      </c>
    </row>
    <row r="3012" spans="2:5" x14ac:dyDescent="0.25">
      <c r="B3012" s="8">
        <v>40606</v>
      </c>
      <c r="C3012" s="6">
        <f ca="1">IF(OR($C$7="",$B3012&gt;NOW()),"",IF(INDEX(Data!$A:$G,MATCH($B3012,Data!$A:$A,0),MATCH($C$7,Data!$4:$4,0))="","",INDEX(Data!$A:$G,MATCH($B3012,Data!$A:$A,0),MATCH($C$7,Data!$4:$4,0))))</f>
        <v>32.4</v>
      </c>
      <c r="D3012" s="148">
        <f t="shared" ca="1" si="98"/>
        <v>32.6</v>
      </c>
      <c r="E3012" s="148">
        <f t="shared" ca="1" si="99"/>
        <v>0</v>
      </c>
    </row>
    <row r="3013" spans="2:5" x14ac:dyDescent="0.25">
      <c r="B3013" s="8">
        <v>40607</v>
      </c>
      <c r="C3013" s="6">
        <f ca="1">IF(OR($C$7="",$B3013&gt;NOW()),"",IF(INDEX(Data!$A:$G,MATCH($B3013,Data!$A:$A,0),MATCH($C$7,Data!$4:$4,0))="","",INDEX(Data!$A:$G,MATCH($B3013,Data!$A:$A,0),MATCH($C$7,Data!$4:$4,0))))</f>
        <v>46.1</v>
      </c>
      <c r="D3013" s="148">
        <f t="shared" ca="1" si="98"/>
        <v>18.899999999999999</v>
      </c>
      <c r="E3013" s="148">
        <f t="shared" ca="1" si="99"/>
        <v>0</v>
      </c>
    </row>
    <row r="3014" spans="2:5" x14ac:dyDescent="0.25">
      <c r="B3014" s="8">
        <v>40608</v>
      </c>
      <c r="C3014" s="6">
        <f ca="1">IF(OR($C$7="",$B3014&gt;NOW()),"",IF(INDEX(Data!$A:$G,MATCH($B3014,Data!$A:$A,0),MATCH($C$7,Data!$4:$4,0))="","",INDEX(Data!$A:$G,MATCH($B3014,Data!$A:$A,0),MATCH($C$7,Data!$4:$4,0))))</f>
        <v>49.7</v>
      </c>
      <c r="D3014" s="148">
        <f t="shared" ca="1" si="98"/>
        <v>15.299999999999997</v>
      </c>
      <c r="E3014" s="148">
        <f t="shared" ca="1" si="99"/>
        <v>0</v>
      </c>
    </row>
    <row r="3015" spans="2:5" x14ac:dyDescent="0.25">
      <c r="B3015" s="8">
        <v>40609</v>
      </c>
      <c r="C3015" s="6">
        <f ca="1">IF(OR($C$7="",$B3015&gt;NOW()),"",IF(INDEX(Data!$A:$G,MATCH($B3015,Data!$A:$A,0),MATCH($C$7,Data!$4:$4,0))="","",INDEX(Data!$A:$G,MATCH($B3015,Data!$A:$A,0),MATCH($C$7,Data!$4:$4,0))))</f>
        <v>44.2</v>
      </c>
      <c r="D3015" s="148">
        <f t="shared" ca="1" si="98"/>
        <v>20.799999999999997</v>
      </c>
      <c r="E3015" s="148">
        <f t="shared" ca="1" si="99"/>
        <v>0</v>
      </c>
    </row>
    <row r="3016" spans="2:5" x14ac:dyDescent="0.25">
      <c r="B3016" s="8">
        <v>40610</v>
      </c>
      <c r="C3016" s="6">
        <f ca="1">IF(OR($C$7="",$B3016&gt;NOW()),"",IF(INDEX(Data!$A:$G,MATCH($B3016,Data!$A:$A,0),MATCH($C$7,Data!$4:$4,0))="","",INDEX(Data!$A:$G,MATCH($B3016,Data!$A:$A,0),MATCH($C$7,Data!$4:$4,0))))</f>
        <v>37.4</v>
      </c>
      <c r="D3016" s="148">
        <f t="shared" ca="1" si="98"/>
        <v>27.6</v>
      </c>
      <c r="E3016" s="148">
        <f t="shared" ca="1" si="99"/>
        <v>0</v>
      </c>
    </row>
    <row r="3017" spans="2:5" x14ac:dyDescent="0.25">
      <c r="B3017" s="8">
        <v>40611</v>
      </c>
      <c r="C3017" s="6">
        <f ca="1">IF(OR($C$7="",$B3017&gt;NOW()),"",IF(INDEX(Data!$A:$G,MATCH($B3017,Data!$A:$A,0),MATCH($C$7,Data!$4:$4,0))="","",INDEX(Data!$A:$G,MATCH($B3017,Data!$A:$A,0),MATCH($C$7,Data!$4:$4,0))))</f>
        <v>37.6</v>
      </c>
      <c r="D3017" s="148">
        <f t="shared" ca="1" si="98"/>
        <v>27.4</v>
      </c>
      <c r="E3017" s="148">
        <f t="shared" ca="1" si="99"/>
        <v>0</v>
      </c>
    </row>
    <row r="3018" spans="2:5" x14ac:dyDescent="0.25">
      <c r="B3018" s="8">
        <v>40612</v>
      </c>
      <c r="C3018" s="6">
        <f ca="1">IF(OR($C$7="",$B3018&gt;NOW()),"",IF(INDEX(Data!$A:$G,MATCH($B3018,Data!$A:$A,0),MATCH($C$7,Data!$4:$4,0))="","",INDEX(Data!$A:$G,MATCH($B3018,Data!$A:$A,0),MATCH($C$7,Data!$4:$4,0))))</f>
        <v>42</v>
      </c>
      <c r="D3018" s="148">
        <f t="shared" ca="1" si="98"/>
        <v>23</v>
      </c>
      <c r="E3018" s="148">
        <f t="shared" ca="1" si="99"/>
        <v>0</v>
      </c>
    </row>
    <row r="3019" spans="2:5" x14ac:dyDescent="0.25">
      <c r="B3019" s="8">
        <v>40613</v>
      </c>
      <c r="C3019" s="6">
        <f ca="1">IF(OR($C$7="",$B3019&gt;NOW()),"",IF(INDEX(Data!$A:$G,MATCH($B3019,Data!$A:$A,0),MATCH($C$7,Data!$4:$4,0))="","",INDEX(Data!$A:$G,MATCH($B3019,Data!$A:$A,0),MATCH($C$7,Data!$4:$4,0))))</f>
        <v>50.9</v>
      </c>
      <c r="D3019" s="148">
        <f t="shared" ca="1" si="98"/>
        <v>14.100000000000001</v>
      </c>
      <c r="E3019" s="148">
        <f t="shared" ca="1" si="99"/>
        <v>0</v>
      </c>
    </row>
    <row r="3020" spans="2:5" x14ac:dyDescent="0.25">
      <c r="B3020" s="8">
        <v>40614</v>
      </c>
      <c r="C3020" s="6">
        <f ca="1">IF(OR($C$7="",$B3020&gt;NOW()),"",IF(INDEX(Data!$A:$G,MATCH($B3020,Data!$A:$A,0),MATCH($C$7,Data!$4:$4,0))="","",INDEX(Data!$A:$G,MATCH($B3020,Data!$A:$A,0),MATCH($C$7,Data!$4:$4,0))))</f>
        <v>45.3</v>
      </c>
      <c r="D3020" s="148">
        <f t="shared" ca="1" si="98"/>
        <v>19.700000000000003</v>
      </c>
      <c r="E3020" s="148">
        <f t="shared" ca="1" si="99"/>
        <v>0</v>
      </c>
    </row>
    <row r="3021" spans="2:5" x14ac:dyDescent="0.25">
      <c r="B3021" s="8">
        <v>40615</v>
      </c>
      <c r="C3021" s="6">
        <f ca="1">IF(OR($C$7="",$B3021&gt;NOW()),"",IF(INDEX(Data!$A:$G,MATCH($B3021,Data!$A:$A,0),MATCH($C$7,Data!$4:$4,0))="","",INDEX(Data!$A:$G,MATCH($B3021,Data!$A:$A,0),MATCH($C$7,Data!$4:$4,0))))</f>
        <v>48.3</v>
      </c>
      <c r="D3021" s="148">
        <f t="shared" ca="1" si="98"/>
        <v>16.700000000000003</v>
      </c>
      <c r="E3021" s="148">
        <f t="shared" ca="1" si="99"/>
        <v>0</v>
      </c>
    </row>
    <row r="3022" spans="2:5" x14ac:dyDescent="0.25">
      <c r="B3022" s="8">
        <v>40616</v>
      </c>
      <c r="C3022" s="6">
        <f ca="1">IF(OR($C$7="",$B3022&gt;NOW()),"",IF(INDEX(Data!$A:$G,MATCH($B3022,Data!$A:$A,0),MATCH($C$7,Data!$4:$4,0))="","",INDEX(Data!$A:$G,MATCH($B3022,Data!$A:$A,0),MATCH($C$7,Data!$4:$4,0))))</f>
        <v>41.1</v>
      </c>
      <c r="D3022" s="148">
        <f t="shared" ca="1" si="98"/>
        <v>23.9</v>
      </c>
      <c r="E3022" s="148">
        <f t="shared" ca="1" si="99"/>
        <v>0</v>
      </c>
    </row>
    <row r="3023" spans="2:5" x14ac:dyDescent="0.25">
      <c r="B3023" s="8">
        <v>40617</v>
      </c>
      <c r="C3023" s="6">
        <f ca="1">IF(OR($C$7="",$B3023&gt;NOW()),"",IF(INDEX(Data!$A:$G,MATCH($B3023,Data!$A:$A,0),MATCH($C$7,Data!$4:$4,0))="","",INDEX(Data!$A:$G,MATCH($B3023,Data!$A:$A,0),MATCH($C$7,Data!$4:$4,0))))</f>
        <v>38.9</v>
      </c>
      <c r="D3023" s="148">
        <f t="shared" ca="1" si="98"/>
        <v>26.1</v>
      </c>
      <c r="E3023" s="148">
        <f t="shared" ca="1" si="99"/>
        <v>0</v>
      </c>
    </row>
    <row r="3024" spans="2:5" x14ac:dyDescent="0.25">
      <c r="B3024" s="8">
        <v>40618</v>
      </c>
      <c r="C3024" s="6">
        <f ca="1">IF(OR($C$7="",$B3024&gt;NOW()),"",IF(INDEX(Data!$A:$G,MATCH($B3024,Data!$A:$A,0),MATCH($C$7,Data!$4:$4,0))="","",INDEX(Data!$A:$G,MATCH($B3024,Data!$A:$A,0),MATCH($C$7,Data!$4:$4,0))))</f>
        <v>42.5</v>
      </c>
      <c r="D3024" s="148">
        <f t="shared" ca="1" si="98"/>
        <v>22.5</v>
      </c>
      <c r="E3024" s="148">
        <f t="shared" ca="1" si="99"/>
        <v>0</v>
      </c>
    </row>
    <row r="3025" spans="2:5" x14ac:dyDescent="0.25">
      <c r="B3025" s="8">
        <v>40619</v>
      </c>
      <c r="C3025" s="6">
        <f ca="1">IF(OR($C$7="",$B3025&gt;NOW()),"",IF(INDEX(Data!$A:$G,MATCH($B3025,Data!$A:$A,0),MATCH($C$7,Data!$4:$4,0))="","",INDEX(Data!$A:$G,MATCH($B3025,Data!$A:$A,0),MATCH($C$7,Data!$4:$4,0))))</f>
        <v>52</v>
      </c>
      <c r="D3025" s="148">
        <f t="shared" ca="1" si="98"/>
        <v>13</v>
      </c>
      <c r="E3025" s="148">
        <f t="shared" ca="1" si="99"/>
        <v>0</v>
      </c>
    </row>
    <row r="3026" spans="2:5" x14ac:dyDescent="0.25">
      <c r="B3026" s="8">
        <v>40620</v>
      </c>
      <c r="C3026" s="6">
        <f ca="1">IF(OR($C$7="",$B3026&gt;NOW()),"",IF(INDEX(Data!$A:$G,MATCH($B3026,Data!$A:$A,0),MATCH($C$7,Data!$4:$4,0))="","",INDEX(Data!$A:$G,MATCH($B3026,Data!$A:$A,0),MATCH($C$7,Data!$4:$4,0))))</f>
        <v>59.5</v>
      </c>
      <c r="D3026" s="148">
        <f t="shared" ca="1" si="98"/>
        <v>5.5</v>
      </c>
      <c r="E3026" s="148">
        <f t="shared" ca="1" si="99"/>
        <v>0</v>
      </c>
    </row>
    <row r="3027" spans="2:5" x14ac:dyDescent="0.25">
      <c r="B3027" s="8">
        <v>40621</v>
      </c>
      <c r="C3027" s="6">
        <f ca="1">IF(OR($C$7="",$B3027&gt;NOW()),"",IF(INDEX(Data!$A:$G,MATCH($B3027,Data!$A:$A,0),MATCH($C$7,Data!$4:$4,0))="","",INDEX(Data!$A:$G,MATCH($B3027,Data!$A:$A,0),MATCH($C$7,Data!$4:$4,0))))</f>
        <v>51.4</v>
      </c>
      <c r="D3027" s="148">
        <f t="shared" ca="1" si="98"/>
        <v>13.600000000000001</v>
      </c>
      <c r="E3027" s="148">
        <f t="shared" ca="1" si="99"/>
        <v>0</v>
      </c>
    </row>
    <row r="3028" spans="2:5" x14ac:dyDescent="0.25">
      <c r="B3028" s="8">
        <v>40622</v>
      </c>
      <c r="C3028" s="6">
        <f ca="1">IF(OR($C$7="",$B3028&gt;NOW()),"",IF(INDEX(Data!$A:$G,MATCH($B3028,Data!$A:$A,0),MATCH($C$7,Data!$4:$4,0))="","",INDEX(Data!$A:$G,MATCH($B3028,Data!$A:$A,0),MATCH($C$7,Data!$4:$4,0))))</f>
        <v>40.200000000000003</v>
      </c>
      <c r="D3028" s="148">
        <f t="shared" ca="1" si="98"/>
        <v>24.799999999999997</v>
      </c>
      <c r="E3028" s="148">
        <f t="shared" ca="1" si="99"/>
        <v>0</v>
      </c>
    </row>
    <row r="3029" spans="2:5" x14ac:dyDescent="0.25">
      <c r="B3029" s="8">
        <v>40623</v>
      </c>
      <c r="C3029" s="6">
        <f ca="1">IF(OR($C$7="",$B3029&gt;NOW()),"",IF(INDEX(Data!$A:$G,MATCH($B3029,Data!$A:$A,0),MATCH($C$7,Data!$4:$4,0))="","",INDEX(Data!$A:$G,MATCH($B3029,Data!$A:$A,0),MATCH($C$7,Data!$4:$4,0))))</f>
        <v>40.4</v>
      </c>
      <c r="D3029" s="148">
        <f t="shared" ca="1" si="98"/>
        <v>24.6</v>
      </c>
      <c r="E3029" s="148">
        <f t="shared" ca="1" si="99"/>
        <v>0</v>
      </c>
    </row>
    <row r="3030" spans="2:5" x14ac:dyDescent="0.25">
      <c r="B3030" s="8">
        <v>40624</v>
      </c>
      <c r="C3030" s="6">
        <f ca="1">IF(OR($C$7="",$B3030&gt;NOW()),"",IF(INDEX(Data!$A:$G,MATCH($B3030,Data!$A:$A,0),MATCH($C$7,Data!$4:$4,0))="","",INDEX(Data!$A:$G,MATCH($B3030,Data!$A:$A,0),MATCH($C$7,Data!$4:$4,0))))</f>
        <v>44.5</v>
      </c>
      <c r="D3030" s="148">
        <f t="shared" ca="1" si="98"/>
        <v>20.5</v>
      </c>
      <c r="E3030" s="148">
        <f t="shared" ca="1" si="99"/>
        <v>0</v>
      </c>
    </row>
    <row r="3031" spans="2:5" x14ac:dyDescent="0.25">
      <c r="B3031" s="8">
        <v>40625</v>
      </c>
      <c r="C3031" s="6">
        <f ca="1">IF(OR($C$7="",$B3031&gt;NOW()),"",IF(INDEX(Data!$A:$G,MATCH($B3031,Data!$A:$A,0),MATCH($C$7,Data!$4:$4,0))="","",INDEX(Data!$A:$G,MATCH($B3031,Data!$A:$A,0),MATCH($C$7,Data!$4:$4,0))))</f>
        <v>36.9</v>
      </c>
      <c r="D3031" s="148">
        <f t="shared" ca="1" si="98"/>
        <v>28.1</v>
      </c>
      <c r="E3031" s="148">
        <f t="shared" ca="1" si="99"/>
        <v>0</v>
      </c>
    </row>
    <row r="3032" spans="2:5" x14ac:dyDescent="0.25">
      <c r="B3032" s="8">
        <v>40626</v>
      </c>
      <c r="C3032" s="6">
        <f ca="1">IF(OR($C$7="",$B3032&gt;NOW()),"",IF(INDEX(Data!$A:$G,MATCH($B3032,Data!$A:$A,0),MATCH($C$7,Data!$4:$4,0))="","",INDEX(Data!$A:$G,MATCH($B3032,Data!$A:$A,0),MATCH($C$7,Data!$4:$4,0))))</f>
        <v>35.299999999999997</v>
      </c>
      <c r="D3032" s="148">
        <f t="shared" ca="1" si="98"/>
        <v>29.700000000000003</v>
      </c>
      <c r="E3032" s="148">
        <f t="shared" ca="1" si="99"/>
        <v>0</v>
      </c>
    </row>
    <row r="3033" spans="2:5" x14ac:dyDescent="0.25">
      <c r="B3033" s="8">
        <v>40627</v>
      </c>
      <c r="C3033" s="6">
        <f ca="1">IF(OR($C$7="",$B3033&gt;NOW()),"",IF(INDEX(Data!$A:$G,MATCH($B3033,Data!$A:$A,0),MATCH($C$7,Data!$4:$4,0))="","",INDEX(Data!$A:$G,MATCH($B3033,Data!$A:$A,0),MATCH($C$7,Data!$4:$4,0))))</f>
        <v>35.700000000000003</v>
      </c>
      <c r="D3033" s="148">
        <f t="shared" ca="1" si="98"/>
        <v>29.299999999999997</v>
      </c>
      <c r="E3033" s="148">
        <f t="shared" ca="1" si="99"/>
        <v>0</v>
      </c>
    </row>
    <row r="3034" spans="2:5" x14ac:dyDescent="0.25">
      <c r="B3034" s="8">
        <v>40628</v>
      </c>
      <c r="C3034" s="6">
        <f ca="1">IF(OR($C$7="",$B3034&gt;NOW()),"",IF(INDEX(Data!$A:$G,MATCH($B3034,Data!$A:$A,0),MATCH($C$7,Data!$4:$4,0))="","",INDEX(Data!$A:$G,MATCH($B3034,Data!$A:$A,0),MATCH($C$7,Data!$4:$4,0))))</f>
        <v>32.299999999999997</v>
      </c>
      <c r="D3034" s="148">
        <f t="shared" ca="1" si="98"/>
        <v>32.700000000000003</v>
      </c>
      <c r="E3034" s="148">
        <f t="shared" ca="1" si="99"/>
        <v>0</v>
      </c>
    </row>
    <row r="3035" spans="2:5" x14ac:dyDescent="0.25">
      <c r="B3035" s="8">
        <v>40629</v>
      </c>
      <c r="C3035" s="6">
        <f ca="1">IF(OR($C$7="",$B3035&gt;NOW()),"",IF(INDEX(Data!$A:$G,MATCH($B3035,Data!$A:$A,0),MATCH($C$7,Data!$4:$4,0))="","",INDEX(Data!$A:$G,MATCH($B3035,Data!$A:$A,0),MATCH($C$7,Data!$4:$4,0))))</f>
        <v>33.9</v>
      </c>
      <c r="D3035" s="148">
        <f t="shared" ca="1" si="98"/>
        <v>31.1</v>
      </c>
      <c r="E3035" s="148">
        <f t="shared" ca="1" si="99"/>
        <v>0</v>
      </c>
    </row>
    <row r="3036" spans="2:5" x14ac:dyDescent="0.25">
      <c r="B3036" s="8">
        <v>40630</v>
      </c>
      <c r="C3036" s="6">
        <f ca="1">IF(OR($C$7="",$B3036&gt;NOW()),"",IF(INDEX(Data!$A:$G,MATCH($B3036,Data!$A:$A,0),MATCH($C$7,Data!$4:$4,0))="","",INDEX(Data!$A:$G,MATCH($B3036,Data!$A:$A,0),MATCH($C$7,Data!$4:$4,0))))</f>
        <v>34.9</v>
      </c>
      <c r="D3036" s="148">
        <f t="shared" ca="1" si="98"/>
        <v>30.1</v>
      </c>
      <c r="E3036" s="148">
        <f t="shared" ca="1" si="99"/>
        <v>0</v>
      </c>
    </row>
    <row r="3037" spans="2:5" x14ac:dyDescent="0.25">
      <c r="B3037" s="8">
        <v>40631</v>
      </c>
      <c r="C3037" s="6">
        <f ca="1">IF(OR($C$7="",$B3037&gt;NOW()),"",IF(INDEX(Data!$A:$G,MATCH($B3037,Data!$A:$A,0),MATCH($C$7,Data!$4:$4,0))="","",INDEX(Data!$A:$G,MATCH($B3037,Data!$A:$A,0),MATCH($C$7,Data!$4:$4,0))))</f>
        <v>38.799999999999997</v>
      </c>
      <c r="D3037" s="148">
        <f t="shared" ref="D3037:D3100" ca="1" si="100">IF($C3037="","",IF($C3037&gt;$D$26,0,$D$26-$C3037))</f>
        <v>26.200000000000003</v>
      </c>
      <c r="E3037" s="148">
        <f t="shared" ref="E3037:E3100" ca="1" si="101">IF($C3037="","",IF($C3037&lt;$E$26,0,$C3037-$E$26))</f>
        <v>0</v>
      </c>
    </row>
    <row r="3038" spans="2:5" x14ac:dyDescent="0.25">
      <c r="B3038" s="8">
        <v>40632</v>
      </c>
      <c r="C3038" s="6">
        <f ca="1">IF(OR($C$7="",$B3038&gt;NOW()),"",IF(INDEX(Data!$A:$G,MATCH($B3038,Data!$A:$A,0),MATCH($C$7,Data!$4:$4,0))="","",INDEX(Data!$A:$G,MATCH($B3038,Data!$A:$A,0),MATCH($C$7,Data!$4:$4,0))))</f>
        <v>43</v>
      </c>
      <c r="D3038" s="148">
        <f t="shared" ca="1" si="100"/>
        <v>22</v>
      </c>
      <c r="E3038" s="148">
        <f t="shared" ca="1" si="101"/>
        <v>0</v>
      </c>
    </row>
    <row r="3039" spans="2:5" x14ac:dyDescent="0.25">
      <c r="B3039" s="8">
        <v>40633</v>
      </c>
      <c r="C3039" s="6">
        <f ca="1">IF(OR($C$7="",$B3039&gt;NOW()),"",IF(INDEX(Data!$A:$G,MATCH($B3039,Data!$A:$A,0),MATCH($C$7,Data!$4:$4,0))="","",INDEX(Data!$A:$G,MATCH($B3039,Data!$A:$A,0),MATCH($C$7,Data!$4:$4,0))))</f>
        <v>41</v>
      </c>
      <c r="D3039" s="148">
        <f t="shared" ca="1" si="100"/>
        <v>24</v>
      </c>
      <c r="E3039" s="148">
        <f t="shared" ca="1" si="101"/>
        <v>0</v>
      </c>
    </row>
    <row r="3040" spans="2:5" x14ac:dyDescent="0.25">
      <c r="B3040" s="8">
        <v>40634</v>
      </c>
      <c r="C3040" s="6">
        <f ca="1">IF(OR($C$7="",$B3040&gt;NOW()),"",IF(INDEX(Data!$A:$G,MATCH($B3040,Data!$A:$A,0),MATCH($C$7,Data!$4:$4,0))="","",INDEX(Data!$A:$G,MATCH($B3040,Data!$A:$A,0),MATCH($C$7,Data!$4:$4,0))))</f>
        <v>38.1</v>
      </c>
      <c r="D3040" s="148">
        <f t="shared" ca="1" si="100"/>
        <v>26.9</v>
      </c>
      <c r="E3040" s="148">
        <f t="shared" ca="1" si="101"/>
        <v>0</v>
      </c>
    </row>
    <row r="3041" spans="2:5" x14ac:dyDescent="0.25">
      <c r="B3041" s="8">
        <v>40635</v>
      </c>
      <c r="C3041" s="6">
        <f ca="1">IF(OR($C$7="",$B3041&gt;NOW()),"",IF(INDEX(Data!$A:$G,MATCH($B3041,Data!$A:$A,0),MATCH($C$7,Data!$4:$4,0))="","",INDEX(Data!$A:$G,MATCH($B3041,Data!$A:$A,0),MATCH($C$7,Data!$4:$4,0))))</f>
        <v>45.4</v>
      </c>
      <c r="D3041" s="148">
        <f t="shared" ca="1" si="100"/>
        <v>19.600000000000001</v>
      </c>
      <c r="E3041" s="148">
        <f t="shared" ca="1" si="101"/>
        <v>0</v>
      </c>
    </row>
    <row r="3042" spans="2:5" x14ac:dyDescent="0.25">
      <c r="B3042" s="8">
        <v>40636</v>
      </c>
      <c r="C3042" s="6">
        <f ca="1">IF(OR($C$7="",$B3042&gt;NOW()),"",IF(INDEX(Data!$A:$G,MATCH($B3042,Data!$A:$A,0),MATCH($C$7,Data!$4:$4,0))="","",INDEX(Data!$A:$G,MATCH($B3042,Data!$A:$A,0),MATCH($C$7,Data!$4:$4,0))))</f>
        <v>48.5</v>
      </c>
      <c r="D3042" s="148">
        <f t="shared" ca="1" si="100"/>
        <v>16.5</v>
      </c>
      <c r="E3042" s="148">
        <f t="shared" ca="1" si="101"/>
        <v>0</v>
      </c>
    </row>
    <row r="3043" spans="2:5" x14ac:dyDescent="0.25">
      <c r="B3043" s="8">
        <v>40637</v>
      </c>
      <c r="C3043" s="6">
        <f ca="1">IF(OR($C$7="",$B3043&gt;NOW()),"",IF(INDEX(Data!$A:$G,MATCH($B3043,Data!$A:$A,0),MATCH($C$7,Data!$4:$4,0))="","",INDEX(Data!$A:$G,MATCH($B3043,Data!$A:$A,0),MATCH($C$7,Data!$4:$4,0))))</f>
        <v>51</v>
      </c>
      <c r="D3043" s="148">
        <f t="shared" ca="1" si="100"/>
        <v>14</v>
      </c>
      <c r="E3043" s="148">
        <f t="shared" ca="1" si="101"/>
        <v>0</v>
      </c>
    </row>
    <row r="3044" spans="2:5" x14ac:dyDescent="0.25">
      <c r="B3044" s="8">
        <v>40638</v>
      </c>
      <c r="C3044" s="6">
        <f ca="1">IF(OR($C$7="",$B3044&gt;NOW()),"",IF(INDEX(Data!$A:$G,MATCH($B3044,Data!$A:$A,0),MATCH($C$7,Data!$4:$4,0))="","",INDEX(Data!$A:$G,MATCH($B3044,Data!$A:$A,0),MATCH($C$7,Data!$4:$4,0))))</f>
        <v>50.8</v>
      </c>
      <c r="D3044" s="148">
        <f t="shared" ca="1" si="100"/>
        <v>14.200000000000003</v>
      </c>
      <c r="E3044" s="148">
        <f t="shared" ca="1" si="101"/>
        <v>0</v>
      </c>
    </row>
    <row r="3045" spans="2:5" x14ac:dyDescent="0.25">
      <c r="B3045" s="8">
        <v>40639</v>
      </c>
      <c r="C3045" s="6">
        <f ca="1">IF(OR($C$7="",$B3045&gt;NOW()),"",IF(INDEX(Data!$A:$G,MATCH($B3045,Data!$A:$A,0),MATCH($C$7,Data!$4:$4,0))="","",INDEX(Data!$A:$G,MATCH($B3045,Data!$A:$A,0),MATCH($C$7,Data!$4:$4,0))))</f>
        <v>44.5</v>
      </c>
      <c r="D3045" s="148">
        <f t="shared" ca="1" si="100"/>
        <v>20.5</v>
      </c>
      <c r="E3045" s="148">
        <f t="shared" ca="1" si="101"/>
        <v>0</v>
      </c>
    </row>
    <row r="3046" spans="2:5" x14ac:dyDescent="0.25">
      <c r="B3046" s="8">
        <v>40640</v>
      </c>
      <c r="C3046" s="6">
        <f ca="1">IF(OR($C$7="",$B3046&gt;NOW()),"",IF(INDEX(Data!$A:$G,MATCH($B3046,Data!$A:$A,0),MATCH($C$7,Data!$4:$4,0))="","",INDEX(Data!$A:$G,MATCH($B3046,Data!$A:$A,0),MATCH($C$7,Data!$4:$4,0))))</f>
        <v>43.5</v>
      </c>
      <c r="D3046" s="148">
        <f t="shared" ca="1" si="100"/>
        <v>21.5</v>
      </c>
      <c r="E3046" s="148">
        <f t="shared" ca="1" si="101"/>
        <v>0</v>
      </c>
    </row>
    <row r="3047" spans="2:5" x14ac:dyDescent="0.25">
      <c r="B3047" s="8">
        <v>40641</v>
      </c>
      <c r="C3047" s="6">
        <f ca="1">IF(OR($C$7="",$B3047&gt;NOW()),"",IF(INDEX(Data!$A:$G,MATCH($B3047,Data!$A:$A,0),MATCH($C$7,Data!$4:$4,0))="","",INDEX(Data!$A:$G,MATCH($B3047,Data!$A:$A,0),MATCH($C$7,Data!$4:$4,0))))</f>
        <v>43.8</v>
      </c>
      <c r="D3047" s="148">
        <f t="shared" ca="1" si="100"/>
        <v>21.200000000000003</v>
      </c>
      <c r="E3047" s="148">
        <f t="shared" ca="1" si="101"/>
        <v>0</v>
      </c>
    </row>
    <row r="3048" spans="2:5" x14ac:dyDescent="0.25">
      <c r="B3048" s="8">
        <v>40642</v>
      </c>
      <c r="C3048" s="6">
        <f ca="1">IF(OR($C$7="",$B3048&gt;NOW()),"",IF(INDEX(Data!$A:$G,MATCH($B3048,Data!$A:$A,0),MATCH($C$7,Data!$4:$4,0))="","",INDEX(Data!$A:$G,MATCH($B3048,Data!$A:$A,0),MATCH($C$7,Data!$4:$4,0))))</f>
        <v>45.2</v>
      </c>
      <c r="D3048" s="148">
        <f t="shared" ca="1" si="100"/>
        <v>19.799999999999997</v>
      </c>
      <c r="E3048" s="148">
        <f t="shared" ca="1" si="101"/>
        <v>0</v>
      </c>
    </row>
    <row r="3049" spans="2:5" x14ac:dyDescent="0.25">
      <c r="B3049" s="8">
        <v>40643</v>
      </c>
      <c r="C3049" s="6">
        <f ca="1">IF(OR($C$7="",$B3049&gt;NOW()),"",IF(INDEX(Data!$A:$G,MATCH($B3049,Data!$A:$A,0),MATCH($C$7,Data!$4:$4,0))="","",INDEX(Data!$A:$G,MATCH($B3049,Data!$A:$A,0),MATCH($C$7,Data!$4:$4,0))))</f>
        <v>48.2</v>
      </c>
      <c r="D3049" s="148">
        <f t="shared" ca="1" si="100"/>
        <v>16.799999999999997</v>
      </c>
      <c r="E3049" s="148">
        <f t="shared" ca="1" si="101"/>
        <v>0</v>
      </c>
    </row>
    <row r="3050" spans="2:5" x14ac:dyDescent="0.25">
      <c r="B3050" s="8">
        <v>40644</v>
      </c>
      <c r="C3050" s="6">
        <f ca="1">IF(OR($C$7="",$B3050&gt;NOW()),"",IF(INDEX(Data!$A:$G,MATCH($B3050,Data!$A:$A,0),MATCH($C$7,Data!$4:$4,0))="","",INDEX(Data!$A:$G,MATCH($B3050,Data!$A:$A,0),MATCH($C$7,Data!$4:$4,0))))</f>
        <v>55.8</v>
      </c>
      <c r="D3050" s="148">
        <f t="shared" ca="1" si="100"/>
        <v>9.2000000000000028</v>
      </c>
      <c r="E3050" s="148">
        <f t="shared" ca="1" si="101"/>
        <v>0</v>
      </c>
    </row>
    <row r="3051" spans="2:5" x14ac:dyDescent="0.25">
      <c r="B3051" s="8">
        <v>40645</v>
      </c>
      <c r="C3051" s="6">
        <f ca="1">IF(OR($C$7="",$B3051&gt;NOW()),"",IF(INDEX(Data!$A:$G,MATCH($B3051,Data!$A:$A,0),MATCH($C$7,Data!$4:$4,0))="","",INDEX(Data!$A:$G,MATCH($B3051,Data!$A:$A,0),MATCH($C$7,Data!$4:$4,0))))</f>
        <v>60.2</v>
      </c>
      <c r="D3051" s="148">
        <f t="shared" ca="1" si="100"/>
        <v>4.7999999999999972</v>
      </c>
      <c r="E3051" s="148">
        <f t="shared" ca="1" si="101"/>
        <v>0</v>
      </c>
    </row>
    <row r="3052" spans="2:5" x14ac:dyDescent="0.25">
      <c r="B3052" s="8">
        <v>40646</v>
      </c>
      <c r="C3052" s="6">
        <f ca="1">IF(OR($C$7="",$B3052&gt;NOW()),"",IF(INDEX(Data!$A:$G,MATCH($B3052,Data!$A:$A,0),MATCH($C$7,Data!$4:$4,0))="","",INDEX(Data!$A:$G,MATCH($B3052,Data!$A:$A,0),MATCH($C$7,Data!$4:$4,0))))</f>
        <v>46.1</v>
      </c>
      <c r="D3052" s="148">
        <f t="shared" ca="1" si="100"/>
        <v>18.899999999999999</v>
      </c>
      <c r="E3052" s="148">
        <f t="shared" ca="1" si="101"/>
        <v>0</v>
      </c>
    </row>
    <row r="3053" spans="2:5" x14ac:dyDescent="0.25">
      <c r="B3053" s="8">
        <v>40647</v>
      </c>
      <c r="C3053" s="6">
        <f ca="1">IF(OR($C$7="",$B3053&gt;NOW()),"",IF(INDEX(Data!$A:$G,MATCH($B3053,Data!$A:$A,0),MATCH($C$7,Data!$4:$4,0))="","",INDEX(Data!$A:$G,MATCH($B3053,Data!$A:$A,0),MATCH($C$7,Data!$4:$4,0))))</f>
        <v>54.1</v>
      </c>
      <c r="D3053" s="148">
        <f t="shared" ca="1" si="100"/>
        <v>10.899999999999999</v>
      </c>
      <c r="E3053" s="148">
        <f t="shared" ca="1" si="101"/>
        <v>0</v>
      </c>
    </row>
    <row r="3054" spans="2:5" x14ac:dyDescent="0.25">
      <c r="B3054" s="8">
        <v>40648</v>
      </c>
      <c r="C3054" s="6">
        <f ca="1">IF(OR($C$7="",$B3054&gt;NOW()),"",IF(INDEX(Data!$A:$G,MATCH($B3054,Data!$A:$A,0),MATCH($C$7,Data!$4:$4,0))="","",INDEX(Data!$A:$G,MATCH($B3054,Data!$A:$A,0),MATCH($C$7,Data!$4:$4,0))))</f>
        <v>51.2</v>
      </c>
      <c r="D3054" s="148">
        <f t="shared" ca="1" si="100"/>
        <v>13.799999999999997</v>
      </c>
      <c r="E3054" s="148">
        <f t="shared" ca="1" si="101"/>
        <v>0</v>
      </c>
    </row>
    <row r="3055" spans="2:5" x14ac:dyDescent="0.25">
      <c r="B3055" s="8">
        <v>40649</v>
      </c>
      <c r="C3055" s="6">
        <f ca="1">IF(OR($C$7="",$B3055&gt;NOW()),"",IF(INDEX(Data!$A:$G,MATCH($B3055,Data!$A:$A,0),MATCH($C$7,Data!$4:$4,0))="","",INDEX(Data!$A:$G,MATCH($B3055,Data!$A:$A,0),MATCH($C$7,Data!$4:$4,0))))</f>
        <v>43.8</v>
      </c>
      <c r="D3055" s="148">
        <f t="shared" ca="1" si="100"/>
        <v>21.200000000000003</v>
      </c>
      <c r="E3055" s="148">
        <f t="shared" ca="1" si="101"/>
        <v>0</v>
      </c>
    </row>
    <row r="3056" spans="2:5" x14ac:dyDescent="0.25">
      <c r="B3056" s="8">
        <v>40650</v>
      </c>
      <c r="C3056" s="6">
        <f ca="1">IF(OR($C$7="",$B3056&gt;NOW()),"",IF(INDEX(Data!$A:$G,MATCH($B3056,Data!$A:$A,0),MATCH($C$7,Data!$4:$4,0))="","",INDEX(Data!$A:$G,MATCH($B3056,Data!$A:$A,0),MATCH($C$7,Data!$4:$4,0))))</f>
        <v>55.1</v>
      </c>
      <c r="D3056" s="148">
        <f t="shared" ca="1" si="100"/>
        <v>9.8999999999999986</v>
      </c>
      <c r="E3056" s="148">
        <f t="shared" ca="1" si="101"/>
        <v>0</v>
      </c>
    </row>
    <row r="3057" spans="2:5" x14ac:dyDescent="0.25">
      <c r="B3057" s="8">
        <v>40651</v>
      </c>
      <c r="C3057" s="6">
        <f ca="1">IF(OR($C$7="",$B3057&gt;NOW()),"",IF(INDEX(Data!$A:$G,MATCH($B3057,Data!$A:$A,0),MATCH($C$7,Data!$4:$4,0))="","",INDEX(Data!$A:$G,MATCH($B3057,Data!$A:$A,0),MATCH($C$7,Data!$4:$4,0))))</f>
        <v>53.4</v>
      </c>
      <c r="D3057" s="148">
        <f t="shared" ca="1" si="100"/>
        <v>11.600000000000001</v>
      </c>
      <c r="E3057" s="148">
        <f t="shared" ca="1" si="101"/>
        <v>0</v>
      </c>
    </row>
    <row r="3058" spans="2:5" x14ac:dyDescent="0.25">
      <c r="B3058" s="8">
        <v>40652</v>
      </c>
      <c r="C3058" s="6">
        <f ca="1">IF(OR($C$7="",$B3058&gt;NOW()),"",IF(INDEX(Data!$A:$G,MATCH($B3058,Data!$A:$A,0),MATCH($C$7,Data!$4:$4,0))="","",INDEX(Data!$A:$G,MATCH($B3058,Data!$A:$A,0),MATCH($C$7,Data!$4:$4,0))))</f>
        <v>49.7</v>
      </c>
      <c r="D3058" s="148">
        <f t="shared" ca="1" si="100"/>
        <v>15.299999999999997</v>
      </c>
      <c r="E3058" s="148">
        <f t="shared" ca="1" si="101"/>
        <v>0</v>
      </c>
    </row>
    <row r="3059" spans="2:5" x14ac:dyDescent="0.25">
      <c r="B3059" s="8">
        <v>40653</v>
      </c>
      <c r="C3059" s="6">
        <f ca="1">IF(OR($C$7="",$B3059&gt;NOW()),"",IF(INDEX(Data!$A:$G,MATCH($B3059,Data!$A:$A,0),MATCH($C$7,Data!$4:$4,0))="","",INDEX(Data!$A:$G,MATCH($B3059,Data!$A:$A,0),MATCH($C$7,Data!$4:$4,0))))</f>
        <v>48.4</v>
      </c>
      <c r="D3059" s="148">
        <f t="shared" ca="1" si="100"/>
        <v>16.600000000000001</v>
      </c>
      <c r="E3059" s="148">
        <f t="shared" ca="1" si="101"/>
        <v>0</v>
      </c>
    </row>
    <row r="3060" spans="2:5" x14ac:dyDescent="0.25">
      <c r="B3060" s="8">
        <v>40654</v>
      </c>
      <c r="C3060" s="6">
        <f ca="1">IF(OR($C$7="",$B3060&gt;NOW()),"",IF(INDEX(Data!$A:$G,MATCH($B3060,Data!$A:$A,0),MATCH($C$7,Data!$4:$4,0))="","",INDEX(Data!$A:$G,MATCH($B3060,Data!$A:$A,0),MATCH($C$7,Data!$4:$4,0))))</f>
        <v>54.6</v>
      </c>
      <c r="D3060" s="148">
        <f t="shared" ca="1" si="100"/>
        <v>10.399999999999999</v>
      </c>
      <c r="E3060" s="148">
        <f t="shared" ca="1" si="101"/>
        <v>0</v>
      </c>
    </row>
    <row r="3061" spans="2:5" x14ac:dyDescent="0.25">
      <c r="B3061" s="8">
        <v>40655</v>
      </c>
      <c r="C3061" s="6">
        <f ca="1">IF(OR($C$7="",$B3061&gt;NOW()),"",IF(INDEX(Data!$A:$G,MATCH($B3061,Data!$A:$A,0),MATCH($C$7,Data!$4:$4,0))="","",INDEX(Data!$A:$G,MATCH($B3061,Data!$A:$A,0),MATCH($C$7,Data!$4:$4,0))))</f>
        <v>44.9</v>
      </c>
      <c r="D3061" s="148">
        <f t="shared" ca="1" si="100"/>
        <v>20.100000000000001</v>
      </c>
      <c r="E3061" s="148">
        <f t="shared" ca="1" si="101"/>
        <v>0</v>
      </c>
    </row>
    <row r="3062" spans="2:5" x14ac:dyDescent="0.25">
      <c r="B3062" s="8">
        <v>40656</v>
      </c>
      <c r="C3062" s="6">
        <f ca="1">IF(OR($C$7="",$B3062&gt;NOW()),"",IF(INDEX(Data!$A:$G,MATCH($B3062,Data!$A:$A,0),MATCH($C$7,Data!$4:$4,0))="","",INDEX(Data!$A:$G,MATCH($B3062,Data!$A:$A,0),MATCH($C$7,Data!$4:$4,0))))</f>
        <v>48.5</v>
      </c>
      <c r="D3062" s="148">
        <f t="shared" ca="1" si="100"/>
        <v>16.5</v>
      </c>
      <c r="E3062" s="148">
        <f t="shared" ca="1" si="101"/>
        <v>0</v>
      </c>
    </row>
    <row r="3063" spans="2:5" x14ac:dyDescent="0.25">
      <c r="B3063" s="8">
        <v>40657</v>
      </c>
      <c r="C3063" s="6">
        <f ca="1">IF(OR($C$7="",$B3063&gt;NOW()),"",IF(INDEX(Data!$A:$G,MATCH($B3063,Data!$A:$A,0),MATCH($C$7,Data!$4:$4,0))="","",INDEX(Data!$A:$G,MATCH($B3063,Data!$A:$A,0),MATCH($C$7,Data!$4:$4,0))))</f>
        <v>62.6</v>
      </c>
      <c r="D3063" s="148">
        <f t="shared" ca="1" si="100"/>
        <v>2.3999999999999986</v>
      </c>
      <c r="E3063" s="148">
        <f t="shared" ca="1" si="101"/>
        <v>0</v>
      </c>
    </row>
    <row r="3064" spans="2:5" x14ac:dyDescent="0.25">
      <c r="B3064" s="8">
        <v>40658</v>
      </c>
      <c r="C3064" s="6">
        <f ca="1">IF(OR($C$7="",$B3064&gt;NOW()),"",IF(INDEX(Data!$A:$G,MATCH($B3064,Data!$A:$A,0),MATCH($C$7,Data!$4:$4,0))="","",INDEX(Data!$A:$G,MATCH($B3064,Data!$A:$A,0),MATCH($C$7,Data!$4:$4,0))))</f>
        <v>60.9</v>
      </c>
      <c r="D3064" s="148">
        <f t="shared" ca="1" si="100"/>
        <v>4.1000000000000014</v>
      </c>
      <c r="E3064" s="148">
        <f t="shared" ca="1" si="101"/>
        <v>0</v>
      </c>
    </row>
    <row r="3065" spans="2:5" x14ac:dyDescent="0.25">
      <c r="B3065" s="8">
        <v>40659</v>
      </c>
      <c r="C3065" s="6">
        <f ca="1">IF(OR($C$7="",$B3065&gt;NOW()),"",IF(INDEX(Data!$A:$G,MATCH($B3065,Data!$A:$A,0),MATCH($C$7,Data!$4:$4,0))="","",INDEX(Data!$A:$G,MATCH($B3065,Data!$A:$A,0),MATCH($C$7,Data!$4:$4,0))))</f>
        <v>61.8</v>
      </c>
      <c r="D3065" s="148">
        <f t="shared" ca="1" si="100"/>
        <v>3.2000000000000028</v>
      </c>
      <c r="E3065" s="148">
        <f t="shared" ca="1" si="101"/>
        <v>0</v>
      </c>
    </row>
    <row r="3066" spans="2:5" x14ac:dyDescent="0.25">
      <c r="B3066" s="8">
        <v>40660</v>
      </c>
      <c r="C3066" s="6">
        <f ca="1">IF(OR($C$7="",$B3066&gt;NOW()),"",IF(INDEX(Data!$A:$G,MATCH($B3066,Data!$A:$A,0),MATCH($C$7,Data!$4:$4,0))="","",INDEX(Data!$A:$G,MATCH($B3066,Data!$A:$A,0),MATCH($C$7,Data!$4:$4,0))))</f>
        <v>62.5</v>
      </c>
      <c r="D3066" s="148">
        <f t="shared" ca="1" si="100"/>
        <v>2.5</v>
      </c>
      <c r="E3066" s="148">
        <f t="shared" ca="1" si="101"/>
        <v>0</v>
      </c>
    </row>
    <row r="3067" spans="2:5" x14ac:dyDescent="0.25">
      <c r="B3067" s="8">
        <v>40661</v>
      </c>
      <c r="C3067" s="6">
        <f ca="1">IF(OR($C$7="",$B3067&gt;NOW()),"",IF(INDEX(Data!$A:$G,MATCH($B3067,Data!$A:$A,0),MATCH($C$7,Data!$4:$4,0))="","",INDEX(Data!$A:$G,MATCH($B3067,Data!$A:$A,0),MATCH($C$7,Data!$4:$4,0))))</f>
        <v>61.4</v>
      </c>
      <c r="D3067" s="148">
        <f t="shared" ca="1" si="100"/>
        <v>3.6000000000000014</v>
      </c>
      <c r="E3067" s="148">
        <f t="shared" ca="1" si="101"/>
        <v>0</v>
      </c>
    </row>
    <row r="3068" spans="2:5" x14ac:dyDescent="0.25">
      <c r="B3068" s="8">
        <v>40662</v>
      </c>
      <c r="C3068" s="6">
        <f ca="1">IF(OR($C$7="",$B3068&gt;NOW()),"",IF(INDEX(Data!$A:$G,MATCH($B3068,Data!$A:$A,0),MATCH($C$7,Data!$4:$4,0))="","",INDEX(Data!$A:$G,MATCH($B3068,Data!$A:$A,0),MATCH($C$7,Data!$4:$4,0))))</f>
        <v>63.9</v>
      </c>
      <c r="D3068" s="148">
        <f t="shared" ca="1" si="100"/>
        <v>1.1000000000000014</v>
      </c>
      <c r="E3068" s="148">
        <f t="shared" ca="1" si="101"/>
        <v>0</v>
      </c>
    </row>
    <row r="3069" spans="2:5" x14ac:dyDescent="0.25">
      <c r="B3069" s="8">
        <v>40663</v>
      </c>
      <c r="C3069" s="6">
        <f ca="1">IF(OR($C$7="",$B3069&gt;NOW()),"",IF(INDEX(Data!$A:$G,MATCH($B3069,Data!$A:$A,0),MATCH($C$7,Data!$4:$4,0))="","",INDEX(Data!$A:$G,MATCH($B3069,Data!$A:$A,0),MATCH($C$7,Data!$4:$4,0))))</f>
        <v>56.3</v>
      </c>
      <c r="D3069" s="148">
        <f t="shared" ca="1" si="100"/>
        <v>8.7000000000000028</v>
      </c>
      <c r="E3069" s="148">
        <f t="shared" ca="1" si="101"/>
        <v>0</v>
      </c>
    </row>
    <row r="3070" spans="2:5" x14ac:dyDescent="0.25">
      <c r="B3070" s="8">
        <v>40664</v>
      </c>
      <c r="C3070" s="6">
        <f ca="1">IF(OR($C$7="",$B3070&gt;NOW()),"",IF(INDEX(Data!$A:$G,MATCH($B3070,Data!$A:$A,0),MATCH($C$7,Data!$4:$4,0))="","",INDEX(Data!$A:$G,MATCH($B3070,Data!$A:$A,0),MATCH($C$7,Data!$4:$4,0))))</f>
        <v>57</v>
      </c>
      <c r="D3070" s="148">
        <f t="shared" ca="1" si="100"/>
        <v>8</v>
      </c>
      <c r="E3070" s="148">
        <f t="shared" ca="1" si="101"/>
        <v>0</v>
      </c>
    </row>
    <row r="3071" spans="2:5" x14ac:dyDescent="0.25">
      <c r="B3071" s="8">
        <v>40665</v>
      </c>
      <c r="C3071" s="6">
        <f ca="1">IF(OR($C$7="",$B3071&gt;NOW()),"",IF(INDEX(Data!$A:$G,MATCH($B3071,Data!$A:$A,0),MATCH($C$7,Data!$4:$4,0))="","",INDEX(Data!$A:$G,MATCH($B3071,Data!$A:$A,0),MATCH($C$7,Data!$4:$4,0))))</f>
        <v>53.6</v>
      </c>
      <c r="D3071" s="148">
        <f t="shared" ca="1" si="100"/>
        <v>11.399999999999999</v>
      </c>
      <c r="E3071" s="148">
        <f t="shared" ca="1" si="101"/>
        <v>0</v>
      </c>
    </row>
    <row r="3072" spans="2:5" x14ac:dyDescent="0.25">
      <c r="B3072" s="8">
        <v>40666</v>
      </c>
      <c r="C3072" s="6">
        <f ca="1">IF(OR($C$7="",$B3072&gt;NOW()),"",IF(INDEX(Data!$A:$G,MATCH($B3072,Data!$A:$A,0),MATCH($C$7,Data!$4:$4,0))="","",INDEX(Data!$A:$G,MATCH($B3072,Data!$A:$A,0),MATCH($C$7,Data!$4:$4,0))))</f>
        <v>57.6</v>
      </c>
      <c r="D3072" s="148">
        <f t="shared" ca="1" si="100"/>
        <v>7.3999999999999986</v>
      </c>
      <c r="E3072" s="148">
        <f t="shared" ca="1" si="101"/>
        <v>0</v>
      </c>
    </row>
    <row r="3073" spans="2:5" x14ac:dyDescent="0.25">
      <c r="B3073" s="8">
        <v>40667</v>
      </c>
      <c r="C3073" s="6">
        <f ca="1">IF(OR($C$7="",$B3073&gt;NOW()),"",IF(INDEX(Data!$A:$G,MATCH($B3073,Data!$A:$A,0),MATCH($C$7,Data!$4:$4,0))="","",INDEX(Data!$A:$G,MATCH($B3073,Data!$A:$A,0),MATCH($C$7,Data!$4:$4,0))))</f>
        <v>55.6</v>
      </c>
      <c r="D3073" s="148">
        <f t="shared" ca="1" si="100"/>
        <v>9.3999999999999986</v>
      </c>
      <c r="E3073" s="148">
        <f t="shared" ca="1" si="101"/>
        <v>0</v>
      </c>
    </row>
    <row r="3074" spans="2:5" x14ac:dyDescent="0.25">
      <c r="B3074" s="8">
        <v>40668</v>
      </c>
      <c r="C3074" s="6">
        <f ca="1">IF(OR($C$7="",$B3074&gt;NOW()),"",IF(INDEX(Data!$A:$G,MATCH($B3074,Data!$A:$A,0),MATCH($C$7,Data!$4:$4,0))="","",INDEX(Data!$A:$G,MATCH($B3074,Data!$A:$A,0),MATCH($C$7,Data!$4:$4,0))))</f>
        <v>53.8</v>
      </c>
      <c r="D3074" s="148">
        <f t="shared" ca="1" si="100"/>
        <v>11.200000000000003</v>
      </c>
      <c r="E3074" s="148">
        <f t="shared" ca="1" si="101"/>
        <v>0</v>
      </c>
    </row>
    <row r="3075" spans="2:5" x14ac:dyDescent="0.25">
      <c r="B3075" s="8">
        <v>40669</v>
      </c>
      <c r="C3075" s="6">
        <f ca="1">IF(OR($C$7="",$B3075&gt;NOW()),"",IF(INDEX(Data!$A:$G,MATCH($B3075,Data!$A:$A,0),MATCH($C$7,Data!$4:$4,0))="","",INDEX(Data!$A:$G,MATCH($B3075,Data!$A:$A,0),MATCH($C$7,Data!$4:$4,0))))</f>
        <v>59.6</v>
      </c>
      <c r="D3075" s="148">
        <f t="shared" ca="1" si="100"/>
        <v>5.3999999999999986</v>
      </c>
      <c r="E3075" s="148">
        <f t="shared" ca="1" si="101"/>
        <v>0</v>
      </c>
    </row>
    <row r="3076" spans="2:5" x14ac:dyDescent="0.25">
      <c r="B3076" s="8">
        <v>40670</v>
      </c>
      <c r="C3076" s="6">
        <f ca="1">IF(OR($C$7="",$B3076&gt;NOW()),"",IF(INDEX(Data!$A:$G,MATCH($B3076,Data!$A:$A,0),MATCH($C$7,Data!$4:$4,0))="","",INDEX(Data!$A:$G,MATCH($B3076,Data!$A:$A,0),MATCH($C$7,Data!$4:$4,0))))</f>
        <v>62</v>
      </c>
      <c r="D3076" s="148">
        <f t="shared" ca="1" si="100"/>
        <v>3</v>
      </c>
      <c r="E3076" s="148">
        <f t="shared" ca="1" si="101"/>
        <v>0</v>
      </c>
    </row>
    <row r="3077" spans="2:5" x14ac:dyDescent="0.25">
      <c r="B3077" s="8">
        <v>40671</v>
      </c>
      <c r="C3077" s="6">
        <f ca="1">IF(OR($C$7="",$B3077&gt;NOW()),"",IF(INDEX(Data!$A:$G,MATCH($B3077,Data!$A:$A,0),MATCH($C$7,Data!$4:$4,0))="","",INDEX(Data!$A:$G,MATCH($B3077,Data!$A:$A,0),MATCH($C$7,Data!$4:$4,0))))</f>
        <v>61.3</v>
      </c>
      <c r="D3077" s="148">
        <f t="shared" ca="1" si="100"/>
        <v>3.7000000000000028</v>
      </c>
      <c r="E3077" s="148">
        <f t="shared" ca="1" si="101"/>
        <v>0</v>
      </c>
    </row>
    <row r="3078" spans="2:5" x14ac:dyDescent="0.25">
      <c r="B3078" s="8">
        <v>40672</v>
      </c>
      <c r="C3078" s="6">
        <f ca="1">IF(OR($C$7="",$B3078&gt;NOW()),"",IF(INDEX(Data!$A:$G,MATCH($B3078,Data!$A:$A,0),MATCH($C$7,Data!$4:$4,0))="","",INDEX(Data!$A:$G,MATCH($B3078,Data!$A:$A,0),MATCH($C$7,Data!$4:$4,0))))</f>
        <v>61.1</v>
      </c>
      <c r="D3078" s="148">
        <f t="shared" ca="1" si="100"/>
        <v>3.8999999999999986</v>
      </c>
      <c r="E3078" s="148">
        <f t="shared" ca="1" si="101"/>
        <v>0</v>
      </c>
    </row>
    <row r="3079" spans="2:5" x14ac:dyDescent="0.25">
      <c r="B3079" s="8">
        <v>40673</v>
      </c>
      <c r="C3079" s="6">
        <f ca="1">IF(OR($C$7="",$B3079&gt;NOW()),"",IF(INDEX(Data!$A:$G,MATCH($B3079,Data!$A:$A,0),MATCH($C$7,Data!$4:$4,0))="","",INDEX(Data!$A:$G,MATCH($B3079,Data!$A:$A,0),MATCH($C$7,Data!$4:$4,0))))</f>
        <v>62</v>
      </c>
      <c r="D3079" s="148">
        <f t="shared" ca="1" si="100"/>
        <v>3</v>
      </c>
      <c r="E3079" s="148">
        <f t="shared" ca="1" si="101"/>
        <v>0</v>
      </c>
    </row>
    <row r="3080" spans="2:5" x14ac:dyDescent="0.25">
      <c r="B3080" s="8">
        <v>40674</v>
      </c>
      <c r="C3080" s="6">
        <f ca="1">IF(OR($C$7="",$B3080&gt;NOW()),"",IF(INDEX(Data!$A:$G,MATCH($B3080,Data!$A:$A,0),MATCH($C$7,Data!$4:$4,0))="","",INDEX(Data!$A:$G,MATCH($B3080,Data!$A:$A,0),MATCH($C$7,Data!$4:$4,0))))</f>
        <v>59.1</v>
      </c>
      <c r="D3080" s="148">
        <f t="shared" ca="1" si="100"/>
        <v>5.8999999999999986</v>
      </c>
      <c r="E3080" s="148">
        <f t="shared" ca="1" si="101"/>
        <v>0</v>
      </c>
    </row>
    <row r="3081" spans="2:5" x14ac:dyDescent="0.25">
      <c r="B3081" s="8">
        <v>40675</v>
      </c>
      <c r="C3081" s="6">
        <f ca="1">IF(OR($C$7="",$B3081&gt;NOW()),"",IF(INDEX(Data!$A:$G,MATCH($B3081,Data!$A:$A,0),MATCH($C$7,Data!$4:$4,0))="","",INDEX(Data!$A:$G,MATCH($B3081,Data!$A:$A,0),MATCH($C$7,Data!$4:$4,0))))</f>
        <v>60.8</v>
      </c>
      <c r="D3081" s="148">
        <f t="shared" ca="1" si="100"/>
        <v>4.2000000000000028</v>
      </c>
      <c r="E3081" s="148">
        <f t="shared" ca="1" si="101"/>
        <v>0</v>
      </c>
    </row>
    <row r="3082" spans="2:5" x14ac:dyDescent="0.25">
      <c r="B3082" s="8">
        <v>40676</v>
      </c>
      <c r="C3082" s="6">
        <f ca="1">IF(OR($C$7="",$B3082&gt;NOW()),"",IF(INDEX(Data!$A:$G,MATCH($B3082,Data!$A:$A,0),MATCH($C$7,Data!$4:$4,0))="","",INDEX(Data!$A:$G,MATCH($B3082,Data!$A:$A,0),MATCH($C$7,Data!$4:$4,0))))</f>
        <v>57.6</v>
      </c>
      <c r="D3082" s="148">
        <f t="shared" ca="1" si="100"/>
        <v>7.3999999999999986</v>
      </c>
      <c r="E3082" s="148">
        <f t="shared" ca="1" si="101"/>
        <v>0</v>
      </c>
    </row>
    <row r="3083" spans="2:5" x14ac:dyDescent="0.25">
      <c r="B3083" s="8">
        <v>40677</v>
      </c>
      <c r="C3083" s="6">
        <f ca="1">IF(OR($C$7="",$B3083&gt;NOW()),"",IF(INDEX(Data!$A:$G,MATCH($B3083,Data!$A:$A,0),MATCH($C$7,Data!$4:$4,0))="","",INDEX(Data!$A:$G,MATCH($B3083,Data!$A:$A,0),MATCH($C$7,Data!$4:$4,0))))</f>
        <v>58.9</v>
      </c>
      <c r="D3083" s="148">
        <f t="shared" ca="1" si="100"/>
        <v>6.1000000000000014</v>
      </c>
      <c r="E3083" s="148">
        <f t="shared" ca="1" si="101"/>
        <v>0</v>
      </c>
    </row>
    <row r="3084" spans="2:5" x14ac:dyDescent="0.25">
      <c r="B3084" s="8">
        <v>40678</v>
      </c>
      <c r="C3084" s="6">
        <f ca="1">IF(OR($C$7="",$B3084&gt;NOW()),"",IF(INDEX(Data!$A:$G,MATCH($B3084,Data!$A:$A,0),MATCH($C$7,Data!$4:$4,0))="","",INDEX(Data!$A:$G,MATCH($B3084,Data!$A:$A,0),MATCH($C$7,Data!$4:$4,0))))</f>
        <v>60.7</v>
      </c>
      <c r="D3084" s="148">
        <f t="shared" ca="1" si="100"/>
        <v>4.2999999999999972</v>
      </c>
      <c r="E3084" s="148">
        <f t="shared" ca="1" si="101"/>
        <v>0</v>
      </c>
    </row>
    <row r="3085" spans="2:5" x14ac:dyDescent="0.25">
      <c r="B3085" s="8">
        <v>40679</v>
      </c>
      <c r="C3085" s="6">
        <f ca="1">IF(OR($C$7="",$B3085&gt;NOW()),"",IF(INDEX(Data!$A:$G,MATCH($B3085,Data!$A:$A,0),MATCH($C$7,Data!$4:$4,0))="","",INDEX(Data!$A:$G,MATCH($B3085,Data!$A:$A,0),MATCH($C$7,Data!$4:$4,0))))</f>
        <v>57.6</v>
      </c>
      <c r="D3085" s="148">
        <f t="shared" ca="1" si="100"/>
        <v>7.3999999999999986</v>
      </c>
      <c r="E3085" s="148">
        <f t="shared" ca="1" si="101"/>
        <v>0</v>
      </c>
    </row>
    <row r="3086" spans="2:5" x14ac:dyDescent="0.25">
      <c r="B3086" s="8">
        <v>40680</v>
      </c>
      <c r="C3086" s="6">
        <f ca="1">IF(OR($C$7="",$B3086&gt;NOW()),"",IF(INDEX(Data!$A:$G,MATCH($B3086,Data!$A:$A,0),MATCH($C$7,Data!$4:$4,0))="","",INDEX(Data!$A:$G,MATCH($B3086,Data!$A:$A,0),MATCH($C$7,Data!$4:$4,0))))</f>
        <v>54.3</v>
      </c>
      <c r="D3086" s="148">
        <f t="shared" ca="1" si="100"/>
        <v>10.700000000000003</v>
      </c>
      <c r="E3086" s="148">
        <f t="shared" ca="1" si="101"/>
        <v>0</v>
      </c>
    </row>
    <row r="3087" spans="2:5" x14ac:dyDescent="0.25">
      <c r="B3087" s="8">
        <v>40681</v>
      </c>
      <c r="C3087" s="6">
        <f ca="1">IF(OR($C$7="",$B3087&gt;NOW()),"",IF(INDEX(Data!$A:$G,MATCH($B3087,Data!$A:$A,0),MATCH($C$7,Data!$4:$4,0))="","",INDEX(Data!$A:$G,MATCH($B3087,Data!$A:$A,0),MATCH($C$7,Data!$4:$4,0))))</f>
        <v>56.5</v>
      </c>
      <c r="D3087" s="148">
        <f t="shared" ca="1" si="100"/>
        <v>8.5</v>
      </c>
      <c r="E3087" s="148">
        <f t="shared" ca="1" si="101"/>
        <v>0</v>
      </c>
    </row>
    <row r="3088" spans="2:5" x14ac:dyDescent="0.25">
      <c r="B3088" s="8">
        <v>40682</v>
      </c>
      <c r="C3088" s="6">
        <f ca="1">IF(OR($C$7="",$B3088&gt;NOW()),"",IF(INDEX(Data!$A:$G,MATCH($B3088,Data!$A:$A,0),MATCH($C$7,Data!$4:$4,0))="","",INDEX(Data!$A:$G,MATCH($B3088,Data!$A:$A,0),MATCH($C$7,Data!$4:$4,0))))</f>
        <v>61.1</v>
      </c>
      <c r="D3088" s="148">
        <f t="shared" ca="1" si="100"/>
        <v>3.8999999999999986</v>
      </c>
      <c r="E3088" s="148">
        <f t="shared" ca="1" si="101"/>
        <v>0</v>
      </c>
    </row>
    <row r="3089" spans="2:5" x14ac:dyDescent="0.25">
      <c r="B3089" s="8">
        <v>40683</v>
      </c>
      <c r="C3089" s="6">
        <f ca="1">IF(OR($C$7="",$B3089&gt;NOW()),"",IF(INDEX(Data!$A:$G,MATCH($B3089,Data!$A:$A,0),MATCH($C$7,Data!$4:$4,0))="","",INDEX(Data!$A:$G,MATCH($B3089,Data!$A:$A,0),MATCH($C$7,Data!$4:$4,0))))</f>
        <v>61.4</v>
      </c>
      <c r="D3089" s="148">
        <f t="shared" ca="1" si="100"/>
        <v>3.6000000000000014</v>
      </c>
      <c r="E3089" s="148">
        <f t="shared" ca="1" si="101"/>
        <v>0</v>
      </c>
    </row>
    <row r="3090" spans="2:5" x14ac:dyDescent="0.25">
      <c r="B3090" s="8">
        <v>40684</v>
      </c>
      <c r="C3090" s="6">
        <f ca="1">IF(OR($C$7="",$B3090&gt;NOW()),"",IF(INDEX(Data!$A:$G,MATCH($B3090,Data!$A:$A,0),MATCH($C$7,Data!$4:$4,0))="","",INDEX(Data!$A:$G,MATCH($B3090,Data!$A:$A,0),MATCH($C$7,Data!$4:$4,0))))</f>
        <v>63.2</v>
      </c>
      <c r="D3090" s="148">
        <f t="shared" ca="1" si="100"/>
        <v>1.7999999999999972</v>
      </c>
      <c r="E3090" s="148">
        <f t="shared" ca="1" si="101"/>
        <v>0</v>
      </c>
    </row>
    <row r="3091" spans="2:5" x14ac:dyDescent="0.25">
      <c r="B3091" s="8">
        <v>40685</v>
      </c>
      <c r="C3091" s="6">
        <f ca="1">IF(OR($C$7="",$B3091&gt;NOW()),"",IF(INDEX(Data!$A:$G,MATCH($B3091,Data!$A:$A,0),MATCH($C$7,Data!$4:$4,0))="","",INDEX(Data!$A:$G,MATCH($B3091,Data!$A:$A,0),MATCH($C$7,Data!$4:$4,0))))</f>
        <v>57.1</v>
      </c>
      <c r="D3091" s="148">
        <f t="shared" ca="1" si="100"/>
        <v>7.8999999999999986</v>
      </c>
      <c r="E3091" s="148">
        <f t="shared" ca="1" si="101"/>
        <v>0</v>
      </c>
    </row>
    <row r="3092" spans="2:5" x14ac:dyDescent="0.25">
      <c r="B3092" s="8">
        <v>40686</v>
      </c>
      <c r="C3092" s="6">
        <f ca="1">IF(OR($C$7="",$B3092&gt;NOW()),"",IF(INDEX(Data!$A:$G,MATCH($B3092,Data!$A:$A,0),MATCH($C$7,Data!$4:$4,0))="","",INDEX(Data!$A:$G,MATCH($B3092,Data!$A:$A,0),MATCH($C$7,Data!$4:$4,0))))</f>
        <v>58.2</v>
      </c>
      <c r="D3092" s="148">
        <f t="shared" ca="1" si="100"/>
        <v>6.7999999999999972</v>
      </c>
      <c r="E3092" s="148">
        <f t="shared" ca="1" si="101"/>
        <v>0</v>
      </c>
    </row>
    <row r="3093" spans="2:5" x14ac:dyDescent="0.25">
      <c r="B3093" s="8">
        <v>40687</v>
      </c>
      <c r="C3093" s="6">
        <f ca="1">IF(OR($C$7="",$B3093&gt;NOW()),"",IF(INDEX(Data!$A:$G,MATCH($B3093,Data!$A:$A,0),MATCH($C$7,Data!$4:$4,0))="","",INDEX(Data!$A:$G,MATCH($B3093,Data!$A:$A,0),MATCH($C$7,Data!$4:$4,0))))</f>
        <v>71.099999999999994</v>
      </c>
      <c r="D3093" s="148">
        <f t="shared" ca="1" si="100"/>
        <v>0</v>
      </c>
      <c r="E3093" s="148">
        <f t="shared" ca="1" si="101"/>
        <v>6.0999999999999943</v>
      </c>
    </row>
    <row r="3094" spans="2:5" x14ac:dyDescent="0.25">
      <c r="B3094" s="8">
        <v>40688</v>
      </c>
      <c r="C3094" s="6">
        <f ca="1">IF(OR($C$7="",$B3094&gt;NOW()),"",IF(INDEX(Data!$A:$G,MATCH($B3094,Data!$A:$A,0),MATCH($C$7,Data!$4:$4,0))="","",INDEX(Data!$A:$G,MATCH($B3094,Data!$A:$A,0),MATCH($C$7,Data!$4:$4,0))))</f>
        <v>74</v>
      </c>
      <c r="D3094" s="148">
        <f t="shared" ca="1" si="100"/>
        <v>0</v>
      </c>
      <c r="E3094" s="148">
        <f t="shared" ca="1" si="101"/>
        <v>9</v>
      </c>
    </row>
    <row r="3095" spans="2:5" x14ac:dyDescent="0.25">
      <c r="B3095" s="8">
        <v>40689</v>
      </c>
      <c r="C3095" s="6">
        <f ca="1">IF(OR($C$7="",$B3095&gt;NOW()),"",IF(INDEX(Data!$A:$G,MATCH($B3095,Data!$A:$A,0),MATCH($C$7,Data!$4:$4,0))="","",INDEX(Data!$A:$G,MATCH($B3095,Data!$A:$A,0),MATCH($C$7,Data!$4:$4,0))))</f>
        <v>69.400000000000006</v>
      </c>
      <c r="D3095" s="148">
        <f t="shared" ca="1" si="100"/>
        <v>0</v>
      </c>
      <c r="E3095" s="148">
        <f t="shared" ca="1" si="101"/>
        <v>4.4000000000000057</v>
      </c>
    </row>
    <row r="3096" spans="2:5" x14ac:dyDescent="0.25">
      <c r="B3096" s="8">
        <v>40690</v>
      </c>
      <c r="C3096" s="6">
        <f ca="1">IF(OR($C$7="",$B3096&gt;NOW()),"",IF(INDEX(Data!$A:$G,MATCH($B3096,Data!$A:$A,0),MATCH($C$7,Data!$4:$4,0))="","",INDEX(Data!$A:$G,MATCH($B3096,Data!$A:$A,0),MATCH($C$7,Data!$4:$4,0))))</f>
        <v>71.599999999999994</v>
      </c>
      <c r="D3096" s="148">
        <f t="shared" ca="1" si="100"/>
        <v>0</v>
      </c>
      <c r="E3096" s="148">
        <f t="shared" ca="1" si="101"/>
        <v>6.5999999999999943</v>
      </c>
    </row>
    <row r="3097" spans="2:5" x14ac:dyDescent="0.25">
      <c r="B3097" s="8">
        <v>40691</v>
      </c>
      <c r="C3097" s="6">
        <f ca="1">IF(OR($C$7="",$B3097&gt;NOW()),"",IF(INDEX(Data!$A:$G,MATCH($B3097,Data!$A:$A,0),MATCH($C$7,Data!$4:$4,0))="","",INDEX(Data!$A:$G,MATCH($B3097,Data!$A:$A,0),MATCH($C$7,Data!$4:$4,0))))</f>
        <v>72.900000000000006</v>
      </c>
      <c r="D3097" s="148">
        <f t="shared" ca="1" si="100"/>
        <v>0</v>
      </c>
      <c r="E3097" s="148">
        <f t="shared" ca="1" si="101"/>
        <v>7.9000000000000057</v>
      </c>
    </row>
    <row r="3098" spans="2:5" x14ac:dyDescent="0.25">
      <c r="B3098" s="8">
        <v>40692</v>
      </c>
      <c r="C3098" s="6">
        <f ca="1">IF(OR($C$7="",$B3098&gt;NOW()),"",IF(INDEX(Data!$A:$G,MATCH($B3098,Data!$A:$A,0),MATCH($C$7,Data!$4:$4,0))="","",INDEX(Data!$A:$G,MATCH($B3098,Data!$A:$A,0),MATCH($C$7,Data!$4:$4,0))))</f>
        <v>72.8</v>
      </c>
      <c r="D3098" s="148">
        <f t="shared" ca="1" si="100"/>
        <v>0</v>
      </c>
      <c r="E3098" s="148">
        <f t="shared" ca="1" si="101"/>
        <v>7.7999999999999972</v>
      </c>
    </row>
    <row r="3099" spans="2:5" x14ac:dyDescent="0.25">
      <c r="B3099" s="8">
        <v>40693</v>
      </c>
      <c r="C3099" s="6">
        <f ca="1">IF(OR($C$7="",$B3099&gt;NOW()),"",IF(INDEX(Data!$A:$G,MATCH($B3099,Data!$A:$A,0),MATCH($C$7,Data!$4:$4,0))="","",INDEX(Data!$A:$G,MATCH($B3099,Data!$A:$A,0),MATCH($C$7,Data!$4:$4,0))))</f>
        <v>77.3</v>
      </c>
      <c r="D3099" s="148">
        <f t="shared" ca="1" si="100"/>
        <v>0</v>
      </c>
      <c r="E3099" s="148">
        <f t="shared" ca="1" si="101"/>
        <v>12.299999999999997</v>
      </c>
    </row>
    <row r="3100" spans="2:5" x14ac:dyDescent="0.25">
      <c r="B3100" s="8">
        <v>40694</v>
      </c>
      <c r="C3100" s="6">
        <f ca="1">IF(OR($C$7="",$B3100&gt;NOW()),"",IF(INDEX(Data!$A:$G,MATCH($B3100,Data!$A:$A,0),MATCH($C$7,Data!$4:$4,0))="","",INDEX(Data!$A:$G,MATCH($B3100,Data!$A:$A,0),MATCH($C$7,Data!$4:$4,0))))</f>
        <v>78.3</v>
      </c>
      <c r="D3100" s="148">
        <f t="shared" ca="1" si="100"/>
        <v>0</v>
      </c>
      <c r="E3100" s="148">
        <f t="shared" ca="1" si="101"/>
        <v>13.299999999999997</v>
      </c>
    </row>
    <row r="3101" spans="2:5" x14ac:dyDescent="0.25">
      <c r="B3101" s="8">
        <v>40695</v>
      </c>
      <c r="C3101" s="6">
        <f ca="1">IF(OR($C$7="",$B3101&gt;NOW()),"",IF(INDEX(Data!$A:$G,MATCH($B3101,Data!$A:$A,0),MATCH($C$7,Data!$4:$4,0))="","",INDEX(Data!$A:$G,MATCH($B3101,Data!$A:$A,0),MATCH($C$7,Data!$4:$4,0))))</f>
        <v>76.5</v>
      </c>
      <c r="D3101" s="148">
        <f t="shared" ref="D3101:D3164" ca="1" si="102">IF($C3101="","",IF($C3101&gt;$D$26,0,$D$26-$C3101))</f>
        <v>0</v>
      </c>
      <c r="E3101" s="148">
        <f t="shared" ref="E3101:E3164" ca="1" si="103">IF($C3101="","",IF($C3101&lt;$E$26,0,$C3101-$E$26))</f>
        <v>11.5</v>
      </c>
    </row>
    <row r="3102" spans="2:5" x14ac:dyDescent="0.25">
      <c r="B3102" s="8">
        <v>40696</v>
      </c>
      <c r="C3102" s="6">
        <f ca="1">IF(OR($C$7="",$B3102&gt;NOW()),"",IF(INDEX(Data!$A:$G,MATCH($B3102,Data!$A:$A,0),MATCH($C$7,Data!$4:$4,0))="","",INDEX(Data!$A:$G,MATCH($B3102,Data!$A:$A,0),MATCH($C$7,Data!$4:$4,0))))</f>
        <v>76.599999999999994</v>
      </c>
      <c r="D3102" s="148">
        <f t="shared" ca="1" si="102"/>
        <v>0</v>
      </c>
      <c r="E3102" s="148">
        <f t="shared" ca="1" si="103"/>
        <v>11.599999999999994</v>
      </c>
    </row>
    <row r="3103" spans="2:5" x14ac:dyDescent="0.25">
      <c r="B3103" s="8">
        <v>40697</v>
      </c>
      <c r="C3103" s="6">
        <f ca="1">IF(OR($C$7="",$B3103&gt;NOW()),"",IF(INDEX(Data!$A:$G,MATCH($B3103,Data!$A:$A,0),MATCH($C$7,Data!$4:$4,0))="","",INDEX(Data!$A:$G,MATCH($B3103,Data!$A:$A,0),MATCH($C$7,Data!$4:$4,0))))</f>
        <v>65.7</v>
      </c>
      <c r="D3103" s="148">
        <f t="shared" ca="1" si="102"/>
        <v>0</v>
      </c>
      <c r="E3103" s="148">
        <f t="shared" ca="1" si="103"/>
        <v>0.70000000000000284</v>
      </c>
    </row>
    <row r="3104" spans="2:5" x14ac:dyDescent="0.25">
      <c r="B3104" s="8">
        <v>40698</v>
      </c>
      <c r="C3104" s="6">
        <f ca="1">IF(OR($C$7="",$B3104&gt;NOW()),"",IF(INDEX(Data!$A:$G,MATCH($B3104,Data!$A:$A,0),MATCH($C$7,Data!$4:$4,0))="","",INDEX(Data!$A:$G,MATCH($B3104,Data!$A:$A,0),MATCH($C$7,Data!$4:$4,0))))</f>
        <v>66.900000000000006</v>
      </c>
      <c r="D3104" s="148">
        <f t="shared" ca="1" si="102"/>
        <v>0</v>
      </c>
      <c r="E3104" s="148">
        <f t="shared" ca="1" si="103"/>
        <v>1.9000000000000057</v>
      </c>
    </row>
    <row r="3105" spans="2:5" x14ac:dyDescent="0.25">
      <c r="B3105" s="8">
        <v>40699</v>
      </c>
      <c r="C3105" s="6">
        <f ca="1">IF(OR($C$7="",$B3105&gt;NOW()),"",IF(INDEX(Data!$A:$G,MATCH($B3105,Data!$A:$A,0),MATCH($C$7,Data!$4:$4,0))="","",INDEX(Data!$A:$G,MATCH($B3105,Data!$A:$A,0),MATCH($C$7,Data!$4:$4,0))))</f>
        <v>61.8</v>
      </c>
      <c r="D3105" s="148">
        <f t="shared" ca="1" si="102"/>
        <v>3.2000000000000028</v>
      </c>
      <c r="E3105" s="148">
        <f t="shared" ca="1" si="103"/>
        <v>0</v>
      </c>
    </row>
    <row r="3106" spans="2:5" x14ac:dyDescent="0.25">
      <c r="B3106" s="8">
        <v>40700</v>
      </c>
      <c r="C3106" s="6">
        <f ca="1">IF(OR($C$7="",$B3106&gt;NOW()),"",IF(INDEX(Data!$A:$G,MATCH($B3106,Data!$A:$A,0),MATCH($C$7,Data!$4:$4,0))="","",INDEX(Data!$A:$G,MATCH($B3106,Data!$A:$A,0),MATCH($C$7,Data!$4:$4,0))))</f>
        <v>69.099999999999994</v>
      </c>
      <c r="D3106" s="148">
        <f t="shared" ca="1" si="102"/>
        <v>0</v>
      </c>
      <c r="E3106" s="148">
        <f t="shared" ca="1" si="103"/>
        <v>4.0999999999999943</v>
      </c>
    </row>
    <row r="3107" spans="2:5" x14ac:dyDescent="0.25">
      <c r="B3107" s="8">
        <v>40701</v>
      </c>
      <c r="C3107" s="6">
        <f ca="1">IF(OR($C$7="",$B3107&gt;NOW()),"",IF(INDEX(Data!$A:$G,MATCH($B3107,Data!$A:$A,0),MATCH($C$7,Data!$4:$4,0))="","",INDEX(Data!$A:$G,MATCH($B3107,Data!$A:$A,0),MATCH($C$7,Data!$4:$4,0))))</f>
        <v>77.2</v>
      </c>
      <c r="D3107" s="148">
        <f t="shared" ca="1" si="102"/>
        <v>0</v>
      </c>
      <c r="E3107" s="148">
        <f t="shared" ca="1" si="103"/>
        <v>12.200000000000003</v>
      </c>
    </row>
    <row r="3108" spans="2:5" x14ac:dyDescent="0.25">
      <c r="B3108" s="8">
        <v>40702</v>
      </c>
      <c r="C3108" s="6">
        <f ca="1">IF(OR($C$7="",$B3108&gt;NOW()),"",IF(INDEX(Data!$A:$G,MATCH($B3108,Data!$A:$A,0),MATCH($C$7,Data!$4:$4,0))="","",INDEX(Data!$A:$G,MATCH($B3108,Data!$A:$A,0),MATCH($C$7,Data!$4:$4,0))))</f>
        <v>84.4</v>
      </c>
      <c r="D3108" s="148">
        <f t="shared" ca="1" si="102"/>
        <v>0</v>
      </c>
      <c r="E3108" s="148">
        <f t="shared" ca="1" si="103"/>
        <v>19.400000000000006</v>
      </c>
    </row>
    <row r="3109" spans="2:5" x14ac:dyDescent="0.25">
      <c r="B3109" s="8">
        <v>40703</v>
      </c>
      <c r="C3109" s="6">
        <f ca="1">IF(OR($C$7="",$B3109&gt;NOW()),"",IF(INDEX(Data!$A:$G,MATCH($B3109,Data!$A:$A,0),MATCH($C$7,Data!$4:$4,0))="","",INDEX(Data!$A:$G,MATCH($B3109,Data!$A:$A,0),MATCH($C$7,Data!$4:$4,0))))</f>
        <v>86.2</v>
      </c>
      <c r="D3109" s="148">
        <f t="shared" ca="1" si="102"/>
        <v>0</v>
      </c>
      <c r="E3109" s="148">
        <f t="shared" ca="1" si="103"/>
        <v>21.200000000000003</v>
      </c>
    </row>
    <row r="3110" spans="2:5" x14ac:dyDescent="0.25">
      <c r="B3110" s="8">
        <v>40704</v>
      </c>
      <c r="C3110" s="6">
        <f ca="1">IF(OR($C$7="",$B3110&gt;NOW()),"",IF(INDEX(Data!$A:$G,MATCH($B3110,Data!$A:$A,0),MATCH($C$7,Data!$4:$4,0))="","",INDEX(Data!$A:$G,MATCH($B3110,Data!$A:$A,0),MATCH($C$7,Data!$4:$4,0))))</f>
        <v>76.5</v>
      </c>
      <c r="D3110" s="148">
        <f t="shared" ca="1" si="102"/>
        <v>0</v>
      </c>
      <c r="E3110" s="148">
        <f t="shared" ca="1" si="103"/>
        <v>11.5</v>
      </c>
    </row>
    <row r="3111" spans="2:5" x14ac:dyDescent="0.25">
      <c r="B3111" s="8">
        <v>40705</v>
      </c>
      <c r="C3111" s="6">
        <f ca="1">IF(OR($C$7="",$B3111&gt;NOW()),"",IF(INDEX(Data!$A:$G,MATCH($B3111,Data!$A:$A,0),MATCH($C$7,Data!$4:$4,0))="","",INDEX(Data!$A:$G,MATCH($B3111,Data!$A:$A,0),MATCH($C$7,Data!$4:$4,0))))</f>
        <v>66.900000000000006</v>
      </c>
      <c r="D3111" s="148">
        <f t="shared" ca="1" si="102"/>
        <v>0</v>
      </c>
      <c r="E3111" s="148">
        <f t="shared" ca="1" si="103"/>
        <v>1.9000000000000057</v>
      </c>
    </row>
    <row r="3112" spans="2:5" x14ac:dyDescent="0.25">
      <c r="B3112" s="8">
        <v>40706</v>
      </c>
      <c r="C3112" s="6">
        <f ca="1">IF(OR($C$7="",$B3112&gt;NOW()),"",IF(INDEX(Data!$A:$G,MATCH($B3112,Data!$A:$A,0),MATCH($C$7,Data!$4:$4,0))="","",INDEX(Data!$A:$G,MATCH($B3112,Data!$A:$A,0),MATCH($C$7,Data!$4:$4,0))))</f>
        <v>61.5</v>
      </c>
      <c r="D3112" s="148">
        <f t="shared" ca="1" si="102"/>
        <v>3.5</v>
      </c>
      <c r="E3112" s="148">
        <f t="shared" ca="1" si="103"/>
        <v>0</v>
      </c>
    </row>
    <row r="3113" spans="2:5" x14ac:dyDescent="0.25">
      <c r="B3113" s="8">
        <v>40707</v>
      </c>
      <c r="C3113" s="6">
        <f ca="1">IF(OR($C$7="",$B3113&gt;NOW()),"",IF(INDEX(Data!$A:$G,MATCH($B3113,Data!$A:$A,0),MATCH($C$7,Data!$4:$4,0))="","",INDEX(Data!$A:$G,MATCH($B3113,Data!$A:$A,0),MATCH($C$7,Data!$4:$4,0))))</f>
        <v>65.7</v>
      </c>
      <c r="D3113" s="148">
        <f t="shared" ca="1" si="102"/>
        <v>0</v>
      </c>
      <c r="E3113" s="148">
        <f t="shared" ca="1" si="103"/>
        <v>0.70000000000000284</v>
      </c>
    </row>
    <row r="3114" spans="2:5" x14ac:dyDescent="0.25">
      <c r="B3114" s="8">
        <v>40708</v>
      </c>
      <c r="C3114" s="6">
        <f ca="1">IF(OR($C$7="",$B3114&gt;NOW()),"",IF(INDEX(Data!$A:$G,MATCH($B3114,Data!$A:$A,0),MATCH($C$7,Data!$4:$4,0))="","",INDEX(Data!$A:$G,MATCH($B3114,Data!$A:$A,0),MATCH($C$7,Data!$4:$4,0))))</f>
        <v>64.400000000000006</v>
      </c>
      <c r="D3114" s="148">
        <f t="shared" ca="1" si="102"/>
        <v>0.59999999999999432</v>
      </c>
      <c r="E3114" s="148">
        <f t="shared" ca="1" si="103"/>
        <v>0</v>
      </c>
    </row>
    <row r="3115" spans="2:5" x14ac:dyDescent="0.25">
      <c r="B3115" s="8">
        <v>40709</v>
      </c>
      <c r="C3115" s="6">
        <f ca="1">IF(OR($C$7="",$B3115&gt;NOW()),"",IF(INDEX(Data!$A:$G,MATCH($B3115,Data!$A:$A,0),MATCH($C$7,Data!$4:$4,0))="","",INDEX(Data!$A:$G,MATCH($B3115,Data!$A:$A,0),MATCH($C$7,Data!$4:$4,0))))</f>
        <v>67.900000000000006</v>
      </c>
      <c r="D3115" s="148">
        <f t="shared" ca="1" si="102"/>
        <v>0</v>
      </c>
      <c r="E3115" s="148">
        <f t="shared" ca="1" si="103"/>
        <v>2.9000000000000057</v>
      </c>
    </row>
    <row r="3116" spans="2:5" x14ac:dyDescent="0.25">
      <c r="B3116" s="8">
        <v>40710</v>
      </c>
      <c r="C3116" s="6">
        <f ca="1">IF(OR($C$7="",$B3116&gt;NOW()),"",IF(INDEX(Data!$A:$G,MATCH($B3116,Data!$A:$A,0),MATCH($C$7,Data!$4:$4,0))="","",INDEX(Data!$A:$G,MATCH($B3116,Data!$A:$A,0),MATCH($C$7,Data!$4:$4,0))))</f>
        <v>73.8</v>
      </c>
      <c r="D3116" s="148">
        <f t="shared" ca="1" si="102"/>
        <v>0</v>
      </c>
      <c r="E3116" s="148">
        <f t="shared" ca="1" si="103"/>
        <v>8.7999999999999972</v>
      </c>
    </row>
    <row r="3117" spans="2:5" x14ac:dyDescent="0.25">
      <c r="B3117" s="8">
        <v>40711</v>
      </c>
      <c r="C3117" s="6">
        <f ca="1">IF(OR($C$7="",$B3117&gt;NOW()),"",IF(INDEX(Data!$A:$G,MATCH($B3117,Data!$A:$A,0),MATCH($C$7,Data!$4:$4,0))="","",INDEX(Data!$A:$G,MATCH($B3117,Data!$A:$A,0),MATCH($C$7,Data!$4:$4,0))))</f>
        <v>70.599999999999994</v>
      </c>
      <c r="D3117" s="148">
        <f t="shared" ca="1" si="102"/>
        <v>0</v>
      </c>
      <c r="E3117" s="148">
        <f t="shared" ca="1" si="103"/>
        <v>5.5999999999999943</v>
      </c>
    </row>
    <row r="3118" spans="2:5" x14ac:dyDescent="0.25">
      <c r="B3118" s="8">
        <v>40712</v>
      </c>
      <c r="C3118" s="6">
        <f ca="1">IF(OR($C$7="",$B3118&gt;NOW()),"",IF(INDEX(Data!$A:$G,MATCH($B3118,Data!$A:$A,0),MATCH($C$7,Data!$4:$4,0))="","",INDEX(Data!$A:$G,MATCH($B3118,Data!$A:$A,0),MATCH($C$7,Data!$4:$4,0))))</f>
        <v>72.2</v>
      </c>
      <c r="D3118" s="148">
        <f t="shared" ca="1" si="102"/>
        <v>0</v>
      </c>
      <c r="E3118" s="148">
        <f t="shared" ca="1" si="103"/>
        <v>7.2000000000000028</v>
      </c>
    </row>
    <row r="3119" spans="2:5" x14ac:dyDescent="0.25">
      <c r="B3119" s="8">
        <v>40713</v>
      </c>
      <c r="C3119" s="6">
        <f ca="1">IF(OR($C$7="",$B3119&gt;NOW()),"",IF(INDEX(Data!$A:$G,MATCH($B3119,Data!$A:$A,0),MATCH($C$7,Data!$4:$4,0))="","",INDEX(Data!$A:$G,MATCH($B3119,Data!$A:$A,0),MATCH($C$7,Data!$4:$4,0))))</f>
        <v>75.3</v>
      </c>
      <c r="D3119" s="148">
        <f t="shared" ca="1" si="102"/>
        <v>0</v>
      </c>
      <c r="E3119" s="148">
        <f t="shared" ca="1" si="103"/>
        <v>10.299999999999997</v>
      </c>
    </row>
    <row r="3120" spans="2:5" x14ac:dyDescent="0.25">
      <c r="B3120" s="8">
        <v>40714</v>
      </c>
      <c r="C3120" s="6">
        <f ca="1">IF(OR($C$7="",$B3120&gt;NOW()),"",IF(INDEX(Data!$A:$G,MATCH($B3120,Data!$A:$A,0),MATCH($C$7,Data!$4:$4,0))="","",INDEX(Data!$A:$G,MATCH($B3120,Data!$A:$A,0),MATCH($C$7,Data!$4:$4,0))))</f>
        <v>71.8</v>
      </c>
      <c r="D3120" s="148">
        <f t="shared" ca="1" si="102"/>
        <v>0</v>
      </c>
      <c r="E3120" s="148">
        <f t="shared" ca="1" si="103"/>
        <v>6.7999999999999972</v>
      </c>
    </row>
    <row r="3121" spans="2:5" x14ac:dyDescent="0.25">
      <c r="B3121" s="8">
        <v>40715</v>
      </c>
      <c r="C3121" s="6">
        <f ca="1">IF(OR($C$7="",$B3121&gt;NOW()),"",IF(INDEX(Data!$A:$G,MATCH($B3121,Data!$A:$A,0),MATCH($C$7,Data!$4:$4,0))="","",INDEX(Data!$A:$G,MATCH($B3121,Data!$A:$A,0),MATCH($C$7,Data!$4:$4,0))))</f>
        <v>75.5</v>
      </c>
      <c r="D3121" s="148">
        <f t="shared" ca="1" si="102"/>
        <v>0</v>
      </c>
      <c r="E3121" s="148">
        <f t="shared" ca="1" si="103"/>
        <v>10.5</v>
      </c>
    </row>
    <row r="3122" spans="2:5" x14ac:dyDescent="0.25">
      <c r="B3122" s="8">
        <v>40716</v>
      </c>
      <c r="C3122" s="6">
        <f ca="1">IF(OR($C$7="",$B3122&gt;NOW()),"",IF(INDEX(Data!$A:$G,MATCH($B3122,Data!$A:$A,0),MATCH($C$7,Data!$4:$4,0))="","",INDEX(Data!$A:$G,MATCH($B3122,Data!$A:$A,0),MATCH($C$7,Data!$4:$4,0))))</f>
        <v>75.7</v>
      </c>
      <c r="D3122" s="148">
        <f t="shared" ca="1" si="102"/>
        <v>0</v>
      </c>
      <c r="E3122" s="148">
        <f t="shared" ca="1" si="103"/>
        <v>10.700000000000003</v>
      </c>
    </row>
    <row r="3123" spans="2:5" x14ac:dyDescent="0.25">
      <c r="B3123" s="8">
        <v>40717</v>
      </c>
      <c r="C3123" s="6">
        <f ca="1">IF(OR($C$7="",$B3123&gt;NOW()),"",IF(INDEX(Data!$A:$G,MATCH($B3123,Data!$A:$A,0),MATCH($C$7,Data!$4:$4,0))="","",INDEX(Data!$A:$G,MATCH($B3123,Data!$A:$A,0),MATCH($C$7,Data!$4:$4,0))))</f>
        <v>69.900000000000006</v>
      </c>
      <c r="D3123" s="148">
        <f t="shared" ca="1" si="102"/>
        <v>0</v>
      </c>
      <c r="E3123" s="148">
        <f t="shared" ca="1" si="103"/>
        <v>4.9000000000000057</v>
      </c>
    </row>
    <row r="3124" spans="2:5" x14ac:dyDescent="0.25">
      <c r="B3124" s="8">
        <v>40718</v>
      </c>
      <c r="C3124" s="6">
        <f ca="1">IF(OR($C$7="",$B3124&gt;NOW()),"",IF(INDEX(Data!$A:$G,MATCH($B3124,Data!$A:$A,0),MATCH($C$7,Data!$4:$4,0))="","",INDEX(Data!$A:$G,MATCH($B3124,Data!$A:$A,0),MATCH($C$7,Data!$4:$4,0))))</f>
        <v>66.099999999999994</v>
      </c>
      <c r="D3124" s="148">
        <f t="shared" ca="1" si="102"/>
        <v>0</v>
      </c>
      <c r="E3124" s="148">
        <f t="shared" ca="1" si="103"/>
        <v>1.0999999999999943</v>
      </c>
    </row>
    <row r="3125" spans="2:5" x14ac:dyDescent="0.25">
      <c r="B3125" s="8">
        <v>40719</v>
      </c>
      <c r="C3125" s="6">
        <f ca="1">IF(OR($C$7="",$B3125&gt;NOW()),"",IF(INDEX(Data!$A:$G,MATCH($B3125,Data!$A:$A,0),MATCH($C$7,Data!$4:$4,0))="","",INDEX(Data!$A:$G,MATCH($B3125,Data!$A:$A,0),MATCH($C$7,Data!$4:$4,0))))</f>
        <v>69.3</v>
      </c>
      <c r="D3125" s="148">
        <f t="shared" ca="1" si="102"/>
        <v>0</v>
      </c>
      <c r="E3125" s="148">
        <f t="shared" ca="1" si="103"/>
        <v>4.2999999999999972</v>
      </c>
    </row>
    <row r="3126" spans="2:5" x14ac:dyDescent="0.25">
      <c r="B3126" s="8">
        <v>40720</v>
      </c>
      <c r="C3126" s="6">
        <f ca="1">IF(OR($C$7="",$B3126&gt;NOW()),"",IF(INDEX(Data!$A:$G,MATCH($B3126,Data!$A:$A,0),MATCH($C$7,Data!$4:$4,0))="","",INDEX(Data!$A:$G,MATCH($B3126,Data!$A:$A,0),MATCH($C$7,Data!$4:$4,0))))</f>
        <v>74.400000000000006</v>
      </c>
      <c r="D3126" s="148">
        <f t="shared" ca="1" si="102"/>
        <v>0</v>
      </c>
      <c r="E3126" s="148">
        <f t="shared" ca="1" si="103"/>
        <v>9.4000000000000057</v>
      </c>
    </row>
    <row r="3127" spans="2:5" x14ac:dyDescent="0.25">
      <c r="B3127" s="8">
        <v>40721</v>
      </c>
      <c r="C3127" s="6">
        <f ca="1">IF(OR($C$7="",$B3127&gt;NOW()),"",IF(INDEX(Data!$A:$G,MATCH($B3127,Data!$A:$A,0),MATCH($C$7,Data!$4:$4,0))="","",INDEX(Data!$A:$G,MATCH($B3127,Data!$A:$A,0),MATCH($C$7,Data!$4:$4,0))))</f>
        <v>74.900000000000006</v>
      </c>
      <c r="D3127" s="148">
        <f t="shared" ca="1" si="102"/>
        <v>0</v>
      </c>
      <c r="E3127" s="148">
        <f t="shared" ca="1" si="103"/>
        <v>9.9000000000000057</v>
      </c>
    </row>
    <row r="3128" spans="2:5" x14ac:dyDescent="0.25">
      <c r="B3128" s="8">
        <v>40722</v>
      </c>
      <c r="C3128" s="6">
        <f ca="1">IF(OR($C$7="",$B3128&gt;NOW()),"",IF(INDEX(Data!$A:$G,MATCH($B3128,Data!$A:$A,0),MATCH($C$7,Data!$4:$4,0))="","",INDEX(Data!$A:$G,MATCH($B3128,Data!$A:$A,0),MATCH($C$7,Data!$4:$4,0))))</f>
        <v>77.099999999999994</v>
      </c>
      <c r="D3128" s="148">
        <f t="shared" ca="1" si="102"/>
        <v>0</v>
      </c>
      <c r="E3128" s="148">
        <f t="shared" ca="1" si="103"/>
        <v>12.099999999999994</v>
      </c>
    </row>
    <row r="3129" spans="2:5" x14ac:dyDescent="0.25">
      <c r="B3129" s="8">
        <v>40723</v>
      </c>
      <c r="C3129" s="6">
        <f ca="1">IF(OR($C$7="",$B3129&gt;NOW()),"",IF(INDEX(Data!$A:$G,MATCH($B3129,Data!$A:$A,0),MATCH($C$7,Data!$4:$4,0))="","",INDEX(Data!$A:$G,MATCH($B3129,Data!$A:$A,0),MATCH($C$7,Data!$4:$4,0))))</f>
        <v>76.5</v>
      </c>
      <c r="D3129" s="148">
        <f t="shared" ca="1" si="102"/>
        <v>0</v>
      </c>
      <c r="E3129" s="148">
        <f t="shared" ca="1" si="103"/>
        <v>11.5</v>
      </c>
    </row>
    <row r="3130" spans="2:5" x14ac:dyDescent="0.25">
      <c r="B3130" s="8">
        <v>40724</v>
      </c>
      <c r="C3130" s="6">
        <f ca="1">IF(OR($C$7="",$B3130&gt;NOW()),"",IF(INDEX(Data!$A:$G,MATCH($B3130,Data!$A:$A,0),MATCH($C$7,Data!$4:$4,0))="","",INDEX(Data!$A:$G,MATCH($B3130,Data!$A:$A,0),MATCH($C$7,Data!$4:$4,0))))</f>
        <v>73.8</v>
      </c>
      <c r="D3130" s="148">
        <f t="shared" ca="1" si="102"/>
        <v>0</v>
      </c>
      <c r="E3130" s="148">
        <f t="shared" ca="1" si="103"/>
        <v>8.7999999999999972</v>
      </c>
    </row>
    <row r="3131" spans="2:5" x14ac:dyDescent="0.25">
      <c r="B3131" s="8">
        <v>40725</v>
      </c>
      <c r="C3131" s="6">
        <f ca="1">IF(OR($C$7="",$B3131&gt;NOW()),"",IF(INDEX(Data!$A:$G,MATCH($B3131,Data!$A:$A,0),MATCH($C$7,Data!$4:$4,0))="","",INDEX(Data!$A:$G,MATCH($B3131,Data!$A:$A,0),MATCH($C$7,Data!$4:$4,0))))</f>
        <v>75.2</v>
      </c>
      <c r="D3131" s="148">
        <f t="shared" ca="1" si="102"/>
        <v>0</v>
      </c>
      <c r="E3131" s="148">
        <f t="shared" ca="1" si="103"/>
        <v>10.200000000000003</v>
      </c>
    </row>
    <row r="3132" spans="2:5" x14ac:dyDescent="0.25">
      <c r="B3132" s="8">
        <v>40726</v>
      </c>
      <c r="C3132" s="6">
        <f ca="1">IF(OR($C$7="",$B3132&gt;NOW()),"",IF(INDEX(Data!$A:$G,MATCH($B3132,Data!$A:$A,0),MATCH($C$7,Data!$4:$4,0))="","",INDEX(Data!$A:$G,MATCH($B3132,Data!$A:$A,0),MATCH($C$7,Data!$4:$4,0))))</f>
        <v>76.5</v>
      </c>
      <c r="D3132" s="148">
        <f t="shared" ca="1" si="102"/>
        <v>0</v>
      </c>
      <c r="E3132" s="148">
        <f t="shared" ca="1" si="103"/>
        <v>11.5</v>
      </c>
    </row>
    <row r="3133" spans="2:5" x14ac:dyDescent="0.25">
      <c r="B3133" s="8">
        <v>40727</v>
      </c>
      <c r="C3133" s="6">
        <f ca="1">IF(OR($C$7="",$B3133&gt;NOW()),"",IF(INDEX(Data!$A:$G,MATCH($B3133,Data!$A:$A,0),MATCH($C$7,Data!$4:$4,0))="","",INDEX(Data!$A:$G,MATCH($B3133,Data!$A:$A,0),MATCH($C$7,Data!$4:$4,0))))</f>
        <v>73.7</v>
      </c>
      <c r="D3133" s="148">
        <f t="shared" ca="1" si="102"/>
        <v>0</v>
      </c>
      <c r="E3133" s="148">
        <f t="shared" ca="1" si="103"/>
        <v>8.7000000000000028</v>
      </c>
    </row>
    <row r="3134" spans="2:5" x14ac:dyDescent="0.25">
      <c r="B3134" s="8">
        <v>40728</v>
      </c>
      <c r="C3134" s="6">
        <f ca="1">IF(OR($C$7="",$B3134&gt;NOW()),"",IF(INDEX(Data!$A:$G,MATCH($B3134,Data!$A:$A,0),MATCH($C$7,Data!$4:$4,0))="","",INDEX(Data!$A:$G,MATCH($B3134,Data!$A:$A,0),MATCH($C$7,Data!$4:$4,0))))</f>
        <v>76.599999999999994</v>
      </c>
      <c r="D3134" s="148">
        <f t="shared" ca="1" si="102"/>
        <v>0</v>
      </c>
      <c r="E3134" s="148">
        <f t="shared" ca="1" si="103"/>
        <v>11.599999999999994</v>
      </c>
    </row>
    <row r="3135" spans="2:5" x14ac:dyDescent="0.25">
      <c r="B3135" s="8">
        <v>40729</v>
      </c>
      <c r="C3135" s="6">
        <f ca="1">IF(OR($C$7="",$B3135&gt;NOW()),"",IF(INDEX(Data!$A:$G,MATCH($B3135,Data!$A:$A,0),MATCH($C$7,Data!$4:$4,0))="","",INDEX(Data!$A:$G,MATCH($B3135,Data!$A:$A,0),MATCH($C$7,Data!$4:$4,0))))</f>
        <v>79.8</v>
      </c>
      <c r="D3135" s="148">
        <f t="shared" ca="1" si="102"/>
        <v>0</v>
      </c>
      <c r="E3135" s="148">
        <f t="shared" ca="1" si="103"/>
        <v>14.799999999999997</v>
      </c>
    </row>
    <row r="3136" spans="2:5" x14ac:dyDescent="0.25">
      <c r="B3136" s="8">
        <v>40730</v>
      </c>
      <c r="C3136" s="6">
        <f ca="1">IF(OR($C$7="",$B3136&gt;NOW()),"",IF(INDEX(Data!$A:$G,MATCH($B3136,Data!$A:$A,0),MATCH($C$7,Data!$4:$4,0))="","",INDEX(Data!$A:$G,MATCH($B3136,Data!$A:$A,0),MATCH($C$7,Data!$4:$4,0))))</f>
        <v>82.2</v>
      </c>
      <c r="D3136" s="148">
        <f t="shared" ca="1" si="102"/>
        <v>0</v>
      </c>
      <c r="E3136" s="148">
        <f t="shared" ca="1" si="103"/>
        <v>17.200000000000003</v>
      </c>
    </row>
    <row r="3137" spans="2:5" x14ac:dyDescent="0.25">
      <c r="B3137" s="8">
        <v>40731</v>
      </c>
      <c r="C3137" s="6">
        <f ca="1">IF(OR($C$7="",$B3137&gt;NOW()),"",IF(INDEX(Data!$A:$G,MATCH($B3137,Data!$A:$A,0),MATCH($C$7,Data!$4:$4,0))="","",INDEX(Data!$A:$G,MATCH($B3137,Data!$A:$A,0),MATCH($C$7,Data!$4:$4,0))))</f>
        <v>81.3</v>
      </c>
      <c r="D3137" s="148">
        <f t="shared" ca="1" si="102"/>
        <v>0</v>
      </c>
      <c r="E3137" s="148">
        <f t="shared" ca="1" si="103"/>
        <v>16.299999999999997</v>
      </c>
    </row>
    <row r="3138" spans="2:5" x14ac:dyDescent="0.25">
      <c r="B3138" s="8">
        <v>40732</v>
      </c>
      <c r="C3138" s="6">
        <f ca="1">IF(OR($C$7="",$B3138&gt;NOW()),"",IF(INDEX(Data!$A:$G,MATCH($B3138,Data!$A:$A,0),MATCH($C$7,Data!$4:$4,0))="","",INDEX(Data!$A:$G,MATCH($B3138,Data!$A:$A,0),MATCH($C$7,Data!$4:$4,0))))</f>
        <v>77.599999999999994</v>
      </c>
      <c r="D3138" s="148">
        <f t="shared" ca="1" si="102"/>
        <v>0</v>
      </c>
      <c r="E3138" s="148">
        <f t="shared" ca="1" si="103"/>
        <v>12.599999999999994</v>
      </c>
    </row>
    <row r="3139" spans="2:5" x14ac:dyDescent="0.25">
      <c r="B3139" s="8">
        <v>40733</v>
      </c>
      <c r="C3139" s="6">
        <f ca="1">IF(OR($C$7="",$B3139&gt;NOW()),"",IF(INDEX(Data!$A:$G,MATCH($B3139,Data!$A:$A,0),MATCH($C$7,Data!$4:$4,0))="","",INDEX(Data!$A:$G,MATCH($B3139,Data!$A:$A,0),MATCH($C$7,Data!$4:$4,0))))</f>
        <v>76.099999999999994</v>
      </c>
      <c r="D3139" s="148">
        <f t="shared" ca="1" si="102"/>
        <v>0</v>
      </c>
      <c r="E3139" s="148">
        <f t="shared" ca="1" si="103"/>
        <v>11.099999999999994</v>
      </c>
    </row>
    <row r="3140" spans="2:5" x14ac:dyDescent="0.25">
      <c r="B3140" s="8">
        <v>40734</v>
      </c>
      <c r="C3140" s="6">
        <f ca="1">IF(OR($C$7="",$B3140&gt;NOW()),"",IF(INDEX(Data!$A:$G,MATCH($B3140,Data!$A:$A,0),MATCH($C$7,Data!$4:$4,0))="","",INDEX(Data!$A:$G,MATCH($B3140,Data!$A:$A,0),MATCH($C$7,Data!$4:$4,0))))</f>
        <v>77.3</v>
      </c>
      <c r="D3140" s="148">
        <f t="shared" ca="1" si="102"/>
        <v>0</v>
      </c>
      <c r="E3140" s="148">
        <f t="shared" ca="1" si="103"/>
        <v>12.299999999999997</v>
      </c>
    </row>
    <row r="3141" spans="2:5" x14ac:dyDescent="0.25">
      <c r="B3141" s="8">
        <v>40735</v>
      </c>
      <c r="C3141" s="6">
        <f ca="1">IF(OR($C$7="",$B3141&gt;NOW()),"",IF(INDEX(Data!$A:$G,MATCH($B3141,Data!$A:$A,0),MATCH($C$7,Data!$4:$4,0))="","",INDEX(Data!$A:$G,MATCH($B3141,Data!$A:$A,0),MATCH($C$7,Data!$4:$4,0))))</f>
        <v>82</v>
      </c>
      <c r="D3141" s="148">
        <f t="shared" ca="1" si="102"/>
        <v>0</v>
      </c>
      <c r="E3141" s="148">
        <f t="shared" ca="1" si="103"/>
        <v>17</v>
      </c>
    </row>
    <row r="3142" spans="2:5" x14ac:dyDescent="0.25">
      <c r="B3142" s="8">
        <v>40736</v>
      </c>
      <c r="C3142" s="6">
        <f ca="1">IF(OR($C$7="",$B3142&gt;NOW()),"",IF(INDEX(Data!$A:$G,MATCH($B3142,Data!$A:$A,0),MATCH($C$7,Data!$4:$4,0))="","",INDEX(Data!$A:$G,MATCH($B3142,Data!$A:$A,0),MATCH($C$7,Data!$4:$4,0))))</f>
        <v>84.5</v>
      </c>
      <c r="D3142" s="148">
        <f t="shared" ca="1" si="102"/>
        <v>0</v>
      </c>
      <c r="E3142" s="148">
        <f t="shared" ca="1" si="103"/>
        <v>19.5</v>
      </c>
    </row>
    <row r="3143" spans="2:5" x14ac:dyDescent="0.25">
      <c r="B3143" s="8">
        <v>40737</v>
      </c>
      <c r="C3143" s="6">
        <f ca="1">IF(OR($C$7="",$B3143&gt;NOW()),"",IF(INDEX(Data!$A:$G,MATCH($B3143,Data!$A:$A,0),MATCH($C$7,Data!$4:$4,0))="","",INDEX(Data!$A:$G,MATCH($B3143,Data!$A:$A,0),MATCH($C$7,Data!$4:$4,0))))</f>
        <v>81.400000000000006</v>
      </c>
      <c r="D3143" s="148">
        <f t="shared" ca="1" si="102"/>
        <v>0</v>
      </c>
      <c r="E3143" s="148">
        <f t="shared" ca="1" si="103"/>
        <v>16.400000000000006</v>
      </c>
    </row>
    <row r="3144" spans="2:5" x14ac:dyDescent="0.25">
      <c r="B3144" s="8">
        <v>40738</v>
      </c>
      <c r="C3144" s="6">
        <f ca="1">IF(OR($C$7="",$B3144&gt;NOW()),"",IF(INDEX(Data!$A:$G,MATCH($B3144,Data!$A:$A,0),MATCH($C$7,Data!$4:$4,0))="","",INDEX(Data!$A:$G,MATCH($B3144,Data!$A:$A,0),MATCH($C$7,Data!$4:$4,0))))</f>
        <v>73.3</v>
      </c>
      <c r="D3144" s="148">
        <f t="shared" ca="1" si="102"/>
        <v>0</v>
      </c>
      <c r="E3144" s="148">
        <f t="shared" ca="1" si="103"/>
        <v>8.2999999999999972</v>
      </c>
    </row>
    <row r="3145" spans="2:5" x14ac:dyDescent="0.25">
      <c r="B3145" s="8">
        <v>40739</v>
      </c>
      <c r="C3145" s="6">
        <f ca="1">IF(OR($C$7="",$B3145&gt;NOW()),"",IF(INDEX(Data!$A:$G,MATCH($B3145,Data!$A:$A,0),MATCH($C$7,Data!$4:$4,0))="","",INDEX(Data!$A:$G,MATCH($B3145,Data!$A:$A,0),MATCH($C$7,Data!$4:$4,0))))</f>
        <v>75.3</v>
      </c>
      <c r="D3145" s="148">
        <f t="shared" ca="1" si="102"/>
        <v>0</v>
      </c>
      <c r="E3145" s="148">
        <f t="shared" ca="1" si="103"/>
        <v>10.299999999999997</v>
      </c>
    </row>
    <row r="3146" spans="2:5" x14ac:dyDescent="0.25">
      <c r="B3146" s="8">
        <v>40740</v>
      </c>
      <c r="C3146" s="6">
        <f ca="1">IF(OR($C$7="",$B3146&gt;NOW()),"",IF(INDEX(Data!$A:$G,MATCH($B3146,Data!$A:$A,0),MATCH($C$7,Data!$4:$4,0))="","",INDEX(Data!$A:$G,MATCH($B3146,Data!$A:$A,0),MATCH($C$7,Data!$4:$4,0))))</f>
        <v>79.2</v>
      </c>
      <c r="D3146" s="148">
        <f t="shared" ca="1" si="102"/>
        <v>0</v>
      </c>
      <c r="E3146" s="148">
        <f t="shared" ca="1" si="103"/>
        <v>14.200000000000003</v>
      </c>
    </row>
    <row r="3147" spans="2:5" x14ac:dyDescent="0.25">
      <c r="B3147" s="8">
        <v>40741</v>
      </c>
      <c r="C3147" s="6">
        <f ca="1">IF(OR($C$7="",$B3147&gt;NOW()),"",IF(INDEX(Data!$A:$G,MATCH($B3147,Data!$A:$A,0),MATCH($C$7,Data!$4:$4,0))="","",INDEX(Data!$A:$G,MATCH($B3147,Data!$A:$A,0),MATCH($C$7,Data!$4:$4,0))))</f>
        <v>82.1</v>
      </c>
      <c r="D3147" s="148">
        <f t="shared" ca="1" si="102"/>
        <v>0</v>
      </c>
      <c r="E3147" s="148">
        <f t="shared" ca="1" si="103"/>
        <v>17.099999999999994</v>
      </c>
    </row>
    <row r="3148" spans="2:5" x14ac:dyDescent="0.25">
      <c r="B3148" s="8">
        <v>40742</v>
      </c>
      <c r="C3148" s="6">
        <f ca="1">IF(OR($C$7="",$B3148&gt;NOW()),"",IF(INDEX(Data!$A:$G,MATCH($B3148,Data!$A:$A,0),MATCH($C$7,Data!$4:$4,0))="","",INDEX(Data!$A:$G,MATCH($B3148,Data!$A:$A,0),MATCH($C$7,Data!$4:$4,0))))</f>
        <v>84</v>
      </c>
      <c r="D3148" s="148">
        <f t="shared" ca="1" si="102"/>
        <v>0</v>
      </c>
      <c r="E3148" s="148">
        <f t="shared" ca="1" si="103"/>
        <v>19</v>
      </c>
    </row>
    <row r="3149" spans="2:5" x14ac:dyDescent="0.25">
      <c r="B3149" s="8">
        <v>40743</v>
      </c>
      <c r="C3149" s="6">
        <f ca="1">IF(OR($C$7="",$B3149&gt;NOW()),"",IF(INDEX(Data!$A:$G,MATCH($B3149,Data!$A:$A,0),MATCH($C$7,Data!$4:$4,0))="","",INDEX(Data!$A:$G,MATCH($B3149,Data!$A:$A,0),MATCH($C$7,Data!$4:$4,0))))</f>
        <v>82.4</v>
      </c>
      <c r="D3149" s="148">
        <f t="shared" ca="1" si="102"/>
        <v>0</v>
      </c>
      <c r="E3149" s="148">
        <f t="shared" ca="1" si="103"/>
        <v>17.400000000000006</v>
      </c>
    </row>
    <row r="3150" spans="2:5" x14ac:dyDescent="0.25">
      <c r="B3150" s="8">
        <v>40744</v>
      </c>
      <c r="C3150" s="6">
        <f ca="1">IF(OR($C$7="",$B3150&gt;NOW()),"",IF(INDEX(Data!$A:$G,MATCH($B3150,Data!$A:$A,0),MATCH($C$7,Data!$4:$4,0))="","",INDEX(Data!$A:$G,MATCH($B3150,Data!$A:$A,0),MATCH($C$7,Data!$4:$4,0))))</f>
        <v>80.400000000000006</v>
      </c>
      <c r="D3150" s="148">
        <f t="shared" ca="1" si="102"/>
        <v>0</v>
      </c>
      <c r="E3150" s="148">
        <f t="shared" ca="1" si="103"/>
        <v>15.400000000000006</v>
      </c>
    </row>
    <row r="3151" spans="2:5" x14ac:dyDescent="0.25">
      <c r="B3151" s="8">
        <v>40745</v>
      </c>
      <c r="C3151" s="6">
        <f ca="1">IF(OR($C$7="",$B3151&gt;NOW()),"",IF(INDEX(Data!$A:$G,MATCH($B3151,Data!$A:$A,0),MATCH($C$7,Data!$4:$4,0))="","",INDEX(Data!$A:$G,MATCH($B3151,Data!$A:$A,0),MATCH($C$7,Data!$4:$4,0))))</f>
        <v>82.3</v>
      </c>
      <c r="D3151" s="148">
        <f t="shared" ca="1" si="102"/>
        <v>0</v>
      </c>
      <c r="E3151" s="148">
        <f t="shared" ca="1" si="103"/>
        <v>17.299999999999997</v>
      </c>
    </row>
    <row r="3152" spans="2:5" x14ac:dyDescent="0.25">
      <c r="B3152" s="8">
        <v>40746</v>
      </c>
      <c r="C3152" s="6">
        <f ca="1">IF(OR($C$7="",$B3152&gt;NOW()),"",IF(INDEX(Data!$A:$G,MATCH($B3152,Data!$A:$A,0),MATCH($C$7,Data!$4:$4,0))="","",INDEX(Data!$A:$G,MATCH($B3152,Data!$A:$A,0),MATCH($C$7,Data!$4:$4,0))))</f>
        <v>92.7</v>
      </c>
      <c r="D3152" s="148">
        <f t="shared" ca="1" si="102"/>
        <v>0</v>
      </c>
      <c r="E3152" s="148">
        <f t="shared" ca="1" si="103"/>
        <v>27.700000000000003</v>
      </c>
    </row>
    <row r="3153" spans="2:5" x14ac:dyDescent="0.25">
      <c r="B3153" s="8">
        <v>40747</v>
      </c>
      <c r="C3153" s="6">
        <f ca="1">IF(OR($C$7="",$B3153&gt;NOW()),"",IF(INDEX(Data!$A:$G,MATCH($B3153,Data!$A:$A,0),MATCH($C$7,Data!$4:$4,0))="","",INDEX(Data!$A:$G,MATCH($B3153,Data!$A:$A,0),MATCH($C$7,Data!$4:$4,0))))</f>
        <v>89.2</v>
      </c>
      <c r="D3153" s="148">
        <f t="shared" ca="1" si="102"/>
        <v>0</v>
      </c>
      <c r="E3153" s="148">
        <f t="shared" ca="1" si="103"/>
        <v>24.200000000000003</v>
      </c>
    </row>
    <row r="3154" spans="2:5" x14ac:dyDescent="0.25">
      <c r="B3154" s="8">
        <v>40748</v>
      </c>
      <c r="C3154" s="6">
        <f ca="1">IF(OR($C$7="",$B3154&gt;NOW()),"",IF(INDEX(Data!$A:$G,MATCH($B3154,Data!$A:$A,0),MATCH($C$7,Data!$4:$4,0))="","",INDEX(Data!$A:$G,MATCH($B3154,Data!$A:$A,0),MATCH($C$7,Data!$4:$4,0))))</f>
        <v>85.8</v>
      </c>
      <c r="D3154" s="148">
        <f t="shared" ca="1" si="102"/>
        <v>0</v>
      </c>
      <c r="E3154" s="148">
        <f t="shared" ca="1" si="103"/>
        <v>20.799999999999997</v>
      </c>
    </row>
    <row r="3155" spans="2:5" x14ac:dyDescent="0.25">
      <c r="B3155" s="8">
        <v>40749</v>
      </c>
      <c r="C3155" s="6">
        <f ca="1">IF(OR($C$7="",$B3155&gt;NOW()),"",IF(INDEX(Data!$A:$G,MATCH($B3155,Data!$A:$A,0),MATCH($C$7,Data!$4:$4,0))="","",INDEX(Data!$A:$G,MATCH($B3155,Data!$A:$A,0),MATCH($C$7,Data!$4:$4,0))))</f>
        <v>77.2</v>
      </c>
      <c r="D3155" s="148">
        <f t="shared" ca="1" si="102"/>
        <v>0</v>
      </c>
      <c r="E3155" s="148">
        <f t="shared" ca="1" si="103"/>
        <v>12.200000000000003</v>
      </c>
    </row>
    <row r="3156" spans="2:5" x14ac:dyDescent="0.25">
      <c r="B3156" s="8">
        <v>40750</v>
      </c>
      <c r="C3156" s="6">
        <f ca="1">IF(OR($C$7="",$B3156&gt;NOW()),"",IF(INDEX(Data!$A:$G,MATCH($B3156,Data!$A:$A,0),MATCH($C$7,Data!$4:$4,0))="","",INDEX(Data!$A:$G,MATCH($B3156,Data!$A:$A,0),MATCH($C$7,Data!$4:$4,0))))</f>
        <v>76.8</v>
      </c>
      <c r="D3156" s="148">
        <f t="shared" ca="1" si="102"/>
        <v>0</v>
      </c>
      <c r="E3156" s="148">
        <f t="shared" ca="1" si="103"/>
        <v>11.799999999999997</v>
      </c>
    </row>
    <row r="3157" spans="2:5" x14ac:dyDescent="0.25">
      <c r="B3157" s="8">
        <v>40751</v>
      </c>
      <c r="C3157" s="6">
        <f ca="1">IF(OR($C$7="",$B3157&gt;NOW()),"",IF(INDEX(Data!$A:$G,MATCH($B3157,Data!$A:$A,0),MATCH($C$7,Data!$4:$4,0))="","",INDEX(Data!$A:$G,MATCH($B3157,Data!$A:$A,0),MATCH($C$7,Data!$4:$4,0))))</f>
        <v>76.7</v>
      </c>
      <c r="D3157" s="148">
        <f t="shared" ca="1" si="102"/>
        <v>0</v>
      </c>
      <c r="E3157" s="148">
        <f t="shared" ca="1" si="103"/>
        <v>11.700000000000003</v>
      </c>
    </row>
    <row r="3158" spans="2:5" x14ac:dyDescent="0.25">
      <c r="B3158" s="8">
        <v>40752</v>
      </c>
      <c r="C3158" s="6">
        <f ca="1">IF(OR($C$7="",$B3158&gt;NOW()),"",IF(INDEX(Data!$A:$G,MATCH($B3158,Data!$A:$A,0),MATCH($C$7,Data!$4:$4,0))="","",INDEX(Data!$A:$G,MATCH($B3158,Data!$A:$A,0),MATCH($C$7,Data!$4:$4,0))))</f>
        <v>77.8</v>
      </c>
      <c r="D3158" s="148">
        <f t="shared" ca="1" si="102"/>
        <v>0</v>
      </c>
      <c r="E3158" s="148">
        <f t="shared" ca="1" si="103"/>
        <v>12.799999999999997</v>
      </c>
    </row>
    <row r="3159" spans="2:5" x14ac:dyDescent="0.25">
      <c r="B3159" s="8">
        <v>40753</v>
      </c>
      <c r="C3159" s="6">
        <f ca="1">IF(OR($C$7="",$B3159&gt;NOW()),"",IF(INDEX(Data!$A:$G,MATCH($B3159,Data!$A:$A,0),MATCH($C$7,Data!$4:$4,0))="","",INDEX(Data!$A:$G,MATCH($B3159,Data!$A:$A,0),MATCH($C$7,Data!$4:$4,0))))</f>
        <v>78.099999999999994</v>
      </c>
      <c r="D3159" s="148">
        <f t="shared" ca="1" si="102"/>
        <v>0</v>
      </c>
      <c r="E3159" s="148">
        <f t="shared" ca="1" si="103"/>
        <v>13.099999999999994</v>
      </c>
    </row>
    <row r="3160" spans="2:5" x14ac:dyDescent="0.25">
      <c r="B3160" s="8">
        <v>40754</v>
      </c>
      <c r="C3160" s="6">
        <f ca="1">IF(OR($C$7="",$B3160&gt;NOW()),"",IF(INDEX(Data!$A:$G,MATCH($B3160,Data!$A:$A,0),MATCH($C$7,Data!$4:$4,0))="","",INDEX(Data!$A:$G,MATCH($B3160,Data!$A:$A,0),MATCH($C$7,Data!$4:$4,0))))</f>
        <v>81.099999999999994</v>
      </c>
      <c r="D3160" s="148">
        <f t="shared" ca="1" si="102"/>
        <v>0</v>
      </c>
      <c r="E3160" s="148">
        <f t="shared" ca="1" si="103"/>
        <v>16.099999999999994</v>
      </c>
    </row>
    <row r="3161" spans="2:5" x14ac:dyDescent="0.25">
      <c r="B3161" s="8">
        <v>40755</v>
      </c>
      <c r="C3161" s="6">
        <f ca="1">IF(OR($C$7="",$B3161&gt;NOW()),"",IF(INDEX(Data!$A:$G,MATCH($B3161,Data!$A:$A,0),MATCH($C$7,Data!$4:$4,0))="","",INDEX(Data!$A:$G,MATCH($B3161,Data!$A:$A,0),MATCH($C$7,Data!$4:$4,0))))</f>
        <v>80.8</v>
      </c>
      <c r="D3161" s="148">
        <f t="shared" ca="1" si="102"/>
        <v>0</v>
      </c>
      <c r="E3161" s="148">
        <f t="shared" ca="1" si="103"/>
        <v>15.799999999999997</v>
      </c>
    </row>
    <row r="3162" spans="2:5" x14ac:dyDescent="0.25">
      <c r="B3162" s="8">
        <v>40756</v>
      </c>
      <c r="C3162" s="6">
        <f ca="1">IF(OR($C$7="",$B3162&gt;NOW()),"",IF(INDEX(Data!$A:$G,MATCH($B3162,Data!$A:$A,0),MATCH($C$7,Data!$4:$4,0))="","",INDEX(Data!$A:$G,MATCH($B3162,Data!$A:$A,0),MATCH($C$7,Data!$4:$4,0))))</f>
        <v>81.5</v>
      </c>
      <c r="D3162" s="148">
        <f t="shared" ca="1" si="102"/>
        <v>0</v>
      </c>
      <c r="E3162" s="148">
        <f t="shared" ca="1" si="103"/>
        <v>16.5</v>
      </c>
    </row>
    <row r="3163" spans="2:5" x14ac:dyDescent="0.25">
      <c r="B3163" s="8">
        <v>40757</v>
      </c>
      <c r="C3163" s="6">
        <f ca="1">IF(OR($C$7="",$B3163&gt;NOW()),"",IF(INDEX(Data!$A:$G,MATCH($B3163,Data!$A:$A,0),MATCH($C$7,Data!$4:$4,0))="","",INDEX(Data!$A:$G,MATCH($B3163,Data!$A:$A,0),MATCH($C$7,Data!$4:$4,0))))</f>
        <v>80.3</v>
      </c>
      <c r="D3163" s="148">
        <f t="shared" ca="1" si="102"/>
        <v>0</v>
      </c>
      <c r="E3163" s="148">
        <f t="shared" ca="1" si="103"/>
        <v>15.299999999999997</v>
      </c>
    </row>
    <row r="3164" spans="2:5" x14ac:dyDescent="0.25">
      <c r="B3164" s="8">
        <v>40758</v>
      </c>
      <c r="C3164" s="6">
        <f ca="1">IF(OR($C$7="",$B3164&gt;NOW()),"",IF(INDEX(Data!$A:$G,MATCH($B3164,Data!$A:$A,0),MATCH($C$7,Data!$4:$4,0))="","",INDEX(Data!$A:$G,MATCH($B3164,Data!$A:$A,0),MATCH($C$7,Data!$4:$4,0))))</f>
        <v>77.8</v>
      </c>
      <c r="D3164" s="148">
        <f t="shared" ca="1" si="102"/>
        <v>0</v>
      </c>
      <c r="E3164" s="148">
        <f t="shared" ca="1" si="103"/>
        <v>12.799999999999997</v>
      </c>
    </row>
    <row r="3165" spans="2:5" x14ac:dyDescent="0.25">
      <c r="B3165" s="8">
        <v>40759</v>
      </c>
      <c r="C3165" s="6">
        <f ca="1">IF(OR($C$7="",$B3165&gt;NOW()),"",IF(INDEX(Data!$A:$G,MATCH($B3165,Data!$A:$A,0),MATCH($C$7,Data!$4:$4,0))="","",INDEX(Data!$A:$G,MATCH($B3165,Data!$A:$A,0),MATCH($C$7,Data!$4:$4,0))))</f>
        <v>73.3</v>
      </c>
      <c r="D3165" s="148">
        <f t="shared" ref="D3165:D3228" ca="1" si="104">IF($C3165="","",IF($C3165&gt;$D$26,0,$D$26-$C3165))</f>
        <v>0</v>
      </c>
      <c r="E3165" s="148">
        <f t="shared" ref="E3165:E3228" ca="1" si="105">IF($C3165="","",IF($C3165&lt;$E$26,0,$C3165-$E$26))</f>
        <v>8.2999999999999972</v>
      </c>
    </row>
    <row r="3166" spans="2:5" x14ac:dyDescent="0.25">
      <c r="B3166" s="8">
        <v>40760</v>
      </c>
      <c r="C3166" s="6">
        <f ca="1">IF(OR($C$7="",$B3166&gt;NOW()),"",IF(INDEX(Data!$A:$G,MATCH($B3166,Data!$A:$A,0),MATCH($C$7,Data!$4:$4,0))="","",INDEX(Data!$A:$G,MATCH($B3166,Data!$A:$A,0),MATCH($C$7,Data!$4:$4,0))))</f>
        <v>76.900000000000006</v>
      </c>
      <c r="D3166" s="148">
        <f t="shared" ca="1" si="104"/>
        <v>0</v>
      </c>
      <c r="E3166" s="148">
        <f t="shared" ca="1" si="105"/>
        <v>11.900000000000006</v>
      </c>
    </row>
    <row r="3167" spans="2:5" x14ac:dyDescent="0.25">
      <c r="B3167" s="8">
        <v>40761</v>
      </c>
      <c r="C3167" s="6">
        <f ca="1">IF(OR($C$7="",$B3167&gt;NOW()),"",IF(INDEX(Data!$A:$G,MATCH($B3167,Data!$A:$A,0),MATCH($C$7,Data!$4:$4,0))="","",INDEX(Data!$A:$G,MATCH($B3167,Data!$A:$A,0),MATCH($C$7,Data!$4:$4,0))))</f>
        <v>76.5</v>
      </c>
      <c r="D3167" s="148">
        <f t="shared" ca="1" si="104"/>
        <v>0</v>
      </c>
      <c r="E3167" s="148">
        <f t="shared" ca="1" si="105"/>
        <v>11.5</v>
      </c>
    </row>
    <row r="3168" spans="2:5" x14ac:dyDescent="0.25">
      <c r="B3168" s="8">
        <v>40762</v>
      </c>
      <c r="C3168" s="6">
        <f ca="1">IF(OR($C$7="",$B3168&gt;NOW()),"",IF(INDEX(Data!$A:$G,MATCH($B3168,Data!$A:$A,0),MATCH($C$7,Data!$4:$4,0))="","",INDEX(Data!$A:$G,MATCH($B3168,Data!$A:$A,0),MATCH($C$7,Data!$4:$4,0))))</f>
        <v>79.599999999999994</v>
      </c>
      <c r="D3168" s="148">
        <f t="shared" ca="1" si="104"/>
        <v>0</v>
      </c>
      <c r="E3168" s="148">
        <f t="shared" ca="1" si="105"/>
        <v>14.599999999999994</v>
      </c>
    </row>
    <row r="3169" spans="2:5" x14ac:dyDescent="0.25">
      <c r="B3169" s="8">
        <v>40763</v>
      </c>
      <c r="C3169" s="6">
        <f ca="1">IF(OR($C$7="",$B3169&gt;NOW()),"",IF(INDEX(Data!$A:$G,MATCH($B3169,Data!$A:$A,0),MATCH($C$7,Data!$4:$4,0))="","",INDEX(Data!$A:$G,MATCH($B3169,Data!$A:$A,0),MATCH($C$7,Data!$4:$4,0))))</f>
        <v>80.7</v>
      </c>
      <c r="D3169" s="148">
        <f t="shared" ca="1" si="104"/>
        <v>0</v>
      </c>
      <c r="E3169" s="148">
        <f t="shared" ca="1" si="105"/>
        <v>15.700000000000003</v>
      </c>
    </row>
    <row r="3170" spans="2:5" x14ac:dyDescent="0.25">
      <c r="B3170" s="8">
        <v>40764</v>
      </c>
      <c r="C3170" s="6">
        <f ca="1">IF(OR($C$7="",$B3170&gt;NOW()),"",IF(INDEX(Data!$A:$G,MATCH($B3170,Data!$A:$A,0),MATCH($C$7,Data!$4:$4,0))="","",INDEX(Data!$A:$G,MATCH($B3170,Data!$A:$A,0),MATCH($C$7,Data!$4:$4,0))))</f>
        <v>76.5</v>
      </c>
      <c r="D3170" s="148">
        <f t="shared" ca="1" si="104"/>
        <v>0</v>
      </c>
      <c r="E3170" s="148">
        <f t="shared" ca="1" si="105"/>
        <v>11.5</v>
      </c>
    </row>
    <row r="3171" spans="2:5" x14ac:dyDescent="0.25">
      <c r="B3171" s="8">
        <v>40765</v>
      </c>
      <c r="C3171" s="6">
        <f ca="1">IF(OR($C$7="",$B3171&gt;NOW()),"",IF(INDEX(Data!$A:$G,MATCH($B3171,Data!$A:$A,0),MATCH($C$7,Data!$4:$4,0))="","",INDEX(Data!$A:$G,MATCH($B3171,Data!$A:$A,0),MATCH($C$7,Data!$4:$4,0))))</f>
        <v>78</v>
      </c>
      <c r="D3171" s="148">
        <f t="shared" ca="1" si="104"/>
        <v>0</v>
      </c>
      <c r="E3171" s="148">
        <f t="shared" ca="1" si="105"/>
        <v>13</v>
      </c>
    </row>
    <row r="3172" spans="2:5" x14ac:dyDescent="0.25">
      <c r="B3172" s="8">
        <v>40766</v>
      </c>
      <c r="C3172" s="6">
        <f ca="1">IF(OR($C$7="",$B3172&gt;NOW()),"",IF(INDEX(Data!$A:$G,MATCH($B3172,Data!$A:$A,0),MATCH($C$7,Data!$4:$4,0))="","",INDEX(Data!$A:$G,MATCH($B3172,Data!$A:$A,0),MATCH($C$7,Data!$4:$4,0))))</f>
        <v>77.2</v>
      </c>
      <c r="D3172" s="148">
        <f t="shared" ca="1" si="104"/>
        <v>0</v>
      </c>
      <c r="E3172" s="148">
        <f t="shared" ca="1" si="105"/>
        <v>12.200000000000003</v>
      </c>
    </row>
    <row r="3173" spans="2:5" x14ac:dyDescent="0.25">
      <c r="B3173" s="8">
        <v>40767</v>
      </c>
      <c r="C3173" s="6">
        <f ca="1">IF(OR($C$7="",$B3173&gt;NOW()),"",IF(INDEX(Data!$A:$G,MATCH($B3173,Data!$A:$A,0),MATCH($C$7,Data!$4:$4,0))="","",INDEX(Data!$A:$G,MATCH($B3173,Data!$A:$A,0),MATCH($C$7,Data!$4:$4,0))))</f>
        <v>75.3</v>
      </c>
      <c r="D3173" s="148">
        <f t="shared" ca="1" si="104"/>
        <v>0</v>
      </c>
      <c r="E3173" s="148">
        <f t="shared" ca="1" si="105"/>
        <v>10.299999999999997</v>
      </c>
    </row>
    <row r="3174" spans="2:5" x14ac:dyDescent="0.25">
      <c r="B3174" s="8">
        <v>40768</v>
      </c>
      <c r="C3174" s="6">
        <f ca="1">IF(OR($C$7="",$B3174&gt;NOW()),"",IF(INDEX(Data!$A:$G,MATCH($B3174,Data!$A:$A,0),MATCH($C$7,Data!$4:$4,0))="","",INDEX(Data!$A:$G,MATCH($B3174,Data!$A:$A,0),MATCH($C$7,Data!$4:$4,0))))</f>
        <v>77.900000000000006</v>
      </c>
      <c r="D3174" s="148">
        <f t="shared" ca="1" si="104"/>
        <v>0</v>
      </c>
      <c r="E3174" s="148">
        <f t="shared" ca="1" si="105"/>
        <v>12.900000000000006</v>
      </c>
    </row>
    <row r="3175" spans="2:5" x14ac:dyDescent="0.25">
      <c r="B3175" s="8">
        <v>40769</v>
      </c>
      <c r="C3175" s="6">
        <f ca="1">IF(OR($C$7="",$B3175&gt;NOW()),"",IF(INDEX(Data!$A:$G,MATCH($B3175,Data!$A:$A,0),MATCH($C$7,Data!$4:$4,0))="","",INDEX(Data!$A:$G,MATCH($B3175,Data!$A:$A,0),MATCH($C$7,Data!$4:$4,0))))</f>
        <v>71.7</v>
      </c>
      <c r="D3175" s="148">
        <f t="shared" ca="1" si="104"/>
        <v>0</v>
      </c>
      <c r="E3175" s="148">
        <f t="shared" ca="1" si="105"/>
        <v>6.7000000000000028</v>
      </c>
    </row>
    <row r="3176" spans="2:5" x14ac:dyDescent="0.25">
      <c r="B3176" s="8">
        <v>40770</v>
      </c>
      <c r="C3176" s="6">
        <f ca="1">IF(OR($C$7="",$B3176&gt;NOW()),"",IF(INDEX(Data!$A:$G,MATCH($B3176,Data!$A:$A,0),MATCH($C$7,Data!$4:$4,0))="","",INDEX(Data!$A:$G,MATCH($B3176,Data!$A:$A,0),MATCH($C$7,Data!$4:$4,0))))</f>
        <v>72.099999999999994</v>
      </c>
      <c r="D3176" s="148">
        <f t="shared" ca="1" si="104"/>
        <v>0</v>
      </c>
      <c r="E3176" s="148">
        <f t="shared" ca="1" si="105"/>
        <v>7.0999999999999943</v>
      </c>
    </row>
    <row r="3177" spans="2:5" x14ac:dyDescent="0.25">
      <c r="B3177" s="8">
        <v>40771</v>
      </c>
      <c r="C3177" s="6">
        <f ca="1">IF(OR($C$7="",$B3177&gt;NOW()),"",IF(INDEX(Data!$A:$G,MATCH($B3177,Data!$A:$A,0),MATCH($C$7,Data!$4:$4,0))="","",INDEX(Data!$A:$G,MATCH($B3177,Data!$A:$A,0),MATCH($C$7,Data!$4:$4,0))))</f>
        <v>70.2</v>
      </c>
      <c r="D3177" s="148">
        <f t="shared" ca="1" si="104"/>
        <v>0</v>
      </c>
      <c r="E3177" s="148">
        <f t="shared" ca="1" si="105"/>
        <v>5.2000000000000028</v>
      </c>
    </row>
    <row r="3178" spans="2:5" x14ac:dyDescent="0.25">
      <c r="B3178" s="8">
        <v>40772</v>
      </c>
      <c r="C3178" s="6">
        <f ca="1">IF(OR($C$7="",$B3178&gt;NOW()),"",IF(INDEX(Data!$A:$G,MATCH($B3178,Data!$A:$A,0),MATCH($C$7,Data!$4:$4,0))="","",INDEX(Data!$A:$G,MATCH($B3178,Data!$A:$A,0),MATCH($C$7,Data!$4:$4,0))))</f>
        <v>76.7</v>
      </c>
      <c r="D3178" s="148">
        <f t="shared" ca="1" si="104"/>
        <v>0</v>
      </c>
      <c r="E3178" s="148">
        <f t="shared" ca="1" si="105"/>
        <v>11.700000000000003</v>
      </c>
    </row>
    <row r="3179" spans="2:5" x14ac:dyDescent="0.25">
      <c r="B3179" s="8">
        <v>40773</v>
      </c>
      <c r="C3179" s="6">
        <f ca="1">IF(OR($C$7="",$B3179&gt;NOW()),"",IF(INDEX(Data!$A:$G,MATCH($B3179,Data!$A:$A,0),MATCH($C$7,Data!$4:$4,0))="","",INDEX(Data!$A:$G,MATCH($B3179,Data!$A:$A,0),MATCH($C$7,Data!$4:$4,0))))</f>
        <v>76.3</v>
      </c>
      <c r="D3179" s="148">
        <f t="shared" ca="1" si="104"/>
        <v>0</v>
      </c>
      <c r="E3179" s="148">
        <f t="shared" ca="1" si="105"/>
        <v>11.299999999999997</v>
      </c>
    </row>
    <row r="3180" spans="2:5" x14ac:dyDescent="0.25">
      <c r="B3180" s="8">
        <v>40774</v>
      </c>
      <c r="C3180" s="6">
        <f ca="1">IF(OR($C$7="",$B3180&gt;NOW()),"",IF(INDEX(Data!$A:$G,MATCH($B3180,Data!$A:$A,0),MATCH($C$7,Data!$4:$4,0))="","",INDEX(Data!$A:$G,MATCH($B3180,Data!$A:$A,0),MATCH($C$7,Data!$4:$4,0))))</f>
        <v>76.099999999999994</v>
      </c>
      <c r="D3180" s="148">
        <f t="shared" ca="1" si="104"/>
        <v>0</v>
      </c>
      <c r="E3180" s="148">
        <f t="shared" ca="1" si="105"/>
        <v>11.099999999999994</v>
      </c>
    </row>
    <row r="3181" spans="2:5" x14ac:dyDescent="0.25">
      <c r="B3181" s="8">
        <v>40775</v>
      </c>
      <c r="C3181" s="6">
        <f ca="1">IF(OR($C$7="",$B3181&gt;NOW()),"",IF(INDEX(Data!$A:$G,MATCH($B3181,Data!$A:$A,0),MATCH($C$7,Data!$4:$4,0))="","",INDEX(Data!$A:$G,MATCH($B3181,Data!$A:$A,0),MATCH($C$7,Data!$4:$4,0))))</f>
        <v>73.5</v>
      </c>
      <c r="D3181" s="148">
        <f t="shared" ca="1" si="104"/>
        <v>0</v>
      </c>
      <c r="E3181" s="148">
        <f t="shared" ca="1" si="105"/>
        <v>8.5</v>
      </c>
    </row>
    <row r="3182" spans="2:5" x14ac:dyDescent="0.25">
      <c r="B3182" s="8">
        <v>40776</v>
      </c>
      <c r="C3182" s="6">
        <f ca="1">IF(OR($C$7="",$B3182&gt;NOW()),"",IF(INDEX(Data!$A:$G,MATCH($B3182,Data!$A:$A,0),MATCH($C$7,Data!$4:$4,0))="","",INDEX(Data!$A:$G,MATCH($B3182,Data!$A:$A,0),MATCH($C$7,Data!$4:$4,0))))</f>
        <v>77.5</v>
      </c>
      <c r="D3182" s="148">
        <f t="shared" ca="1" si="104"/>
        <v>0</v>
      </c>
      <c r="E3182" s="148">
        <f t="shared" ca="1" si="105"/>
        <v>12.5</v>
      </c>
    </row>
    <row r="3183" spans="2:5" x14ac:dyDescent="0.25">
      <c r="B3183" s="8">
        <v>40777</v>
      </c>
      <c r="C3183" s="6">
        <f ca="1">IF(OR($C$7="",$B3183&gt;NOW()),"",IF(INDEX(Data!$A:$G,MATCH($B3183,Data!$A:$A,0),MATCH($C$7,Data!$4:$4,0))="","",INDEX(Data!$A:$G,MATCH($B3183,Data!$A:$A,0),MATCH($C$7,Data!$4:$4,0))))</f>
        <v>72.7</v>
      </c>
      <c r="D3183" s="148">
        <f t="shared" ca="1" si="104"/>
        <v>0</v>
      </c>
      <c r="E3183" s="148">
        <f t="shared" ca="1" si="105"/>
        <v>7.7000000000000028</v>
      </c>
    </row>
    <row r="3184" spans="2:5" x14ac:dyDescent="0.25">
      <c r="B3184" s="8">
        <v>40778</v>
      </c>
      <c r="C3184" s="6">
        <f ca="1">IF(OR($C$7="",$B3184&gt;NOW()),"",IF(INDEX(Data!$A:$G,MATCH($B3184,Data!$A:$A,0),MATCH($C$7,Data!$4:$4,0))="","",INDEX(Data!$A:$G,MATCH($B3184,Data!$A:$A,0),MATCH($C$7,Data!$4:$4,0))))</f>
        <v>71.400000000000006</v>
      </c>
      <c r="D3184" s="148">
        <f t="shared" ca="1" si="104"/>
        <v>0</v>
      </c>
      <c r="E3184" s="148">
        <f t="shared" ca="1" si="105"/>
        <v>6.4000000000000057</v>
      </c>
    </row>
    <row r="3185" spans="2:5" x14ac:dyDescent="0.25">
      <c r="B3185" s="8">
        <v>40779</v>
      </c>
      <c r="C3185" s="6">
        <f ca="1">IF(OR($C$7="",$B3185&gt;NOW()),"",IF(INDEX(Data!$A:$G,MATCH($B3185,Data!$A:$A,0),MATCH($C$7,Data!$4:$4,0))="","",INDEX(Data!$A:$G,MATCH($B3185,Data!$A:$A,0),MATCH($C$7,Data!$4:$4,0))))</f>
        <v>73.8</v>
      </c>
      <c r="D3185" s="148">
        <f t="shared" ca="1" si="104"/>
        <v>0</v>
      </c>
      <c r="E3185" s="148">
        <f t="shared" ca="1" si="105"/>
        <v>8.7999999999999972</v>
      </c>
    </row>
    <row r="3186" spans="2:5" x14ac:dyDescent="0.25">
      <c r="B3186" s="8">
        <v>40780</v>
      </c>
      <c r="C3186" s="6">
        <f ca="1">IF(OR($C$7="",$B3186&gt;NOW()),"",IF(INDEX(Data!$A:$G,MATCH($B3186,Data!$A:$A,0),MATCH($C$7,Data!$4:$4,0))="","",INDEX(Data!$A:$G,MATCH($B3186,Data!$A:$A,0),MATCH($C$7,Data!$4:$4,0))))</f>
        <v>75.2</v>
      </c>
      <c r="D3186" s="148">
        <f t="shared" ca="1" si="104"/>
        <v>0</v>
      </c>
      <c r="E3186" s="148">
        <f t="shared" ca="1" si="105"/>
        <v>10.200000000000003</v>
      </c>
    </row>
    <row r="3187" spans="2:5" x14ac:dyDescent="0.25">
      <c r="B3187" s="8">
        <v>40781</v>
      </c>
      <c r="C3187" s="6">
        <f ca="1">IF(OR($C$7="",$B3187&gt;NOW()),"",IF(INDEX(Data!$A:$G,MATCH($B3187,Data!$A:$A,0),MATCH($C$7,Data!$4:$4,0))="","",INDEX(Data!$A:$G,MATCH($B3187,Data!$A:$A,0),MATCH($C$7,Data!$4:$4,0))))</f>
        <v>76.599999999999994</v>
      </c>
      <c r="D3187" s="148">
        <f t="shared" ca="1" si="104"/>
        <v>0</v>
      </c>
      <c r="E3187" s="148">
        <f t="shared" ca="1" si="105"/>
        <v>11.599999999999994</v>
      </c>
    </row>
    <row r="3188" spans="2:5" x14ac:dyDescent="0.25">
      <c r="B3188" s="8">
        <v>40782</v>
      </c>
      <c r="C3188" s="6">
        <f ca="1">IF(OR($C$7="",$B3188&gt;NOW()),"",IF(INDEX(Data!$A:$G,MATCH($B3188,Data!$A:$A,0),MATCH($C$7,Data!$4:$4,0))="","",INDEX(Data!$A:$G,MATCH($B3188,Data!$A:$A,0),MATCH($C$7,Data!$4:$4,0))))</f>
        <v>75</v>
      </c>
      <c r="D3188" s="148">
        <f t="shared" ca="1" si="104"/>
        <v>0</v>
      </c>
      <c r="E3188" s="148">
        <f t="shared" ca="1" si="105"/>
        <v>10</v>
      </c>
    </row>
    <row r="3189" spans="2:5" x14ac:dyDescent="0.25">
      <c r="B3189" s="8">
        <v>40783</v>
      </c>
      <c r="C3189" s="6">
        <f ca="1">IF(OR($C$7="",$B3189&gt;NOW()),"",IF(INDEX(Data!$A:$G,MATCH($B3189,Data!$A:$A,0),MATCH($C$7,Data!$4:$4,0))="","",INDEX(Data!$A:$G,MATCH($B3189,Data!$A:$A,0),MATCH($C$7,Data!$4:$4,0))))</f>
        <v>73</v>
      </c>
      <c r="D3189" s="148">
        <f t="shared" ca="1" si="104"/>
        <v>0</v>
      </c>
      <c r="E3189" s="148">
        <f t="shared" ca="1" si="105"/>
        <v>8</v>
      </c>
    </row>
    <row r="3190" spans="2:5" x14ac:dyDescent="0.25">
      <c r="B3190" s="8">
        <v>40784</v>
      </c>
      <c r="C3190" s="6">
        <f ca="1">IF(OR($C$7="",$B3190&gt;NOW()),"",IF(INDEX(Data!$A:$G,MATCH($B3190,Data!$A:$A,0),MATCH($C$7,Data!$4:$4,0))="","",INDEX(Data!$A:$G,MATCH($B3190,Data!$A:$A,0),MATCH($C$7,Data!$4:$4,0))))</f>
        <v>68.900000000000006</v>
      </c>
      <c r="D3190" s="148">
        <f t="shared" ca="1" si="104"/>
        <v>0</v>
      </c>
      <c r="E3190" s="148">
        <f t="shared" ca="1" si="105"/>
        <v>3.9000000000000057</v>
      </c>
    </row>
    <row r="3191" spans="2:5" x14ac:dyDescent="0.25">
      <c r="B3191" s="8">
        <v>40785</v>
      </c>
      <c r="C3191" s="6">
        <f ca="1">IF(OR($C$7="",$B3191&gt;NOW()),"",IF(INDEX(Data!$A:$G,MATCH($B3191,Data!$A:$A,0),MATCH($C$7,Data!$4:$4,0))="","",INDEX(Data!$A:$G,MATCH($B3191,Data!$A:$A,0),MATCH($C$7,Data!$4:$4,0))))</f>
        <v>72.099999999999994</v>
      </c>
      <c r="D3191" s="148">
        <f t="shared" ca="1" si="104"/>
        <v>0</v>
      </c>
      <c r="E3191" s="148">
        <f t="shared" ca="1" si="105"/>
        <v>7.0999999999999943</v>
      </c>
    </row>
    <row r="3192" spans="2:5" x14ac:dyDescent="0.25">
      <c r="B3192" s="8">
        <v>40786</v>
      </c>
      <c r="C3192" s="6">
        <f ca="1">IF(OR($C$7="",$B3192&gt;NOW()),"",IF(INDEX(Data!$A:$G,MATCH($B3192,Data!$A:$A,0),MATCH($C$7,Data!$4:$4,0))="","",INDEX(Data!$A:$G,MATCH($B3192,Data!$A:$A,0),MATCH($C$7,Data!$4:$4,0))))</f>
        <v>74.400000000000006</v>
      </c>
      <c r="D3192" s="148">
        <f t="shared" ca="1" si="104"/>
        <v>0</v>
      </c>
      <c r="E3192" s="148">
        <f t="shared" ca="1" si="105"/>
        <v>9.4000000000000057</v>
      </c>
    </row>
    <row r="3193" spans="2:5" x14ac:dyDescent="0.25">
      <c r="B3193" s="8">
        <v>40787</v>
      </c>
      <c r="C3193" s="6">
        <f ca="1">IF(OR($C$7="",$B3193&gt;NOW()),"",IF(INDEX(Data!$A:$G,MATCH($B3193,Data!$A:$A,0),MATCH($C$7,Data!$4:$4,0))="","",INDEX(Data!$A:$G,MATCH($B3193,Data!$A:$A,0),MATCH($C$7,Data!$4:$4,0))))</f>
        <v>75.5</v>
      </c>
      <c r="D3193" s="148">
        <f t="shared" ca="1" si="104"/>
        <v>0</v>
      </c>
      <c r="E3193" s="148">
        <f t="shared" ca="1" si="105"/>
        <v>10.5</v>
      </c>
    </row>
    <row r="3194" spans="2:5" x14ac:dyDescent="0.25">
      <c r="B3194" s="8">
        <v>40788</v>
      </c>
      <c r="C3194" s="6">
        <f ca="1">IF(OR($C$7="",$B3194&gt;NOW()),"",IF(INDEX(Data!$A:$G,MATCH($B3194,Data!$A:$A,0),MATCH($C$7,Data!$4:$4,0))="","",INDEX(Data!$A:$G,MATCH($B3194,Data!$A:$A,0),MATCH($C$7,Data!$4:$4,0))))</f>
        <v>70.8</v>
      </c>
      <c r="D3194" s="148">
        <f t="shared" ca="1" si="104"/>
        <v>0</v>
      </c>
      <c r="E3194" s="148">
        <f t="shared" ca="1" si="105"/>
        <v>5.7999999999999972</v>
      </c>
    </row>
    <row r="3195" spans="2:5" x14ac:dyDescent="0.25">
      <c r="B3195" s="8">
        <v>40789</v>
      </c>
      <c r="C3195" s="6">
        <f ca="1">IF(OR($C$7="",$B3195&gt;NOW()),"",IF(INDEX(Data!$A:$G,MATCH($B3195,Data!$A:$A,0),MATCH($C$7,Data!$4:$4,0))="","",INDEX(Data!$A:$G,MATCH($B3195,Data!$A:$A,0),MATCH($C$7,Data!$4:$4,0))))</f>
        <v>73</v>
      </c>
      <c r="D3195" s="148">
        <f t="shared" ca="1" si="104"/>
        <v>0</v>
      </c>
      <c r="E3195" s="148">
        <f t="shared" ca="1" si="105"/>
        <v>8</v>
      </c>
    </row>
    <row r="3196" spans="2:5" x14ac:dyDescent="0.25">
      <c r="B3196" s="8">
        <v>40790</v>
      </c>
      <c r="C3196" s="6">
        <f ca="1">IF(OR($C$7="",$B3196&gt;NOW()),"",IF(INDEX(Data!$A:$G,MATCH($B3196,Data!$A:$A,0),MATCH($C$7,Data!$4:$4,0))="","",INDEX(Data!$A:$G,MATCH($B3196,Data!$A:$A,0),MATCH($C$7,Data!$4:$4,0))))</f>
        <v>77.3</v>
      </c>
      <c r="D3196" s="148">
        <f t="shared" ca="1" si="104"/>
        <v>0</v>
      </c>
      <c r="E3196" s="148">
        <f t="shared" ca="1" si="105"/>
        <v>12.299999999999997</v>
      </c>
    </row>
    <row r="3197" spans="2:5" x14ac:dyDescent="0.25">
      <c r="B3197" s="8">
        <v>40791</v>
      </c>
      <c r="C3197" s="6">
        <f ca="1">IF(OR($C$7="",$B3197&gt;NOW()),"",IF(INDEX(Data!$A:$G,MATCH($B3197,Data!$A:$A,0),MATCH($C$7,Data!$4:$4,0))="","",INDEX(Data!$A:$G,MATCH($B3197,Data!$A:$A,0),MATCH($C$7,Data!$4:$4,0))))</f>
        <v>75.8</v>
      </c>
      <c r="D3197" s="148">
        <f t="shared" ca="1" si="104"/>
        <v>0</v>
      </c>
      <c r="E3197" s="148">
        <f t="shared" ca="1" si="105"/>
        <v>10.799999999999997</v>
      </c>
    </row>
    <row r="3198" spans="2:5" x14ac:dyDescent="0.25">
      <c r="B3198" s="8">
        <v>40792</v>
      </c>
      <c r="C3198" s="6">
        <f ca="1">IF(OR($C$7="",$B3198&gt;NOW()),"",IF(INDEX(Data!$A:$G,MATCH($B3198,Data!$A:$A,0),MATCH($C$7,Data!$4:$4,0))="","",INDEX(Data!$A:$G,MATCH($B3198,Data!$A:$A,0),MATCH($C$7,Data!$4:$4,0))))</f>
        <v>65.900000000000006</v>
      </c>
      <c r="D3198" s="148">
        <f t="shared" ca="1" si="104"/>
        <v>0</v>
      </c>
      <c r="E3198" s="148">
        <f t="shared" ca="1" si="105"/>
        <v>0.90000000000000568</v>
      </c>
    </row>
    <row r="3199" spans="2:5" x14ac:dyDescent="0.25">
      <c r="B3199" s="8">
        <v>40793</v>
      </c>
      <c r="C3199" s="6">
        <f ca="1">IF(OR($C$7="",$B3199&gt;NOW()),"",IF(INDEX(Data!$A:$G,MATCH($B3199,Data!$A:$A,0),MATCH($C$7,Data!$4:$4,0))="","",INDEX(Data!$A:$G,MATCH($B3199,Data!$A:$A,0),MATCH($C$7,Data!$4:$4,0))))</f>
        <v>64.900000000000006</v>
      </c>
      <c r="D3199" s="148">
        <f t="shared" ca="1" si="104"/>
        <v>9.9999999999994316E-2</v>
      </c>
      <c r="E3199" s="148">
        <f t="shared" ca="1" si="105"/>
        <v>0</v>
      </c>
    </row>
    <row r="3200" spans="2:5" x14ac:dyDescent="0.25">
      <c r="B3200" s="8">
        <v>40794</v>
      </c>
      <c r="C3200" s="6">
        <f ca="1">IF(OR($C$7="",$B3200&gt;NOW()),"",IF(INDEX(Data!$A:$G,MATCH($B3200,Data!$A:$A,0),MATCH($C$7,Data!$4:$4,0))="","",INDEX(Data!$A:$G,MATCH($B3200,Data!$A:$A,0),MATCH($C$7,Data!$4:$4,0))))</f>
        <v>68.3</v>
      </c>
      <c r="D3200" s="148">
        <f t="shared" ca="1" si="104"/>
        <v>0</v>
      </c>
      <c r="E3200" s="148">
        <f t="shared" ca="1" si="105"/>
        <v>3.2999999999999972</v>
      </c>
    </row>
    <row r="3201" spans="2:5" x14ac:dyDescent="0.25">
      <c r="B3201" s="8">
        <v>40795</v>
      </c>
      <c r="C3201" s="6">
        <f ca="1">IF(OR($C$7="",$B3201&gt;NOW()),"",IF(INDEX(Data!$A:$G,MATCH($B3201,Data!$A:$A,0),MATCH($C$7,Data!$4:$4,0))="","",INDEX(Data!$A:$G,MATCH($B3201,Data!$A:$A,0),MATCH($C$7,Data!$4:$4,0))))</f>
        <v>73.8</v>
      </c>
      <c r="D3201" s="148">
        <f t="shared" ca="1" si="104"/>
        <v>0</v>
      </c>
      <c r="E3201" s="148">
        <f t="shared" ca="1" si="105"/>
        <v>8.7999999999999972</v>
      </c>
    </row>
    <row r="3202" spans="2:5" x14ac:dyDescent="0.25">
      <c r="B3202" s="8">
        <v>40796</v>
      </c>
      <c r="C3202" s="6">
        <f ca="1">IF(OR($C$7="",$B3202&gt;NOW()),"",IF(INDEX(Data!$A:$G,MATCH($B3202,Data!$A:$A,0),MATCH($C$7,Data!$4:$4,0))="","",INDEX(Data!$A:$G,MATCH($B3202,Data!$A:$A,0),MATCH($C$7,Data!$4:$4,0))))</f>
        <v>75</v>
      </c>
      <c r="D3202" s="148">
        <f t="shared" ca="1" si="104"/>
        <v>0</v>
      </c>
      <c r="E3202" s="148">
        <f t="shared" ca="1" si="105"/>
        <v>10</v>
      </c>
    </row>
    <row r="3203" spans="2:5" x14ac:dyDescent="0.25">
      <c r="B3203" s="8">
        <v>40797</v>
      </c>
      <c r="C3203" s="6">
        <f ca="1">IF(OR($C$7="",$B3203&gt;NOW()),"",IF(INDEX(Data!$A:$G,MATCH($B3203,Data!$A:$A,0),MATCH($C$7,Data!$4:$4,0))="","",INDEX(Data!$A:$G,MATCH($B3203,Data!$A:$A,0),MATCH($C$7,Data!$4:$4,0))))</f>
        <v>68</v>
      </c>
      <c r="D3203" s="148">
        <f t="shared" ca="1" si="104"/>
        <v>0</v>
      </c>
      <c r="E3203" s="148">
        <f t="shared" ca="1" si="105"/>
        <v>3</v>
      </c>
    </row>
    <row r="3204" spans="2:5" x14ac:dyDescent="0.25">
      <c r="B3204" s="8">
        <v>40798</v>
      </c>
      <c r="C3204" s="6">
        <f ca="1">IF(OR($C$7="",$B3204&gt;NOW()),"",IF(INDEX(Data!$A:$G,MATCH($B3204,Data!$A:$A,0),MATCH($C$7,Data!$4:$4,0))="","",INDEX(Data!$A:$G,MATCH($B3204,Data!$A:$A,0),MATCH($C$7,Data!$4:$4,0))))</f>
        <v>71.900000000000006</v>
      </c>
      <c r="D3204" s="148">
        <f t="shared" ca="1" si="104"/>
        <v>0</v>
      </c>
      <c r="E3204" s="148">
        <f t="shared" ca="1" si="105"/>
        <v>6.9000000000000057</v>
      </c>
    </row>
    <row r="3205" spans="2:5" x14ac:dyDescent="0.25">
      <c r="B3205" s="8">
        <v>40799</v>
      </c>
      <c r="C3205" s="6">
        <f ca="1">IF(OR($C$7="",$B3205&gt;NOW()),"",IF(INDEX(Data!$A:$G,MATCH($B3205,Data!$A:$A,0),MATCH($C$7,Data!$4:$4,0))="","",INDEX(Data!$A:$G,MATCH($B3205,Data!$A:$A,0),MATCH($C$7,Data!$4:$4,0))))</f>
        <v>75.900000000000006</v>
      </c>
      <c r="D3205" s="148">
        <f t="shared" ca="1" si="104"/>
        <v>0</v>
      </c>
      <c r="E3205" s="148">
        <f t="shared" ca="1" si="105"/>
        <v>10.900000000000006</v>
      </c>
    </row>
    <row r="3206" spans="2:5" x14ac:dyDescent="0.25">
      <c r="B3206" s="8">
        <v>40800</v>
      </c>
      <c r="C3206" s="6">
        <f ca="1">IF(OR($C$7="",$B3206&gt;NOW()),"",IF(INDEX(Data!$A:$G,MATCH($B3206,Data!$A:$A,0),MATCH($C$7,Data!$4:$4,0))="","",INDEX(Data!$A:$G,MATCH($B3206,Data!$A:$A,0),MATCH($C$7,Data!$4:$4,0))))</f>
        <v>77.2</v>
      </c>
      <c r="D3206" s="148">
        <f t="shared" ca="1" si="104"/>
        <v>0</v>
      </c>
      <c r="E3206" s="148">
        <f t="shared" ca="1" si="105"/>
        <v>12.200000000000003</v>
      </c>
    </row>
    <row r="3207" spans="2:5" x14ac:dyDescent="0.25">
      <c r="B3207" s="8">
        <v>40801</v>
      </c>
      <c r="C3207" s="6">
        <f ca="1">IF(OR($C$7="",$B3207&gt;NOW()),"",IF(INDEX(Data!$A:$G,MATCH($B3207,Data!$A:$A,0),MATCH($C$7,Data!$4:$4,0))="","",INDEX(Data!$A:$G,MATCH($B3207,Data!$A:$A,0),MATCH($C$7,Data!$4:$4,0))))</f>
        <v>72.2</v>
      </c>
      <c r="D3207" s="148">
        <f t="shared" ca="1" si="104"/>
        <v>0</v>
      </c>
      <c r="E3207" s="148">
        <f t="shared" ca="1" si="105"/>
        <v>7.2000000000000028</v>
      </c>
    </row>
    <row r="3208" spans="2:5" x14ac:dyDescent="0.25">
      <c r="B3208" s="8">
        <v>40802</v>
      </c>
      <c r="C3208" s="6">
        <f ca="1">IF(OR($C$7="",$B3208&gt;NOW()),"",IF(INDEX(Data!$A:$G,MATCH($B3208,Data!$A:$A,0),MATCH($C$7,Data!$4:$4,0))="","",INDEX(Data!$A:$G,MATCH($B3208,Data!$A:$A,0),MATCH($C$7,Data!$4:$4,0))))</f>
        <v>58.2</v>
      </c>
      <c r="D3208" s="148">
        <f t="shared" ca="1" si="104"/>
        <v>6.7999999999999972</v>
      </c>
      <c r="E3208" s="148">
        <f t="shared" ca="1" si="105"/>
        <v>0</v>
      </c>
    </row>
    <row r="3209" spans="2:5" x14ac:dyDescent="0.25">
      <c r="B3209" s="8">
        <v>40803</v>
      </c>
      <c r="C3209" s="6">
        <f ca="1">IF(OR($C$7="",$B3209&gt;NOW()),"",IF(INDEX(Data!$A:$G,MATCH($B3209,Data!$A:$A,0),MATCH($C$7,Data!$4:$4,0))="","",INDEX(Data!$A:$G,MATCH($B3209,Data!$A:$A,0),MATCH($C$7,Data!$4:$4,0))))</f>
        <v>59.2</v>
      </c>
      <c r="D3209" s="148">
        <f t="shared" ca="1" si="104"/>
        <v>5.7999999999999972</v>
      </c>
      <c r="E3209" s="148">
        <f t="shared" ca="1" si="105"/>
        <v>0</v>
      </c>
    </row>
    <row r="3210" spans="2:5" x14ac:dyDescent="0.25">
      <c r="B3210" s="8">
        <v>40804</v>
      </c>
      <c r="C3210" s="6">
        <f ca="1">IF(OR($C$7="",$B3210&gt;NOW()),"",IF(INDEX(Data!$A:$G,MATCH($B3210,Data!$A:$A,0),MATCH($C$7,Data!$4:$4,0))="","",INDEX(Data!$A:$G,MATCH($B3210,Data!$A:$A,0),MATCH($C$7,Data!$4:$4,0))))</f>
        <v>60.9</v>
      </c>
      <c r="D3210" s="148">
        <f t="shared" ca="1" si="104"/>
        <v>4.1000000000000014</v>
      </c>
      <c r="E3210" s="148">
        <f t="shared" ca="1" si="105"/>
        <v>0</v>
      </c>
    </row>
    <row r="3211" spans="2:5" x14ac:dyDescent="0.25">
      <c r="B3211" s="8">
        <v>40805</v>
      </c>
      <c r="C3211" s="6">
        <f ca="1">IF(OR($C$7="",$B3211&gt;NOW()),"",IF(INDEX(Data!$A:$G,MATCH($B3211,Data!$A:$A,0),MATCH($C$7,Data!$4:$4,0))="","",INDEX(Data!$A:$G,MATCH($B3211,Data!$A:$A,0),MATCH($C$7,Data!$4:$4,0))))</f>
        <v>60.4</v>
      </c>
      <c r="D3211" s="148">
        <f t="shared" ca="1" si="104"/>
        <v>4.6000000000000014</v>
      </c>
      <c r="E3211" s="148">
        <f t="shared" ca="1" si="105"/>
        <v>0</v>
      </c>
    </row>
    <row r="3212" spans="2:5" x14ac:dyDescent="0.25">
      <c r="B3212" s="8">
        <v>40806</v>
      </c>
      <c r="C3212" s="6">
        <f ca="1">IF(OR($C$7="",$B3212&gt;NOW()),"",IF(INDEX(Data!$A:$G,MATCH($B3212,Data!$A:$A,0),MATCH($C$7,Data!$4:$4,0))="","",INDEX(Data!$A:$G,MATCH($B3212,Data!$A:$A,0),MATCH($C$7,Data!$4:$4,0))))</f>
        <v>63.7</v>
      </c>
      <c r="D3212" s="148">
        <f t="shared" ca="1" si="104"/>
        <v>1.2999999999999972</v>
      </c>
      <c r="E3212" s="148">
        <f t="shared" ca="1" si="105"/>
        <v>0</v>
      </c>
    </row>
    <row r="3213" spans="2:5" x14ac:dyDescent="0.25">
      <c r="B3213" s="8">
        <v>40807</v>
      </c>
      <c r="C3213" s="6">
        <f ca="1">IF(OR($C$7="",$B3213&gt;NOW()),"",IF(INDEX(Data!$A:$G,MATCH($B3213,Data!$A:$A,0),MATCH($C$7,Data!$4:$4,0))="","",INDEX(Data!$A:$G,MATCH($B3213,Data!$A:$A,0),MATCH($C$7,Data!$4:$4,0))))</f>
        <v>68.3</v>
      </c>
      <c r="D3213" s="148">
        <f t="shared" ca="1" si="104"/>
        <v>0</v>
      </c>
      <c r="E3213" s="148">
        <f t="shared" ca="1" si="105"/>
        <v>3.2999999999999972</v>
      </c>
    </row>
    <row r="3214" spans="2:5" x14ac:dyDescent="0.25">
      <c r="B3214" s="8">
        <v>40808</v>
      </c>
      <c r="C3214" s="6">
        <f ca="1">IF(OR($C$7="",$B3214&gt;NOW()),"",IF(INDEX(Data!$A:$G,MATCH($B3214,Data!$A:$A,0),MATCH($C$7,Data!$4:$4,0))="","",INDEX(Data!$A:$G,MATCH($B3214,Data!$A:$A,0),MATCH($C$7,Data!$4:$4,0))))</f>
        <v>71.2</v>
      </c>
      <c r="D3214" s="148">
        <f t="shared" ca="1" si="104"/>
        <v>0</v>
      </c>
      <c r="E3214" s="148">
        <f t="shared" ca="1" si="105"/>
        <v>6.2000000000000028</v>
      </c>
    </row>
    <row r="3215" spans="2:5" x14ac:dyDescent="0.25">
      <c r="B3215" s="8">
        <v>40809</v>
      </c>
      <c r="C3215" s="6">
        <f ca="1">IF(OR($C$7="",$B3215&gt;NOW()),"",IF(INDEX(Data!$A:$G,MATCH($B3215,Data!$A:$A,0),MATCH($C$7,Data!$4:$4,0))="","",INDEX(Data!$A:$G,MATCH($B3215,Data!$A:$A,0),MATCH($C$7,Data!$4:$4,0))))</f>
        <v>71.099999999999994</v>
      </c>
      <c r="D3215" s="148">
        <f t="shared" ca="1" si="104"/>
        <v>0</v>
      </c>
      <c r="E3215" s="148">
        <f t="shared" ca="1" si="105"/>
        <v>6.0999999999999943</v>
      </c>
    </row>
    <row r="3216" spans="2:5" x14ac:dyDescent="0.25">
      <c r="B3216" s="8">
        <v>40810</v>
      </c>
      <c r="C3216" s="6">
        <f ca="1">IF(OR($C$7="",$B3216&gt;NOW()),"",IF(INDEX(Data!$A:$G,MATCH($B3216,Data!$A:$A,0),MATCH($C$7,Data!$4:$4,0))="","",INDEX(Data!$A:$G,MATCH($B3216,Data!$A:$A,0),MATCH($C$7,Data!$4:$4,0))))</f>
        <v>72.8</v>
      </c>
      <c r="D3216" s="148">
        <f t="shared" ca="1" si="104"/>
        <v>0</v>
      </c>
      <c r="E3216" s="148">
        <f t="shared" ca="1" si="105"/>
        <v>7.7999999999999972</v>
      </c>
    </row>
    <row r="3217" spans="2:5" x14ac:dyDescent="0.25">
      <c r="B3217" s="8">
        <v>40811</v>
      </c>
      <c r="C3217" s="6">
        <f ca="1">IF(OR($C$7="",$B3217&gt;NOW()),"",IF(INDEX(Data!$A:$G,MATCH($B3217,Data!$A:$A,0),MATCH($C$7,Data!$4:$4,0))="","",INDEX(Data!$A:$G,MATCH($B3217,Data!$A:$A,0),MATCH($C$7,Data!$4:$4,0))))</f>
        <v>74</v>
      </c>
      <c r="D3217" s="148">
        <f t="shared" ca="1" si="104"/>
        <v>0</v>
      </c>
      <c r="E3217" s="148">
        <f t="shared" ca="1" si="105"/>
        <v>9</v>
      </c>
    </row>
    <row r="3218" spans="2:5" x14ac:dyDescent="0.25">
      <c r="B3218" s="8">
        <v>40812</v>
      </c>
      <c r="C3218" s="6">
        <f ca="1">IF(OR($C$7="",$B3218&gt;NOW()),"",IF(INDEX(Data!$A:$G,MATCH($B3218,Data!$A:$A,0),MATCH($C$7,Data!$4:$4,0))="","",INDEX(Data!$A:$G,MATCH($B3218,Data!$A:$A,0),MATCH($C$7,Data!$4:$4,0))))</f>
        <v>73.7</v>
      </c>
      <c r="D3218" s="148">
        <f t="shared" ca="1" si="104"/>
        <v>0</v>
      </c>
      <c r="E3218" s="148">
        <f t="shared" ca="1" si="105"/>
        <v>8.7000000000000028</v>
      </c>
    </row>
    <row r="3219" spans="2:5" x14ac:dyDescent="0.25">
      <c r="B3219" s="8">
        <v>40813</v>
      </c>
      <c r="C3219" s="6">
        <f ca="1">IF(OR($C$7="",$B3219&gt;NOW()),"",IF(INDEX(Data!$A:$G,MATCH($B3219,Data!$A:$A,0),MATCH($C$7,Data!$4:$4,0))="","",INDEX(Data!$A:$G,MATCH($B3219,Data!$A:$A,0),MATCH($C$7,Data!$4:$4,0))))</f>
        <v>72</v>
      </c>
      <c r="D3219" s="148">
        <f t="shared" ca="1" si="104"/>
        <v>0</v>
      </c>
      <c r="E3219" s="148">
        <f t="shared" ca="1" si="105"/>
        <v>7</v>
      </c>
    </row>
    <row r="3220" spans="2:5" x14ac:dyDescent="0.25">
      <c r="B3220" s="8">
        <v>40814</v>
      </c>
      <c r="C3220" s="6">
        <f ca="1">IF(OR($C$7="",$B3220&gt;NOW()),"",IF(INDEX(Data!$A:$G,MATCH($B3220,Data!$A:$A,0),MATCH($C$7,Data!$4:$4,0))="","",INDEX(Data!$A:$G,MATCH($B3220,Data!$A:$A,0),MATCH($C$7,Data!$4:$4,0))))</f>
        <v>70.900000000000006</v>
      </c>
      <c r="D3220" s="148">
        <f t="shared" ca="1" si="104"/>
        <v>0</v>
      </c>
      <c r="E3220" s="148">
        <f t="shared" ca="1" si="105"/>
        <v>5.9000000000000057</v>
      </c>
    </row>
    <row r="3221" spans="2:5" x14ac:dyDescent="0.25">
      <c r="B3221" s="8">
        <v>40815</v>
      </c>
      <c r="C3221" s="6">
        <f ca="1">IF(OR($C$7="",$B3221&gt;NOW()),"",IF(INDEX(Data!$A:$G,MATCH($B3221,Data!$A:$A,0),MATCH($C$7,Data!$4:$4,0))="","",INDEX(Data!$A:$G,MATCH($B3221,Data!$A:$A,0),MATCH($C$7,Data!$4:$4,0))))</f>
        <v>71.2</v>
      </c>
      <c r="D3221" s="148">
        <f t="shared" ca="1" si="104"/>
        <v>0</v>
      </c>
      <c r="E3221" s="148">
        <f t="shared" ca="1" si="105"/>
        <v>6.2000000000000028</v>
      </c>
    </row>
    <row r="3222" spans="2:5" x14ac:dyDescent="0.25">
      <c r="B3222" s="8">
        <v>40816</v>
      </c>
      <c r="C3222" s="6">
        <f ca="1">IF(OR($C$7="",$B3222&gt;NOW()),"",IF(INDEX(Data!$A:$G,MATCH($B3222,Data!$A:$A,0),MATCH($C$7,Data!$4:$4,0))="","",INDEX(Data!$A:$G,MATCH($B3222,Data!$A:$A,0),MATCH($C$7,Data!$4:$4,0))))</f>
        <v>68.3</v>
      </c>
      <c r="D3222" s="148">
        <f t="shared" ca="1" si="104"/>
        <v>0</v>
      </c>
      <c r="E3222" s="148">
        <f t="shared" ca="1" si="105"/>
        <v>3.2999999999999972</v>
      </c>
    </row>
    <row r="3223" spans="2:5" x14ac:dyDescent="0.25">
      <c r="B3223" s="8">
        <v>40817</v>
      </c>
      <c r="C3223" s="6">
        <f ca="1">IF(OR($C$7="",$B3223&gt;NOW()),"",IF(INDEX(Data!$A:$G,MATCH($B3223,Data!$A:$A,0),MATCH($C$7,Data!$4:$4,0))="","",INDEX(Data!$A:$G,MATCH($B3223,Data!$A:$A,0),MATCH($C$7,Data!$4:$4,0))))</f>
        <v>62.1</v>
      </c>
      <c r="D3223" s="148">
        <f t="shared" ca="1" si="104"/>
        <v>2.8999999999999986</v>
      </c>
      <c r="E3223" s="148">
        <f t="shared" ca="1" si="105"/>
        <v>0</v>
      </c>
    </row>
    <row r="3224" spans="2:5" x14ac:dyDescent="0.25">
      <c r="B3224" s="8">
        <v>40818</v>
      </c>
      <c r="C3224" s="6">
        <f ca="1">IF(OR($C$7="",$B3224&gt;NOW()),"",IF(INDEX(Data!$A:$G,MATCH($B3224,Data!$A:$A,0),MATCH($C$7,Data!$4:$4,0))="","",INDEX(Data!$A:$G,MATCH($B3224,Data!$A:$A,0),MATCH($C$7,Data!$4:$4,0))))</f>
        <v>56.3</v>
      </c>
      <c r="D3224" s="148">
        <f t="shared" ca="1" si="104"/>
        <v>8.7000000000000028</v>
      </c>
      <c r="E3224" s="148">
        <f t="shared" ca="1" si="105"/>
        <v>0</v>
      </c>
    </row>
    <row r="3225" spans="2:5" x14ac:dyDescent="0.25">
      <c r="B3225" s="8">
        <v>40819</v>
      </c>
      <c r="C3225" s="6">
        <f ca="1">IF(OR($C$7="",$B3225&gt;NOW()),"",IF(INDEX(Data!$A:$G,MATCH($B3225,Data!$A:$A,0),MATCH($C$7,Data!$4:$4,0))="","",INDEX(Data!$A:$G,MATCH($B3225,Data!$A:$A,0),MATCH($C$7,Data!$4:$4,0))))</f>
        <v>53.3</v>
      </c>
      <c r="D3225" s="148">
        <f t="shared" ca="1" si="104"/>
        <v>11.700000000000003</v>
      </c>
      <c r="E3225" s="148">
        <f t="shared" ca="1" si="105"/>
        <v>0</v>
      </c>
    </row>
    <row r="3226" spans="2:5" x14ac:dyDescent="0.25">
      <c r="B3226" s="8">
        <v>40820</v>
      </c>
      <c r="C3226" s="6">
        <f ca="1">IF(OR($C$7="",$B3226&gt;NOW()),"",IF(INDEX(Data!$A:$G,MATCH($B3226,Data!$A:$A,0),MATCH($C$7,Data!$4:$4,0))="","",INDEX(Data!$A:$G,MATCH($B3226,Data!$A:$A,0),MATCH($C$7,Data!$4:$4,0))))</f>
        <v>55.9</v>
      </c>
      <c r="D3226" s="148">
        <f t="shared" ca="1" si="104"/>
        <v>9.1000000000000014</v>
      </c>
      <c r="E3226" s="148">
        <f t="shared" ca="1" si="105"/>
        <v>0</v>
      </c>
    </row>
    <row r="3227" spans="2:5" x14ac:dyDescent="0.25">
      <c r="B3227" s="8">
        <v>40821</v>
      </c>
      <c r="C3227" s="6">
        <f ca="1">IF(OR($C$7="",$B3227&gt;NOW()),"",IF(INDEX(Data!$A:$G,MATCH($B3227,Data!$A:$A,0),MATCH($C$7,Data!$4:$4,0))="","",INDEX(Data!$A:$G,MATCH($B3227,Data!$A:$A,0),MATCH($C$7,Data!$4:$4,0))))</f>
        <v>63.4</v>
      </c>
      <c r="D3227" s="148">
        <f t="shared" ca="1" si="104"/>
        <v>1.6000000000000014</v>
      </c>
      <c r="E3227" s="148">
        <f t="shared" ca="1" si="105"/>
        <v>0</v>
      </c>
    </row>
    <row r="3228" spans="2:5" x14ac:dyDescent="0.25">
      <c r="B3228" s="8">
        <v>40822</v>
      </c>
      <c r="C3228" s="6">
        <f ca="1">IF(OR($C$7="",$B3228&gt;NOW()),"",IF(INDEX(Data!$A:$G,MATCH($B3228,Data!$A:$A,0),MATCH($C$7,Data!$4:$4,0))="","",INDEX(Data!$A:$G,MATCH($B3228,Data!$A:$A,0),MATCH($C$7,Data!$4:$4,0))))</f>
        <v>59.2</v>
      </c>
      <c r="D3228" s="148">
        <f t="shared" ca="1" si="104"/>
        <v>5.7999999999999972</v>
      </c>
      <c r="E3228" s="148">
        <f t="shared" ca="1" si="105"/>
        <v>0</v>
      </c>
    </row>
    <row r="3229" spans="2:5" x14ac:dyDescent="0.25">
      <c r="B3229" s="8">
        <v>40823</v>
      </c>
      <c r="C3229" s="6">
        <f ca="1">IF(OR($C$7="",$B3229&gt;NOW()),"",IF(INDEX(Data!$A:$G,MATCH($B3229,Data!$A:$A,0),MATCH($C$7,Data!$4:$4,0))="","",INDEX(Data!$A:$G,MATCH($B3229,Data!$A:$A,0),MATCH($C$7,Data!$4:$4,0))))</f>
        <v>59</v>
      </c>
      <c r="D3229" s="148">
        <f t="shared" ref="D3229:D3292" ca="1" si="106">IF($C3229="","",IF($C3229&gt;$D$26,0,$D$26-$C3229))</f>
        <v>6</v>
      </c>
      <c r="E3229" s="148">
        <f t="shared" ref="E3229:E3292" ca="1" si="107">IF($C3229="","",IF($C3229&lt;$E$26,0,$C3229-$E$26))</f>
        <v>0</v>
      </c>
    </row>
    <row r="3230" spans="2:5" x14ac:dyDescent="0.25">
      <c r="B3230" s="8">
        <v>40824</v>
      </c>
      <c r="C3230" s="6">
        <f ca="1">IF(OR($C$7="",$B3230&gt;NOW()),"",IF(INDEX(Data!$A:$G,MATCH($B3230,Data!$A:$A,0),MATCH($C$7,Data!$4:$4,0))="","",INDEX(Data!$A:$G,MATCH($B3230,Data!$A:$A,0),MATCH($C$7,Data!$4:$4,0))))</f>
        <v>64.099999999999994</v>
      </c>
      <c r="D3230" s="148">
        <f t="shared" ca="1" si="106"/>
        <v>0.90000000000000568</v>
      </c>
      <c r="E3230" s="148">
        <f t="shared" ca="1" si="107"/>
        <v>0</v>
      </c>
    </row>
    <row r="3231" spans="2:5" x14ac:dyDescent="0.25">
      <c r="B3231" s="8">
        <v>40825</v>
      </c>
      <c r="C3231" s="6">
        <f ca="1">IF(OR($C$7="",$B3231&gt;NOW()),"",IF(INDEX(Data!$A:$G,MATCH($B3231,Data!$A:$A,0),MATCH($C$7,Data!$4:$4,0))="","",INDEX(Data!$A:$G,MATCH($B3231,Data!$A:$A,0),MATCH($C$7,Data!$4:$4,0))))</f>
        <v>72</v>
      </c>
      <c r="D3231" s="148">
        <f t="shared" ca="1" si="106"/>
        <v>0</v>
      </c>
      <c r="E3231" s="148">
        <f t="shared" ca="1" si="107"/>
        <v>7</v>
      </c>
    </row>
    <row r="3232" spans="2:5" x14ac:dyDescent="0.25">
      <c r="B3232" s="8">
        <v>40826</v>
      </c>
      <c r="C3232" s="6">
        <f ca="1">IF(OR($C$7="",$B3232&gt;NOW()),"",IF(INDEX(Data!$A:$G,MATCH($B3232,Data!$A:$A,0),MATCH($C$7,Data!$4:$4,0))="","",INDEX(Data!$A:$G,MATCH($B3232,Data!$A:$A,0),MATCH($C$7,Data!$4:$4,0))))</f>
        <v>72.8</v>
      </c>
      <c r="D3232" s="148">
        <f t="shared" ca="1" si="106"/>
        <v>0</v>
      </c>
      <c r="E3232" s="148">
        <f t="shared" ca="1" si="107"/>
        <v>7.7999999999999972</v>
      </c>
    </row>
    <row r="3233" spans="2:5" x14ac:dyDescent="0.25">
      <c r="B3233" s="8">
        <v>40827</v>
      </c>
      <c r="C3233" s="6">
        <f ca="1">IF(OR($C$7="",$B3233&gt;NOW()),"",IF(INDEX(Data!$A:$G,MATCH($B3233,Data!$A:$A,0),MATCH($C$7,Data!$4:$4,0))="","",INDEX(Data!$A:$G,MATCH($B3233,Data!$A:$A,0),MATCH($C$7,Data!$4:$4,0))))</f>
        <v>69.400000000000006</v>
      </c>
      <c r="D3233" s="148">
        <f t="shared" ca="1" si="106"/>
        <v>0</v>
      </c>
      <c r="E3233" s="148">
        <f t="shared" ca="1" si="107"/>
        <v>4.4000000000000057</v>
      </c>
    </row>
    <row r="3234" spans="2:5" x14ac:dyDescent="0.25">
      <c r="B3234" s="8">
        <v>40828</v>
      </c>
      <c r="C3234" s="6">
        <f ca="1">IF(OR($C$7="",$B3234&gt;NOW()),"",IF(INDEX(Data!$A:$G,MATCH($B3234,Data!$A:$A,0),MATCH($C$7,Data!$4:$4,0))="","",INDEX(Data!$A:$G,MATCH($B3234,Data!$A:$A,0),MATCH($C$7,Data!$4:$4,0))))</f>
        <v>61.9</v>
      </c>
      <c r="D3234" s="148">
        <f t="shared" ca="1" si="106"/>
        <v>3.1000000000000014</v>
      </c>
      <c r="E3234" s="148">
        <f t="shared" ca="1" si="107"/>
        <v>0</v>
      </c>
    </row>
    <row r="3235" spans="2:5" x14ac:dyDescent="0.25">
      <c r="B3235" s="8">
        <v>40829</v>
      </c>
      <c r="C3235" s="6">
        <f ca="1">IF(OR($C$7="",$B3235&gt;NOW()),"",IF(INDEX(Data!$A:$G,MATCH($B3235,Data!$A:$A,0),MATCH($C$7,Data!$4:$4,0))="","",INDEX(Data!$A:$G,MATCH($B3235,Data!$A:$A,0),MATCH($C$7,Data!$4:$4,0))))</f>
        <v>61.4</v>
      </c>
      <c r="D3235" s="148">
        <f t="shared" ca="1" si="106"/>
        <v>3.6000000000000014</v>
      </c>
      <c r="E3235" s="148">
        <f t="shared" ca="1" si="107"/>
        <v>0</v>
      </c>
    </row>
    <row r="3236" spans="2:5" x14ac:dyDescent="0.25">
      <c r="B3236" s="8">
        <v>40830</v>
      </c>
      <c r="C3236" s="6">
        <f ca="1">IF(OR($C$7="",$B3236&gt;NOW()),"",IF(INDEX(Data!$A:$G,MATCH($B3236,Data!$A:$A,0),MATCH($C$7,Data!$4:$4,0))="","",INDEX(Data!$A:$G,MATCH($B3236,Data!$A:$A,0),MATCH($C$7,Data!$4:$4,0))))</f>
        <v>66.3</v>
      </c>
      <c r="D3236" s="148">
        <f t="shared" ca="1" si="106"/>
        <v>0</v>
      </c>
      <c r="E3236" s="148">
        <f t="shared" ca="1" si="107"/>
        <v>1.2999999999999972</v>
      </c>
    </row>
    <row r="3237" spans="2:5" x14ac:dyDescent="0.25">
      <c r="B3237" s="8">
        <v>40831</v>
      </c>
      <c r="C3237" s="6">
        <f ca="1">IF(OR($C$7="",$B3237&gt;NOW()),"",IF(INDEX(Data!$A:$G,MATCH($B3237,Data!$A:$A,0),MATCH($C$7,Data!$4:$4,0))="","",INDEX(Data!$A:$G,MATCH($B3237,Data!$A:$A,0),MATCH($C$7,Data!$4:$4,0))))</f>
        <v>60.8</v>
      </c>
      <c r="D3237" s="148">
        <f t="shared" ca="1" si="106"/>
        <v>4.2000000000000028</v>
      </c>
      <c r="E3237" s="148">
        <f t="shared" ca="1" si="107"/>
        <v>0</v>
      </c>
    </row>
    <row r="3238" spans="2:5" x14ac:dyDescent="0.25">
      <c r="B3238" s="8">
        <v>40832</v>
      </c>
      <c r="C3238" s="6">
        <f ca="1">IF(OR($C$7="",$B3238&gt;NOW()),"",IF(INDEX(Data!$A:$G,MATCH($B3238,Data!$A:$A,0),MATCH($C$7,Data!$4:$4,0))="","",INDEX(Data!$A:$G,MATCH($B3238,Data!$A:$A,0),MATCH($C$7,Data!$4:$4,0))))</f>
        <v>61.9</v>
      </c>
      <c r="D3238" s="148">
        <f t="shared" ca="1" si="106"/>
        <v>3.1000000000000014</v>
      </c>
      <c r="E3238" s="148">
        <f t="shared" ca="1" si="107"/>
        <v>0</v>
      </c>
    </row>
    <row r="3239" spans="2:5" x14ac:dyDescent="0.25">
      <c r="B3239" s="8">
        <v>40833</v>
      </c>
      <c r="C3239" s="6">
        <f ca="1">IF(OR($C$7="",$B3239&gt;NOW()),"",IF(INDEX(Data!$A:$G,MATCH($B3239,Data!$A:$A,0),MATCH($C$7,Data!$4:$4,0))="","",INDEX(Data!$A:$G,MATCH($B3239,Data!$A:$A,0),MATCH($C$7,Data!$4:$4,0))))</f>
        <v>62.6</v>
      </c>
      <c r="D3239" s="148">
        <f t="shared" ca="1" si="106"/>
        <v>2.3999999999999986</v>
      </c>
      <c r="E3239" s="148">
        <f t="shared" ca="1" si="107"/>
        <v>0</v>
      </c>
    </row>
    <row r="3240" spans="2:5" x14ac:dyDescent="0.25">
      <c r="B3240" s="8">
        <v>40834</v>
      </c>
      <c r="C3240" s="6">
        <f ca="1">IF(OR($C$7="",$B3240&gt;NOW()),"",IF(INDEX(Data!$A:$G,MATCH($B3240,Data!$A:$A,0),MATCH($C$7,Data!$4:$4,0))="","",INDEX(Data!$A:$G,MATCH($B3240,Data!$A:$A,0),MATCH($C$7,Data!$4:$4,0))))</f>
        <v>62</v>
      </c>
      <c r="D3240" s="148">
        <f t="shared" ca="1" si="106"/>
        <v>3</v>
      </c>
      <c r="E3240" s="148">
        <f t="shared" ca="1" si="107"/>
        <v>0</v>
      </c>
    </row>
    <row r="3241" spans="2:5" x14ac:dyDescent="0.25">
      <c r="B3241" s="8">
        <v>40835</v>
      </c>
      <c r="C3241" s="6">
        <f ca="1">IF(OR($C$7="",$B3241&gt;NOW()),"",IF(INDEX(Data!$A:$G,MATCH($B3241,Data!$A:$A,0),MATCH($C$7,Data!$4:$4,0))="","",INDEX(Data!$A:$G,MATCH($B3241,Data!$A:$A,0),MATCH($C$7,Data!$4:$4,0))))</f>
        <v>61.7</v>
      </c>
      <c r="D3241" s="148">
        <f t="shared" ca="1" si="106"/>
        <v>3.2999999999999972</v>
      </c>
      <c r="E3241" s="148">
        <f t="shared" ca="1" si="107"/>
        <v>0</v>
      </c>
    </row>
    <row r="3242" spans="2:5" x14ac:dyDescent="0.25">
      <c r="B3242" s="8">
        <v>40836</v>
      </c>
      <c r="C3242" s="6">
        <f ca="1">IF(OR($C$7="",$B3242&gt;NOW()),"",IF(INDEX(Data!$A:$G,MATCH($B3242,Data!$A:$A,0),MATCH($C$7,Data!$4:$4,0))="","",INDEX(Data!$A:$G,MATCH($B3242,Data!$A:$A,0),MATCH($C$7,Data!$4:$4,0))))</f>
        <v>63.9</v>
      </c>
      <c r="D3242" s="148">
        <f t="shared" ca="1" si="106"/>
        <v>1.1000000000000014</v>
      </c>
      <c r="E3242" s="148">
        <f t="shared" ca="1" si="107"/>
        <v>0</v>
      </c>
    </row>
    <row r="3243" spans="2:5" x14ac:dyDescent="0.25">
      <c r="B3243" s="8">
        <v>40837</v>
      </c>
      <c r="C3243" s="6">
        <f ca="1">IF(OR($C$7="",$B3243&gt;NOW()),"",IF(INDEX(Data!$A:$G,MATCH($B3243,Data!$A:$A,0),MATCH($C$7,Data!$4:$4,0))="","",INDEX(Data!$A:$G,MATCH($B3243,Data!$A:$A,0),MATCH($C$7,Data!$4:$4,0))))</f>
        <v>54.9</v>
      </c>
      <c r="D3243" s="148">
        <f t="shared" ca="1" si="106"/>
        <v>10.100000000000001</v>
      </c>
      <c r="E3243" s="148">
        <f t="shared" ca="1" si="107"/>
        <v>0</v>
      </c>
    </row>
    <row r="3244" spans="2:5" x14ac:dyDescent="0.25">
      <c r="B3244" s="8">
        <v>40838</v>
      </c>
      <c r="C3244" s="6">
        <f ca="1">IF(OR($C$7="",$B3244&gt;NOW()),"",IF(INDEX(Data!$A:$G,MATCH($B3244,Data!$A:$A,0),MATCH($C$7,Data!$4:$4,0))="","",INDEX(Data!$A:$G,MATCH($B3244,Data!$A:$A,0),MATCH($C$7,Data!$4:$4,0))))</f>
        <v>54.2</v>
      </c>
      <c r="D3244" s="148">
        <f t="shared" ca="1" si="106"/>
        <v>10.799999999999997</v>
      </c>
      <c r="E3244" s="148">
        <f t="shared" ca="1" si="107"/>
        <v>0</v>
      </c>
    </row>
    <row r="3245" spans="2:5" x14ac:dyDescent="0.25">
      <c r="B3245" s="8">
        <v>40839</v>
      </c>
      <c r="C3245" s="6">
        <f ca="1">IF(OR($C$7="",$B3245&gt;NOW()),"",IF(INDEX(Data!$A:$G,MATCH($B3245,Data!$A:$A,0),MATCH($C$7,Data!$4:$4,0))="","",INDEX(Data!$A:$G,MATCH($B3245,Data!$A:$A,0),MATCH($C$7,Data!$4:$4,0))))</f>
        <v>54.4</v>
      </c>
      <c r="D3245" s="148">
        <f t="shared" ca="1" si="106"/>
        <v>10.600000000000001</v>
      </c>
      <c r="E3245" s="148">
        <f t="shared" ca="1" si="107"/>
        <v>0</v>
      </c>
    </row>
    <row r="3246" spans="2:5" x14ac:dyDescent="0.25">
      <c r="B3246" s="8">
        <v>40840</v>
      </c>
      <c r="C3246" s="6">
        <f ca="1">IF(OR($C$7="",$B3246&gt;NOW()),"",IF(INDEX(Data!$A:$G,MATCH($B3246,Data!$A:$A,0),MATCH($C$7,Data!$4:$4,0))="","",INDEX(Data!$A:$G,MATCH($B3246,Data!$A:$A,0),MATCH($C$7,Data!$4:$4,0))))</f>
        <v>55.3</v>
      </c>
      <c r="D3246" s="148">
        <f t="shared" ca="1" si="106"/>
        <v>9.7000000000000028</v>
      </c>
      <c r="E3246" s="148">
        <f t="shared" ca="1" si="107"/>
        <v>0</v>
      </c>
    </row>
    <row r="3247" spans="2:5" x14ac:dyDescent="0.25">
      <c r="B3247" s="8">
        <v>40841</v>
      </c>
      <c r="C3247" s="6">
        <f ca="1">IF(OR($C$7="",$B3247&gt;NOW()),"",IF(INDEX(Data!$A:$G,MATCH($B3247,Data!$A:$A,0),MATCH($C$7,Data!$4:$4,0))="","",INDEX(Data!$A:$G,MATCH($B3247,Data!$A:$A,0),MATCH($C$7,Data!$4:$4,0))))</f>
        <v>57.7</v>
      </c>
      <c r="D3247" s="148">
        <f t="shared" ca="1" si="106"/>
        <v>7.2999999999999972</v>
      </c>
      <c r="E3247" s="148">
        <f t="shared" ca="1" si="107"/>
        <v>0</v>
      </c>
    </row>
    <row r="3248" spans="2:5" x14ac:dyDescent="0.25">
      <c r="B3248" s="8">
        <v>40842</v>
      </c>
      <c r="C3248" s="6">
        <f ca="1">IF(OR($C$7="",$B3248&gt;NOW()),"",IF(INDEX(Data!$A:$G,MATCH($B3248,Data!$A:$A,0),MATCH($C$7,Data!$4:$4,0))="","",INDEX(Data!$A:$G,MATCH($B3248,Data!$A:$A,0),MATCH($C$7,Data!$4:$4,0))))</f>
        <v>56.7</v>
      </c>
      <c r="D3248" s="148">
        <f t="shared" ca="1" si="106"/>
        <v>8.2999999999999972</v>
      </c>
      <c r="E3248" s="148">
        <f t="shared" ca="1" si="107"/>
        <v>0</v>
      </c>
    </row>
    <row r="3249" spans="2:5" x14ac:dyDescent="0.25">
      <c r="B3249" s="8">
        <v>40843</v>
      </c>
      <c r="C3249" s="6">
        <f ca="1">IF(OR($C$7="",$B3249&gt;NOW()),"",IF(INDEX(Data!$A:$G,MATCH($B3249,Data!$A:$A,0),MATCH($C$7,Data!$4:$4,0))="","",INDEX(Data!$A:$G,MATCH($B3249,Data!$A:$A,0),MATCH($C$7,Data!$4:$4,0))))</f>
        <v>54.8</v>
      </c>
      <c r="D3249" s="148">
        <f t="shared" ca="1" si="106"/>
        <v>10.200000000000003</v>
      </c>
      <c r="E3249" s="148">
        <f t="shared" ca="1" si="107"/>
        <v>0</v>
      </c>
    </row>
    <row r="3250" spans="2:5" x14ac:dyDescent="0.25">
      <c r="B3250" s="8">
        <v>40844</v>
      </c>
      <c r="C3250" s="6">
        <f ca="1">IF(OR($C$7="",$B3250&gt;NOW()),"",IF(INDEX(Data!$A:$G,MATCH($B3250,Data!$A:$A,0),MATCH($C$7,Data!$4:$4,0))="","",INDEX(Data!$A:$G,MATCH($B3250,Data!$A:$A,0),MATCH($C$7,Data!$4:$4,0))))</f>
        <v>42.5</v>
      </c>
      <c r="D3250" s="148">
        <f t="shared" ca="1" si="106"/>
        <v>22.5</v>
      </c>
      <c r="E3250" s="148">
        <f t="shared" ca="1" si="107"/>
        <v>0</v>
      </c>
    </row>
    <row r="3251" spans="2:5" x14ac:dyDescent="0.25">
      <c r="B3251" s="8">
        <v>40845</v>
      </c>
      <c r="C3251" s="6">
        <f ca="1">IF(OR($C$7="",$B3251&gt;NOW()),"",IF(INDEX(Data!$A:$G,MATCH($B3251,Data!$A:$A,0),MATCH($C$7,Data!$4:$4,0))="","",INDEX(Data!$A:$G,MATCH($B3251,Data!$A:$A,0),MATCH($C$7,Data!$4:$4,0))))</f>
        <v>41.1</v>
      </c>
      <c r="D3251" s="148">
        <f t="shared" ca="1" si="106"/>
        <v>23.9</v>
      </c>
      <c r="E3251" s="148">
        <f t="shared" ca="1" si="107"/>
        <v>0</v>
      </c>
    </row>
    <row r="3252" spans="2:5" x14ac:dyDescent="0.25">
      <c r="B3252" s="8">
        <v>40846</v>
      </c>
      <c r="C3252" s="6">
        <f ca="1">IF(OR($C$7="",$B3252&gt;NOW()),"",IF(INDEX(Data!$A:$G,MATCH($B3252,Data!$A:$A,0),MATCH($C$7,Data!$4:$4,0))="","",INDEX(Data!$A:$G,MATCH($B3252,Data!$A:$A,0),MATCH($C$7,Data!$4:$4,0))))</f>
        <v>39.5</v>
      </c>
      <c r="D3252" s="148">
        <f t="shared" ca="1" si="106"/>
        <v>25.5</v>
      </c>
      <c r="E3252" s="148">
        <f t="shared" ca="1" si="107"/>
        <v>0</v>
      </c>
    </row>
    <row r="3253" spans="2:5" x14ac:dyDescent="0.25">
      <c r="B3253" s="8">
        <v>40847</v>
      </c>
      <c r="C3253" s="6">
        <f ca="1">IF(OR($C$7="",$B3253&gt;NOW()),"",IF(INDEX(Data!$A:$G,MATCH($B3253,Data!$A:$A,0),MATCH($C$7,Data!$4:$4,0))="","",INDEX(Data!$A:$G,MATCH($B3253,Data!$A:$A,0),MATCH($C$7,Data!$4:$4,0))))</f>
        <v>46.2</v>
      </c>
      <c r="D3253" s="148">
        <f t="shared" ca="1" si="106"/>
        <v>18.799999999999997</v>
      </c>
      <c r="E3253" s="148">
        <f t="shared" ca="1" si="107"/>
        <v>0</v>
      </c>
    </row>
    <row r="3254" spans="2:5" x14ac:dyDescent="0.25">
      <c r="B3254" s="8">
        <v>40848</v>
      </c>
      <c r="C3254" s="6">
        <f ca="1">IF(OR($C$7="",$B3254&gt;NOW()),"",IF(INDEX(Data!$A:$G,MATCH($B3254,Data!$A:$A,0),MATCH($C$7,Data!$4:$4,0))="","",INDEX(Data!$A:$G,MATCH($B3254,Data!$A:$A,0),MATCH($C$7,Data!$4:$4,0))))</f>
        <v>50.1</v>
      </c>
      <c r="D3254" s="148">
        <f t="shared" ca="1" si="106"/>
        <v>14.899999999999999</v>
      </c>
      <c r="E3254" s="148">
        <f t="shared" ca="1" si="107"/>
        <v>0</v>
      </c>
    </row>
    <row r="3255" spans="2:5" x14ac:dyDescent="0.25">
      <c r="B3255" s="8">
        <v>40849</v>
      </c>
      <c r="C3255" s="6">
        <f ca="1">IF(OR($C$7="",$B3255&gt;NOW()),"",IF(INDEX(Data!$A:$G,MATCH($B3255,Data!$A:$A,0),MATCH($C$7,Data!$4:$4,0))="","",INDEX(Data!$A:$G,MATCH($B3255,Data!$A:$A,0),MATCH($C$7,Data!$4:$4,0))))</f>
        <v>49.5</v>
      </c>
      <c r="D3255" s="148">
        <f t="shared" ca="1" si="106"/>
        <v>15.5</v>
      </c>
      <c r="E3255" s="148">
        <f t="shared" ca="1" si="107"/>
        <v>0</v>
      </c>
    </row>
    <row r="3256" spans="2:5" x14ac:dyDescent="0.25">
      <c r="B3256" s="8">
        <v>40850</v>
      </c>
      <c r="C3256" s="6">
        <f ca="1">IF(OR($C$7="",$B3256&gt;NOW()),"",IF(INDEX(Data!$A:$G,MATCH($B3256,Data!$A:$A,0),MATCH($C$7,Data!$4:$4,0))="","",INDEX(Data!$A:$G,MATCH($B3256,Data!$A:$A,0),MATCH($C$7,Data!$4:$4,0))))</f>
        <v>52.3</v>
      </c>
      <c r="D3256" s="148">
        <f t="shared" ca="1" si="106"/>
        <v>12.700000000000003</v>
      </c>
      <c r="E3256" s="148">
        <f t="shared" ca="1" si="107"/>
        <v>0</v>
      </c>
    </row>
    <row r="3257" spans="2:5" x14ac:dyDescent="0.25">
      <c r="B3257" s="8">
        <v>40851</v>
      </c>
      <c r="C3257" s="6">
        <f ca="1">IF(OR($C$7="",$B3257&gt;NOW()),"",IF(INDEX(Data!$A:$G,MATCH($B3257,Data!$A:$A,0),MATCH($C$7,Data!$4:$4,0))="","",INDEX(Data!$A:$G,MATCH($B3257,Data!$A:$A,0),MATCH($C$7,Data!$4:$4,0))))</f>
        <v>51.5</v>
      </c>
      <c r="D3257" s="148">
        <f t="shared" ca="1" si="106"/>
        <v>13.5</v>
      </c>
      <c r="E3257" s="148">
        <f t="shared" ca="1" si="107"/>
        <v>0</v>
      </c>
    </row>
    <row r="3258" spans="2:5" x14ac:dyDescent="0.25">
      <c r="B3258" s="8">
        <v>40852</v>
      </c>
      <c r="C3258" s="6">
        <f ca="1">IF(OR($C$7="",$B3258&gt;NOW()),"",IF(INDEX(Data!$A:$G,MATCH($B3258,Data!$A:$A,0),MATCH($C$7,Data!$4:$4,0))="","",INDEX(Data!$A:$G,MATCH($B3258,Data!$A:$A,0),MATCH($C$7,Data!$4:$4,0))))</f>
        <v>43.1</v>
      </c>
      <c r="D3258" s="148">
        <f t="shared" ca="1" si="106"/>
        <v>21.9</v>
      </c>
      <c r="E3258" s="148">
        <f t="shared" ca="1" si="107"/>
        <v>0</v>
      </c>
    </row>
    <row r="3259" spans="2:5" x14ac:dyDescent="0.25">
      <c r="B3259" s="8">
        <v>40853</v>
      </c>
      <c r="C3259" s="6">
        <f ca="1">IF(OR($C$7="",$B3259&gt;NOW()),"",IF(INDEX(Data!$A:$G,MATCH($B3259,Data!$A:$A,0),MATCH($C$7,Data!$4:$4,0))="","",INDEX(Data!$A:$G,MATCH($B3259,Data!$A:$A,0),MATCH($C$7,Data!$4:$4,0))))</f>
        <v>46.9</v>
      </c>
      <c r="D3259" s="148">
        <f t="shared" ca="1" si="106"/>
        <v>18.100000000000001</v>
      </c>
      <c r="E3259" s="148">
        <f t="shared" ca="1" si="107"/>
        <v>0</v>
      </c>
    </row>
    <row r="3260" spans="2:5" x14ac:dyDescent="0.25">
      <c r="B3260" s="8">
        <v>40854</v>
      </c>
      <c r="C3260" s="6">
        <f ca="1">IF(OR($C$7="",$B3260&gt;NOW()),"",IF(INDEX(Data!$A:$G,MATCH($B3260,Data!$A:$A,0),MATCH($C$7,Data!$4:$4,0))="","",INDEX(Data!$A:$G,MATCH($B3260,Data!$A:$A,0),MATCH($C$7,Data!$4:$4,0))))</f>
        <v>51.9</v>
      </c>
      <c r="D3260" s="148">
        <f t="shared" ca="1" si="106"/>
        <v>13.100000000000001</v>
      </c>
      <c r="E3260" s="148">
        <f t="shared" ca="1" si="107"/>
        <v>0</v>
      </c>
    </row>
    <row r="3261" spans="2:5" x14ac:dyDescent="0.25">
      <c r="B3261" s="8">
        <v>40855</v>
      </c>
      <c r="C3261" s="6">
        <f ca="1">IF(OR($C$7="",$B3261&gt;NOW()),"",IF(INDEX(Data!$A:$G,MATCH($B3261,Data!$A:$A,0),MATCH($C$7,Data!$4:$4,0))="","",INDEX(Data!$A:$G,MATCH($B3261,Data!$A:$A,0),MATCH($C$7,Data!$4:$4,0))))</f>
        <v>59.3</v>
      </c>
      <c r="D3261" s="148">
        <f t="shared" ca="1" si="106"/>
        <v>5.7000000000000028</v>
      </c>
      <c r="E3261" s="148">
        <f t="shared" ca="1" si="107"/>
        <v>0</v>
      </c>
    </row>
    <row r="3262" spans="2:5" x14ac:dyDescent="0.25">
      <c r="B3262" s="8">
        <v>40856</v>
      </c>
      <c r="C3262" s="6">
        <f ca="1">IF(OR($C$7="",$B3262&gt;NOW()),"",IF(INDEX(Data!$A:$G,MATCH($B3262,Data!$A:$A,0),MATCH($C$7,Data!$4:$4,0))="","",INDEX(Data!$A:$G,MATCH($B3262,Data!$A:$A,0),MATCH($C$7,Data!$4:$4,0))))</f>
        <v>55.3</v>
      </c>
      <c r="D3262" s="148">
        <f t="shared" ca="1" si="106"/>
        <v>9.7000000000000028</v>
      </c>
      <c r="E3262" s="148">
        <f t="shared" ca="1" si="107"/>
        <v>0</v>
      </c>
    </row>
    <row r="3263" spans="2:5" x14ac:dyDescent="0.25">
      <c r="B3263" s="8">
        <v>40857</v>
      </c>
      <c r="C3263" s="6">
        <f ca="1">IF(OR($C$7="",$B3263&gt;NOW()),"",IF(INDEX(Data!$A:$G,MATCH($B3263,Data!$A:$A,0),MATCH($C$7,Data!$4:$4,0))="","",INDEX(Data!$A:$G,MATCH($B3263,Data!$A:$A,0),MATCH($C$7,Data!$4:$4,0))))</f>
        <v>57.7</v>
      </c>
      <c r="D3263" s="148">
        <f t="shared" ca="1" si="106"/>
        <v>7.2999999999999972</v>
      </c>
      <c r="E3263" s="148">
        <f t="shared" ca="1" si="107"/>
        <v>0</v>
      </c>
    </row>
    <row r="3264" spans="2:5" x14ac:dyDescent="0.25">
      <c r="B3264" s="8">
        <v>40858</v>
      </c>
      <c r="C3264" s="6">
        <f ca="1">IF(OR($C$7="",$B3264&gt;NOW()),"",IF(INDEX(Data!$A:$G,MATCH($B3264,Data!$A:$A,0),MATCH($C$7,Data!$4:$4,0))="","",INDEX(Data!$A:$G,MATCH($B3264,Data!$A:$A,0),MATCH($C$7,Data!$4:$4,0))))</f>
        <v>47.9</v>
      </c>
      <c r="D3264" s="148">
        <f t="shared" ca="1" si="106"/>
        <v>17.100000000000001</v>
      </c>
      <c r="E3264" s="148">
        <f t="shared" ca="1" si="107"/>
        <v>0</v>
      </c>
    </row>
    <row r="3265" spans="2:5" x14ac:dyDescent="0.25">
      <c r="B3265" s="8">
        <v>40859</v>
      </c>
      <c r="C3265" s="6">
        <f ca="1">IF(OR($C$7="",$B3265&gt;NOW()),"",IF(INDEX(Data!$A:$G,MATCH($B3265,Data!$A:$A,0),MATCH($C$7,Data!$4:$4,0))="","",INDEX(Data!$A:$G,MATCH($B3265,Data!$A:$A,0),MATCH($C$7,Data!$4:$4,0))))</f>
        <v>46.8</v>
      </c>
      <c r="D3265" s="148">
        <f t="shared" ca="1" si="106"/>
        <v>18.200000000000003</v>
      </c>
      <c r="E3265" s="148">
        <f t="shared" ca="1" si="107"/>
        <v>0</v>
      </c>
    </row>
    <row r="3266" spans="2:5" x14ac:dyDescent="0.25">
      <c r="B3266" s="8">
        <v>40860</v>
      </c>
      <c r="C3266" s="6">
        <f ca="1">IF(OR($C$7="",$B3266&gt;NOW()),"",IF(INDEX(Data!$A:$G,MATCH($B3266,Data!$A:$A,0),MATCH($C$7,Data!$4:$4,0))="","",INDEX(Data!$A:$G,MATCH($B3266,Data!$A:$A,0),MATCH($C$7,Data!$4:$4,0))))</f>
        <v>52.7</v>
      </c>
      <c r="D3266" s="148">
        <f t="shared" ca="1" si="106"/>
        <v>12.299999999999997</v>
      </c>
      <c r="E3266" s="148">
        <f t="shared" ca="1" si="107"/>
        <v>0</v>
      </c>
    </row>
    <row r="3267" spans="2:5" x14ac:dyDescent="0.25">
      <c r="B3267" s="8">
        <v>40861</v>
      </c>
      <c r="C3267" s="6">
        <f ca="1">IF(OR($C$7="",$B3267&gt;NOW()),"",IF(INDEX(Data!$A:$G,MATCH($B3267,Data!$A:$A,0),MATCH($C$7,Data!$4:$4,0))="","",INDEX(Data!$A:$G,MATCH($B3267,Data!$A:$A,0),MATCH($C$7,Data!$4:$4,0))))</f>
        <v>58.5</v>
      </c>
      <c r="D3267" s="148">
        <f t="shared" ca="1" si="106"/>
        <v>6.5</v>
      </c>
      <c r="E3267" s="148">
        <f t="shared" ca="1" si="107"/>
        <v>0</v>
      </c>
    </row>
    <row r="3268" spans="2:5" x14ac:dyDescent="0.25">
      <c r="B3268" s="8">
        <v>40862</v>
      </c>
      <c r="C3268" s="6">
        <f ca="1">IF(OR($C$7="",$B3268&gt;NOW()),"",IF(INDEX(Data!$A:$G,MATCH($B3268,Data!$A:$A,0),MATCH($C$7,Data!$4:$4,0))="","",INDEX(Data!$A:$G,MATCH($B3268,Data!$A:$A,0),MATCH($C$7,Data!$4:$4,0))))</f>
        <v>63.4</v>
      </c>
      <c r="D3268" s="148">
        <f t="shared" ca="1" si="106"/>
        <v>1.6000000000000014</v>
      </c>
      <c r="E3268" s="148">
        <f t="shared" ca="1" si="107"/>
        <v>0</v>
      </c>
    </row>
    <row r="3269" spans="2:5" x14ac:dyDescent="0.25">
      <c r="B3269" s="8">
        <v>40863</v>
      </c>
      <c r="C3269" s="6">
        <f ca="1">IF(OR($C$7="",$B3269&gt;NOW()),"",IF(INDEX(Data!$A:$G,MATCH($B3269,Data!$A:$A,0),MATCH($C$7,Data!$4:$4,0))="","",INDEX(Data!$A:$G,MATCH($B3269,Data!$A:$A,0),MATCH($C$7,Data!$4:$4,0))))</f>
        <v>57.3</v>
      </c>
      <c r="D3269" s="148">
        <f t="shared" ca="1" si="106"/>
        <v>7.7000000000000028</v>
      </c>
      <c r="E3269" s="148">
        <f t="shared" ca="1" si="107"/>
        <v>0</v>
      </c>
    </row>
    <row r="3270" spans="2:5" x14ac:dyDescent="0.25">
      <c r="B3270" s="8">
        <v>40864</v>
      </c>
      <c r="C3270" s="6">
        <f ca="1">IF(OR($C$7="",$B3270&gt;NOW()),"",IF(INDEX(Data!$A:$G,MATCH($B3270,Data!$A:$A,0),MATCH($C$7,Data!$4:$4,0))="","",INDEX(Data!$A:$G,MATCH($B3270,Data!$A:$A,0),MATCH($C$7,Data!$4:$4,0))))</f>
        <v>49.4</v>
      </c>
      <c r="D3270" s="148">
        <f t="shared" ca="1" si="106"/>
        <v>15.600000000000001</v>
      </c>
      <c r="E3270" s="148">
        <f t="shared" ca="1" si="107"/>
        <v>0</v>
      </c>
    </row>
    <row r="3271" spans="2:5" x14ac:dyDescent="0.25">
      <c r="B3271" s="8">
        <v>40865</v>
      </c>
      <c r="C3271" s="6">
        <f ca="1">IF(OR($C$7="",$B3271&gt;NOW()),"",IF(INDEX(Data!$A:$G,MATCH($B3271,Data!$A:$A,0),MATCH($C$7,Data!$4:$4,0))="","",INDEX(Data!$A:$G,MATCH($B3271,Data!$A:$A,0),MATCH($C$7,Data!$4:$4,0))))</f>
        <v>41.6</v>
      </c>
      <c r="D3271" s="148">
        <f t="shared" ca="1" si="106"/>
        <v>23.4</v>
      </c>
      <c r="E3271" s="148">
        <f t="shared" ca="1" si="107"/>
        <v>0</v>
      </c>
    </row>
    <row r="3272" spans="2:5" x14ac:dyDescent="0.25">
      <c r="B3272" s="8">
        <v>40866</v>
      </c>
      <c r="C3272" s="6">
        <f ca="1">IF(OR($C$7="",$B3272&gt;NOW()),"",IF(INDEX(Data!$A:$G,MATCH($B3272,Data!$A:$A,0),MATCH($C$7,Data!$4:$4,0))="","",INDEX(Data!$A:$G,MATCH($B3272,Data!$A:$A,0),MATCH($C$7,Data!$4:$4,0))))</f>
        <v>44</v>
      </c>
      <c r="D3272" s="148">
        <f t="shared" ca="1" si="106"/>
        <v>21</v>
      </c>
      <c r="E3272" s="148">
        <f t="shared" ca="1" si="107"/>
        <v>0</v>
      </c>
    </row>
    <row r="3273" spans="2:5" x14ac:dyDescent="0.25">
      <c r="B3273" s="8">
        <v>40867</v>
      </c>
      <c r="C3273" s="6">
        <f ca="1">IF(OR($C$7="",$B3273&gt;NOW()),"",IF(INDEX(Data!$A:$G,MATCH($B3273,Data!$A:$A,0),MATCH($C$7,Data!$4:$4,0))="","",INDEX(Data!$A:$G,MATCH($B3273,Data!$A:$A,0),MATCH($C$7,Data!$4:$4,0))))</f>
        <v>53.8</v>
      </c>
      <c r="D3273" s="148">
        <f t="shared" ca="1" si="106"/>
        <v>11.200000000000003</v>
      </c>
      <c r="E3273" s="148">
        <f t="shared" ca="1" si="107"/>
        <v>0</v>
      </c>
    </row>
    <row r="3274" spans="2:5" x14ac:dyDescent="0.25">
      <c r="B3274" s="8">
        <v>40868</v>
      </c>
      <c r="C3274" s="6">
        <f ca="1">IF(OR($C$7="",$B3274&gt;NOW()),"",IF(INDEX(Data!$A:$G,MATCH($B3274,Data!$A:$A,0),MATCH($C$7,Data!$4:$4,0))="","",INDEX(Data!$A:$G,MATCH($B3274,Data!$A:$A,0),MATCH($C$7,Data!$4:$4,0))))</f>
        <v>54.9</v>
      </c>
      <c r="D3274" s="148">
        <f t="shared" ca="1" si="106"/>
        <v>10.100000000000001</v>
      </c>
      <c r="E3274" s="148">
        <f t="shared" ca="1" si="107"/>
        <v>0</v>
      </c>
    </row>
    <row r="3275" spans="2:5" x14ac:dyDescent="0.25">
      <c r="B3275" s="8">
        <v>40869</v>
      </c>
      <c r="C3275" s="6">
        <f ca="1">IF(OR($C$7="",$B3275&gt;NOW()),"",IF(INDEX(Data!$A:$G,MATCH($B3275,Data!$A:$A,0),MATCH($C$7,Data!$4:$4,0))="","",INDEX(Data!$A:$G,MATCH($B3275,Data!$A:$A,0),MATCH($C$7,Data!$4:$4,0))))</f>
        <v>48.4</v>
      </c>
      <c r="D3275" s="148">
        <f t="shared" ca="1" si="106"/>
        <v>16.600000000000001</v>
      </c>
      <c r="E3275" s="148">
        <f t="shared" ca="1" si="107"/>
        <v>0</v>
      </c>
    </row>
    <row r="3276" spans="2:5" x14ac:dyDescent="0.25">
      <c r="B3276" s="8">
        <v>40870</v>
      </c>
      <c r="C3276" s="6">
        <f ca="1">IF(OR($C$7="",$B3276&gt;NOW()),"",IF(INDEX(Data!$A:$G,MATCH($B3276,Data!$A:$A,0),MATCH($C$7,Data!$4:$4,0))="","",INDEX(Data!$A:$G,MATCH($B3276,Data!$A:$A,0),MATCH($C$7,Data!$4:$4,0))))</f>
        <v>47.8</v>
      </c>
      <c r="D3276" s="148">
        <f t="shared" ca="1" si="106"/>
        <v>17.200000000000003</v>
      </c>
      <c r="E3276" s="148">
        <f t="shared" ca="1" si="107"/>
        <v>0</v>
      </c>
    </row>
    <row r="3277" spans="2:5" x14ac:dyDescent="0.25">
      <c r="B3277" s="8">
        <v>40871</v>
      </c>
      <c r="C3277" s="6">
        <f ca="1">IF(OR($C$7="",$B3277&gt;NOW()),"",IF(INDEX(Data!$A:$G,MATCH($B3277,Data!$A:$A,0),MATCH($C$7,Data!$4:$4,0))="","",INDEX(Data!$A:$G,MATCH($B3277,Data!$A:$A,0),MATCH($C$7,Data!$4:$4,0))))</f>
        <v>44.3</v>
      </c>
      <c r="D3277" s="148">
        <f t="shared" ca="1" si="106"/>
        <v>20.700000000000003</v>
      </c>
      <c r="E3277" s="148">
        <f t="shared" ca="1" si="107"/>
        <v>0</v>
      </c>
    </row>
    <row r="3278" spans="2:5" x14ac:dyDescent="0.25">
      <c r="B3278" s="8">
        <v>40872</v>
      </c>
      <c r="C3278" s="6">
        <f ca="1">IF(OR($C$7="",$B3278&gt;NOW()),"",IF(INDEX(Data!$A:$G,MATCH($B3278,Data!$A:$A,0),MATCH($C$7,Data!$4:$4,0))="","",INDEX(Data!$A:$G,MATCH($B3278,Data!$A:$A,0),MATCH($C$7,Data!$4:$4,0))))</f>
        <v>52.5</v>
      </c>
      <c r="D3278" s="148">
        <f t="shared" ca="1" si="106"/>
        <v>12.5</v>
      </c>
      <c r="E3278" s="148">
        <f t="shared" ca="1" si="107"/>
        <v>0</v>
      </c>
    </row>
    <row r="3279" spans="2:5" x14ac:dyDescent="0.25">
      <c r="B3279" s="8">
        <v>40873</v>
      </c>
      <c r="C3279" s="6">
        <f ca="1">IF(OR($C$7="",$B3279&gt;NOW()),"",IF(INDEX(Data!$A:$G,MATCH($B3279,Data!$A:$A,0),MATCH($C$7,Data!$4:$4,0))="","",INDEX(Data!$A:$G,MATCH($B3279,Data!$A:$A,0),MATCH($C$7,Data!$4:$4,0))))</f>
        <v>55.6</v>
      </c>
      <c r="D3279" s="148">
        <f t="shared" ca="1" si="106"/>
        <v>9.3999999999999986</v>
      </c>
      <c r="E3279" s="148">
        <f t="shared" ca="1" si="107"/>
        <v>0</v>
      </c>
    </row>
    <row r="3280" spans="2:5" x14ac:dyDescent="0.25">
      <c r="B3280" s="8">
        <v>40874</v>
      </c>
      <c r="C3280" s="6">
        <f ca="1">IF(OR($C$7="",$B3280&gt;NOW()),"",IF(INDEX(Data!$A:$G,MATCH($B3280,Data!$A:$A,0),MATCH($C$7,Data!$4:$4,0))="","",INDEX(Data!$A:$G,MATCH($B3280,Data!$A:$A,0),MATCH($C$7,Data!$4:$4,0))))</f>
        <v>52.9</v>
      </c>
      <c r="D3280" s="148">
        <f t="shared" ca="1" si="106"/>
        <v>12.100000000000001</v>
      </c>
      <c r="E3280" s="148">
        <f t="shared" ca="1" si="107"/>
        <v>0</v>
      </c>
    </row>
    <row r="3281" spans="2:5" x14ac:dyDescent="0.25">
      <c r="B3281" s="8">
        <v>40875</v>
      </c>
      <c r="C3281" s="6">
        <f ca="1">IF(OR($C$7="",$B3281&gt;NOW()),"",IF(INDEX(Data!$A:$G,MATCH($B3281,Data!$A:$A,0),MATCH($C$7,Data!$4:$4,0))="","",INDEX(Data!$A:$G,MATCH($B3281,Data!$A:$A,0),MATCH($C$7,Data!$4:$4,0))))</f>
        <v>59.8</v>
      </c>
      <c r="D3281" s="148">
        <f t="shared" ca="1" si="106"/>
        <v>5.2000000000000028</v>
      </c>
      <c r="E3281" s="148">
        <f t="shared" ca="1" si="107"/>
        <v>0</v>
      </c>
    </row>
    <row r="3282" spans="2:5" x14ac:dyDescent="0.25">
      <c r="B3282" s="8">
        <v>40876</v>
      </c>
      <c r="C3282" s="6">
        <f ca="1">IF(OR($C$7="",$B3282&gt;NOW()),"",IF(INDEX(Data!$A:$G,MATCH($B3282,Data!$A:$A,0),MATCH($C$7,Data!$4:$4,0))="","",INDEX(Data!$A:$G,MATCH($B3282,Data!$A:$A,0),MATCH($C$7,Data!$4:$4,0))))</f>
        <v>58.7</v>
      </c>
      <c r="D3282" s="148">
        <f t="shared" ca="1" si="106"/>
        <v>6.2999999999999972</v>
      </c>
      <c r="E3282" s="148">
        <f t="shared" ca="1" si="107"/>
        <v>0</v>
      </c>
    </row>
    <row r="3283" spans="2:5" x14ac:dyDescent="0.25">
      <c r="B3283" s="8">
        <v>40877</v>
      </c>
      <c r="C3283" s="6">
        <f ca="1">IF(OR($C$7="",$B3283&gt;NOW()),"",IF(INDEX(Data!$A:$G,MATCH($B3283,Data!$A:$A,0),MATCH($C$7,Data!$4:$4,0))="","",INDEX(Data!$A:$G,MATCH($B3283,Data!$A:$A,0),MATCH($C$7,Data!$4:$4,0))))</f>
        <v>50.5</v>
      </c>
      <c r="D3283" s="148">
        <f t="shared" ca="1" si="106"/>
        <v>14.5</v>
      </c>
      <c r="E3283" s="148">
        <f t="shared" ca="1" si="107"/>
        <v>0</v>
      </c>
    </row>
    <row r="3284" spans="2:5" x14ac:dyDescent="0.25">
      <c r="B3284" s="8">
        <v>40878</v>
      </c>
      <c r="C3284" s="6">
        <f ca="1">IF(OR($C$7="",$B3284&gt;NOW()),"",IF(INDEX(Data!$A:$G,MATCH($B3284,Data!$A:$A,0),MATCH($C$7,Data!$4:$4,0))="","",INDEX(Data!$A:$G,MATCH($B3284,Data!$A:$A,0),MATCH($C$7,Data!$4:$4,0))))</f>
        <v>44.1</v>
      </c>
      <c r="D3284" s="148">
        <f t="shared" ca="1" si="106"/>
        <v>20.9</v>
      </c>
      <c r="E3284" s="148">
        <f t="shared" ca="1" si="107"/>
        <v>0</v>
      </c>
    </row>
    <row r="3285" spans="2:5" x14ac:dyDescent="0.25">
      <c r="B3285" s="8">
        <v>40879</v>
      </c>
      <c r="C3285" s="6">
        <f ca="1">IF(OR($C$7="",$B3285&gt;NOW()),"",IF(INDEX(Data!$A:$G,MATCH($B3285,Data!$A:$A,0),MATCH($C$7,Data!$4:$4,0))="","",INDEX(Data!$A:$G,MATCH($B3285,Data!$A:$A,0),MATCH($C$7,Data!$4:$4,0))))</f>
        <v>45.8</v>
      </c>
      <c r="D3285" s="148">
        <f t="shared" ca="1" si="106"/>
        <v>19.200000000000003</v>
      </c>
      <c r="E3285" s="148">
        <f t="shared" ca="1" si="107"/>
        <v>0</v>
      </c>
    </row>
    <row r="3286" spans="2:5" x14ac:dyDescent="0.25">
      <c r="B3286" s="8">
        <v>40880</v>
      </c>
      <c r="C3286" s="6">
        <f ca="1">IF(OR($C$7="",$B3286&gt;NOW()),"",IF(INDEX(Data!$A:$G,MATCH($B3286,Data!$A:$A,0),MATCH($C$7,Data!$4:$4,0))="","",INDEX(Data!$A:$G,MATCH($B3286,Data!$A:$A,0),MATCH($C$7,Data!$4:$4,0))))</f>
        <v>42.2</v>
      </c>
      <c r="D3286" s="148">
        <f t="shared" ca="1" si="106"/>
        <v>22.799999999999997</v>
      </c>
      <c r="E3286" s="148">
        <f t="shared" ca="1" si="107"/>
        <v>0</v>
      </c>
    </row>
    <row r="3287" spans="2:5" x14ac:dyDescent="0.25">
      <c r="B3287" s="8">
        <v>40881</v>
      </c>
      <c r="C3287" s="6">
        <f ca="1">IF(OR($C$7="",$B3287&gt;NOW()),"",IF(INDEX(Data!$A:$G,MATCH($B3287,Data!$A:$A,0),MATCH($C$7,Data!$4:$4,0))="","",INDEX(Data!$A:$G,MATCH($B3287,Data!$A:$A,0),MATCH($C$7,Data!$4:$4,0))))</f>
        <v>45.2</v>
      </c>
      <c r="D3287" s="148">
        <f t="shared" ca="1" si="106"/>
        <v>19.799999999999997</v>
      </c>
      <c r="E3287" s="148">
        <f t="shared" ca="1" si="107"/>
        <v>0</v>
      </c>
    </row>
    <row r="3288" spans="2:5" x14ac:dyDescent="0.25">
      <c r="B3288" s="8">
        <v>40882</v>
      </c>
      <c r="C3288" s="6">
        <f ca="1">IF(OR($C$7="",$B3288&gt;NOW()),"",IF(INDEX(Data!$A:$G,MATCH($B3288,Data!$A:$A,0),MATCH($C$7,Data!$4:$4,0))="","",INDEX(Data!$A:$G,MATCH($B3288,Data!$A:$A,0),MATCH($C$7,Data!$4:$4,0))))</f>
        <v>51.3</v>
      </c>
      <c r="D3288" s="148">
        <f t="shared" ca="1" si="106"/>
        <v>13.700000000000003</v>
      </c>
      <c r="E3288" s="148">
        <f t="shared" ca="1" si="107"/>
        <v>0</v>
      </c>
    </row>
    <row r="3289" spans="2:5" x14ac:dyDescent="0.25">
      <c r="B3289" s="8">
        <v>40883</v>
      </c>
      <c r="C3289" s="6">
        <f ca="1">IF(OR($C$7="",$B3289&gt;NOW()),"",IF(INDEX(Data!$A:$G,MATCH($B3289,Data!$A:$A,0),MATCH($C$7,Data!$4:$4,0))="","",INDEX(Data!$A:$G,MATCH($B3289,Data!$A:$A,0),MATCH($C$7,Data!$4:$4,0))))</f>
        <v>56</v>
      </c>
      <c r="D3289" s="148">
        <f t="shared" ca="1" si="106"/>
        <v>9</v>
      </c>
      <c r="E3289" s="148">
        <f t="shared" ca="1" si="107"/>
        <v>0</v>
      </c>
    </row>
    <row r="3290" spans="2:5" x14ac:dyDescent="0.25">
      <c r="B3290" s="8">
        <v>40884</v>
      </c>
      <c r="C3290" s="6">
        <f ca="1">IF(OR($C$7="",$B3290&gt;NOW()),"",IF(INDEX(Data!$A:$G,MATCH($B3290,Data!$A:$A,0),MATCH($C$7,Data!$4:$4,0))="","",INDEX(Data!$A:$G,MATCH($B3290,Data!$A:$A,0),MATCH($C$7,Data!$4:$4,0))))</f>
        <v>55</v>
      </c>
      <c r="D3290" s="148">
        <f t="shared" ca="1" si="106"/>
        <v>10</v>
      </c>
      <c r="E3290" s="148">
        <f t="shared" ca="1" si="107"/>
        <v>0</v>
      </c>
    </row>
    <row r="3291" spans="2:5" x14ac:dyDescent="0.25">
      <c r="B3291" s="8">
        <v>40885</v>
      </c>
      <c r="C3291" s="6">
        <f ca="1">IF(OR($C$7="",$B3291&gt;NOW()),"",IF(INDEX(Data!$A:$G,MATCH($B3291,Data!$A:$A,0),MATCH($C$7,Data!$4:$4,0))="","",INDEX(Data!$A:$G,MATCH($B3291,Data!$A:$A,0),MATCH($C$7,Data!$4:$4,0))))</f>
        <v>42.3</v>
      </c>
      <c r="D3291" s="148">
        <f t="shared" ca="1" si="106"/>
        <v>22.700000000000003</v>
      </c>
      <c r="E3291" s="148">
        <f t="shared" ca="1" si="107"/>
        <v>0</v>
      </c>
    </row>
    <row r="3292" spans="2:5" x14ac:dyDescent="0.25">
      <c r="B3292" s="8">
        <v>40886</v>
      </c>
      <c r="C3292" s="6">
        <f ca="1">IF(OR($C$7="",$B3292&gt;NOW()),"",IF(INDEX(Data!$A:$G,MATCH($B3292,Data!$A:$A,0),MATCH($C$7,Data!$4:$4,0))="","",INDEX(Data!$A:$G,MATCH($B3292,Data!$A:$A,0),MATCH($C$7,Data!$4:$4,0))))</f>
        <v>42.2</v>
      </c>
      <c r="D3292" s="148">
        <f t="shared" ca="1" si="106"/>
        <v>22.799999999999997</v>
      </c>
      <c r="E3292" s="148">
        <f t="shared" ca="1" si="107"/>
        <v>0</v>
      </c>
    </row>
    <row r="3293" spans="2:5" x14ac:dyDescent="0.25">
      <c r="B3293" s="8">
        <v>40887</v>
      </c>
      <c r="C3293" s="6">
        <f ca="1">IF(OR($C$7="",$B3293&gt;NOW()),"",IF(INDEX(Data!$A:$G,MATCH($B3293,Data!$A:$A,0),MATCH($C$7,Data!$4:$4,0))="","",INDEX(Data!$A:$G,MATCH($B3293,Data!$A:$A,0),MATCH($C$7,Data!$4:$4,0))))</f>
        <v>44.1</v>
      </c>
      <c r="D3293" s="148">
        <f t="shared" ref="D3293:D3356" ca="1" si="108">IF($C3293="","",IF($C3293&gt;$D$26,0,$D$26-$C3293))</f>
        <v>20.9</v>
      </c>
      <c r="E3293" s="148">
        <f t="shared" ref="E3293:E3356" ca="1" si="109">IF($C3293="","",IF($C3293&lt;$E$26,0,$C3293-$E$26))</f>
        <v>0</v>
      </c>
    </row>
    <row r="3294" spans="2:5" x14ac:dyDescent="0.25">
      <c r="B3294" s="8">
        <v>40888</v>
      </c>
      <c r="C3294" s="6">
        <f ca="1">IF(OR($C$7="",$B3294&gt;NOW()),"",IF(INDEX(Data!$A:$G,MATCH($B3294,Data!$A:$A,0),MATCH($C$7,Data!$4:$4,0))="","",INDEX(Data!$A:$G,MATCH($B3294,Data!$A:$A,0),MATCH($C$7,Data!$4:$4,0))))</f>
        <v>34.799999999999997</v>
      </c>
      <c r="D3294" s="148">
        <f t="shared" ca="1" si="108"/>
        <v>30.200000000000003</v>
      </c>
      <c r="E3294" s="148">
        <f t="shared" ca="1" si="109"/>
        <v>0</v>
      </c>
    </row>
    <row r="3295" spans="2:5" x14ac:dyDescent="0.25">
      <c r="B3295" s="8">
        <v>40889</v>
      </c>
      <c r="C3295" s="6">
        <f ca="1">IF(OR($C$7="",$B3295&gt;NOW()),"",IF(INDEX(Data!$A:$G,MATCH($B3295,Data!$A:$A,0),MATCH($C$7,Data!$4:$4,0))="","",INDEX(Data!$A:$G,MATCH($B3295,Data!$A:$A,0),MATCH($C$7,Data!$4:$4,0))))</f>
        <v>37.9</v>
      </c>
      <c r="D3295" s="148">
        <f t="shared" ca="1" si="108"/>
        <v>27.1</v>
      </c>
      <c r="E3295" s="148">
        <f t="shared" ca="1" si="109"/>
        <v>0</v>
      </c>
    </row>
    <row r="3296" spans="2:5" x14ac:dyDescent="0.25">
      <c r="B3296" s="8">
        <v>40890</v>
      </c>
      <c r="C3296" s="6">
        <f ca="1">IF(OR($C$7="",$B3296&gt;NOW()),"",IF(INDEX(Data!$A:$G,MATCH($B3296,Data!$A:$A,0),MATCH($C$7,Data!$4:$4,0))="","",INDEX(Data!$A:$G,MATCH($B3296,Data!$A:$A,0),MATCH($C$7,Data!$4:$4,0))))</f>
        <v>39.700000000000003</v>
      </c>
      <c r="D3296" s="148">
        <f t="shared" ca="1" si="108"/>
        <v>25.299999999999997</v>
      </c>
      <c r="E3296" s="148">
        <f t="shared" ca="1" si="109"/>
        <v>0</v>
      </c>
    </row>
    <row r="3297" spans="2:5" x14ac:dyDescent="0.25">
      <c r="B3297" s="8">
        <v>40891</v>
      </c>
      <c r="C3297" s="6">
        <f ca="1">IF(OR($C$7="",$B3297&gt;NOW()),"",IF(INDEX(Data!$A:$G,MATCH($B3297,Data!$A:$A,0),MATCH($C$7,Data!$4:$4,0))="","",INDEX(Data!$A:$G,MATCH($B3297,Data!$A:$A,0),MATCH($C$7,Data!$4:$4,0))))</f>
        <v>43.2</v>
      </c>
      <c r="D3297" s="148">
        <f t="shared" ca="1" si="108"/>
        <v>21.799999999999997</v>
      </c>
      <c r="E3297" s="148">
        <f t="shared" ca="1" si="109"/>
        <v>0</v>
      </c>
    </row>
    <row r="3298" spans="2:5" x14ac:dyDescent="0.25">
      <c r="B3298" s="8">
        <v>40892</v>
      </c>
      <c r="C3298" s="6">
        <f ca="1">IF(OR($C$7="",$B3298&gt;NOW()),"",IF(INDEX(Data!$A:$G,MATCH($B3298,Data!$A:$A,0),MATCH($C$7,Data!$4:$4,0))="","",INDEX(Data!$A:$G,MATCH($B3298,Data!$A:$A,0),MATCH($C$7,Data!$4:$4,0))))</f>
        <v>50.3</v>
      </c>
      <c r="D3298" s="148">
        <f t="shared" ca="1" si="108"/>
        <v>14.700000000000003</v>
      </c>
      <c r="E3298" s="148">
        <f t="shared" ca="1" si="109"/>
        <v>0</v>
      </c>
    </row>
    <row r="3299" spans="2:5" x14ac:dyDescent="0.25">
      <c r="B3299" s="8">
        <v>40893</v>
      </c>
      <c r="C3299" s="6">
        <f ca="1">IF(OR($C$7="",$B3299&gt;NOW()),"",IF(INDEX(Data!$A:$G,MATCH($B3299,Data!$A:$A,0),MATCH($C$7,Data!$4:$4,0))="","",INDEX(Data!$A:$G,MATCH($B3299,Data!$A:$A,0),MATCH($C$7,Data!$4:$4,0))))</f>
        <v>51.2</v>
      </c>
      <c r="D3299" s="148">
        <f t="shared" ca="1" si="108"/>
        <v>13.799999999999997</v>
      </c>
      <c r="E3299" s="148">
        <f t="shared" ca="1" si="109"/>
        <v>0</v>
      </c>
    </row>
    <row r="3300" spans="2:5" x14ac:dyDescent="0.25">
      <c r="B3300" s="8">
        <v>40894</v>
      </c>
      <c r="C3300" s="6">
        <f ca="1">IF(OR($C$7="",$B3300&gt;NOW()),"",IF(INDEX(Data!$A:$G,MATCH($B3300,Data!$A:$A,0),MATCH($C$7,Data!$4:$4,0))="","",INDEX(Data!$A:$G,MATCH($B3300,Data!$A:$A,0),MATCH($C$7,Data!$4:$4,0))))</f>
        <v>40.200000000000003</v>
      </c>
      <c r="D3300" s="148">
        <f t="shared" ca="1" si="108"/>
        <v>24.799999999999997</v>
      </c>
      <c r="E3300" s="148">
        <f t="shared" ca="1" si="109"/>
        <v>0</v>
      </c>
    </row>
    <row r="3301" spans="2:5" x14ac:dyDescent="0.25">
      <c r="B3301" s="8">
        <v>40895</v>
      </c>
      <c r="C3301" s="6">
        <f ca="1">IF(OR($C$7="",$B3301&gt;NOW()),"",IF(INDEX(Data!$A:$G,MATCH($B3301,Data!$A:$A,0),MATCH($C$7,Data!$4:$4,0))="","",INDEX(Data!$A:$G,MATCH($B3301,Data!$A:$A,0),MATCH($C$7,Data!$4:$4,0))))</f>
        <v>28.8</v>
      </c>
      <c r="D3301" s="148">
        <f t="shared" ca="1" si="108"/>
        <v>36.200000000000003</v>
      </c>
      <c r="E3301" s="148">
        <f t="shared" ca="1" si="109"/>
        <v>0</v>
      </c>
    </row>
    <row r="3302" spans="2:5" x14ac:dyDescent="0.25">
      <c r="B3302" s="8">
        <v>40896</v>
      </c>
      <c r="C3302" s="6">
        <f ca="1">IF(OR($C$7="",$B3302&gt;NOW()),"",IF(INDEX(Data!$A:$G,MATCH($B3302,Data!$A:$A,0),MATCH($C$7,Data!$4:$4,0))="","",INDEX(Data!$A:$G,MATCH($B3302,Data!$A:$A,0),MATCH($C$7,Data!$4:$4,0))))</f>
        <v>34.5</v>
      </c>
      <c r="D3302" s="148">
        <f t="shared" ca="1" si="108"/>
        <v>30.5</v>
      </c>
      <c r="E3302" s="148">
        <f t="shared" ca="1" si="109"/>
        <v>0</v>
      </c>
    </row>
    <row r="3303" spans="2:5" x14ac:dyDescent="0.25">
      <c r="B3303" s="8">
        <v>40897</v>
      </c>
      <c r="C3303" s="6">
        <f ca="1">IF(OR($C$7="",$B3303&gt;NOW()),"",IF(INDEX(Data!$A:$G,MATCH($B3303,Data!$A:$A,0),MATCH($C$7,Data!$4:$4,0))="","",INDEX(Data!$A:$G,MATCH($B3303,Data!$A:$A,0),MATCH($C$7,Data!$4:$4,0))))</f>
        <v>45.6</v>
      </c>
      <c r="D3303" s="148">
        <f t="shared" ca="1" si="108"/>
        <v>19.399999999999999</v>
      </c>
      <c r="E3303" s="148">
        <f t="shared" ca="1" si="109"/>
        <v>0</v>
      </c>
    </row>
    <row r="3304" spans="2:5" x14ac:dyDescent="0.25">
      <c r="B3304" s="8">
        <v>40898</v>
      </c>
      <c r="C3304" s="6">
        <f ca="1">IF(OR($C$7="",$B3304&gt;NOW()),"",IF(INDEX(Data!$A:$G,MATCH($B3304,Data!$A:$A,0),MATCH($C$7,Data!$4:$4,0))="","",INDEX(Data!$A:$G,MATCH($B3304,Data!$A:$A,0),MATCH($C$7,Data!$4:$4,0))))</f>
        <v>46.8</v>
      </c>
      <c r="D3304" s="148">
        <f t="shared" ca="1" si="108"/>
        <v>18.200000000000003</v>
      </c>
      <c r="E3304" s="148">
        <f t="shared" ca="1" si="109"/>
        <v>0</v>
      </c>
    </row>
    <row r="3305" spans="2:5" x14ac:dyDescent="0.25">
      <c r="B3305" s="8">
        <v>40899</v>
      </c>
      <c r="C3305" s="6">
        <f ca="1">IF(OR($C$7="",$B3305&gt;NOW()),"",IF(INDEX(Data!$A:$G,MATCH($B3305,Data!$A:$A,0),MATCH($C$7,Data!$4:$4,0))="","",INDEX(Data!$A:$G,MATCH($B3305,Data!$A:$A,0),MATCH($C$7,Data!$4:$4,0))))</f>
        <v>55</v>
      </c>
      <c r="D3305" s="148">
        <f t="shared" ca="1" si="108"/>
        <v>10</v>
      </c>
      <c r="E3305" s="148">
        <f t="shared" ca="1" si="109"/>
        <v>0</v>
      </c>
    </row>
    <row r="3306" spans="2:5" x14ac:dyDescent="0.25">
      <c r="B3306" s="8">
        <v>40900</v>
      </c>
      <c r="C3306" s="6">
        <f ca="1">IF(OR($C$7="",$B3306&gt;NOW()),"",IF(INDEX(Data!$A:$G,MATCH($B3306,Data!$A:$A,0),MATCH($C$7,Data!$4:$4,0))="","",INDEX(Data!$A:$G,MATCH($B3306,Data!$A:$A,0),MATCH($C$7,Data!$4:$4,0))))</f>
        <v>47.8</v>
      </c>
      <c r="D3306" s="148">
        <f t="shared" ca="1" si="108"/>
        <v>17.200000000000003</v>
      </c>
      <c r="E3306" s="148">
        <f t="shared" ca="1" si="109"/>
        <v>0</v>
      </c>
    </row>
    <row r="3307" spans="2:5" x14ac:dyDescent="0.25">
      <c r="B3307" s="8">
        <v>40901</v>
      </c>
      <c r="C3307" s="6">
        <f ca="1">IF(OR($C$7="",$B3307&gt;NOW()),"",IF(INDEX(Data!$A:$G,MATCH($B3307,Data!$A:$A,0),MATCH($C$7,Data!$4:$4,0))="","",INDEX(Data!$A:$G,MATCH($B3307,Data!$A:$A,0),MATCH($C$7,Data!$4:$4,0))))</f>
        <v>34.6</v>
      </c>
      <c r="D3307" s="148">
        <f t="shared" ca="1" si="108"/>
        <v>30.4</v>
      </c>
      <c r="E3307" s="148">
        <f t="shared" ca="1" si="109"/>
        <v>0</v>
      </c>
    </row>
    <row r="3308" spans="2:5" x14ac:dyDescent="0.25">
      <c r="B3308" s="8">
        <v>40902</v>
      </c>
      <c r="C3308" s="6">
        <f ca="1">IF(OR($C$7="",$B3308&gt;NOW()),"",IF(INDEX(Data!$A:$G,MATCH($B3308,Data!$A:$A,0),MATCH($C$7,Data!$4:$4,0))="","",INDEX(Data!$A:$G,MATCH($B3308,Data!$A:$A,0),MATCH($C$7,Data!$4:$4,0))))</f>
        <v>36.5</v>
      </c>
      <c r="D3308" s="148">
        <f t="shared" ca="1" si="108"/>
        <v>28.5</v>
      </c>
      <c r="E3308" s="148">
        <f t="shared" ca="1" si="109"/>
        <v>0</v>
      </c>
    </row>
    <row r="3309" spans="2:5" x14ac:dyDescent="0.25">
      <c r="B3309" s="8">
        <v>40903</v>
      </c>
      <c r="C3309" s="6">
        <f ca="1">IF(OR($C$7="",$B3309&gt;NOW()),"",IF(INDEX(Data!$A:$G,MATCH($B3309,Data!$A:$A,0),MATCH($C$7,Data!$4:$4,0))="","",INDEX(Data!$A:$G,MATCH($B3309,Data!$A:$A,0),MATCH($C$7,Data!$4:$4,0))))</f>
        <v>43.2</v>
      </c>
      <c r="D3309" s="148">
        <f t="shared" ca="1" si="108"/>
        <v>21.799999999999997</v>
      </c>
      <c r="E3309" s="148">
        <f t="shared" ca="1" si="109"/>
        <v>0</v>
      </c>
    </row>
    <row r="3310" spans="2:5" x14ac:dyDescent="0.25">
      <c r="B3310" s="8">
        <v>40904</v>
      </c>
      <c r="C3310" s="6">
        <f ca="1">IF(OR($C$7="",$B3310&gt;NOW()),"",IF(INDEX(Data!$A:$G,MATCH($B3310,Data!$A:$A,0),MATCH($C$7,Data!$4:$4,0))="","",INDEX(Data!$A:$G,MATCH($B3310,Data!$A:$A,0),MATCH($C$7,Data!$4:$4,0))))</f>
        <v>42.9</v>
      </c>
      <c r="D3310" s="148">
        <f t="shared" ca="1" si="108"/>
        <v>22.1</v>
      </c>
      <c r="E3310" s="148">
        <f t="shared" ca="1" si="109"/>
        <v>0</v>
      </c>
    </row>
    <row r="3311" spans="2:5" x14ac:dyDescent="0.25">
      <c r="B3311" s="8">
        <v>40905</v>
      </c>
      <c r="C3311" s="6">
        <f ca="1">IF(OR($C$7="",$B3311&gt;NOW()),"",IF(INDEX(Data!$A:$G,MATCH($B3311,Data!$A:$A,0),MATCH($C$7,Data!$4:$4,0))="","",INDEX(Data!$A:$G,MATCH($B3311,Data!$A:$A,0),MATCH($C$7,Data!$4:$4,0))))</f>
        <v>46</v>
      </c>
      <c r="D3311" s="148">
        <f t="shared" ca="1" si="108"/>
        <v>19</v>
      </c>
      <c r="E3311" s="148">
        <f t="shared" ca="1" si="109"/>
        <v>0</v>
      </c>
    </row>
    <row r="3312" spans="2:5" x14ac:dyDescent="0.25">
      <c r="B3312" s="8">
        <v>40906</v>
      </c>
      <c r="C3312" s="6">
        <f ca="1">IF(OR($C$7="",$B3312&gt;NOW()),"",IF(INDEX(Data!$A:$G,MATCH($B3312,Data!$A:$A,0),MATCH($C$7,Data!$4:$4,0))="","",INDEX(Data!$A:$G,MATCH($B3312,Data!$A:$A,0),MATCH($C$7,Data!$4:$4,0))))</f>
        <v>30.6</v>
      </c>
      <c r="D3312" s="148">
        <f t="shared" ca="1" si="108"/>
        <v>34.4</v>
      </c>
      <c r="E3312" s="148">
        <f t="shared" ca="1" si="109"/>
        <v>0</v>
      </c>
    </row>
    <row r="3313" spans="2:5" x14ac:dyDescent="0.25">
      <c r="B3313" s="8">
        <v>40907</v>
      </c>
      <c r="C3313" s="6">
        <f ca="1">IF(OR($C$7="",$B3313&gt;NOW()),"",IF(INDEX(Data!$A:$G,MATCH($B3313,Data!$A:$A,0),MATCH($C$7,Data!$4:$4,0))="","",INDEX(Data!$A:$G,MATCH($B3313,Data!$A:$A,0),MATCH($C$7,Data!$4:$4,0))))</f>
        <v>41.4</v>
      </c>
      <c r="D3313" s="148">
        <f t="shared" ca="1" si="108"/>
        <v>23.6</v>
      </c>
      <c r="E3313" s="148">
        <f t="shared" ca="1" si="109"/>
        <v>0</v>
      </c>
    </row>
    <row r="3314" spans="2:5" x14ac:dyDescent="0.25">
      <c r="B3314" s="8">
        <v>40908</v>
      </c>
      <c r="C3314" s="6">
        <f ca="1">IF(OR($C$7="",$B3314&gt;NOW()),"",IF(INDEX(Data!$A:$G,MATCH($B3314,Data!$A:$A,0),MATCH($C$7,Data!$4:$4,0))="","",INDEX(Data!$A:$G,MATCH($B3314,Data!$A:$A,0),MATCH($C$7,Data!$4:$4,0))))</f>
        <v>49.1</v>
      </c>
      <c r="D3314" s="148">
        <f t="shared" ca="1" si="108"/>
        <v>15.899999999999999</v>
      </c>
      <c r="E3314" s="148">
        <f t="shared" ca="1" si="109"/>
        <v>0</v>
      </c>
    </row>
    <row r="3315" spans="2:5" x14ac:dyDescent="0.25">
      <c r="B3315" s="8">
        <v>40909</v>
      </c>
      <c r="C3315" s="6">
        <f ca="1">IF(OR($C$7="",$B3315&gt;NOW()),"",IF(INDEX(Data!$A:$G,MATCH($B3315,Data!$A:$A,0),MATCH($C$7,Data!$4:$4,0))="","",INDEX(Data!$A:$G,MATCH($B3315,Data!$A:$A,0),MATCH($C$7,Data!$4:$4,0))))</f>
        <v>47.4</v>
      </c>
      <c r="D3315" s="148">
        <f t="shared" ca="1" si="108"/>
        <v>17.600000000000001</v>
      </c>
      <c r="E3315" s="148">
        <f t="shared" ca="1" si="109"/>
        <v>0</v>
      </c>
    </row>
    <row r="3316" spans="2:5" x14ac:dyDescent="0.25">
      <c r="B3316" s="8">
        <v>40910</v>
      </c>
      <c r="C3316" s="6">
        <f ca="1">IF(OR($C$7="",$B3316&gt;NOW()),"",IF(INDEX(Data!$A:$G,MATCH($B3316,Data!$A:$A,0),MATCH($C$7,Data!$4:$4,0))="","",INDEX(Data!$A:$G,MATCH($B3316,Data!$A:$A,0),MATCH($C$7,Data!$4:$4,0))))</f>
        <v>42.9</v>
      </c>
      <c r="D3316" s="148">
        <f t="shared" ca="1" si="108"/>
        <v>22.1</v>
      </c>
      <c r="E3316" s="148">
        <f t="shared" ca="1" si="109"/>
        <v>0</v>
      </c>
    </row>
    <row r="3317" spans="2:5" x14ac:dyDescent="0.25">
      <c r="B3317" s="8">
        <v>40911</v>
      </c>
      <c r="C3317" s="6">
        <f ca="1">IF(OR($C$7="",$B3317&gt;NOW()),"",IF(INDEX(Data!$A:$G,MATCH($B3317,Data!$A:$A,0),MATCH($C$7,Data!$4:$4,0))="","",INDEX(Data!$A:$G,MATCH($B3317,Data!$A:$A,0),MATCH($C$7,Data!$4:$4,0))))</f>
        <v>29.8</v>
      </c>
      <c r="D3317" s="148">
        <f t="shared" ca="1" si="108"/>
        <v>35.200000000000003</v>
      </c>
      <c r="E3317" s="148">
        <f t="shared" ca="1" si="109"/>
        <v>0</v>
      </c>
    </row>
    <row r="3318" spans="2:5" x14ac:dyDescent="0.25">
      <c r="B3318" s="8">
        <v>40912</v>
      </c>
      <c r="C3318" s="6">
        <f ca="1">IF(OR($C$7="",$B3318&gt;NOW()),"",IF(INDEX(Data!$A:$G,MATCH($B3318,Data!$A:$A,0),MATCH($C$7,Data!$4:$4,0))="","",INDEX(Data!$A:$G,MATCH($B3318,Data!$A:$A,0),MATCH($C$7,Data!$4:$4,0))))</f>
        <v>19.100000000000001</v>
      </c>
      <c r="D3318" s="148">
        <f t="shared" ca="1" si="108"/>
        <v>45.9</v>
      </c>
      <c r="E3318" s="148">
        <f t="shared" ca="1" si="109"/>
        <v>0</v>
      </c>
    </row>
    <row r="3319" spans="2:5" x14ac:dyDescent="0.25">
      <c r="B3319" s="8">
        <v>40913</v>
      </c>
      <c r="C3319" s="6">
        <f ca="1">IF(OR($C$7="",$B3319&gt;NOW()),"",IF(INDEX(Data!$A:$G,MATCH($B3319,Data!$A:$A,0),MATCH($C$7,Data!$4:$4,0))="","",INDEX(Data!$A:$G,MATCH($B3319,Data!$A:$A,0),MATCH($C$7,Data!$4:$4,0))))</f>
        <v>31.7</v>
      </c>
      <c r="D3319" s="148">
        <f t="shared" ca="1" si="108"/>
        <v>33.299999999999997</v>
      </c>
      <c r="E3319" s="148">
        <f t="shared" ca="1" si="109"/>
        <v>0</v>
      </c>
    </row>
    <row r="3320" spans="2:5" x14ac:dyDescent="0.25">
      <c r="B3320" s="8">
        <v>40914</v>
      </c>
      <c r="C3320" s="6">
        <f ca="1">IF(OR($C$7="",$B3320&gt;NOW()),"",IF(INDEX(Data!$A:$G,MATCH($B3320,Data!$A:$A,0),MATCH($C$7,Data!$4:$4,0))="","",INDEX(Data!$A:$G,MATCH($B3320,Data!$A:$A,0),MATCH($C$7,Data!$4:$4,0))))</f>
        <v>41.5</v>
      </c>
      <c r="D3320" s="148">
        <f t="shared" ca="1" si="108"/>
        <v>23.5</v>
      </c>
      <c r="E3320" s="148">
        <f t="shared" ca="1" si="109"/>
        <v>0</v>
      </c>
    </row>
    <row r="3321" spans="2:5" x14ac:dyDescent="0.25">
      <c r="B3321" s="8">
        <v>40915</v>
      </c>
      <c r="C3321" s="6">
        <f ca="1">IF(OR($C$7="",$B3321&gt;NOW()),"",IF(INDEX(Data!$A:$G,MATCH($B3321,Data!$A:$A,0),MATCH($C$7,Data!$4:$4,0))="","",INDEX(Data!$A:$G,MATCH($B3321,Data!$A:$A,0),MATCH($C$7,Data!$4:$4,0))))</f>
        <v>51.6</v>
      </c>
      <c r="D3321" s="148">
        <f t="shared" ca="1" si="108"/>
        <v>13.399999999999999</v>
      </c>
      <c r="E3321" s="148">
        <f t="shared" ca="1" si="109"/>
        <v>0</v>
      </c>
    </row>
    <row r="3322" spans="2:5" x14ac:dyDescent="0.25">
      <c r="B3322" s="8">
        <v>40916</v>
      </c>
      <c r="C3322" s="6">
        <f ca="1">IF(OR($C$7="",$B3322&gt;NOW()),"",IF(INDEX(Data!$A:$G,MATCH($B3322,Data!$A:$A,0),MATCH($C$7,Data!$4:$4,0))="","",INDEX(Data!$A:$G,MATCH($B3322,Data!$A:$A,0),MATCH($C$7,Data!$4:$4,0))))</f>
        <v>45.1</v>
      </c>
      <c r="D3322" s="148">
        <f t="shared" ca="1" si="108"/>
        <v>19.899999999999999</v>
      </c>
      <c r="E3322" s="148">
        <f t="shared" ca="1" si="109"/>
        <v>0</v>
      </c>
    </row>
    <row r="3323" spans="2:5" x14ac:dyDescent="0.25">
      <c r="B3323" s="8">
        <v>40917</v>
      </c>
      <c r="C3323" s="6">
        <f ca="1">IF(OR($C$7="",$B3323&gt;NOW()),"",IF(INDEX(Data!$A:$G,MATCH($B3323,Data!$A:$A,0),MATCH($C$7,Data!$4:$4,0))="","",INDEX(Data!$A:$G,MATCH($B3323,Data!$A:$A,0),MATCH($C$7,Data!$4:$4,0))))</f>
        <v>35</v>
      </c>
      <c r="D3323" s="148">
        <f t="shared" ca="1" si="108"/>
        <v>30</v>
      </c>
      <c r="E3323" s="148">
        <f t="shared" ca="1" si="109"/>
        <v>0</v>
      </c>
    </row>
    <row r="3324" spans="2:5" x14ac:dyDescent="0.25">
      <c r="B3324" s="8">
        <v>40918</v>
      </c>
      <c r="C3324" s="6">
        <f ca="1">IF(OR($C$7="",$B3324&gt;NOW()),"",IF(INDEX(Data!$A:$G,MATCH($B3324,Data!$A:$A,0),MATCH($C$7,Data!$4:$4,0))="","",INDEX(Data!$A:$G,MATCH($B3324,Data!$A:$A,0),MATCH($C$7,Data!$4:$4,0))))</f>
        <v>39.4</v>
      </c>
      <c r="D3324" s="148">
        <f t="shared" ca="1" si="108"/>
        <v>25.6</v>
      </c>
      <c r="E3324" s="148">
        <f t="shared" ca="1" si="109"/>
        <v>0</v>
      </c>
    </row>
    <row r="3325" spans="2:5" x14ac:dyDescent="0.25">
      <c r="B3325" s="8">
        <v>40919</v>
      </c>
      <c r="C3325" s="6">
        <f ca="1">IF(OR($C$7="",$B3325&gt;NOW()),"",IF(INDEX(Data!$A:$G,MATCH($B3325,Data!$A:$A,0),MATCH($C$7,Data!$4:$4,0))="","",INDEX(Data!$A:$G,MATCH($B3325,Data!$A:$A,0),MATCH($C$7,Data!$4:$4,0))))</f>
        <v>42.2</v>
      </c>
      <c r="D3325" s="148">
        <f t="shared" ca="1" si="108"/>
        <v>22.799999999999997</v>
      </c>
      <c r="E3325" s="148">
        <f t="shared" ca="1" si="109"/>
        <v>0</v>
      </c>
    </row>
    <row r="3326" spans="2:5" x14ac:dyDescent="0.25">
      <c r="B3326" s="8">
        <v>40920</v>
      </c>
      <c r="C3326" s="6">
        <f ca="1">IF(OR($C$7="",$B3326&gt;NOW()),"",IF(INDEX(Data!$A:$G,MATCH($B3326,Data!$A:$A,0),MATCH($C$7,Data!$4:$4,0))="","",INDEX(Data!$A:$G,MATCH($B3326,Data!$A:$A,0),MATCH($C$7,Data!$4:$4,0))))</f>
        <v>43.3</v>
      </c>
      <c r="D3326" s="148">
        <f t="shared" ca="1" si="108"/>
        <v>21.700000000000003</v>
      </c>
      <c r="E3326" s="148">
        <f t="shared" ca="1" si="109"/>
        <v>0</v>
      </c>
    </row>
    <row r="3327" spans="2:5" x14ac:dyDescent="0.25">
      <c r="B3327" s="8">
        <v>40921</v>
      </c>
      <c r="C3327" s="6">
        <f ca="1">IF(OR($C$7="",$B3327&gt;NOW()),"",IF(INDEX(Data!$A:$G,MATCH($B3327,Data!$A:$A,0),MATCH($C$7,Data!$4:$4,0))="","",INDEX(Data!$A:$G,MATCH($B3327,Data!$A:$A,0),MATCH($C$7,Data!$4:$4,0))))</f>
        <v>39.1</v>
      </c>
      <c r="D3327" s="148">
        <f t="shared" ca="1" si="108"/>
        <v>25.9</v>
      </c>
      <c r="E3327" s="148">
        <f t="shared" ca="1" si="109"/>
        <v>0</v>
      </c>
    </row>
    <row r="3328" spans="2:5" x14ac:dyDescent="0.25">
      <c r="B3328" s="8">
        <v>40922</v>
      </c>
      <c r="C3328" s="6">
        <f ca="1">IF(OR($C$7="",$B3328&gt;NOW()),"",IF(INDEX(Data!$A:$G,MATCH($B3328,Data!$A:$A,0),MATCH($C$7,Data!$4:$4,0))="","",INDEX(Data!$A:$G,MATCH($B3328,Data!$A:$A,0),MATCH($C$7,Data!$4:$4,0))))</f>
        <v>29.7</v>
      </c>
      <c r="D3328" s="148">
        <f t="shared" ca="1" si="108"/>
        <v>35.299999999999997</v>
      </c>
      <c r="E3328" s="148">
        <f t="shared" ca="1" si="109"/>
        <v>0</v>
      </c>
    </row>
    <row r="3329" spans="2:5" x14ac:dyDescent="0.25">
      <c r="B3329" s="8">
        <v>40923</v>
      </c>
      <c r="C3329" s="6">
        <f ca="1">IF(OR($C$7="",$B3329&gt;NOW()),"",IF(INDEX(Data!$A:$G,MATCH($B3329,Data!$A:$A,0),MATCH($C$7,Data!$4:$4,0))="","",INDEX(Data!$A:$G,MATCH($B3329,Data!$A:$A,0),MATCH($C$7,Data!$4:$4,0))))</f>
        <v>23.3</v>
      </c>
      <c r="D3329" s="148">
        <f t="shared" ca="1" si="108"/>
        <v>41.7</v>
      </c>
      <c r="E3329" s="148">
        <f t="shared" ca="1" si="109"/>
        <v>0</v>
      </c>
    </row>
    <row r="3330" spans="2:5" x14ac:dyDescent="0.25">
      <c r="B3330" s="8">
        <v>40924</v>
      </c>
      <c r="C3330" s="6">
        <f ca="1">IF(OR($C$7="",$B3330&gt;NOW()),"",IF(INDEX(Data!$A:$G,MATCH($B3330,Data!$A:$A,0),MATCH($C$7,Data!$4:$4,0))="","",INDEX(Data!$A:$G,MATCH($B3330,Data!$A:$A,0),MATCH($C$7,Data!$4:$4,0))))</f>
        <v>22.7</v>
      </c>
      <c r="D3330" s="148">
        <f t="shared" ca="1" si="108"/>
        <v>42.3</v>
      </c>
      <c r="E3330" s="148">
        <f t="shared" ca="1" si="109"/>
        <v>0</v>
      </c>
    </row>
    <row r="3331" spans="2:5" x14ac:dyDescent="0.25">
      <c r="B3331" s="8">
        <v>40925</v>
      </c>
      <c r="C3331" s="6">
        <f ca="1">IF(OR($C$7="",$B3331&gt;NOW()),"",IF(INDEX(Data!$A:$G,MATCH($B3331,Data!$A:$A,0),MATCH($C$7,Data!$4:$4,0))="","",INDEX(Data!$A:$G,MATCH($B3331,Data!$A:$A,0),MATCH($C$7,Data!$4:$4,0))))</f>
        <v>39</v>
      </c>
      <c r="D3331" s="148">
        <f t="shared" ca="1" si="108"/>
        <v>26</v>
      </c>
      <c r="E3331" s="148">
        <f t="shared" ca="1" si="109"/>
        <v>0</v>
      </c>
    </row>
    <row r="3332" spans="2:5" x14ac:dyDescent="0.25">
      <c r="B3332" s="8">
        <v>40926</v>
      </c>
      <c r="C3332" s="6">
        <f ca="1">IF(OR($C$7="",$B3332&gt;NOW()),"",IF(INDEX(Data!$A:$G,MATCH($B3332,Data!$A:$A,0),MATCH($C$7,Data!$4:$4,0))="","",INDEX(Data!$A:$G,MATCH($B3332,Data!$A:$A,0),MATCH($C$7,Data!$4:$4,0))))</f>
        <v>42.9</v>
      </c>
      <c r="D3332" s="148">
        <f t="shared" ca="1" si="108"/>
        <v>22.1</v>
      </c>
      <c r="E3332" s="148">
        <f t="shared" ca="1" si="109"/>
        <v>0</v>
      </c>
    </row>
    <row r="3333" spans="2:5" x14ac:dyDescent="0.25">
      <c r="B3333" s="8">
        <v>40927</v>
      </c>
      <c r="C3333" s="6">
        <f ca="1">IF(OR($C$7="",$B3333&gt;NOW()),"",IF(INDEX(Data!$A:$G,MATCH($B3333,Data!$A:$A,0),MATCH($C$7,Data!$4:$4,0))="","",INDEX(Data!$A:$G,MATCH($B3333,Data!$A:$A,0),MATCH($C$7,Data!$4:$4,0))))</f>
        <v>26.4</v>
      </c>
      <c r="D3333" s="148">
        <f t="shared" ca="1" si="108"/>
        <v>38.6</v>
      </c>
      <c r="E3333" s="148">
        <f t="shared" ca="1" si="109"/>
        <v>0</v>
      </c>
    </row>
    <row r="3334" spans="2:5" x14ac:dyDescent="0.25">
      <c r="B3334" s="8">
        <v>40928</v>
      </c>
      <c r="C3334" s="6">
        <f ca="1">IF(OR($C$7="",$B3334&gt;NOW()),"",IF(INDEX(Data!$A:$G,MATCH($B3334,Data!$A:$A,0),MATCH($C$7,Data!$4:$4,0))="","",INDEX(Data!$A:$G,MATCH($B3334,Data!$A:$A,0),MATCH($C$7,Data!$4:$4,0))))</f>
        <v>31.9</v>
      </c>
      <c r="D3334" s="148">
        <f t="shared" ca="1" si="108"/>
        <v>33.1</v>
      </c>
      <c r="E3334" s="148">
        <f t="shared" ca="1" si="109"/>
        <v>0</v>
      </c>
    </row>
    <row r="3335" spans="2:5" x14ac:dyDescent="0.25">
      <c r="B3335" s="8">
        <v>40929</v>
      </c>
      <c r="C3335" s="6">
        <f ca="1">IF(OR($C$7="",$B3335&gt;NOW()),"",IF(INDEX(Data!$A:$G,MATCH($B3335,Data!$A:$A,0),MATCH($C$7,Data!$4:$4,0))="","",INDEX(Data!$A:$G,MATCH($B3335,Data!$A:$A,0),MATCH($C$7,Data!$4:$4,0))))</f>
        <v>26.4</v>
      </c>
      <c r="D3335" s="148">
        <f t="shared" ca="1" si="108"/>
        <v>38.6</v>
      </c>
      <c r="E3335" s="148">
        <f t="shared" ca="1" si="109"/>
        <v>0</v>
      </c>
    </row>
    <row r="3336" spans="2:5" x14ac:dyDescent="0.25">
      <c r="B3336" s="8">
        <v>40930</v>
      </c>
      <c r="C3336" s="6">
        <f ca="1">IF(OR($C$7="",$B3336&gt;NOW()),"",IF(INDEX(Data!$A:$G,MATCH($B3336,Data!$A:$A,0),MATCH($C$7,Data!$4:$4,0))="","",INDEX(Data!$A:$G,MATCH($B3336,Data!$A:$A,0),MATCH($C$7,Data!$4:$4,0))))</f>
        <v>24.4</v>
      </c>
      <c r="D3336" s="148">
        <f t="shared" ca="1" si="108"/>
        <v>40.6</v>
      </c>
      <c r="E3336" s="148">
        <f t="shared" ca="1" si="109"/>
        <v>0</v>
      </c>
    </row>
    <row r="3337" spans="2:5" x14ac:dyDescent="0.25">
      <c r="B3337" s="8">
        <v>40931</v>
      </c>
      <c r="C3337" s="6">
        <f ca="1">IF(OR($C$7="",$B3337&gt;NOW()),"",IF(INDEX(Data!$A:$G,MATCH($B3337,Data!$A:$A,0),MATCH($C$7,Data!$4:$4,0))="","",INDEX(Data!$A:$G,MATCH($B3337,Data!$A:$A,0),MATCH($C$7,Data!$4:$4,0))))</f>
        <v>37.200000000000003</v>
      </c>
      <c r="D3337" s="148">
        <f t="shared" ca="1" si="108"/>
        <v>27.799999999999997</v>
      </c>
      <c r="E3337" s="148">
        <f t="shared" ca="1" si="109"/>
        <v>0</v>
      </c>
    </row>
    <row r="3338" spans="2:5" x14ac:dyDescent="0.25">
      <c r="B3338" s="8">
        <v>40932</v>
      </c>
      <c r="C3338" s="6">
        <f ca="1">IF(OR($C$7="",$B3338&gt;NOW()),"",IF(INDEX(Data!$A:$G,MATCH($B3338,Data!$A:$A,0),MATCH($C$7,Data!$4:$4,0))="","",INDEX(Data!$A:$G,MATCH($B3338,Data!$A:$A,0),MATCH($C$7,Data!$4:$4,0))))</f>
        <v>49.1</v>
      </c>
      <c r="D3338" s="148">
        <f t="shared" ca="1" si="108"/>
        <v>15.899999999999999</v>
      </c>
      <c r="E3338" s="148">
        <f t="shared" ca="1" si="109"/>
        <v>0</v>
      </c>
    </row>
    <row r="3339" spans="2:5" x14ac:dyDescent="0.25">
      <c r="B3339" s="8">
        <v>40933</v>
      </c>
      <c r="C3339" s="6">
        <f ca="1">IF(OR($C$7="",$B3339&gt;NOW()),"",IF(INDEX(Data!$A:$G,MATCH($B3339,Data!$A:$A,0),MATCH($C$7,Data!$4:$4,0))="","",INDEX(Data!$A:$G,MATCH($B3339,Data!$A:$A,0),MATCH($C$7,Data!$4:$4,0))))</f>
        <v>41.6</v>
      </c>
      <c r="D3339" s="148">
        <f t="shared" ca="1" si="108"/>
        <v>23.4</v>
      </c>
      <c r="E3339" s="148">
        <f t="shared" ca="1" si="109"/>
        <v>0</v>
      </c>
    </row>
    <row r="3340" spans="2:5" x14ac:dyDescent="0.25">
      <c r="B3340" s="8">
        <v>40934</v>
      </c>
      <c r="C3340" s="6">
        <f ca="1">IF(OR($C$7="",$B3340&gt;NOW()),"",IF(INDEX(Data!$A:$G,MATCH($B3340,Data!$A:$A,0),MATCH($C$7,Data!$4:$4,0))="","",INDEX(Data!$A:$G,MATCH($B3340,Data!$A:$A,0),MATCH($C$7,Data!$4:$4,0))))</f>
        <v>36.5</v>
      </c>
      <c r="D3340" s="148">
        <f t="shared" ca="1" si="108"/>
        <v>28.5</v>
      </c>
      <c r="E3340" s="148">
        <f t="shared" ca="1" si="109"/>
        <v>0</v>
      </c>
    </row>
    <row r="3341" spans="2:5" x14ac:dyDescent="0.25">
      <c r="B3341" s="8">
        <v>40935</v>
      </c>
      <c r="C3341" s="6">
        <f ca="1">IF(OR($C$7="",$B3341&gt;NOW()),"",IF(INDEX(Data!$A:$G,MATCH($B3341,Data!$A:$A,0),MATCH($C$7,Data!$4:$4,0))="","",INDEX(Data!$A:$G,MATCH($B3341,Data!$A:$A,0),MATCH($C$7,Data!$4:$4,0))))</f>
        <v>45.8</v>
      </c>
      <c r="D3341" s="148">
        <f t="shared" ca="1" si="108"/>
        <v>19.200000000000003</v>
      </c>
      <c r="E3341" s="148">
        <f t="shared" ca="1" si="109"/>
        <v>0</v>
      </c>
    </row>
    <row r="3342" spans="2:5" x14ac:dyDescent="0.25">
      <c r="B3342" s="8">
        <v>40936</v>
      </c>
      <c r="C3342" s="6">
        <f ca="1">IF(OR($C$7="",$B3342&gt;NOW()),"",IF(INDEX(Data!$A:$G,MATCH($B3342,Data!$A:$A,0),MATCH($C$7,Data!$4:$4,0))="","",INDEX(Data!$A:$G,MATCH($B3342,Data!$A:$A,0),MATCH($C$7,Data!$4:$4,0))))</f>
        <v>43</v>
      </c>
      <c r="D3342" s="148">
        <f t="shared" ca="1" si="108"/>
        <v>22</v>
      </c>
      <c r="E3342" s="148">
        <f t="shared" ca="1" si="109"/>
        <v>0</v>
      </c>
    </row>
    <row r="3343" spans="2:5" x14ac:dyDescent="0.25">
      <c r="B3343" s="8">
        <v>40937</v>
      </c>
      <c r="C3343" s="6">
        <f ca="1">IF(OR($C$7="",$B3343&gt;NOW()),"",IF(INDEX(Data!$A:$G,MATCH($B3343,Data!$A:$A,0),MATCH($C$7,Data!$4:$4,0))="","",INDEX(Data!$A:$G,MATCH($B3343,Data!$A:$A,0),MATCH($C$7,Data!$4:$4,0))))</f>
        <v>40.1</v>
      </c>
      <c r="D3343" s="148">
        <f t="shared" ca="1" si="108"/>
        <v>24.9</v>
      </c>
      <c r="E3343" s="148">
        <f t="shared" ca="1" si="109"/>
        <v>0</v>
      </c>
    </row>
    <row r="3344" spans="2:5" x14ac:dyDescent="0.25">
      <c r="B3344" s="8">
        <v>40938</v>
      </c>
      <c r="C3344" s="6">
        <f ca="1">IF(OR($C$7="",$B3344&gt;NOW()),"",IF(INDEX(Data!$A:$G,MATCH($B3344,Data!$A:$A,0),MATCH($C$7,Data!$4:$4,0))="","",INDEX(Data!$A:$G,MATCH($B3344,Data!$A:$A,0),MATCH($C$7,Data!$4:$4,0))))</f>
        <v>37.799999999999997</v>
      </c>
      <c r="D3344" s="148">
        <f t="shared" ca="1" si="108"/>
        <v>27.200000000000003</v>
      </c>
      <c r="E3344" s="148">
        <f t="shared" ca="1" si="109"/>
        <v>0</v>
      </c>
    </row>
    <row r="3345" spans="2:5" x14ac:dyDescent="0.25">
      <c r="B3345" s="8">
        <v>40939</v>
      </c>
      <c r="C3345" s="6">
        <f ca="1">IF(OR($C$7="",$B3345&gt;NOW()),"",IF(INDEX(Data!$A:$G,MATCH($B3345,Data!$A:$A,0),MATCH($C$7,Data!$4:$4,0))="","",INDEX(Data!$A:$G,MATCH($B3345,Data!$A:$A,0),MATCH($C$7,Data!$4:$4,0))))</f>
        <v>44.4</v>
      </c>
      <c r="D3345" s="148">
        <f t="shared" ca="1" si="108"/>
        <v>20.6</v>
      </c>
      <c r="E3345" s="148">
        <f t="shared" ca="1" si="109"/>
        <v>0</v>
      </c>
    </row>
    <row r="3346" spans="2:5" x14ac:dyDescent="0.25">
      <c r="B3346" s="8">
        <v>40940</v>
      </c>
      <c r="C3346" s="6">
        <f ca="1">IF(OR($C$7="",$B3346&gt;NOW()),"",IF(INDEX(Data!$A:$G,MATCH($B3346,Data!$A:$A,0),MATCH($C$7,Data!$4:$4,0))="","",INDEX(Data!$A:$G,MATCH($B3346,Data!$A:$A,0),MATCH($C$7,Data!$4:$4,0))))</f>
        <v>55.4</v>
      </c>
      <c r="D3346" s="148">
        <f t="shared" ca="1" si="108"/>
        <v>9.6000000000000014</v>
      </c>
      <c r="E3346" s="148">
        <f t="shared" ca="1" si="109"/>
        <v>0</v>
      </c>
    </row>
    <row r="3347" spans="2:5" x14ac:dyDescent="0.25">
      <c r="B3347" s="8">
        <v>40941</v>
      </c>
      <c r="C3347" s="6">
        <f ca="1">IF(OR($C$7="",$B3347&gt;NOW()),"",IF(INDEX(Data!$A:$G,MATCH($B3347,Data!$A:$A,0),MATCH($C$7,Data!$4:$4,0))="","",INDEX(Data!$A:$G,MATCH($B3347,Data!$A:$A,0),MATCH($C$7,Data!$4:$4,0))))</f>
        <v>46.5</v>
      </c>
      <c r="D3347" s="148">
        <f t="shared" ca="1" si="108"/>
        <v>18.5</v>
      </c>
      <c r="E3347" s="148">
        <f t="shared" ca="1" si="109"/>
        <v>0</v>
      </c>
    </row>
    <row r="3348" spans="2:5" x14ac:dyDescent="0.25">
      <c r="B3348" s="8">
        <v>40942</v>
      </c>
      <c r="C3348" s="6">
        <f ca="1">IF(OR($C$7="",$B3348&gt;NOW()),"",IF(INDEX(Data!$A:$G,MATCH($B3348,Data!$A:$A,0),MATCH($C$7,Data!$4:$4,0))="","",INDEX(Data!$A:$G,MATCH($B3348,Data!$A:$A,0),MATCH($C$7,Data!$4:$4,0))))</f>
        <v>37.5</v>
      </c>
      <c r="D3348" s="148">
        <f t="shared" ca="1" si="108"/>
        <v>27.5</v>
      </c>
      <c r="E3348" s="148">
        <f t="shared" ca="1" si="109"/>
        <v>0</v>
      </c>
    </row>
    <row r="3349" spans="2:5" x14ac:dyDescent="0.25">
      <c r="B3349" s="8">
        <v>40943</v>
      </c>
      <c r="C3349" s="6">
        <f ca="1">IF(OR($C$7="",$B3349&gt;NOW()),"",IF(INDEX(Data!$A:$G,MATCH($B3349,Data!$A:$A,0),MATCH($C$7,Data!$4:$4,0))="","",INDEX(Data!$A:$G,MATCH($B3349,Data!$A:$A,0),MATCH($C$7,Data!$4:$4,0))))</f>
        <v>42.6</v>
      </c>
      <c r="D3349" s="148">
        <f t="shared" ca="1" si="108"/>
        <v>22.4</v>
      </c>
      <c r="E3349" s="148">
        <f t="shared" ca="1" si="109"/>
        <v>0</v>
      </c>
    </row>
    <row r="3350" spans="2:5" x14ac:dyDescent="0.25">
      <c r="B3350" s="8">
        <v>40944</v>
      </c>
      <c r="C3350" s="6">
        <f ca="1">IF(OR($C$7="",$B3350&gt;NOW()),"",IF(INDEX(Data!$A:$G,MATCH($B3350,Data!$A:$A,0),MATCH($C$7,Data!$4:$4,0))="","",INDEX(Data!$A:$G,MATCH($B3350,Data!$A:$A,0),MATCH($C$7,Data!$4:$4,0))))</f>
        <v>36.9</v>
      </c>
      <c r="D3350" s="148">
        <f t="shared" ca="1" si="108"/>
        <v>28.1</v>
      </c>
      <c r="E3350" s="148">
        <f t="shared" ca="1" si="109"/>
        <v>0</v>
      </c>
    </row>
    <row r="3351" spans="2:5" x14ac:dyDescent="0.25">
      <c r="B3351" s="8">
        <v>40945</v>
      </c>
      <c r="C3351" s="6">
        <f ca="1">IF(OR($C$7="",$B3351&gt;NOW()),"",IF(INDEX(Data!$A:$G,MATCH($B3351,Data!$A:$A,0),MATCH($C$7,Data!$4:$4,0))="","",INDEX(Data!$A:$G,MATCH($B3351,Data!$A:$A,0),MATCH($C$7,Data!$4:$4,0))))</f>
        <v>40.700000000000003</v>
      </c>
      <c r="D3351" s="148">
        <f t="shared" ca="1" si="108"/>
        <v>24.299999999999997</v>
      </c>
      <c r="E3351" s="148">
        <f t="shared" ca="1" si="109"/>
        <v>0</v>
      </c>
    </row>
    <row r="3352" spans="2:5" x14ac:dyDescent="0.25">
      <c r="B3352" s="8">
        <v>40946</v>
      </c>
      <c r="C3352" s="6">
        <f ca="1">IF(OR($C$7="",$B3352&gt;NOW()),"",IF(INDEX(Data!$A:$G,MATCH($B3352,Data!$A:$A,0),MATCH($C$7,Data!$4:$4,0))="","",INDEX(Data!$A:$G,MATCH($B3352,Data!$A:$A,0),MATCH($C$7,Data!$4:$4,0))))</f>
        <v>45.1</v>
      </c>
      <c r="D3352" s="148">
        <f t="shared" ca="1" si="108"/>
        <v>19.899999999999999</v>
      </c>
      <c r="E3352" s="148">
        <f t="shared" ca="1" si="109"/>
        <v>0</v>
      </c>
    </row>
    <row r="3353" spans="2:5" x14ac:dyDescent="0.25">
      <c r="B3353" s="8">
        <v>40947</v>
      </c>
      <c r="C3353" s="6">
        <f ca="1">IF(OR($C$7="",$B3353&gt;NOW()),"",IF(INDEX(Data!$A:$G,MATCH($B3353,Data!$A:$A,0),MATCH($C$7,Data!$4:$4,0))="","",INDEX(Data!$A:$G,MATCH($B3353,Data!$A:$A,0),MATCH($C$7,Data!$4:$4,0))))</f>
        <v>36.299999999999997</v>
      </c>
      <c r="D3353" s="148">
        <f t="shared" ca="1" si="108"/>
        <v>28.700000000000003</v>
      </c>
      <c r="E3353" s="148">
        <f t="shared" ca="1" si="109"/>
        <v>0</v>
      </c>
    </row>
    <row r="3354" spans="2:5" x14ac:dyDescent="0.25">
      <c r="B3354" s="8">
        <v>40948</v>
      </c>
      <c r="C3354" s="6">
        <f ca="1">IF(OR($C$7="",$B3354&gt;NOW()),"",IF(INDEX(Data!$A:$G,MATCH($B3354,Data!$A:$A,0),MATCH($C$7,Data!$4:$4,0))="","",INDEX(Data!$A:$G,MATCH($B3354,Data!$A:$A,0),MATCH($C$7,Data!$4:$4,0))))</f>
        <v>36.700000000000003</v>
      </c>
      <c r="D3354" s="148">
        <f t="shared" ca="1" si="108"/>
        <v>28.299999999999997</v>
      </c>
      <c r="E3354" s="148">
        <f t="shared" ca="1" si="109"/>
        <v>0</v>
      </c>
    </row>
    <row r="3355" spans="2:5" x14ac:dyDescent="0.25">
      <c r="B3355" s="8">
        <v>40949</v>
      </c>
      <c r="C3355" s="6">
        <f ca="1">IF(OR($C$7="",$B3355&gt;NOW()),"",IF(INDEX(Data!$A:$G,MATCH($B3355,Data!$A:$A,0),MATCH($C$7,Data!$4:$4,0))="","",INDEX(Data!$A:$G,MATCH($B3355,Data!$A:$A,0),MATCH($C$7,Data!$4:$4,0))))</f>
        <v>40.5</v>
      </c>
      <c r="D3355" s="148">
        <f t="shared" ca="1" si="108"/>
        <v>24.5</v>
      </c>
      <c r="E3355" s="148">
        <f t="shared" ca="1" si="109"/>
        <v>0</v>
      </c>
    </row>
    <row r="3356" spans="2:5" x14ac:dyDescent="0.25">
      <c r="B3356" s="8">
        <v>40950</v>
      </c>
      <c r="C3356" s="6">
        <f ca="1">IF(OR($C$7="",$B3356&gt;NOW()),"",IF(INDEX(Data!$A:$G,MATCH($B3356,Data!$A:$A,0),MATCH($C$7,Data!$4:$4,0))="","",INDEX(Data!$A:$G,MATCH($B3356,Data!$A:$A,0),MATCH($C$7,Data!$4:$4,0))))</f>
        <v>36.799999999999997</v>
      </c>
      <c r="D3356" s="148">
        <f t="shared" ca="1" si="108"/>
        <v>28.200000000000003</v>
      </c>
      <c r="E3356" s="148">
        <f t="shared" ca="1" si="109"/>
        <v>0</v>
      </c>
    </row>
    <row r="3357" spans="2:5" x14ac:dyDescent="0.25">
      <c r="B3357" s="8">
        <v>40951</v>
      </c>
      <c r="C3357" s="6">
        <f ca="1">IF(OR($C$7="",$B3357&gt;NOW()),"",IF(INDEX(Data!$A:$G,MATCH($B3357,Data!$A:$A,0),MATCH($C$7,Data!$4:$4,0))="","",INDEX(Data!$A:$G,MATCH($B3357,Data!$A:$A,0),MATCH($C$7,Data!$4:$4,0))))</f>
        <v>29.5</v>
      </c>
      <c r="D3357" s="148">
        <f t="shared" ref="D3357:D3420" ca="1" si="110">IF($C3357="","",IF($C3357&gt;$D$26,0,$D$26-$C3357))</f>
        <v>35.5</v>
      </c>
      <c r="E3357" s="148">
        <f t="shared" ref="E3357:E3420" ca="1" si="111">IF($C3357="","",IF($C3357&lt;$E$26,0,$C3357-$E$26))</f>
        <v>0</v>
      </c>
    </row>
    <row r="3358" spans="2:5" x14ac:dyDescent="0.25">
      <c r="B3358" s="8">
        <v>40952</v>
      </c>
      <c r="C3358" s="6">
        <f ca="1">IF(OR($C$7="",$B3358&gt;NOW()),"",IF(INDEX(Data!$A:$G,MATCH($B3358,Data!$A:$A,0),MATCH($C$7,Data!$4:$4,0))="","",INDEX(Data!$A:$G,MATCH($B3358,Data!$A:$A,0),MATCH($C$7,Data!$4:$4,0))))</f>
        <v>33.5</v>
      </c>
      <c r="D3358" s="148">
        <f t="shared" ca="1" si="110"/>
        <v>31.5</v>
      </c>
      <c r="E3358" s="148">
        <f t="shared" ca="1" si="111"/>
        <v>0</v>
      </c>
    </row>
    <row r="3359" spans="2:5" x14ac:dyDescent="0.25">
      <c r="B3359" s="8">
        <v>40953</v>
      </c>
      <c r="C3359" s="6">
        <f ca="1">IF(OR($C$7="",$B3359&gt;NOW()),"",IF(INDEX(Data!$A:$G,MATCH($B3359,Data!$A:$A,0),MATCH($C$7,Data!$4:$4,0))="","",INDEX(Data!$A:$G,MATCH($B3359,Data!$A:$A,0),MATCH($C$7,Data!$4:$4,0))))</f>
        <v>41.4</v>
      </c>
      <c r="D3359" s="148">
        <f t="shared" ca="1" si="110"/>
        <v>23.6</v>
      </c>
      <c r="E3359" s="148">
        <f t="shared" ca="1" si="111"/>
        <v>0</v>
      </c>
    </row>
    <row r="3360" spans="2:5" x14ac:dyDescent="0.25">
      <c r="B3360" s="8">
        <v>40954</v>
      </c>
      <c r="C3360" s="6">
        <f ca="1">IF(OR($C$7="",$B3360&gt;NOW()),"",IF(INDEX(Data!$A:$G,MATCH($B3360,Data!$A:$A,0),MATCH($C$7,Data!$4:$4,0))="","",INDEX(Data!$A:$G,MATCH($B3360,Data!$A:$A,0),MATCH($C$7,Data!$4:$4,0))))</f>
        <v>42.2</v>
      </c>
      <c r="D3360" s="148">
        <f t="shared" ca="1" si="110"/>
        <v>22.799999999999997</v>
      </c>
      <c r="E3360" s="148">
        <f t="shared" ca="1" si="111"/>
        <v>0</v>
      </c>
    </row>
    <row r="3361" spans="2:5" x14ac:dyDescent="0.25">
      <c r="B3361" s="8">
        <v>40955</v>
      </c>
      <c r="C3361" s="6">
        <f ca="1">IF(OR($C$7="",$B3361&gt;NOW()),"",IF(INDEX(Data!$A:$G,MATCH($B3361,Data!$A:$A,0),MATCH($C$7,Data!$4:$4,0))="","",INDEX(Data!$A:$G,MATCH($B3361,Data!$A:$A,0),MATCH($C$7,Data!$4:$4,0))))</f>
        <v>40.700000000000003</v>
      </c>
      <c r="D3361" s="148">
        <f t="shared" ca="1" si="110"/>
        <v>24.299999999999997</v>
      </c>
      <c r="E3361" s="148">
        <f t="shared" ca="1" si="111"/>
        <v>0</v>
      </c>
    </row>
    <row r="3362" spans="2:5" x14ac:dyDescent="0.25">
      <c r="B3362" s="8">
        <v>40956</v>
      </c>
      <c r="C3362" s="6">
        <f ca="1">IF(OR($C$7="",$B3362&gt;NOW()),"",IF(INDEX(Data!$A:$G,MATCH($B3362,Data!$A:$A,0),MATCH($C$7,Data!$4:$4,0))="","",INDEX(Data!$A:$G,MATCH($B3362,Data!$A:$A,0),MATCH($C$7,Data!$4:$4,0))))</f>
        <v>45.5</v>
      </c>
      <c r="D3362" s="148">
        <f t="shared" ca="1" si="110"/>
        <v>19.5</v>
      </c>
      <c r="E3362" s="148">
        <f t="shared" ca="1" si="111"/>
        <v>0</v>
      </c>
    </row>
    <row r="3363" spans="2:5" x14ac:dyDescent="0.25">
      <c r="B3363" s="8">
        <v>40957</v>
      </c>
      <c r="C3363" s="6">
        <f ca="1">IF(OR($C$7="",$B3363&gt;NOW()),"",IF(INDEX(Data!$A:$G,MATCH($B3363,Data!$A:$A,0),MATCH($C$7,Data!$4:$4,0))="","",INDEX(Data!$A:$G,MATCH($B3363,Data!$A:$A,0),MATCH($C$7,Data!$4:$4,0))))</f>
        <v>42.3</v>
      </c>
      <c r="D3363" s="148">
        <f t="shared" ca="1" si="110"/>
        <v>22.700000000000003</v>
      </c>
      <c r="E3363" s="148">
        <f t="shared" ca="1" si="111"/>
        <v>0</v>
      </c>
    </row>
    <row r="3364" spans="2:5" x14ac:dyDescent="0.25">
      <c r="B3364" s="8">
        <v>40958</v>
      </c>
      <c r="C3364" s="6">
        <f ca="1">IF(OR($C$7="",$B3364&gt;NOW()),"",IF(INDEX(Data!$A:$G,MATCH($B3364,Data!$A:$A,0),MATCH($C$7,Data!$4:$4,0))="","",INDEX(Data!$A:$G,MATCH($B3364,Data!$A:$A,0),MATCH($C$7,Data!$4:$4,0))))</f>
        <v>40.1</v>
      </c>
      <c r="D3364" s="148">
        <f t="shared" ca="1" si="110"/>
        <v>24.9</v>
      </c>
      <c r="E3364" s="148">
        <f t="shared" ca="1" si="111"/>
        <v>0</v>
      </c>
    </row>
    <row r="3365" spans="2:5" x14ac:dyDescent="0.25">
      <c r="B3365" s="8">
        <v>40959</v>
      </c>
      <c r="C3365" s="6">
        <f ca="1">IF(OR($C$7="",$B3365&gt;NOW()),"",IF(INDEX(Data!$A:$G,MATCH($B3365,Data!$A:$A,0),MATCH($C$7,Data!$4:$4,0))="","",INDEX(Data!$A:$G,MATCH($B3365,Data!$A:$A,0),MATCH($C$7,Data!$4:$4,0))))</f>
        <v>37.9</v>
      </c>
      <c r="D3365" s="148">
        <f t="shared" ca="1" si="110"/>
        <v>27.1</v>
      </c>
      <c r="E3365" s="148">
        <f t="shared" ca="1" si="111"/>
        <v>0</v>
      </c>
    </row>
    <row r="3366" spans="2:5" x14ac:dyDescent="0.25">
      <c r="B3366" s="8">
        <v>40960</v>
      </c>
      <c r="C3366" s="6">
        <f ca="1">IF(OR($C$7="",$B3366&gt;NOW()),"",IF(INDEX(Data!$A:$G,MATCH($B3366,Data!$A:$A,0),MATCH($C$7,Data!$4:$4,0))="","",INDEX(Data!$A:$G,MATCH($B3366,Data!$A:$A,0),MATCH($C$7,Data!$4:$4,0))))</f>
        <v>38.9</v>
      </c>
      <c r="D3366" s="148">
        <f t="shared" ca="1" si="110"/>
        <v>26.1</v>
      </c>
      <c r="E3366" s="148">
        <f t="shared" ca="1" si="111"/>
        <v>0</v>
      </c>
    </row>
    <row r="3367" spans="2:5" x14ac:dyDescent="0.25">
      <c r="B3367" s="8">
        <v>40961</v>
      </c>
      <c r="C3367" s="6">
        <f ca="1">IF(OR($C$7="",$B3367&gt;NOW()),"",IF(INDEX(Data!$A:$G,MATCH($B3367,Data!$A:$A,0),MATCH($C$7,Data!$4:$4,0))="","",INDEX(Data!$A:$G,MATCH($B3367,Data!$A:$A,0),MATCH($C$7,Data!$4:$4,0))))</f>
        <v>49</v>
      </c>
      <c r="D3367" s="148">
        <f t="shared" ca="1" si="110"/>
        <v>16</v>
      </c>
      <c r="E3367" s="148">
        <f t="shared" ca="1" si="111"/>
        <v>0</v>
      </c>
    </row>
    <row r="3368" spans="2:5" x14ac:dyDescent="0.25">
      <c r="B3368" s="8">
        <v>40962</v>
      </c>
      <c r="C3368" s="6">
        <f ca="1">IF(OR($C$7="",$B3368&gt;NOW()),"",IF(INDEX(Data!$A:$G,MATCH($B3368,Data!$A:$A,0),MATCH($C$7,Data!$4:$4,0))="","",INDEX(Data!$A:$G,MATCH($B3368,Data!$A:$A,0),MATCH($C$7,Data!$4:$4,0))))</f>
        <v>51</v>
      </c>
      <c r="D3368" s="148">
        <f t="shared" ca="1" si="110"/>
        <v>14</v>
      </c>
      <c r="E3368" s="148">
        <f t="shared" ca="1" si="111"/>
        <v>0</v>
      </c>
    </row>
    <row r="3369" spans="2:5" x14ac:dyDescent="0.25">
      <c r="B3369" s="8">
        <v>40963</v>
      </c>
      <c r="C3369" s="6">
        <f ca="1">IF(OR($C$7="",$B3369&gt;NOW()),"",IF(INDEX(Data!$A:$G,MATCH($B3369,Data!$A:$A,0),MATCH($C$7,Data!$4:$4,0))="","",INDEX(Data!$A:$G,MATCH($B3369,Data!$A:$A,0),MATCH($C$7,Data!$4:$4,0))))</f>
        <v>42.1</v>
      </c>
      <c r="D3369" s="148">
        <f t="shared" ca="1" si="110"/>
        <v>22.9</v>
      </c>
      <c r="E3369" s="148">
        <f t="shared" ca="1" si="111"/>
        <v>0</v>
      </c>
    </row>
    <row r="3370" spans="2:5" x14ac:dyDescent="0.25">
      <c r="B3370" s="8">
        <v>40964</v>
      </c>
      <c r="C3370" s="6">
        <f ca="1">IF(OR($C$7="",$B3370&gt;NOW()),"",IF(INDEX(Data!$A:$G,MATCH($B3370,Data!$A:$A,0),MATCH($C$7,Data!$4:$4,0))="","",INDEX(Data!$A:$G,MATCH($B3370,Data!$A:$A,0),MATCH($C$7,Data!$4:$4,0))))</f>
        <v>42.6</v>
      </c>
      <c r="D3370" s="148">
        <f t="shared" ca="1" si="110"/>
        <v>22.4</v>
      </c>
      <c r="E3370" s="148">
        <f t="shared" ca="1" si="111"/>
        <v>0</v>
      </c>
    </row>
    <row r="3371" spans="2:5" x14ac:dyDescent="0.25">
      <c r="B3371" s="8">
        <v>40965</v>
      </c>
      <c r="C3371" s="6">
        <f ca="1">IF(OR($C$7="",$B3371&gt;NOW()),"",IF(INDEX(Data!$A:$G,MATCH($B3371,Data!$A:$A,0),MATCH($C$7,Data!$4:$4,0))="","",INDEX(Data!$A:$G,MATCH($B3371,Data!$A:$A,0),MATCH($C$7,Data!$4:$4,0))))</f>
        <v>36.700000000000003</v>
      </c>
      <c r="D3371" s="148">
        <f t="shared" ca="1" si="110"/>
        <v>28.299999999999997</v>
      </c>
      <c r="E3371" s="148">
        <f t="shared" ca="1" si="111"/>
        <v>0</v>
      </c>
    </row>
    <row r="3372" spans="2:5" x14ac:dyDescent="0.25">
      <c r="B3372" s="8">
        <v>40966</v>
      </c>
      <c r="C3372" s="6">
        <f ca="1">IF(OR($C$7="",$B3372&gt;NOW()),"",IF(INDEX(Data!$A:$G,MATCH($B3372,Data!$A:$A,0),MATCH($C$7,Data!$4:$4,0))="","",INDEX(Data!$A:$G,MATCH($B3372,Data!$A:$A,0),MATCH($C$7,Data!$4:$4,0))))</f>
        <v>43.3</v>
      </c>
      <c r="D3372" s="148">
        <f t="shared" ca="1" si="110"/>
        <v>21.700000000000003</v>
      </c>
      <c r="E3372" s="148">
        <f t="shared" ca="1" si="111"/>
        <v>0</v>
      </c>
    </row>
    <row r="3373" spans="2:5" x14ac:dyDescent="0.25">
      <c r="B3373" s="8">
        <v>40967</v>
      </c>
      <c r="C3373" s="6">
        <f ca="1">IF(OR($C$7="",$B3373&gt;NOW()),"",IF(INDEX(Data!$A:$G,MATCH($B3373,Data!$A:$A,0),MATCH($C$7,Data!$4:$4,0))="","",INDEX(Data!$A:$G,MATCH($B3373,Data!$A:$A,0),MATCH($C$7,Data!$4:$4,0))))</f>
        <v>46.4</v>
      </c>
      <c r="D3373" s="148">
        <f t="shared" ca="1" si="110"/>
        <v>18.600000000000001</v>
      </c>
      <c r="E3373" s="148">
        <f t="shared" ca="1" si="111"/>
        <v>0</v>
      </c>
    </row>
    <row r="3374" spans="2:5" x14ac:dyDescent="0.25">
      <c r="B3374" s="8">
        <v>40968</v>
      </c>
      <c r="C3374" s="6">
        <f ca="1">IF(OR($C$7="",$B3374&gt;NOW()),"",IF(INDEX(Data!$A:$G,MATCH($B3374,Data!$A:$A,0),MATCH($C$7,Data!$4:$4,0))="","",INDEX(Data!$A:$G,MATCH($B3374,Data!$A:$A,0),MATCH($C$7,Data!$4:$4,0))))</f>
        <v>41</v>
      </c>
      <c r="D3374" s="148">
        <f t="shared" ca="1" si="110"/>
        <v>24</v>
      </c>
      <c r="E3374" s="148">
        <f t="shared" ca="1" si="111"/>
        <v>0</v>
      </c>
    </row>
    <row r="3375" spans="2:5" x14ac:dyDescent="0.25">
      <c r="B3375" s="8">
        <v>40969</v>
      </c>
      <c r="C3375" s="6">
        <f ca="1">IF(OR($C$7="",$B3375&gt;NOW()),"",IF(INDEX(Data!$A:$G,MATCH($B3375,Data!$A:$A,0),MATCH($C$7,Data!$4:$4,0))="","",INDEX(Data!$A:$G,MATCH($B3375,Data!$A:$A,0),MATCH($C$7,Data!$4:$4,0))))</f>
        <v>40</v>
      </c>
      <c r="D3375" s="148">
        <f t="shared" ca="1" si="110"/>
        <v>25</v>
      </c>
      <c r="E3375" s="148">
        <f t="shared" ca="1" si="111"/>
        <v>0</v>
      </c>
    </row>
    <row r="3376" spans="2:5" x14ac:dyDescent="0.25">
      <c r="B3376" s="8">
        <v>40970</v>
      </c>
      <c r="C3376" s="6">
        <f ca="1">IF(OR($C$7="",$B3376&gt;NOW()),"",IF(INDEX(Data!$A:$G,MATCH($B3376,Data!$A:$A,0),MATCH($C$7,Data!$4:$4,0))="","",INDEX(Data!$A:$G,MATCH($B3376,Data!$A:$A,0),MATCH($C$7,Data!$4:$4,0))))</f>
        <v>37</v>
      </c>
      <c r="D3376" s="148">
        <f t="shared" ca="1" si="110"/>
        <v>28</v>
      </c>
      <c r="E3376" s="148">
        <f t="shared" ca="1" si="111"/>
        <v>0</v>
      </c>
    </row>
    <row r="3377" spans="2:5" x14ac:dyDescent="0.25">
      <c r="B3377" s="8">
        <v>40971</v>
      </c>
      <c r="C3377" s="6">
        <f ca="1">IF(OR($C$7="",$B3377&gt;NOW()),"",IF(INDEX(Data!$A:$G,MATCH($B3377,Data!$A:$A,0),MATCH($C$7,Data!$4:$4,0))="","",INDEX(Data!$A:$G,MATCH($B3377,Data!$A:$A,0),MATCH($C$7,Data!$4:$4,0))))</f>
        <v>46.3</v>
      </c>
      <c r="D3377" s="148">
        <f t="shared" ca="1" si="110"/>
        <v>18.700000000000003</v>
      </c>
      <c r="E3377" s="148">
        <f t="shared" ca="1" si="111"/>
        <v>0</v>
      </c>
    </row>
    <row r="3378" spans="2:5" x14ac:dyDescent="0.25">
      <c r="B3378" s="8">
        <v>40972</v>
      </c>
      <c r="C3378" s="6">
        <f ca="1">IF(OR($C$7="",$B3378&gt;NOW()),"",IF(INDEX(Data!$A:$G,MATCH($B3378,Data!$A:$A,0),MATCH($C$7,Data!$4:$4,0))="","",INDEX(Data!$A:$G,MATCH($B3378,Data!$A:$A,0),MATCH($C$7,Data!$4:$4,0))))</f>
        <v>44.3</v>
      </c>
      <c r="D3378" s="148">
        <f t="shared" ca="1" si="110"/>
        <v>20.700000000000003</v>
      </c>
      <c r="E3378" s="148">
        <f t="shared" ca="1" si="111"/>
        <v>0</v>
      </c>
    </row>
    <row r="3379" spans="2:5" x14ac:dyDescent="0.25">
      <c r="B3379" s="8">
        <v>40973</v>
      </c>
      <c r="C3379" s="6">
        <f ca="1">IF(OR($C$7="",$B3379&gt;NOW()),"",IF(INDEX(Data!$A:$G,MATCH($B3379,Data!$A:$A,0),MATCH($C$7,Data!$4:$4,0))="","",INDEX(Data!$A:$G,MATCH($B3379,Data!$A:$A,0),MATCH($C$7,Data!$4:$4,0))))</f>
        <v>37.9</v>
      </c>
      <c r="D3379" s="148">
        <f t="shared" ca="1" si="110"/>
        <v>27.1</v>
      </c>
      <c r="E3379" s="148">
        <f t="shared" ca="1" si="111"/>
        <v>0</v>
      </c>
    </row>
    <row r="3380" spans="2:5" x14ac:dyDescent="0.25">
      <c r="B3380" s="8">
        <v>40974</v>
      </c>
      <c r="C3380" s="6">
        <f ca="1">IF(OR($C$7="",$B3380&gt;NOW()),"",IF(INDEX(Data!$A:$G,MATCH($B3380,Data!$A:$A,0),MATCH($C$7,Data!$4:$4,0))="","",INDEX(Data!$A:$G,MATCH($B3380,Data!$A:$A,0),MATCH($C$7,Data!$4:$4,0))))</f>
        <v>33.4</v>
      </c>
      <c r="D3380" s="148">
        <f t="shared" ca="1" si="110"/>
        <v>31.6</v>
      </c>
      <c r="E3380" s="148">
        <f t="shared" ca="1" si="111"/>
        <v>0</v>
      </c>
    </row>
    <row r="3381" spans="2:5" x14ac:dyDescent="0.25">
      <c r="B3381" s="8">
        <v>40975</v>
      </c>
      <c r="C3381" s="6">
        <f ca="1">IF(OR($C$7="",$B3381&gt;NOW()),"",IF(INDEX(Data!$A:$G,MATCH($B3381,Data!$A:$A,0),MATCH($C$7,Data!$4:$4,0))="","",INDEX(Data!$A:$G,MATCH($B3381,Data!$A:$A,0),MATCH($C$7,Data!$4:$4,0))))</f>
        <v>45.5</v>
      </c>
      <c r="D3381" s="148">
        <f t="shared" ca="1" si="110"/>
        <v>19.5</v>
      </c>
      <c r="E3381" s="148">
        <f t="shared" ca="1" si="111"/>
        <v>0</v>
      </c>
    </row>
    <row r="3382" spans="2:5" x14ac:dyDescent="0.25">
      <c r="B3382" s="8">
        <v>40976</v>
      </c>
      <c r="C3382" s="6">
        <f ca="1">IF(OR($C$7="",$B3382&gt;NOW()),"",IF(INDEX(Data!$A:$G,MATCH($B3382,Data!$A:$A,0),MATCH($C$7,Data!$4:$4,0))="","",INDEX(Data!$A:$G,MATCH($B3382,Data!$A:$A,0),MATCH($C$7,Data!$4:$4,0))))</f>
        <v>58.7</v>
      </c>
      <c r="D3382" s="148">
        <f t="shared" ca="1" si="110"/>
        <v>6.2999999999999972</v>
      </c>
      <c r="E3382" s="148">
        <f t="shared" ca="1" si="111"/>
        <v>0</v>
      </c>
    </row>
    <row r="3383" spans="2:5" x14ac:dyDescent="0.25">
      <c r="B3383" s="8">
        <v>40977</v>
      </c>
      <c r="C3383" s="6">
        <f ca="1">IF(OR($C$7="",$B3383&gt;NOW()),"",IF(INDEX(Data!$A:$G,MATCH($B3383,Data!$A:$A,0),MATCH($C$7,Data!$4:$4,0))="","",INDEX(Data!$A:$G,MATCH($B3383,Data!$A:$A,0),MATCH($C$7,Data!$4:$4,0))))</f>
        <v>49.8</v>
      </c>
      <c r="D3383" s="148">
        <f t="shared" ca="1" si="110"/>
        <v>15.200000000000003</v>
      </c>
      <c r="E3383" s="148">
        <f t="shared" ca="1" si="111"/>
        <v>0</v>
      </c>
    </row>
    <row r="3384" spans="2:5" x14ac:dyDescent="0.25">
      <c r="B3384" s="8">
        <v>40978</v>
      </c>
      <c r="C3384" s="6">
        <f ca="1">IF(OR($C$7="",$B3384&gt;NOW()),"",IF(INDEX(Data!$A:$G,MATCH($B3384,Data!$A:$A,0),MATCH($C$7,Data!$4:$4,0))="","",INDEX(Data!$A:$G,MATCH($B3384,Data!$A:$A,0),MATCH($C$7,Data!$4:$4,0))))</f>
        <v>37.1</v>
      </c>
      <c r="D3384" s="148">
        <f t="shared" ca="1" si="110"/>
        <v>27.9</v>
      </c>
      <c r="E3384" s="148">
        <f t="shared" ca="1" si="111"/>
        <v>0</v>
      </c>
    </row>
    <row r="3385" spans="2:5" x14ac:dyDescent="0.25">
      <c r="B3385" s="8">
        <v>40979</v>
      </c>
      <c r="C3385" s="6">
        <f ca="1">IF(OR($C$7="",$B3385&gt;NOW()),"",IF(INDEX(Data!$A:$G,MATCH($B3385,Data!$A:$A,0),MATCH($C$7,Data!$4:$4,0))="","",INDEX(Data!$A:$G,MATCH($B3385,Data!$A:$A,0),MATCH($C$7,Data!$4:$4,0))))</f>
        <v>45.3</v>
      </c>
      <c r="D3385" s="148">
        <f t="shared" ca="1" si="110"/>
        <v>19.700000000000003</v>
      </c>
      <c r="E3385" s="148">
        <f t="shared" ca="1" si="111"/>
        <v>0</v>
      </c>
    </row>
    <row r="3386" spans="2:5" x14ac:dyDescent="0.25">
      <c r="B3386" s="8">
        <v>40980</v>
      </c>
      <c r="C3386" s="6">
        <f ca="1">IF(OR($C$7="",$B3386&gt;NOW()),"",IF(INDEX(Data!$A:$G,MATCH($B3386,Data!$A:$A,0),MATCH($C$7,Data!$4:$4,0))="","",INDEX(Data!$A:$G,MATCH($B3386,Data!$A:$A,0),MATCH($C$7,Data!$4:$4,0))))</f>
        <v>55.6</v>
      </c>
      <c r="D3386" s="148">
        <f t="shared" ca="1" si="110"/>
        <v>9.3999999999999986</v>
      </c>
      <c r="E3386" s="148">
        <f t="shared" ca="1" si="111"/>
        <v>0</v>
      </c>
    </row>
    <row r="3387" spans="2:5" x14ac:dyDescent="0.25">
      <c r="B3387" s="8">
        <v>40981</v>
      </c>
      <c r="C3387" s="6">
        <f ca="1">IF(OR($C$7="",$B3387&gt;NOW()),"",IF(INDEX(Data!$A:$G,MATCH($B3387,Data!$A:$A,0),MATCH($C$7,Data!$4:$4,0))="","",INDEX(Data!$A:$G,MATCH($B3387,Data!$A:$A,0),MATCH($C$7,Data!$4:$4,0))))</f>
        <v>60.1</v>
      </c>
      <c r="D3387" s="148">
        <f t="shared" ca="1" si="110"/>
        <v>4.8999999999999986</v>
      </c>
      <c r="E3387" s="148">
        <f t="shared" ca="1" si="111"/>
        <v>0</v>
      </c>
    </row>
    <row r="3388" spans="2:5" x14ac:dyDescent="0.25">
      <c r="B3388" s="8">
        <v>40982</v>
      </c>
      <c r="C3388" s="6">
        <f ca="1">IF(OR($C$7="",$B3388&gt;NOW()),"",IF(INDEX(Data!$A:$G,MATCH($B3388,Data!$A:$A,0),MATCH($C$7,Data!$4:$4,0))="","",INDEX(Data!$A:$G,MATCH($B3388,Data!$A:$A,0),MATCH($C$7,Data!$4:$4,0))))</f>
        <v>63.3</v>
      </c>
      <c r="D3388" s="148">
        <f t="shared" ca="1" si="110"/>
        <v>1.7000000000000028</v>
      </c>
      <c r="E3388" s="148">
        <f t="shared" ca="1" si="111"/>
        <v>0</v>
      </c>
    </row>
    <row r="3389" spans="2:5" x14ac:dyDescent="0.25">
      <c r="B3389" s="8">
        <v>40983</v>
      </c>
      <c r="C3389" s="6">
        <f ca="1">IF(OR($C$7="",$B3389&gt;NOW()),"",IF(INDEX(Data!$A:$G,MATCH($B3389,Data!$A:$A,0),MATCH($C$7,Data!$4:$4,0))="","",INDEX(Data!$A:$G,MATCH($B3389,Data!$A:$A,0),MATCH($C$7,Data!$4:$4,0))))</f>
        <v>48.6</v>
      </c>
      <c r="D3389" s="148">
        <f t="shared" ca="1" si="110"/>
        <v>16.399999999999999</v>
      </c>
      <c r="E3389" s="148">
        <f t="shared" ca="1" si="111"/>
        <v>0</v>
      </c>
    </row>
    <row r="3390" spans="2:5" x14ac:dyDescent="0.25">
      <c r="B3390" s="8">
        <v>40984</v>
      </c>
      <c r="C3390" s="6">
        <f ca="1">IF(OR($C$7="",$B3390&gt;NOW()),"",IF(INDEX(Data!$A:$G,MATCH($B3390,Data!$A:$A,0),MATCH($C$7,Data!$4:$4,0))="","",INDEX(Data!$A:$G,MATCH($B3390,Data!$A:$A,0),MATCH($C$7,Data!$4:$4,0))))</f>
        <v>44.5</v>
      </c>
      <c r="D3390" s="148">
        <f t="shared" ca="1" si="110"/>
        <v>20.5</v>
      </c>
      <c r="E3390" s="148">
        <f t="shared" ca="1" si="111"/>
        <v>0</v>
      </c>
    </row>
    <row r="3391" spans="2:5" x14ac:dyDescent="0.25">
      <c r="B3391" s="8">
        <v>40985</v>
      </c>
      <c r="C3391" s="6">
        <f ca="1">IF(OR($C$7="",$B3391&gt;NOW()),"",IF(INDEX(Data!$A:$G,MATCH($B3391,Data!$A:$A,0),MATCH($C$7,Data!$4:$4,0))="","",INDEX(Data!$A:$G,MATCH($B3391,Data!$A:$A,0),MATCH($C$7,Data!$4:$4,0))))</f>
        <v>49.9</v>
      </c>
      <c r="D3391" s="148">
        <f t="shared" ca="1" si="110"/>
        <v>15.100000000000001</v>
      </c>
      <c r="E3391" s="148">
        <f t="shared" ca="1" si="111"/>
        <v>0</v>
      </c>
    </row>
    <row r="3392" spans="2:5" x14ac:dyDescent="0.25">
      <c r="B3392" s="8">
        <v>40986</v>
      </c>
      <c r="C3392" s="6">
        <f ca="1">IF(OR($C$7="",$B3392&gt;NOW()),"",IF(INDEX(Data!$A:$G,MATCH($B3392,Data!$A:$A,0),MATCH($C$7,Data!$4:$4,0))="","",INDEX(Data!$A:$G,MATCH($B3392,Data!$A:$A,0),MATCH($C$7,Data!$4:$4,0))))</f>
        <v>50.9</v>
      </c>
      <c r="D3392" s="148">
        <f t="shared" ca="1" si="110"/>
        <v>14.100000000000001</v>
      </c>
      <c r="E3392" s="148">
        <f t="shared" ca="1" si="111"/>
        <v>0</v>
      </c>
    </row>
    <row r="3393" spans="2:5" x14ac:dyDescent="0.25">
      <c r="B3393" s="8">
        <v>40987</v>
      </c>
      <c r="C3393" s="6">
        <f ca="1">IF(OR($C$7="",$B3393&gt;NOW()),"",IF(INDEX(Data!$A:$G,MATCH($B3393,Data!$A:$A,0),MATCH($C$7,Data!$4:$4,0))="","",INDEX(Data!$A:$G,MATCH($B3393,Data!$A:$A,0),MATCH($C$7,Data!$4:$4,0))))</f>
        <v>59.3</v>
      </c>
      <c r="D3393" s="148">
        <f t="shared" ca="1" si="110"/>
        <v>5.7000000000000028</v>
      </c>
      <c r="E3393" s="148">
        <f t="shared" ca="1" si="111"/>
        <v>0</v>
      </c>
    </row>
    <row r="3394" spans="2:5" x14ac:dyDescent="0.25">
      <c r="B3394" s="8">
        <v>40988</v>
      </c>
      <c r="C3394" s="6">
        <f ca="1">IF(OR($C$7="",$B3394&gt;NOW()),"",IF(INDEX(Data!$A:$G,MATCH($B3394,Data!$A:$A,0),MATCH($C$7,Data!$4:$4,0))="","",INDEX(Data!$A:$G,MATCH($B3394,Data!$A:$A,0),MATCH($C$7,Data!$4:$4,0))))</f>
        <v>60</v>
      </c>
      <c r="D3394" s="148">
        <f t="shared" ca="1" si="110"/>
        <v>5</v>
      </c>
      <c r="E3394" s="148">
        <f t="shared" ca="1" si="111"/>
        <v>0</v>
      </c>
    </row>
    <row r="3395" spans="2:5" x14ac:dyDescent="0.25">
      <c r="B3395" s="8">
        <v>40989</v>
      </c>
      <c r="C3395" s="6">
        <f ca="1">IF(OR($C$7="",$B3395&gt;NOW()),"",IF(INDEX(Data!$A:$G,MATCH($B3395,Data!$A:$A,0),MATCH($C$7,Data!$4:$4,0))="","",INDEX(Data!$A:$G,MATCH($B3395,Data!$A:$A,0),MATCH($C$7,Data!$4:$4,0))))</f>
        <v>57.8</v>
      </c>
      <c r="D3395" s="148">
        <f t="shared" ca="1" si="110"/>
        <v>7.2000000000000028</v>
      </c>
      <c r="E3395" s="148">
        <f t="shared" ca="1" si="111"/>
        <v>0</v>
      </c>
    </row>
    <row r="3396" spans="2:5" x14ac:dyDescent="0.25">
      <c r="B3396" s="8">
        <v>40990</v>
      </c>
      <c r="C3396" s="6">
        <f ca="1">IF(OR($C$7="",$B3396&gt;NOW()),"",IF(INDEX(Data!$A:$G,MATCH($B3396,Data!$A:$A,0),MATCH($C$7,Data!$4:$4,0))="","",INDEX(Data!$A:$G,MATCH($B3396,Data!$A:$A,0),MATCH($C$7,Data!$4:$4,0))))</f>
        <v>61.2</v>
      </c>
      <c r="D3396" s="148">
        <f t="shared" ca="1" si="110"/>
        <v>3.7999999999999972</v>
      </c>
      <c r="E3396" s="148">
        <f t="shared" ca="1" si="111"/>
        <v>0</v>
      </c>
    </row>
    <row r="3397" spans="2:5" x14ac:dyDescent="0.25">
      <c r="B3397" s="8">
        <v>40991</v>
      </c>
      <c r="C3397" s="6">
        <f ca="1">IF(OR($C$7="",$B3397&gt;NOW()),"",IF(INDEX(Data!$A:$G,MATCH($B3397,Data!$A:$A,0),MATCH($C$7,Data!$4:$4,0))="","",INDEX(Data!$A:$G,MATCH($B3397,Data!$A:$A,0),MATCH($C$7,Data!$4:$4,0))))</f>
        <v>65.099999999999994</v>
      </c>
      <c r="D3397" s="148">
        <f t="shared" ca="1" si="110"/>
        <v>0</v>
      </c>
      <c r="E3397" s="148">
        <f t="shared" ca="1" si="111"/>
        <v>9.9999999999994316E-2</v>
      </c>
    </row>
    <row r="3398" spans="2:5" x14ac:dyDescent="0.25">
      <c r="B3398" s="8">
        <v>40992</v>
      </c>
      <c r="C3398" s="6">
        <f ca="1">IF(OR($C$7="",$B3398&gt;NOW()),"",IF(INDEX(Data!$A:$G,MATCH($B3398,Data!$A:$A,0),MATCH($C$7,Data!$4:$4,0))="","",INDEX(Data!$A:$G,MATCH($B3398,Data!$A:$A,0),MATCH($C$7,Data!$4:$4,0))))</f>
        <v>58.1</v>
      </c>
      <c r="D3398" s="148">
        <f t="shared" ca="1" si="110"/>
        <v>6.8999999999999986</v>
      </c>
      <c r="E3398" s="148">
        <f t="shared" ca="1" si="111"/>
        <v>0</v>
      </c>
    </row>
    <row r="3399" spans="2:5" x14ac:dyDescent="0.25">
      <c r="B3399" s="8">
        <v>40993</v>
      </c>
      <c r="C3399" s="6">
        <f ca="1">IF(OR($C$7="",$B3399&gt;NOW()),"",IF(INDEX(Data!$A:$G,MATCH($B3399,Data!$A:$A,0),MATCH($C$7,Data!$4:$4,0))="","",INDEX(Data!$A:$G,MATCH($B3399,Data!$A:$A,0),MATCH($C$7,Data!$4:$4,0))))</f>
        <v>48.3</v>
      </c>
      <c r="D3399" s="148">
        <f t="shared" ca="1" si="110"/>
        <v>16.700000000000003</v>
      </c>
      <c r="E3399" s="148">
        <f t="shared" ca="1" si="111"/>
        <v>0</v>
      </c>
    </row>
    <row r="3400" spans="2:5" x14ac:dyDescent="0.25">
      <c r="B3400" s="8">
        <v>40994</v>
      </c>
      <c r="C3400" s="6">
        <f ca="1">IF(OR($C$7="",$B3400&gt;NOW()),"",IF(INDEX(Data!$A:$G,MATCH($B3400,Data!$A:$A,0),MATCH($C$7,Data!$4:$4,0))="","",INDEX(Data!$A:$G,MATCH($B3400,Data!$A:$A,0),MATCH($C$7,Data!$4:$4,0))))</f>
        <v>50</v>
      </c>
      <c r="D3400" s="148">
        <f t="shared" ca="1" si="110"/>
        <v>15</v>
      </c>
      <c r="E3400" s="148">
        <f t="shared" ca="1" si="111"/>
        <v>0</v>
      </c>
    </row>
    <row r="3401" spans="2:5" x14ac:dyDescent="0.25">
      <c r="B3401" s="8">
        <v>40995</v>
      </c>
      <c r="C3401" s="6">
        <f ca="1">IF(OR($C$7="",$B3401&gt;NOW()),"",IF(INDEX(Data!$A:$G,MATCH($B3401,Data!$A:$A,0),MATCH($C$7,Data!$4:$4,0))="","",INDEX(Data!$A:$G,MATCH($B3401,Data!$A:$A,0),MATCH($C$7,Data!$4:$4,0))))</f>
        <v>39.700000000000003</v>
      </c>
      <c r="D3401" s="148">
        <f t="shared" ca="1" si="110"/>
        <v>25.299999999999997</v>
      </c>
      <c r="E3401" s="148">
        <f t="shared" ca="1" si="111"/>
        <v>0</v>
      </c>
    </row>
    <row r="3402" spans="2:5" x14ac:dyDescent="0.25">
      <c r="B3402" s="8">
        <v>40996</v>
      </c>
      <c r="C3402" s="6">
        <f ca="1">IF(OR($C$7="",$B3402&gt;NOW()),"",IF(INDEX(Data!$A:$G,MATCH($B3402,Data!$A:$A,0),MATCH($C$7,Data!$4:$4,0))="","",INDEX(Data!$A:$G,MATCH($B3402,Data!$A:$A,0),MATCH($C$7,Data!$4:$4,0))))</f>
        <v>52.7</v>
      </c>
      <c r="D3402" s="148">
        <f t="shared" ca="1" si="110"/>
        <v>12.299999999999997</v>
      </c>
      <c r="E3402" s="148">
        <f t="shared" ca="1" si="111"/>
        <v>0</v>
      </c>
    </row>
    <row r="3403" spans="2:5" x14ac:dyDescent="0.25">
      <c r="B3403" s="8">
        <v>40997</v>
      </c>
      <c r="C3403" s="6">
        <f ca="1">IF(OR($C$7="",$B3403&gt;NOW()),"",IF(INDEX(Data!$A:$G,MATCH($B3403,Data!$A:$A,0),MATCH($C$7,Data!$4:$4,0))="","",INDEX(Data!$A:$G,MATCH($B3403,Data!$A:$A,0),MATCH($C$7,Data!$4:$4,0))))</f>
        <v>56.1</v>
      </c>
      <c r="D3403" s="148">
        <f t="shared" ca="1" si="110"/>
        <v>8.8999999999999986</v>
      </c>
      <c r="E3403" s="148">
        <f t="shared" ca="1" si="111"/>
        <v>0</v>
      </c>
    </row>
    <row r="3404" spans="2:5" x14ac:dyDescent="0.25">
      <c r="B3404" s="8">
        <v>40998</v>
      </c>
      <c r="C3404" s="6">
        <f ca="1">IF(OR($C$7="",$B3404&gt;NOW()),"",IF(INDEX(Data!$A:$G,MATCH($B3404,Data!$A:$A,0),MATCH($C$7,Data!$4:$4,0))="","",INDEX(Data!$A:$G,MATCH($B3404,Data!$A:$A,0),MATCH($C$7,Data!$4:$4,0))))</f>
        <v>46.9</v>
      </c>
      <c r="D3404" s="148">
        <f t="shared" ca="1" si="110"/>
        <v>18.100000000000001</v>
      </c>
      <c r="E3404" s="148">
        <f t="shared" ca="1" si="111"/>
        <v>0</v>
      </c>
    </row>
    <row r="3405" spans="2:5" x14ac:dyDescent="0.25">
      <c r="B3405" s="8">
        <v>40999</v>
      </c>
      <c r="C3405" s="6">
        <f ca="1">IF(OR($C$7="",$B3405&gt;NOW()),"",IF(INDEX(Data!$A:$G,MATCH($B3405,Data!$A:$A,0),MATCH($C$7,Data!$4:$4,0))="","",INDEX(Data!$A:$G,MATCH($B3405,Data!$A:$A,0),MATCH($C$7,Data!$4:$4,0))))</f>
        <v>42.6</v>
      </c>
      <c r="D3405" s="148">
        <f t="shared" ca="1" si="110"/>
        <v>22.4</v>
      </c>
      <c r="E3405" s="148">
        <f t="shared" ca="1" si="111"/>
        <v>0</v>
      </c>
    </row>
    <row r="3406" spans="2:5" x14ac:dyDescent="0.25">
      <c r="B3406" s="8">
        <v>41000</v>
      </c>
      <c r="C3406" s="6">
        <f ca="1">IF(OR($C$7="",$B3406&gt;NOW()),"",IF(INDEX(Data!$A:$G,MATCH($B3406,Data!$A:$A,0),MATCH($C$7,Data!$4:$4,0))="","",INDEX(Data!$A:$G,MATCH($B3406,Data!$A:$A,0),MATCH($C$7,Data!$4:$4,0))))</f>
        <v>46.3</v>
      </c>
      <c r="D3406" s="148">
        <f t="shared" ca="1" si="110"/>
        <v>18.700000000000003</v>
      </c>
      <c r="E3406" s="148">
        <f t="shared" ca="1" si="111"/>
        <v>0</v>
      </c>
    </row>
    <row r="3407" spans="2:5" x14ac:dyDescent="0.25">
      <c r="B3407" s="8">
        <v>41001</v>
      </c>
      <c r="C3407" s="6">
        <f ca="1">IF(OR($C$7="",$B3407&gt;NOW()),"",IF(INDEX(Data!$A:$G,MATCH($B3407,Data!$A:$A,0),MATCH($C$7,Data!$4:$4,0))="","",INDEX(Data!$A:$G,MATCH($B3407,Data!$A:$A,0),MATCH($C$7,Data!$4:$4,0))))</f>
        <v>48.1</v>
      </c>
      <c r="D3407" s="148">
        <f t="shared" ca="1" si="110"/>
        <v>16.899999999999999</v>
      </c>
      <c r="E3407" s="148">
        <f t="shared" ca="1" si="111"/>
        <v>0</v>
      </c>
    </row>
    <row r="3408" spans="2:5" x14ac:dyDescent="0.25">
      <c r="B3408" s="8">
        <v>41002</v>
      </c>
      <c r="C3408" s="6">
        <f ca="1">IF(OR($C$7="",$B3408&gt;NOW()),"",IF(INDEX(Data!$A:$G,MATCH($B3408,Data!$A:$A,0),MATCH($C$7,Data!$4:$4,0))="","",INDEX(Data!$A:$G,MATCH($B3408,Data!$A:$A,0),MATCH($C$7,Data!$4:$4,0))))</f>
        <v>51</v>
      </c>
      <c r="D3408" s="148">
        <f t="shared" ca="1" si="110"/>
        <v>14</v>
      </c>
      <c r="E3408" s="148">
        <f t="shared" ca="1" si="111"/>
        <v>0</v>
      </c>
    </row>
    <row r="3409" spans="2:5" x14ac:dyDescent="0.25">
      <c r="B3409" s="8">
        <v>41003</v>
      </c>
      <c r="C3409" s="6">
        <f ca="1">IF(OR($C$7="",$B3409&gt;NOW()),"",IF(INDEX(Data!$A:$G,MATCH($B3409,Data!$A:$A,0),MATCH($C$7,Data!$4:$4,0))="","",INDEX(Data!$A:$G,MATCH($B3409,Data!$A:$A,0),MATCH($C$7,Data!$4:$4,0))))</f>
        <v>59.8</v>
      </c>
      <c r="D3409" s="148">
        <f t="shared" ca="1" si="110"/>
        <v>5.2000000000000028</v>
      </c>
      <c r="E3409" s="148">
        <f t="shared" ca="1" si="111"/>
        <v>0</v>
      </c>
    </row>
    <row r="3410" spans="2:5" x14ac:dyDescent="0.25">
      <c r="B3410" s="8">
        <v>41004</v>
      </c>
      <c r="C3410" s="6">
        <f ca="1">IF(OR($C$7="",$B3410&gt;NOW()),"",IF(INDEX(Data!$A:$G,MATCH($B3410,Data!$A:$A,0),MATCH($C$7,Data!$4:$4,0))="","",INDEX(Data!$A:$G,MATCH($B3410,Data!$A:$A,0),MATCH($C$7,Data!$4:$4,0))))</f>
        <v>50.8</v>
      </c>
      <c r="D3410" s="148">
        <f t="shared" ca="1" si="110"/>
        <v>14.200000000000003</v>
      </c>
      <c r="E3410" s="148">
        <f t="shared" ca="1" si="111"/>
        <v>0</v>
      </c>
    </row>
    <row r="3411" spans="2:5" x14ac:dyDescent="0.25">
      <c r="B3411" s="8">
        <v>41005</v>
      </c>
      <c r="C3411" s="6">
        <f ca="1">IF(OR($C$7="",$B3411&gt;NOW()),"",IF(INDEX(Data!$A:$G,MATCH($B3411,Data!$A:$A,0),MATCH($C$7,Data!$4:$4,0))="","",INDEX(Data!$A:$G,MATCH($B3411,Data!$A:$A,0),MATCH($C$7,Data!$4:$4,0))))</f>
        <v>48.3</v>
      </c>
      <c r="D3411" s="148">
        <f t="shared" ca="1" si="110"/>
        <v>16.700000000000003</v>
      </c>
      <c r="E3411" s="148">
        <f t="shared" ca="1" si="111"/>
        <v>0</v>
      </c>
    </row>
    <row r="3412" spans="2:5" x14ac:dyDescent="0.25">
      <c r="B3412" s="8">
        <v>41006</v>
      </c>
      <c r="C3412" s="6">
        <f ca="1">IF(OR($C$7="",$B3412&gt;NOW()),"",IF(INDEX(Data!$A:$G,MATCH($B3412,Data!$A:$A,0),MATCH($C$7,Data!$4:$4,0))="","",INDEX(Data!$A:$G,MATCH($B3412,Data!$A:$A,0),MATCH($C$7,Data!$4:$4,0))))</f>
        <v>50.9</v>
      </c>
      <c r="D3412" s="148">
        <f t="shared" ca="1" si="110"/>
        <v>14.100000000000001</v>
      </c>
      <c r="E3412" s="148">
        <f t="shared" ca="1" si="111"/>
        <v>0</v>
      </c>
    </row>
    <row r="3413" spans="2:5" x14ac:dyDescent="0.25">
      <c r="B3413" s="8">
        <v>41007</v>
      </c>
      <c r="C3413" s="6">
        <f ca="1">IF(OR($C$7="",$B3413&gt;NOW()),"",IF(INDEX(Data!$A:$G,MATCH($B3413,Data!$A:$A,0),MATCH($C$7,Data!$4:$4,0))="","",INDEX(Data!$A:$G,MATCH($B3413,Data!$A:$A,0),MATCH($C$7,Data!$4:$4,0))))</f>
        <v>55.2</v>
      </c>
      <c r="D3413" s="148">
        <f t="shared" ca="1" si="110"/>
        <v>9.7999999999999972</v>
      </c>
      <c r="E3413" s="148">
        <f t="shared" ca="1" si="111"/>
        <v>0</v>
      </c>
    </row>
    <row r="3414" spans="2:5" x14ac:dyDescent="0.25">
      <c r="B3414" s="8">
        <v>41008</v>
      </c>
      <c r="C3414" s="6">
        <f ca="1">IF(OR($C$7="",$B3414&gt;NOW()),"",IF(INDEX(Data!$A:$G,MATCH($B3414,Data!$A:$A,0),MATCH($C$7,Data!$4:$4,0))="","",INDEX(Data!$A:$G,MATCH($B3414,Data!$A:$A,0),MATCH($C$7,Data!$4:$4,0))))</f>
        <v>58.2</v>
      </c>
      <c r="D3414" s="148">
        <f t="shared" ca="1" si="110"/>
        <v>6.7999999999999972</v>
      </c>
      <c r="E3414" s="148">
        <f t="shared" ca="1" si="111"/>
        <v>0</v>
      </c>
    </row>
    <row r="3415" spans="2:5" x14ac:dyDescent="0.25">
      <c r="B3415" s="8">
        <v>41009</v>
      </c>
      <c r="C3415" s="6">
        <f ca="1">IF(OR($C$7="",$B3415&gt;NOW()),"",IF(INDEX(Data!$A:$G,MATCH($B3415,Data!$A:$A,0),MATCH($C$7,Data!$4:$4,0))="","",INDEX(Data!$A:$G,MATCH($B3415,Data!$A:$A,0),MATCH($C$7,Data!$4:$4,0))))</f>
        <v>55.8</v>
      </c>
      <c r="D3415" s="148">
        <f t="shared" ca="1" si="110"/>
        <v>9.2000000000000028</v>
      </c>
      <c r="E3415" s="148">
        <f t="shared" ca="1" si="111"/>
        <v>0</v>
      </c>
    </row>
    <row r="3416" spans="2:5" x14ac:dyDescent="0.25">
      <c r="B3416" s="8">
        <v>41010</v>
      </c>
      <c r="C3416" s="6">
        <f ca="1">IF(OR($C$7="",$B3416&gt;NOW()),"",IF(INDEX(Data!$A:$G,MATCH($B3416,Data!$A:$A,0),MATCH($C$7,Data!$4:$4,0))="","",INDEX(Data!$A:$G,MATCH($B3416,Data!$A:$A,0),MATCH($C$7,Data!$4:$4,0))))</f>
        <v>48.9</v>
      </c>
      <c r="D3416" s="148">
        <f t="shared" ca="1" si="110"/>
        <v>16.100000000000001</v>
      </c>
      <c r="E3416" s="148">
        <f t="shared" ca="1" si="111"/>
        <v>0</v>
      </c>
    </row>
    <row r="3417" spans="2:5" x14ac:dyDescent="0.25">
      <c r="B3417" s="8">
        <v>41011</v>
      </c>
      <c r="C3417" s="6">
        <f ca="1">IF(OR($C$7="",$B3417&gt;NOW()),"",IF(INDEX(Data!$A:$G,MATCH($B3417,Data!$A:$A,0),MATCH($C$7,Data!$4:$4,0))="","",INDEX(Data!$A:$G,MATCH($B3417,Data!$A:$A,0),MATCH($C$7,Data!$4:$4,0))))</f>
        <v>51.2</v>
      </c>
      <c r="D3417" s="148">
        <f t="shared" ca="1" si="110"/>
        <v>13.799999999999997</v>
      </c>
      <c r="E3417" s="148">
        <f t="shared" ca="1" si="111"/>
        <v>0</v>
      </c>
    </row>
    <row r="3418" spans="2:5" x14ac:dyDescent="0.25">
      <c r="B3418" s="8">
        <v>41012</v>
      </c>
      <c r="C3418" s="6">
        <f ca="1">IF(OR($C$7="",$B3418&gt;NOW()),"",IF(INDEX(Data!$A:$G,MATCH($B3418,Data!$A:$A,0),MATCH($C$7,Data!$4:$4,0))="","",INDEX(Data!$A:$G,MATCH($B3418,Data!$A:$A,0),MATCH($C$7,Data!$4:$4,0))))</f>
        <v>54.4</v>
      </c>
      <c r="D3418" s="148">
        <f t="shared" ca="1" si="110"/>
        <v>10.600000000000001</v>
      </c>
      <c r="E3418" s="148">
        <f t="shared" ca="1" si="111"/>
        <v>0</v>
      </c>
    </row>
    <row r="3419" spans="2:5" x14ac:dyDescent="0.25">
      <c r="B3419" s="8">
        <v>41013</v>
      </c>
      <c r="C3419" s="6">
        <f ca="1">IF(OR($C$7="",$B3419&gt;NOW()),"",IF(INDEX(Data!$A:$G,MATCH($B3419,Data!$A:$A,0),MATCH($C$7,Data!$4:$4,0))="","",INDEX(Data!$A:$G,MATCH($B3419,Data!$A:$A,0),MATCH($C$7,Data!$4:$4,0))))</f>
        <v>59.9</v>
      </c>
      <c r="D3419" s="148">
        <f t="shared" ca="1" si="110"/>
        <v>5.1000000000000014</v>
      </c>
      <c r="E3419" s="148">
        <f t="shared" ca="1" si="111"/>
        <v>0</v>
      </c>
    </row>
    <row r="3420" spans="2:5" x14ac:dyDescent="0.25">
      <c r="B3420" s="8">
        <v>41014</v>
      </c>
      <c r="C3420" s="6">
        <f ca="1">IF(OR($C$7="",$B3420&gt;NOW()),"",IF(INDEX(Data!$A:$G,MATCH($B3420,Data!$A:$A,0),MATCH($C$7,Data!$4:$4,0))="","",INDEX(Data!$A:$G,MATCH($B3420,Data!$A:$A,0),MATCH($C$7,Data!$4:$4,0))))</f>
        <v>68.5</v>
      </c>
      <c r="D3420" s="148">
        <f t="shared" ca="1" si="110"/>
        <v>0</v>
      </c>
      <c r="E3420" s="148">
        <f t="shared" ca="1" si="111"/>
        <v>3.5</v>
      </c>
    </row>
    <row r="3421" spans="2:5" x14ac:dyDescent="0.25">
      <c r="B3421" s="8">
        <v>41015</v>
      </c>
      <c r="C3421" s="6">
        <f ca="1">IF(OR($C$7="",$B3421&gt;NOW()),"",IF(INDEX(Data!$A:$G,MATCH($B3421,Data!$A:$A,0),MATCH($C$7,Data!$4:$4,0))="","",INDEX(Data!$A:$G,MATCH($B3421,Data!$A:$A,0),MATCH($C$7,Data!$4:$4,0))))</f>
        <v>73.099999999999994</v>
      </c>
      <c r="D3421" s="148">
        <f t="shared" ref="D3421:D3484" ca="1" si="112">IF($C3421="","",IF($C3421&gt;$D$26,0,$D$26-$C3421))</f>
        <v>0</v>
      </c>
      <c r="E3421" s="148">
        <f t="shared" ref="E3421:E3484" ca="1" si="113">IF($C3421="","",IF($C3421&lt;$E$26,0,$C3421-$E$26))</f>
        <v>8.0999999999999943</v>
      </c>
    </row>
    <row r="3422" spans="2:5" x14ac:dyDescent="0.25">
      <c r="B3422" s="8">
        <v>41016</v>
      </c>
      <c r="C3422" s="6">
        <f ca="1">IF(OR($C$7="",$B3422&gt;NOW()),"",IF(INDEX(Data!$A:$G,MATCH($B3422,Data!$A:$A,0),MATCH($C$7,Data!$4:$4,0))="","",INDEX(Data!$A:$G,MATCH($B3422,Data!$A:$A,0),MATCH($C$7,Data!$4:$4,0))))</f>
        <v>72.7</v>
      </c>
      <c r="D3422" s="148">
        <f t="shared" ca="1" si="112"/>
        <v>0</v>
      </c>
      <c r="E3422" s="148">
        <f t="shared" ca="1" si="113"/>
        <v>7.7000000000000028</v>
      </c>
    </row>
    <row r="3423" spans="2:5" x14ac:dyDescent="0.25">
      <c r="B3423" s="8">
        <v>41017</v>
      </c>
      <c r="C3423" s="6">
        <f ca="1">IF(OR($C$7="",$B3423&gt;NOW()),"",IF(INDEX(Data!$A:$G,MATCH($B3423,Data!$A:$A,0),MATCH($C$7,Data!$4:$4,0))="","",INDEX(Data!$A:$G,MATCH($B3423,Data!$A:$A,0),MATCH($C$7,Data!$4:$4,0))))</f>
        <v>58.8</v>
      </c>
      <c r="D3423" s="148">
        <f t="shared" ca="1" si="112"/>
        <v>6.2000000000000028</v>
      </c>
      <c r="E3423" s="148">
        <f t="shared" ca="1" si="113"/>
        <v>0</v>
      </c>
    </row>
    <row r="3424" spans="2:5" x14ac:dyDescent="0.25">
      <c r="B3424" s="8">
        <v>41018</v>
      </c>
      <c r="C3424" s="6">
        <f ca="1">IF(OR($C$7="",$B3424&gt;NOW()),"",IF(INDEX(Data!$A:$G,MATCH($B3424,Data!$A:$A,0),MATCH($C$7,Data!$4:$4,0))="","",INDEX(Data!$A:$G,MATCH($B3424,Data!$A:$A,0),MATCH($C$7,Data!$4:$4,0))))</f>
        <v>56.8</v>
      </c>
      <c r="D3424" s="148">
        <f t="shared" ca="1" si="112"/>
        <v>8.2000000000000028</v>
      </c>
      <c r="E3424" s="148">
        <f t="shared" ca="1" si="113"/>
        <v>0</v>
      </c>
    </row>
    <row r="3425" spans="2:5" x14ac:dyDescent="0.25">
      <c r="B3425" s="8">
        <v>41019</v>
      </c>
      <c r="C3425" s="6">
        <f ca="1">IF(OR($C$7="",$B3425&gt;NOW()),"",IF(INDEX(Data!$A:$G,MATCH($B3425,Data!$A:$A,0),MATCH($C$7,Data!$4:$4,0))="","",INDEX(Data!$A:$G,MATCH($B3425,Data!$A:$A,0),MATCH($C$7,Data!$4:$4,0))))</f>
        <v>61.1</v>
      </c>
      <c r="D3425" s="148">
        <f t="shared" ca="1" si="112"/>
        <v>3.8999999999999986</v>
      </c>
      <c r="E3425" s="148">
        <f t="shared" ca="1" si="113"/>
        <v>0</v>
      </c>
    </row>
    <row r="3426" spans="2:5" x14ac:dyDescent="0.25">
      <c r="B3426" s="8">
        <v>41020</v>
      </c>
      <c r="C3426" s="6">
        <f ca="1">IF(OR($C$7="",$B3426&gt;NOW()),"",IF(INDEX(Data!$A:$G,MATCH($B3426,Data!$A:$A,0),MATCH($C$7,Data!$4:$4,0))="","",INDEX(Data!$A:$G,MATCH($B3426,Data!$A:$A,0),MATCH($C$7,Data!$4:$4,0))))</f>
        <v>62</v>
      </c>
      <c r="D3426" s="148">
        <f t="shared" ca="1" si="112"/>
        <v>3</v>
      </c>
      <c r="E3426" s="148">
        <f t="shared" ca="1" si="113"/>
        <v>0</v>
      </c>
    </row>
    <row r="3427" spans="2:5" x14ac:dyDescent="0.25">
      <c r="B3427" s="8">
        <v>41021</v>
      </c>
      <c r="C3427" s="6">
        <f ca="1">IF(OR($C$7="",$B3427&gt;NOW()),"",IF(INDEX(Data!$A:$G,MATCH($B3427,Data!$A:$A,0),MATCH($C$7,Data!$4:$4,0))="","",INDEX(Data!$A:$G,MATCH($B3427,Data!$A:$A,0),MATCH($C$7,Data!$4:$4,0))))</f>
        <v>52.6</v>
      </c>
      <c r="D3427" s="148">
        <f t="shared" ca="1" si="112"/>
        <v>12.399999999999999</v>
      </c>
      <c r="E3427" s="148">
        <f t="shared" ca="1" si="113"/>
        <v>0</v>
      </c>
    </row>
    <row r="3428" spans="2:5" x14ac:dyDescent="0.25">
      <c r="B3428" s="8">
        <v>41022</v>
      </c>
      <c r="C3428" s="6">
        <f ca="1">IF(OR($C$7="",$B3428&gt;NOW()),"",IF(INDEX(Data!$A:$G,MATCH($B3428,Data!$A:$A,0),MATCH($C$7,Data!$4:$4,0))="","",INDEX(Data!$A:$G,MATCH($B3428,Data!$A:$A,0),MATCH($C$7,Data!$4:$4,0))))</f>
        <v>51.3</v>
      </c>
      <c r="D3428" s="148">
        <f t="shared" ca="1" si="112"/>
        <v>13.700000000000003</v>
      </c>
      <c r="E3428" s="148">
        <f t="shared" ca="1" si="113"/>
        <v>0</v>
      </c>
    </row>
    <row r="3429" spans="2:5" x14ac:dyDescent="0.25">
      <c r="B3429" s="8">
        <v>41023</v>
      </c>
      <c r="C3429" s="6">
        <f ca="1">IF(OR($C$7="",$B3429&gt;NOW()),"",IF(INDEX(Data!$A:$G,MATCH($B3429,Data!$A:$A,0),MATCH($C$7,Data!$4:$4,0))="","",INDEX(Data!$A:$G,MATCH($B3429,Data!$A:$A,0),MATCH($C$7,Data!$4:$4,0))))</f>
        <v>49.7</v>
      </c>
      <c r="D3429" s="148">
        <f t="shared" ca="1" si="112"/>
        <v>15.299999999999997</v>
      </c>
      <c r="E3429" s="148">
        <f t="shared" ca="1" si="113"/>
        <v>0</v>
      </c>
    </row>
    <row r="3430" spans="2:5" x14ac:dyDescent="0.25">
      <c r="B3430" s="8">
        <v>41024</v>
      </c>
      <c r="C3430" s="6">
        <f ca="1">IF(OR($C$7="",$B3430&gt;NOW()),"",IF(INDEX(Data!$A:$G,MATCH($B3430,Data!$A:$A,0),MATCH($C$7,Data!$4:$4,0))="","",INDEX(Data!$A:$G,MATCH($B3430,Data!$A:$A,0),MATCH($C$7,Data!$4:$4,0))))</f>
        <v>54.6</v>
      </c>
      <c r="D3430" s="148">
        <f t="shared" ca="1" si="112"/>
        <v>10.399999999999999</v>
      </c>
      <c r="E3430" s="148">
        <f t="shared" ca="1" si="113"/>
        <v>0</v>
      </c>
    </row>
    <row r="3431" spans="2:5" x14ac:dyDescent="0.25">
      <c r="B3431" s="8">
        <v>41025</v>
      </c>
      <c r="C3431" s="6">
        <f ca="1">IF(OR($C$7="",$B3431&gt;NOW()),"",IF(INDEX(Data!$A:$G,MATCH($B3431,Data!$A:$A,0),MATCH($C$7,Data!$4:$4,0))="","",INDEX(Data!$A:$G,MATCH($B3431,Data!$A:$A,0),MATCH($C$7,Data!$4:$4,0))))</f>
        <v>53.7</v>
      </c>
      <c r="D3431" s="148">
        <f t="shared" ca="1" si="112"/>
        <v>11.299999999999997</v>
      </c>
      <c r="E3431" s="148">
        <f t="shared" ca="1" si="113"/>
        <v>0</v>
      </c>
    </row>
    <row r="3432" spans="2:5" x14ac:dyDescent="0.25">
      <c r="B3432" s="8">
        <v>41026</v>
      </c>
      <c r="C3432" s="6">
        <f ca="1">IF(OR($C$7="",$B3432&gt;NOW()),"",IF(INDEX(Data!$A:$G,MATCH($B3432,Data!$A:$A,0),MATCH($C$7,Data!$4:$4,0))="","",INDEX(Data!$A:$G,MATCH($B3432,Data!$A:$A,0),MATCH($C$7,Data!$4:$4,0))))</f>
        <v>51.4</v>
      </c>
      <c r="D3432" s="148">
        <f t="shared" ca="1" si="112"/>
        <v>13.600000000000001</v>
      </c>
      <c r="E3432" s="148">
        <f t="shared" ca="1" si="113"/>
        <v>0</v>
      </c>
    </row>
    <row r="3433" spans="2:5" x14ac:dyDescent="0.25">
      <c r="B3433" s="8">
        <v>41027</v>
      </c>
      <c r="C3433" s="6">
        <f ca="1">IF(OR($C$7="",$B3433&gt;NOW()),"",IF(INDEX(Data!$A:$G,MATCH($B3433,Data!$A:$A,0),MATCH($C$7,Data!$4:$4,0))="","",INDEX(Data!$A:$G,MATCH($B3433,Data!$A:$A,0),MATCH($C$7,Data!$4:$4,0))))</f>
        <v>47.9</v>
      </c>
      <c r="D3433" s="148">
        <f t="shared" ca="1" si="112"/>
        <v>17.100000000000001</v>
      </c>
      <c r="E3433" s="148">
        <f t="shared" ca="1" si="113"/>
        <v>0</v>
      </c>
    </row>
    <row r="3434" spans="2:5" x14ac:dyDescent="0.25">
      <c r="B3434" s="8">
        <v>41028</v>
      </c>
      <c r="C3434" s="6">
        <f ca="1">IF(OR($C$7="",$B3434&gt;NOW()),"",IF(INDEX(Data!$A:$G,MATCH($B3434,Data!$A:$A,0),MATCH($C$7,Data!$4:$4,0))="","",INDEX(Data!$A:$G,MATCH($B3434,Data!$A:$A,0),MATCH($C$7,Data!$4:$4,0))))</f>
        <v>54.7</v>
      </c>
      <c r="D3434" s="148">
        <f t="shared" ca="1" si="112"/>
        <v>10.299999999999997</v>
      </c>
      <c r="E3434" s="148">
        <f t="shared" ca="1" si="113"/>
        <v>0</v>
      </c>
    </row>
    <row r="3435" spans="2:5" x14ac:dyDescent="0.25">
      <c r="B3435" s="8">
        <v>41029</v>
      </c>
      <c r="C3435" s="6">
        <f ca="1">IF(OR($C$7="",$B3435&gt;NOW()),"",IF(INDEX(Data!$A:$G,MATCH($B3435,Data!$A:$A,0),MATCH($C$7,Data!$4:$4,0))="","",INDEX(Data!$A:$G,MATCH($B3435,Data!$A:$A,0),MATCH($C$7,Data!$4:$4,0))))</f>
        <v>53</v>
      </c>
      <c r="D3435" s="148">
        <f t="shared" ca="1" si="112"/>
        <v>12</v>
      </c>
      <c r="E3435" s="148">
        <f t="shared" ca="1" si="113"/>
        <v>0</v>
      </c>
    </row>
    <row r="3436" spans="2:5" x14ac:dyDescent="0.25">
      <c r="B3436" s="8">
        <v>41030</v>
      </c>
      <c r="C3436" s="6">
        <f ca="1">IF(OR($C$7="",$B3436&gt;NOW()),"",IF(INDEX(Data!$A:$G,MATCH($B3436,Data!$A:$A,0),MATCH($C$7,Data!$4:$4,0))="","",INDEX(Data!$A:$G,MATCH($B3436,Data!$A:$A,0),MATCH($C$7,Data!$4:$4,0))))</f>
        <v>57.2</v>
      </c>
      <c r="D3436" s="148">
        <f t="shared" ca="1" si="112"/>
        <v>7.7999999999999972</v>
      </c>
      <c r="E3436" s="148">
        <f t="shared" ca="1" si="113"/>
        <v>0</v>
      </c>
    </row>
    <row r="3437" spans="2:5" x14ac:dyDescent="0.25">
      <c r="B3437" s="8">
        <v>41031</v>
      </c>
      <c r="C3437" s="6">
        <f ca="1">IF(OR($C$7="",$B3437&gt;NOW()),"",IF(INDEX(Data!$A:$G,MATCH($B3437,Data!$A:$A,0),MATCH($C$7,Data!$4:$4,0))="","",INDEX(Data!$A:$G,MATCH($B3437,Data!$A:$A,0),MATCH($C$7,Data!$4:$4,0))))</f>
        <v>53.6</v>
      </c>
      <c r="D3437" s="148">
        <f t="shared" ca="1" si="112"/>
        <v>11.399999999999999</v>
      </c>
      <c r="E3437" s="148">
        <f t="shared" ca="1" si="113"/>
        <v>0</v>
      </c>
    </row>
    <row r="3438" spans="2:5" x14ac:dyDescent="0.25">
      <c r="B3438" s="8">
        <v>41032</v>
      </c>
      <c r="C3438" s="6">
        <f ca="1">IF(OR($C$7="",$B3438&gt;NOW()),"",IF(INDEX(Data!$A:$G,MATCH($B3438,Data!$A:$A,0),MATCH($C$7,Data!$4:$4,0))="","",INDEX(Data!$A:$G,MATCH($B3438,Data!$A:$A,0),MATCH($C$7,Data!$4:$4,0))))</f>
        <v>54.3</v>
      </c>
      <c r="D3438" s="148">
        <f t="shared" ca="1" si="112"/>
        <v>10.700000000000003</v>
      </c>
      <c r="E3438" s="148">
        <f t="shared" ca="1" si="113"/>
        <v>0</v>
      </c>
    </row>
    <row r="3439" spans="2:5" x14ac:dyDescent="0.25">
      <c r="B3439" s="8">
        <v>41033</v>
      </c>
      <c r="C3439" s="6">
        <f ca="1">IF(OR($C$7="",$B3439&gt;NOW()),"",IF(INDEX(Data!$A:$G,MATCH($B3439,Data!$A:$A,0),MATCH($C$7,Data!$4:$4,0))="","",INDEX(Data!$A:$G,MATCH($B3439,Data!$A:$A,0),MATCH($C$7,Data!$4:$4,0))))</f>
        <v>60</v>
      </c>
      <c r="D3439" s="148">
        <f t="shared" ca="1" si="112"/>
        <v>5</v>
      </c>
      <c r="E3439" s="148">
        <f t="shared" ca="1" si="113"/>
        <v>0</v>
      </c>
    </row>
    <row r="3440" spans="2:5" x14ac:dyDescent="0.25">
      <c r="B3440" s="8">
        <v>41034</v>
      </c>
      <c r="C3440" s="6">
        <f ca="1">IF(OR($C$7="",$B3440&gt;NOW()),"",IF(INDEX(Data!$A:$G,MATCH($B3440,Data!$A:$A,0),MATCH($C$7,Data!$4:$4,0))="","",INDEX(Data!$A:$G,MATCH($B3440,Data!$A:$A,0),MATCH($C$7,Data!$4:$4,0))))</f>
        <v>57.9</v>
      </c>
      <c r="D3440" s="148">
        <f t="shared" ca="1" si="112"/>
        <v>7.1000000000000014</v>
      </c>
      <c r="E3440" s="148">
        <f t="shared" ca="1" si="113"/>
        <v>0</v>
      </c>
    </row>
    <row r="3441" spans="2:5" x14ac:dyDescent="0.25">
      <c r="B3441" s="8">
        <v>41035</v>
      </c>
      <c r="C3441" s="6">
        <f ca="1">IF(OR($C$7="",$B3441&gt;NOW()),"",IF(INDEX(Data!$A:$G,MATCH($B3441,Data!$A:$A,0),MATCH($C$7,Data!$4:$4,0))="","",INDEX(Data!$A:$G,MATCH($B3441,Data!$A:$A,0),MATCH($C$7,Data!$4:$4,0))))</f>
        <v>58.5</v>
      </c>
      <c r="D3441" s="148">
        <f t="shared" ca="1" si="112"/>
        <v>6.5</v>
      </c>
      <c r="E3441" s="148">
        <f t="shared" ca="1" si="113"/>
        <v>0</v>
      </c>
    </row>
    <row r="3442" spans="2:5" x14ac:dyDescent="0.25">
      <c r="B3442" s="8">
        <v>41036</v>
      </c>
      <c r="C3442" s="6">
        <f ca="1">IF(OR($C$7="",$B3442&gt;NOW()),"",IF(INDEX(Data!$A:$G,MATCH($B3442,Data!$A:$A,0),MATCH($C$7,Data!$4:$4,0))="","",INDEX(Data!$A:$G,MATCH($B3442,Data!$A:$A,0),MATCH($C$7,Data!$4:$4,0))))</f>
        <v>57.5</v>
      </c>
      <c r="D3442" s="148">
        <f t="shared" ca="1" si="112"/>
        <v>7.5</v>
      </c>
      <c r="E3442" s="148">
        <f t="shared" ca="1" si="113"/>
        <v>0</v>
      </c>
    </row>
    <row r="3443" spans="2:5" x14ac:dyDescent="0.25">
      <c r="B3443" s="8">
        <v>41037</v>
      </c>
      <c r="C3443" s="6">
        <f ca="1">IF(OR($C$7="",$B3443&gt;NOW()),"",IF(INDEX(Data!$A:$G,MATCH($B3443,Data!$A:$A,0),MATCH($C$7,Data!$4:$4,0))="","",INDEX(Data!$A:$G,MATCH($B3443,Data!$A:$A,0),MATCH($C$7,Data!$4:$4,0))))</f>
        <v>58.9</v>
      </c>
      <c r="D3443" s="148">
        <f t="shared" ca="1" si="112"/>
        <v>6.1000000000000014</v>
      </c>
      <c r="E3443" s="148">
        <f t="shared" ca="1" si="113"/>
        <v>0</v>
      </c>
    </row>
    <row r="3444" spans="2:5" x14ac:dyDescent="0.25">
      <c r="B3444" s="8">
        <v>41038</v>
      </c>
      <c r="C3444" s="6">
        <f ca="1">IF(OR($C$7="",$B3444&gt;NOW()),"",IF(INDEX(Data!$A:$G,MATCH($B3444,Data!$A:$A,0),MATCH($C$7,Data!$4:$4,0))="","",INDEX(Data!$A:$G,MATCH($B3444,Data!$A:$A,0),MATCH($C$7,Data!$4:$4,0))))</f>
        <v>62.3</v>
      </c>
      <c r="D3444" s="148">
        <f t="shared" ca="1" si="112"/>
        <v>2.7000000000000028</v>
      </c>
      <c r="E3444" s="148">
        <f t="shared" ca="1" si="113"/>
        <v>0</v>
      </c>
    </row>
    <row r="3445" spans="2:5" x14ac:dyDescent="0.25">
      <c r="B3445" s="8">
        <v>41039</v>
      </c>
      <c r="C3445" s="6">
        <f ca="1">IF(OR($C$7="",$B3445&gt;NOW()),"",IF(INDEX(Data!$A:$G,MATCH($B3445,Data!$A:$A,0),MATCH($C$7,Data!$4:$4,0))="","",INDEX(Data!$A:$G,MATCH($B3445,Data!$A:$A,0),MATCH($C$7,Data!$4:$4,0))))</f>
        <v>60.7</v>
      </c>
      <c r="D3445" s="148">
        <f t="shared" ca="1" si="112"/>
        <v>4.2999999999999972</v>
      </c>
      <c r="E3445" s="148">
        <f t="shared" ca="1" si="113"/>
        <v>0</v>
      </c>
    </row>
    <row r="3446" spans="2:5" x14ac:dyDescent="0.25">
      <c r="B3446" s="8">
        <v>41040</v>
      </c>
      <c r="C3446" s="6">
        <f ca="1">IF(OR($C$7="",$B3446&gt;NOW()),"",IF(INDEX(Data!$A:$G,MATCH($B3446,Data!$A:$A,0),MATCH($C$7,Data!$4:$4,0))="","",INDEX(Data!$A:$G,MATCH($B3446,Data!$A:$A,0),MATCH($C$7,Data!$4:$4,0))))</f>
        <v>59.5</v>
      </c>
      <c r="D3446" s="148">
        <f t="shared" ca="1" si="112"/>
        <v>5.5</v>
      </c>
      <c r="E3446" s="148">
        <f t="shared" ca="1" si="113"/>
        <v>0</v>
      </c>
    </row>
    <row r="3447" spans="2:5" x14ac:dyDescent="0.25">
      <c r="B3447" s="8">
        <v>41041</v>
      </c>
      <c r="C3447" s="6">
        <f ca="1">IF(OR($C$7="",$B3447&gt;NOW()),"",IF(INDEX(Data!$A:$G,MATCH($B3447,Data!$A:$A,0),MATCH($C$7,Data!$4:$4,0))="","",INDEX(Data!$A:$G,MATCH($B3447,Data!$A:$A,0),MATCH($C$7,Data!$4:$4,0))))</f>
        <v>66.8</v>
      </c>
      <c r="D3447" s="148">
        <f t="shared" ca="1" si="112"/>
        <v>0</v>
      </c>
      <c r="E3447" s="148">
        <f t="shared" ca="1" si="113"/>
        <v>1.7999999999999972</v>
      </c>
    </row>
    <row r="3448" spans="2:5" x14ac:dyDescent="0.25">
      <c r="B3448" s="8">
        <v>41042</v>
      </c>
      <c r="C3448" s="6">
        <f ca="1">IF(OR($C$7="",$B3448&gt;NOW()),"",IF(INDEX(Data!$A:$G,MATCH($B3448,Data!$A:$A,0),MATCH($C$7,Data!$4:$4,0))="","",INDEX(Data!$A:$G,MATCH($B3448,Data!$A:$A,0),MATCH($C$7,Data!$4:$4,0))))</f>
        <v>72.7</v>
      </c>
      <c r="D3448" s="148">
        <f t="shared" ca="1" si="112"/>
        <v>0</v>
      </c>
      <c r="E3448" s="148">
        <f t="shared" ca="1" si="113"/>
        <v>7.7000000000000028</v>
      </c>
    </row>
    <row r="3449" spans="2:5" x14ac:dyDescent="0.25">
      <c r="B3449" s="8">
        <v>41043</v>
      </c>
      <c r="C3449" s="6">
        <f ca="1">IF(OR($C$7="",$B3449&gt;NOW()),"",IF(INDEX(Data!$A:$G,MATCH($B3449,Data!$A:$A,0),MATCH($C$7,Data!$4:$4,0))="","",INDEX(Data!$A:$G,MATCH($B3449,Data!$A:$A,0),MATCH($C$7,Data!$4:$4,0))))</f>
        <v>69.5</v>
      </c>
      <c r="D3449" s="148">
        <f t="shared" ca="1" si="112"/>
        <v>0</v>
      </c>
      <c r="E3449" s="148">
        <f t="shared" ca="1" si="113"/>
        <v>4.5</v>
      </c>
    </row>
    <row r="3450" spans="2:5" x14ac:dyDescent="0.25">
      <c r="B3450" s="8">
        <v>41044</v>
      </c>
      <c r="C3450" s="6">
        <f ca="1">IF(OR($C$7="",$B3450&gt;NOW()),"",IF(INDEX(Data!$A:$G,MATCH($B3450,Data!$A:$A,0),MATCH($C$7,Data!$4:$4,0))="","",INDEX(Data!$A:$G,MATCH($B3450,Data!$A:$A,0),MATCH($C$7,Data!$4:$4,0))))</f>
        <v>63.9</v>
      </c>
      <c r="D3450" s="148">
        <f t="shared" ca="1" si="112"/>
        <v>1.1000000000000014</v>
      </c>
      <c r="E3450" s="148">
        <f t="shared" ca="1" si="113"/>
        <v>0</v>
      </c>
    </row>
    <row r="3451" spans="2:5" x14ac:dyDescent="0.25">
      <c r="B3451" s="8">
        <v>41045</v>
      </c>
      <c r="C3451" s="6">
        <f ca="1">IF(OR($C$7="",$B3451&gt;NOW()),"",IF(INDEX(Data!$A:$G,MATCH($B3451,Data!$A:$A,0),MATCH($C$7,Data!$4:$4,0))="","",INDEX(Data!$A:$G,MATCH($B3451,Data!$A:$A,0),MATCH($C$7,Data!$4:$4,0))))</f>
        <v>66.099999999999994</v>
      </c>
      <c r="D3451" s="148">
        <f t="shared" ca="1" si="112"/>
        <v>0</v>
      </c>
      <c r="E3451" s="148">
        <f t="shared" ca="1" si="113"/>
        <v>1.0999999999999943</v>
      </c>
    </row>
    <row r="3452" spans="2:5" x14ac:dyDescent="0.25">
      <c r="B3452" s="8">
        <v>41046</v>
      </c>
      <c r="C3452" s="6">
        <f ca="1">IF(OR($C$7="",$B3452&gt;NOW()),"",IF(INDEX(Data!$A:$G,MATCH($B3452,Data!$A:$A,0),MATCH($C$7,Data!$4:$4,0))="","",INDEX(Data!$A:$G,MATCH($B3452,Data!$A:$A,0),MATCH($C$7,Data!$4:$4,0))))</f>
        <v>65.7</v>
      </c>
      <c r="D3452" s="148">
        <f t="shared" ca="1" si="112"/>
        <v>0</v>
      </c>
      <c r="E3452" s="148">
        <f t="shared" ca="1" si="113"/>
        <v>0.70000000000000284</v>
      </c>
    </row>
    <row r="3453" spans="2:5" x14ac:dyDescent="0.25">
      <c r="B3453" s="8">
        <v>41047</v>
      </c>
      <c r="C3453" s="6">
        <f ca="1">IF(OR($C$7="",$B3453&gt;NOW()),"",IF(INDEX(Data!$A:$G,MATCH($B3453,Data!$A:$A,0),MATCH($C$7,Data!$4:$4,0))="","",INDEX(Data!$A:$G,MATCH($B3453,Data!$A:$A,0),MATCH($C$7,Data!$4:$4,0))))</f>
        <v>63.1</v>
      </c>
      <c r="D3453" s="148">
        <f t="shared" ca="1" si="112"/>
        <v>1.8999999999999986</v>
      </c>
      <c r="E3453" s="148">
        <f t="shared" ca="1" si="113"/>
        <v>0</v>
      </c>
    </row>
    <row r="3454" spans="2:5" x14ac:dyDescent="0.25">
      <c r="B3454" s="8">
        <v>41048</v>
      </c>
      <c r="C3454" s="6">
        <f ca="1">IF(OR($C$7="",$B3454&gt;NOW()),"",IF(INDEX(Data!$A:$G,MATCH($B3454,Data!$A:$A,0),MATCH($C$7,Data!$4:$4,0))="","",INDEX(Data!$A:$G,MATCH($B3454,Data!$A:$A,0),MATCH($C$7,Data!$4:$4,0))))</f>
        <v>65.3</v>
      </c>
      <c r="D3454" s="148">
        <f t="shared" ca="1" si="112"/>
        <v>0</v>
      </c>
      <c r="E3454" s="148">
        <f t="shared" ca="1" si="113"/>
        <v>0.29999999999999716</v>
      </c>
    </row>
    <row r="3455" spans="2:5" x14ac:dyDescent="0.25">
      <c r="B3455" s="8">
        <v>41049</v>
      </c>
      <c r="C3455" s="6">
        <f ca="1">IF(OR($C$7="",$B3455&gt;NOW()),"",IF(INDEX(Data!$A:$G,MATCH($B3455,Data!$A:$A,0),MATCH($C$7,Data!$4:$4,0))="","",INDEX(Data!$A:$G,MATCH($B3455,Data!$A:$A,0),MATCH($C$7,Data!$4:$4,0))))</f>
        <v>65.900000000000006</v>
      </c>
      <c r="D3455" s="148">
        <f t="shared" ca="1" si="112"/>
        <v>0</v>
      </c>
      <c r="E3455" s="148">
        <f t="shared" ca="1" si="113"/>
        <v>0.90000000000000568</v>
      </c>
    </row>
    <row r="3456" spans="2:5" x14ac:dyDescent="0.25">
      <c r="B3456" s="8">
        <v>41050</v>
      </c>
      <c r="C3456" s="6">
        <f ca="1">IF(OR($C$7="",$B3456&gt;NOW()),"",IF(INDEX(Data!$A:$G,MATCH($B3456,Data!$A:$A,0),MATCH($C$7,Data!$4:$4,0))="","",INDEX(Data!$A:$G,MATCH($B3456,Data!$A:$A,0),MATCH($C$7,Data!$4:$4,0))))</f>
        <v>60.4</v>
      </c>
      <c r="D3456" s="148">
        <f t="shared" ca="1" si="112"/>
        <v>4.6000000000000014</v>
      </c>
      <c r="E3456" s="148">
        <f t="shared" ca="1" si="113"/>
        <v>0</v>
      </c>
    </row>
    <row r="3457" spans="2:5" x14ac:dyDescent="0.25">
      <c r="B3457" s="8">
        <v>41051</v>
      </c>
      <c r="C3457" s="6">
        <f ca="1">IF(OR($C$7="",$B3457&gt;NOW()),"",IF(INDEX(Data!$A:$G,MATCH($B3457,Data!$A:$A,0),MATCH($C$7,Data!$4:$4,0))="","",INDEX(Data!$A:$G,MATCH($B3457,Data!$A:$A,0),MATCH($C$7,Data!$4:$4,0))))</f>
        <v>62.7</v>
      </c>
      <c r="D3457" s="148">
        <f t="shared" ca="1" si="112"/>
        <v>2.2999999999999972</v>
      </c>
      <c r="E3457" s="148">
        <f t="shared" ca="1" si="113"/>
        <v>0</v>
      </c>
    </row>
    <row r="3458" spans="2:5" x14ac:dyDescent="0.25">
      <c r="B3458" s="8">
        <v>41052</v>
      </c>
      <c r="C3458" s="6">
        <f ca="1">IF(OR($C$7="",$B3458&gt;NOW()),"",IF(INDEX(Data!$A:$G,MATCH($B3458,Data!$A:$A,0),MATCH($C$7,Data!$4:$4,0))="","",INDEX(Data!$A:$G,MATCH($B3458,Data!$A:$A,0),MATCH($C$7,Data!$4:$4,0))))</f>
        <v>68.3</v>
      </c>
      <c r="D3458" s="148">
        <f t="shared" ca="1" si="112"/>
        <v>0</v>
      </c>
      <c r="E3458" s="148">
        <f t="shared" ca="1" si="113"/>
        <v>3.2999999999999972</v>
      </c>
    </row>
    <row r="3459" spans="2:5" x14ac:dyDescent="0.25">
      <c r="B3459" s="8">
        <v>41053</v>
      </c>
      <c r="C3459" s="6">
        <f ca="1">IF(OR($C$7="",$B3459&gt;NOW()),"",IF(INDEX(Data!$A:$G,MATCH($B3459,Data!$A:$A,0),MATCH($C$7,Data!$4:$4,0))="","",INDEX(Data!$A:$G,MATCH($B3459,Data!$A:$A,0),MATCH($C$7,Data!$4:$4,0))))</f>
        <v>65.2</v>
      </c>
      <c r="D3459" s="148">
        <f t="shared" ca="1" si="112"/>
        <v>0</v>
      </c>
      <c r="E3459" s="148">
        <f t="shared" ca="1" si="113"/>
        <v>0.20000000000000284</v>
      </c>
    </row>
    <row r="3460" spans="2:5" x14ac:dyDescent="0.25">
      <c r="B3460" s="8">
        <v>41054</v>
      </c>
      <c r="C3460" s="6">
        <f ca="1">IF(OR($C$7="",$B3460&gt;NOW()),"",IF(INDEX(Data!$A:$G,MATCH($B3460,Data!$A:$A,0),MATCH($C$7,Data!$4:$4,0))="","",INDEX(Data!$A:$G,MATCH($B3460,Data!$A:$A,0),MATCH($C$7,Data!$4:$4,0))))</f>
        <v>63.4</v>
      </c>
      <c r="D3460" s="148">
        <f t="shared" ca="1" si="112"/>
        <v>1.6000000000000014</v>
      </c>
      <c r="E3460" s="148">
        <f t="shared" ca="1" si="113"/>
        <v>0</v>
      </c>
    </row>
    <row r="3461" spans="2:5" x14ac:dyDescent="0.25">
      <c r="B3461" s="8">
        <v>41055</v>
      </c>
      <c r="C3461" s="6">
        <f ca="1">IF(OR($C$7="",$B3461&gt;NOW()),"",IF(INDEX(Data!$A:$G,MATCH($B3461,Data!$A:$A,0),MATCH($C$7,Data!$4:$4,0))="","",INDEX(Data!$A:$G,MATCH($B3461,Data!$A:$A,0),MATCH($C$7,Data!$4:$4,0))))</f>
        <v>73.3</v>
      </c>
      <c r="D3461" s="148">
        <f t="shared" ca="1" si="112"/>
        <v>0</v>
      </c>
      <c r="E3461" s="148">
        <f t="shared" ca="1" si="113"/>
        <v>8.2999999999999972</v>
      </c>
    </row>
    <row r="3462" spans="2:5" x14ac:dyDescent="0.25">
      <c r="B3462" s="8">
        <v>41056</v>
      </c>
      <c r="C3462" s="6">
        <f ca="1">IF(OR($C$7="",$B3462&gt;NOW()),"",IF(INDEX(Data!$A:$G,MATCH($B3462,Data!$A:$A,0),MATCH($C$7,Data!$4:$4,0))="","",INDEX(Data!$A:$G,MATCH($B3462,Data!$A:$A,0),MATCH($C$7,Data!$4:$4,0))))</f>
        <v>74.5</v>
      </c>
      <c r="D3462" s="148">
        <f t="shared" ca="1" si="112"/>
        <v>0</v>
      </c>
      <c r="E3462" s="148">
        <f t="shared" ca="1" si="113"/>
        <v>9.5</v>
      </c>
    </row>
    <row r="3463" spans="2:5" x14ac:dyDescent="0.25">
      <c r="B3463" s="8">
        <v>41057</v>
      </c>
      <c r="C3463" s="6">
        <f ca="1">IF(OR($C$7="",$B3463&gt;NOW()),"",IF(INDEX(Data!$A:$G,MATCH($B3463,Data!$A:$A,0),MATCH($C$7,Data!$4:$4,0))="","",INDEX(Data!$A:$G,MATCH($B3463,Data!$A:$A,0),MATCH($C$7,Data!$4:$4,0))))</f>
        <v>78.099999999999994</v>
      </c>
      <c r="D3463" s="148">
        <f t="shared" ca="1" si="112"/>
        <v>0</v>
      </c>
      <c r="E3463" s="148">
        <f t="shared" ca="1" si="113"/>
        <v>13.099999999999994</v>
      </c>
    </row>
    <row r="3464" spans="2:5" x14ac:dyDescent="0.25">
      <c r="B3464" s="8">
        <v>41058</v>
      </c>
      <c r="C3464" s="6">
        <f ca="1">IF(OR($C$7="",$B3464&gt;NOW()),"",IF(INDEX(Data!$A:$G,MATCH($B3464,Data!$A:$A,0),MATCH($C$7,Data!$4:$4,0))="","",INDEX(Data!$A:$G,MATCH($B3464,Data!$A:$A,0),MATCH($C$7,Data!$4:$4,0))))</f>
        <v>82.6</v>
      </c>
      <c r="D3464" s="148">
        <f t="shared" ca="1" si="112"/>
        <v>0</v>
      </c>
      <c r="E3464" s="148">
        <f t="shared" ca="1" si="113"/>
        <v>17.599999999999994</v>
      </c>
    </row>
    <row r="3465" spans="2:5" x14ac:dyDescent="0.25">
      <c r="B3465" s="8">
        <v>41059</v>
      </c>
      <c r="C3465" s="6">
        <f ca="1">IF(OR($C$7="",$B3465&gt;NOW()),"",IF(INDEX(Data!$A:$G,MATCH($B3465,Data!$A:$A,0),MATCH($C$7,Data!$4:$4,0))="","",INDEX(Data!$A:$G,MATCH($B3465,Data!$A:$A,0),MATCH($C$7,Data!$4:$4,0))))</f>
        <v>75</v>
      </c>
      <c r="D3465" s="148">
        <f t="shared" ca="1" si="112"/>
        <v>0</v>
      </c>
      <c r="E3465" s="148">
        <f t="shared" ca="1" si="113"/>
        <v>10</v>
      </c>
    </row>
    <row r="3466" spans="2:5" x14ac:dyDescent="0.25">
      <c r="B3466" s="8">
        <v>41060</v>
      </c>
      <c r="C3466" s="6">
        <f ca="1">IF(OR($C$7="",$B3466&gt;NOW()),"",IF(INDEX(Data!$A:$G,MATCH($B3466,Data!$A:$A,0),MATCH($C$7,Data!$4:$4,0))="","",INDEX(Data!$A:$G,MATCH($B3466,Data!$A:$A,0),MATCH($C$7,Data!$4:$4,0))))</f>
        <v>73.5</v>
      </c>
      <c r="D3466" s="148">
        <f t="shared" ca="1" si="112"/>
        <v>0</v>
      </c>
      <c r="E3466" s="148">
        <f t="shared" ca="1" si="113"/>
        <v>8.5</v>
      </c>
    </row>
    <row r="3467" spans="2:5" x14ac:dyDescent="0.25">
      <c r="B3467" s="8">
        <v>41061</v>
      </c>
      <c r="C3467" s="6">
        <f ca="1">IF(OR($C$7="",$B3467&gt;NOW()),"",IF(INDEX(Data!$A:$G,MATCH($B3467,Data!$A:$A,0),MATCH($C$7,Data!$4:$4,0))="","",INDEX(Data!$A:$G,MATCH($B3467,Data!$A:$A,0),MATCH($C$7,Data!$4:$4,0))))</f>
        <v>68.2</v>
      </c>
      <c r="D3467" s="148">
        <f t="shared" ca="1" si="112"/>
        <v>0</v>
      </c>
      <c r="E3467" s="148">
        <f t="shared" ca="1" si="113"/>
        <v>3.2000000000000028</v>
      </c>
    </row>
    <row r="3468" spans="2:5" x14ac:dyDescent="0.25">
      <c r="B3468" s="8">
        <v>41062</v>
      </c>
      <c r="C3468" s="6">
        <f ca="1">IF(OR($C$7="",$B3468&gt;NOW()),"",IF(INDEX(Data!$A:$G,MATCH($B3468,Data!$A:$A,0),MATCH($C$7,Data!$4:$4,0))="","",INDEX(Data!$A:$G,MATCH($B3468,Data!$A:$A,0),MATCH($C$7,Data!$4:$4,0))))</f>
        <v>69</v>
      </c>
      <c r="D3468" s="148">
        <f t="shared" ca="1" si="112"/>
        <v>0</v>
      </c>
      <c r="E3468" s="148">
        <f t="shared" ca="1" si="113"/>
        <v>4</v>
      </c>
    </row>
    <row r="3469" spans="2:5" x14ac:dyDescent="0.25">
      <c r="B3469" s="8">
        <v>41063</v>
      </c>
      <c r="C3469" s="6">
        <f ca="1">IF(OR($C$7="",$B3469&gt;NOW()),"",IF(INDEX(Data!$A:$G,MATCH($B3469,Data!$A:$A,0),MATCH($C$7,Data!$4:$4,0))="","",INDEX(Data!$A:$G,MATCH($B3469,Data!$A:$A,0),MATCH($C$7,Data!$4:$4,0))))</f>
        <v>67.8</v>
      </c>
      <c r="D3469" s="148">
        <f t="shared" ca="1" si="112"/>
        <v>0</v>
      </c>
      <c r="E3469" s="148">
        <f t="shared" ca="1" si="113"/>
        <v>2.7999999999999972</v>
      </c>
    </row>
    <row r="3470" spans="2:5" x14ac:dyDescent="0.25">
      <c r="B3470" s="8">
        <v>41064</v>
      </c>
      <c r="C3470" s="6">
        <f ca="1">IF(OR($C$7="",$B3470&gt;NOW()),"",IF(INDEX(Data!$A:$G,MATCH($B3470,Data!$A:$A,0),MATCH($C$7,Data!$4:$4,0))="","",INDEX(Data!$A:$G,MATCH($B3470,Data!$A:$A,0),MATCH($C$7,Data!$4:$4,0))))</f>
        <v>62</v>
      </c>
      <c r="D3470" s="148">
        <f t="shared" ca="1" si="112"/>
        <v>3</v>
      </c>
      <c r="E3470" s="148">
        <f t="shared" ca="1" si="113"/>
        <v>0</v>
      </c>
    </row>
    <row r="3471" spans="2:5" x14ac:dyDescent="0.25">
      <c r="B3471" s="8">
        <v>41065</v>
      </c>
      <c r="C3471" s="6">
        <f ca="1">IF(OR($C$7="",$B3471&gt;NOW()),"",IF(INDEX(Data!$A:$G,MATCH($B3471,Data!$A:$A,0),MATCH($C$7,Data!$4:$4,0))="","",INDEX(Data!$A:$G,MATCH($B3471,Data!$A:$A,0),MATCH($C$7,Data!$4:$4,0))))</f>
        <v>58.3</v>
      </c>
      <c r="D3471" s="148">
        <f t="shared" ca="1" si="112"/>
        <v>6.7000000000000028</v>
      </c>
      <c r="E3471" s="148">
        <f t="shared" ca="1" si="113"/>
        <v>0</v>
      </c>
    </row>
    <row r="3472" spans="2:5" x14ac:dyDescent="0.25">
      <c r="B3472" s="8">
        <v>41066</v>
      </c>
      <c r="C3472" s="6">
        <f ca="1">IF(OR($C$7="",$B3472&gt;NOW()),"",IF(INDEX(Data!$A:$G,MATCH($B3472,Data!$A:$A,0),MATCH($C$7,Data!$4:$4,0))="","",INDEX(Data!$A:$G,MATCH($B3472,Data!$A:$A,0),MATCH($C$7,Data!$4:$4,0))))</f>
        <v>63.6</v>
      </c>
      <c r="D3472" s="148">
        <f t="shared" ca="1" si="112"/>
        <v>1.3999999999999986</v>
      </c>
      <c r="E3472" s="148">
        <f t="shared" ca="1" si="113"/>
        <v>0</v>
      </c>
    </row>
    <row r="3473" spans="2:5" x14ac:dyDescent="0.25">
      <c r="B3473" s="8">
        <v>41067</v>
      </c>
      <c r="C3473" s="6">
        <f ca="1">IF(OR($C$7="",$B3473&gt;NOW()),"",IF(INDEX(Data!$A:$G,MATCH($B3473,Data!$A:$A,0),MATCH($C$7,Data!$4:$4,0))="","",INDEX(Data!$A:$G,MATCH($B3473,Data!$A:$A,0),MATCH($C$7,Data!$4:$4,0))))</f>
        <v>67.5</v>
      </c>
      <c r="D3473" s="148">
        <f t="shared" ca="1" si="112"/>
        <v>0</v>
      </c>
      <c r="E3473" s="148">
        <f t="shared" ca="1" si="113"/>
        <v>2.5</v>
      </c>
    </row>
    <row r="3474" spans="2:5" x14ac:dyDescent="0.25">
      <c r="B3474" s="8">
        <v>41068</v>
      </c>
      <c r="C3474" s="6">
        <f ca="1">IF(OR($C$7="",$B3474&gt;NOW()),"",IF(INDEX(Data!$A:$G,MATCH($B3474,Data!$A:$A,0),MATCH($C$7,Data!$4:$4,0))="","",INDEX(Data!$A:$G,MATCH($B3474,Data!$A:$A,0),MATCH($C$7,Data!$4:$4,0))))</f>
        <v>71.5</v>
      </c>
      <c r="D3474" s="148">
        <f t="shared" ca="1" si="112"/>
        <v>0</v>
      </c>
      <c r="E3474" s="148">
        <f t="shared" ca="1" si="113"/>
        <v>6.5</v>
      </c>
    </row>
    <row r="3475" spans="2:5" x14ac:dyDescent="0.25">
      <c r="B3475" s="8">
        <v>41069</v>
      </c>
      <c r="C3475" s="6">
        <f ca="1">IF(OR($C$7="",$B3475&gt;NOW()),"",IF(INDEX(Data!$A:$G,MATCH($B3475,Data!$A:$A,0),MATCH($C$7,Data!$4:$4,0))="","",INDEX(Data!$A:$G,MATCH($B3475,Data!$A:$A,0),MATCH($C$7,Data!$4:$4,0))))</f>
        <v>74.400000000000006</v>
      </c>
      <c r="D3475" s="148">
        <f t="shared" ca="1" si="112"/>
        <v>0</v>
      </c>
      <c r="E3475" s="148">
        <f t="shared" ca="1" si="113"/>
        <v>9.4000000000000057</v>
      </c>
    </row>
    <row r="3476" spans="2:5" x14ac:dyDescent="0.25">
      <c r="B3476" s="8">
        <v>41070</v>
      </c>
      <c r="C3476" s="6">
        <f ca="1">IF(OR($C$7="",$B3476&gt;NOW()),"",IF(INDEX(Data!$A:$G,MATCH($B3476,Data!$A:$A,0),MATCH($C$7,Data!$4:$4,0))="","",INDEX(Data!$A:$G,MATCH($B3476,Data!$A:$A,0),MATCH($C$7,Data!$4:$4,0))))</f>
        <v>74.2</v>
      </c>
      <c r="D3476" s="148">
        <f t="shared" ca="1" si="112"/>
        <v>0</v>
      </c>
      <c r="E3476" s="148">
        <f t="shared" ca="1" si="113"/>
        <v>9.2000000000000028</v>
      </c>
    </row>
    <row r="3477" spans="2:5" x14ac:dyDescent="0.25">
      <c r="B3477" s="8">
        <v>41071</v>
      </c>
      <c r="C3477" s="6">
        <f ca="1">IF(OR($C$7="",$B3477&gt;NOW()),"",IF(INDEX(Data!$A:$G,MATCH($B3477,Data!$A:$A,0),MATCH($C$7,Data!$4:$4,0))="","",INDEX(Data!$A:$G,MATCH($B3477,Data!$A:$A,0),MATCH($C$7,Data!$4:$4,0))))</f>
        <v>71.599999999999994</v>
      </c>
      <c r="D3477" s="148">
        <f t="shared" ca="1" si="112"/>
        <v>0</v>
      </c>
      <c r="E3477" s="148">
        <f t="shared" ca="1" si="113"/>
        <v>6.5999999999999943</v>
      </c>
    </row>
    <row r="3478" spans="2:5" x14ac:dyDescent="0.25">
      <c r="B3478" s="8">
        <v>41072</v>
      </c>
      <c r="C3478" s="6">
        <f ca="1">IF(OR($C$7="",$B3478&gt;NOW()),"",IF(INDEX(Data!$A:$G,MATCH($B3478,Data!$A:$A,0),MATCH($C$7,Data!$4:$4,0))="","",INDEX(Data!$A:$G,MATCH($B3478,Data!$A:$A,0),MATCH($C$7,Data!$4:$4,0))))</f>
        <v>68.5</v>
      </c>
      <c r="D3478" s="148">
        <f t="shared" ca="1" si="112"/>
        <v>0</v>
      </c>
      <c r="E3478" s="148">
        <f t="shared" ca="1" si="113"/>
        <v>3.5</v>
      </c>
    </row>
    <row r="3479" spans="2:5" x14ac:dyDescent="0.25">
      <c r="B3479" s="8">
        <v>41073</v>
      </c>
      <c r="C3479" s="6">
        <f ca="1">IF(OR($C$7="",$B3479&gt;NOW()),"",IF(INDEX(Data!$A:$G,MATCH($B3479,Data!$A:$A,0),MATCH($C$7,Data!$4:$4,0))="","",INDEX(Data!$A:$G,MATCH($B3479,Data!$A:$A,0),MATCH($C$7,Data!$4:$4,0))))</f>
        <v>67.2</v>
      </c>
      <c r="D3479" s="148">
        <f t="shared" ca="1" si="112"/>
        <v>0</v>
      </c>
      <c r="E3479" s="148">
        <f t="shared" ca="1" si="113"/>
        <v>2.2000000000000028</v>
      </c>
    </row>
    <row r="3480" spans="2:5" x14ac:dyDescent="0.25">
      <c r="B3480" s="8">
        <v>41074</v>
      </c>
      <c r="C3480" s="6">
        <f ca="1">IF(OR($C$7="",$B3480&gt;NOW()),"",IF(INDEX(Data!$A:$G,MATCH($B3480,Data!$A:$A,0),MATCH($C$7,Data!$4:$4,0))="","",INDEX(Data!$A:$G,MATCH($B3480,Data!$A:$A,0),MATCH($C$7,Data!$4:$4,0))))</f>
        <v>69.3</v>
      </c>
      <c r="D3480" s="148">
        <f t="shared" ca="1" si="112"/>
        <v>0</v>
      </c>
      <c r="E3480" s="148">
        <f t="shared" ca="1" si="113"/>
        <v>4.2999999999999972</v>
      </c>
    </row>
    <row r="3481" spans="2:5" x14ac:dyDescent="0.25">
      <c r="B3481" s="8">
        <v>41075</v>
      </c>
      <c r="C3481" s="6">
        <f ca="1">IF(OR($C$7="",$B3481&gt;NOW()),"",IF(INDEX(Data!$A:$G,MATCH($B3481,Data!$A:$A,0),MATCH($C$7,Data!$4:$4,0))="","",INDEX(Data!$A:$G,MATCH($B3481,Data!$A:$A,0),MATCH($C$7,Data!$4:$4,0))))</f>
        <v>70.3</v>
      </c>
      <c r="D3481" s="148">
        <f t="shared" ca="1" si="112"/>
        <v>0</v>
      </c>
      <c r="E3481" s="148">
        <f t="shared" ca="1" si="113"/>
        <v>5.2999999999999972</v>
      </c>
    </row>
    <row r="3482" spans="2:5" x14ac:dyDescent="0.25">
      <c r="B3482" s="8">
        <v>41076</v>
      </c>
      <c r="C3482" s="6">
        <f ca="1">IF(OR($C$7="",$B3482&gt;NOW()),"",IF(INDEX(Data!$A:$G,MATCH($B3482,Data!$A:$A,0),MATCH($C$7,Data!$4:$4,0))="","",INDEX(Data!$A:$G,MATCH($B3482,Data!$A:$A,0),MATCH($C$7,Data!$4:$4,0))))</f>
        <v>70.2</v>
      </c>
      <c r="D3482" s="148">
        <f t="shared" ca="1" si="112"/>
        <v>0</v>
      </c>
      <c r="E3482" s="148">
        <f t="shared" ca="1" si="113"/>
        <v>5.2000000000000028</v>
      </c>
    </row>
    <row r="3483" spans="2:5" x14ac:dyDescent="0.25">
      <c r="B3483" s="8">
        <v>41077</v>
      </c>
      <c r="C3483" s="6">
        <f ca="1">IF(OR($C$7="",$B3483&gt;NOW()),"",IF(INDEX(Data!$A:$G,MATCH($B3483,Data!$A:$A,0),MATCH($C$7,Data!$4:$4,0))="","",INDEX(Data!$A:$G,MATCH($B3483,Data!$A:$A,0),MATCH($C$7,Data!$4:$4,0))))</f>
        <v>65.3</v>
      </c>
      <c r="D3483" s="148">
        <f t="shared" ca="1" si="112"/>
        <v>0</v>
      </c>
      <c r="E3483" s="148">
        <f t="shared" ca="1" si="113"/>
        <v>0.29999999999999716</v>
      </c>
    </row>
    <row r="3484" spans="2:5" x14ac:dyDescent="0.25">
      <c r="B3484" s="8">
        <v>41078</v>
      </c>
      <c r="C3484" s="6">
        <f ca="1">IF(OR($C$7="",$B3484&gt;NOW()),"",IF(INDEX(Data!$A:$G,MATCH($B3484,Data!$A:$A,0),MATCH($C$7,Data!$4:$4,0))="","",INDEX(Data!$A:$G,MATCH($B3484,Data!$A:$A,0),MATCH($C$7,Data!$4:$4,0))))</f>
        <v>63.9</v>
      </c>
      <c r="D3484" s="148">
        <f t="shared" ca="1" si="112"/>
        <v>1.1000000000000014</v>
      </c>
      <c r="E3484" s="148">
        <f t="shared" ca="1" si="113"/>
        <v>0</v>
      </c>
    </row>
    <row r="3485" spans="2:5" x14ac:dyDescent="0.25">
      <c r="B3485" s="8">
        <v>41079</v>
      </c>
      <c r="C3485" s="6">
        <f ca="1">IF(OR($C$7="",$B3485&gt;NOW()),"",IF(INDEX(Data!$A:$G,MATCH($B3485,Data!$A:$A,0),MATCH($C$7,Data!$4:$4,0))="","",INDEX(Data!$A:$G,MATCH($B3485,Data!$A:$A,0),MATCH($C$7,Data!$4:$4,0))))</f>
        <v>68.3</v>
      </c>
      <c r="D3485" s="148">
        <f t="shared" ref="D3485:D3548" ca="1" si="114">IF($C3485="","",IF($C3485&gt;$D$26,0,$D$26-$C3485))</f>
        <v>0</v>
      </c>
      <c r="E3485" s="148">
        <f t="shared" ref="E3485:E3548" ca="1" si="115">IF($C3485="","",IF($C3485&lt;$E$26,0,$C3485-$E$26))</f>
        <v>3.2999999999999972</v>
      </c>
    </row>
    <row r="3486" spans="2:5" x14ac:dyDescent="0.25">
      <c r="B3486" s="8">
        <v>41080</v>
      </c>
      <c r="C3486" s="6">
        <f ca="1">IF(OR($C$7="",$B3486&gt;NOW()),"",IF(INDEX(Data!$A:$G,MATCH($B3486,Data!$A:$A,0),MATCH($C$7,Data!$4:$4,0))="","",INDEX(Data!$A:$G,MATCH($B3486,Data!$A:$A,0),MATCH($C$7,Data!$4:$4,0))))</f>
        <v>81.400000000000006</v>
      </c>
      <c r="D3486" s="148">
        <f t="shared" ca="1" si="114"/>
        <v>0</v>
      </c>
      <c r="E3486" s="148">
        <f t="shared" ca="1" si="115"/>
        <v>16.400000000000006</v>
      </c>
    </row>
    <row r="3487" spans="2:5" x14ac:dyDescent="0.25">
      <c r="B3487" s="8">
        <v>41081</v>
      </c>
      <c r="C3487" s="6">
        <f ca="1">IF(OR($C$7="",$B3487&gt;NOW()),"",IF(INDEX(Data!$A:$G,MATCH($B3487,Data!$A:$A,0),MATCH($C$7,Data!$4:$4,0))="","",INDEX(Data!$A:$G,MATCH($B3487,Data!$A:$A,0),MATCH($C$7,Data!$4:$4,0))))</f>
        <v>89.2</v>
      </c>
      <c r="D3487" s="148">
        <f t="shared" ca="1" si="114"/>
        <v>0</v>
      </c>
      <c r="E3487" s="148">
        <f t="shared" ca="1" si="115"/>
        <v>24.200000000000003</v>
      </c>
    </row>
    <row r="3488" spans="2:5" x14ac:dyDescent="0.25">
      <c r="B3488" s="8">
        <v>41082</v>
      </c>
      <c r="C3488" s="6">
        <f ca="1">IF(OR($C$7="",$B3488&gt;NOW()),"",IF(INDEX(Data!$A:$G,MATCH($B3488,Data!$A:$A,0),MATCH($C$7,Data!$4:$4,0))="","",INDEX(Data!$A:$G,MATCH($B3488,Data!$A:$A,0),MATCH($C$7,Data!$4:$4,0))))</f>
        <v>85.1</v>
      </c>
      <c r="D3488" s="148">
        <f t="shared" ca="1" si="114"/>
        <v>0</v>
      </c>
      <c r="E3488" s="148">
        <f t="shared" ca="1" si="115"/>
        <v>20.099999999999994</v>
      </c>
    </row>
    <row r="3489" spans="2:5" x14ac:dyDescent="0.25">
      <c r="B3489" s="8">
        <v>41083</v>
      </c>
      <c r="C3489" s="6">
        <f ca="1">IF(OR($C$7="",$B3489&gt;NOW()),"",IF(INDEX(Data!$A:$G,MATCH($B3489,Data!$A:$A,0),MATCH($C$7,Data!$4:$4,0))="","",INDEX(Data!$A:$G,MATCH($B3489,Data!$A:$A,0),MATCH($C$7,Data!$4:$4,0))))</f>
        <v>76.599999999999994</v>
      </c>
      <c r="D3489" s="148">
        <f t="shared" ca="1" si="114"/>
        <v>0</v>
      </c>
      <c r="E3489" s="148">
        <f t="shared" ca="1" si="115"/>
        <v>11.599999999999994</v>
      </c>
    </row>
    <row r="3490" spans="2:5" x14ac:dyDescent="0.25">
      <c r="B3490" s="8">
        <v>41084</v>
      </c>
      <c r="C3490" s="6">
        <f ca="1">IF(OR($C$7="",$B3490&gt;NOW()),"",IF(INDEX(Data!$A:$G,MATCH($B3490,Data!$A:$A,0),MATCH($C$7,Data!$4:$4,0))="","",INDEX(Data!$A:$G,MATCH($B3490,Data!$A:$A,0),MATCH($C$7,Data!$4:$4,0))))</f>
        <v>76.900000000000006</v>
      </c>
      <c r="D3490" s="148">
        <f t="shared" ca="1" si="114"/>
        <v>0</v>
      </c>
      <c r="E3490" s="148">
        <f t="shared" ca="1" si="115"/>
        <v>11.900000000000006</v>
      </c>
    </row>
    <row r="3491" spans="2:5" x14ac:dyDescent="0.25">
      <c r="B3491" s="8">
        <v>41085</v>
      </c>
      <c r="C3491" s="6">
        <f ca="1">IF(OR($C$7="",$B3491&gt;NOW()),"",IF(INDEX(Data!$A:$G,MATCH($B3491,Data!$A:$A,0),MATCH($C$7,Data!$4:$4,0))="","",INDEX(Data!$A:$G,MATCH($B3491,Data!$A:$A,0),MATCH($C$7,Data!$4:$4,0))))</f>
        <v>71.8</v>
      </c>
      <c r="D3491" s="148">
        <f t="shared" ca="1" si="114"/>
        <v>0</v>
      </c>
      <c r="E3491" s="148">
        <f t="shared" ca="1" si="115"/>
        <v>6.7999999999999972</v>
      </c>
    </row>
    <row r="3492" spans="2:5" x14ac:dyDescent="0.25">
      <c r="B3492" s="8">
        <v>41086</v>
      </c>
      <c r="C3492" s="6">
        <f ca="1">IF(OR($C$7="",$B3492&gt;NOW()),"",IF(INDEX(Data!$A:$G,MATCH($B3492,Data!$A:$A,0),MATCH($C$7,Data!$4:$4,0))="","",INDEX(Data!$A:$G,MATCH($B3492,Data!$A:$A,0),MATCH($C$7,Data!$4:$4,0))))</f>
        <v>66.5</v>
      </c>
      <c r="D3492" s="148">
        <f t="shared" ca="1" si="114"/>
        <v>0</v>
      </c>
      <c r="E3492" s="148">
        <f t="shared" ca="1" si="115"/>
        <v>1.5</v>
      </c>
    </row>
    <row r="3493" spans="2:5" x14ac:dyDescent="0.25">
      <c r="B3493" s="8">
        <v>41087</v>
      </c>
      <c r="C3493" s="6">
        <f ca="1">IF(OR($C$7="",$B3493&gt;NOW()),"",IF(INDEX(Data!$A:$G,MATCH($B3493,Data!$A:$A,0),MATCH($C$7,Data!$4:$4,0))="","",INDEX(Data!$A:$G,MATCH($B3493,Data!$A:$A,0),MATCH($C$7,Data!$4:$4,0))))</f>
        <v>73.5</v>
      </c>
      <c r="D3493" s="148">
        <f t="shared" ca="1" si="114"/>
        <v>0</v>
      </c>
      <c r="E3493" s="148">
        <f t="shared" ca="1" si="115"/>
        <v>8.5</v>
      </c>
    </row>
    <row r="3494" spans="2:5" x14ac:dyDescent="0.25">
      <c r="B3494" s="8">
        <v>41088</v>
      </c>
      <c r="C3494" s="6">
        <f ca="1">IF(OR($C$7="",$B3494&gt;NOW()),"",IF(INDEX(Data!$A:$G,MATCH($B3494,Data!$A:$A,0),MATCH($C$7,Data!$4:$4,0))="","",INDEX(Data!$A:$G,MATCH($B3494,Data!$A:$A,0),MATCH($C$7,Data!$4:$4,0))))</f>
        <v>79.5</v>
      </c>
      <c r="D3494" s="148">
        <f t="shared" ca="1" si="114"/>
        <v>0</v>
      </c>
      <c r="E3494" s="148">
        <f t="shared" ca="1" si="115"/>
        <v>14.5</v>
      </c>
    </row>
    <row r="3495" spans="2:5" x14ac:dyDescent="0.25">
      <c r="B3495" s="8">
        <v>41089</v>
      </c>
      <c r="C3495" s="6">
        <f ca="1">IF(OR($C$7="",$B3495&gt;NOW()),"",IF(INDEX(Data!$A:$G,MATCH($B3495,Data!$A:$A,0),MATCH($C$7,Data!$4:$4,0))="","",INDEX(Data!$A:$G,MATCH($B3495,Data!$A:$A,0),MATCH($C$7,Data!$4:$4,0))))</f>
        <v>85.7</v>
      </c>
      <c r="D3495" s="148">
        <f t="shared" ca="1" si="114"/>
        <v>0</v>
      </c>
      <c r="E3495" s="148">
        <f t="shared" ca="1" si="115"/>
        <v>20.700000000000003</v>
      </c>
    </row>
    <row r="3496" spans="2:5" x14ac:dyDescent="0.25">
      <c r="B3496" s="8">
        <v>41090</v>
      </c>
      <c r="C3496" s="6">
        <f ca="1">IF(OR($C$7="",$B3496&gt;NOW()),"",IF(INDEX(Data!$A:$G,MATCH($B3496,Data!$A:$A,0),MATCH($C$7,Data!$4:$4,0))="","",INDEX(Data!$A:$G,MATCH($B3496,Data!$A:$A,0),MATCH($C$7,Data!$4:$4,0))))</f>
        <v>88.5</v>
      </c>
      <c r="D3496" s="148">
        <f t="shared" ca="1" si="114"/>
        <v>0</v>
      </c>
      <c r="E3496" s="148">
        <f t="shared" ca="1" si="115"/>
        <v>23.5</v>
      </c>
    </row>
    <row r="3497" spans="2:5" x14ac:dyDescent="0.25">
      <c r="B3497" s="8">
        <v>41091</v>
      </c>
      <c r="C3497" s="6">
        <f ca="1">IF(OR($C$7="",$B3497&gt;NOW()),"",IF(INDEX(Data!$A:$G,MATCH($B3497,Data!$A:$A,0),MATCH($C$7,Data!$4:$4,0))="","",INDEX(Data!$A:$G,MATCH($B3497,Data!$A:$A,0),MATCH($C$7,Data!$4:$4,0))))</f>
        <v>86.7</v>
      </c>
      <c r="D3497" s="148">
        <f t="shared" ca="1" si="114"/>
        <v>0</v>
      </c>
      <c r="E3497" s="148">
        <f t="shared" ca="1" si="115"/>
        <v>21.700000000000003</v>
      </c>
    </row>
    <row r="3498" spans="2:5" x14ac:dyDescent="0.25">
      <c r="B3498" s="8">
        <v>41092</v>
      </c>
      <c r="C3498" s="6">
        <f ca="1">IF(OR($C$7="",$B3498&gt;NOW()),"",IF(INDEX(Data!$A:$G,MATCH($B3498,Data!$A:$A,0),MATCH($C$7,Data!$4:$4,0))="","",INDEX(Data!$A:$G,MATCH($B3498,Data!$A:$A,0),MATCH($C$7,Data!$4:$4,0))))</f>
        <v>81.7</v>
      </c>
      <c r="D3498" s="148">
        <f t="shared" ca="1" si="114"/>
        <v>0</v>
      </c>
      <c r="E3498" s="148">
        <f t="shared" ca="1" si="115"/>
        <v>16.700000000000003</v>
      </c>
    </row>
    <row r="3499" spans="2:5" x14ac:dyDescent="0.25">
      <c r="B3499" s="8">
        <v>41093</v>
      </c>
      <c r="C3499" s="6">
        <f ca="1">IF(OR($C$7="",$B3499&gt;NOW()),"",IF(INDEX(Data!$A:$G,MATCH($B3499,Data!$A:$A,0),MATCH($C$7,Data!$4:$4,0))="","",INDEX(Data!$A:$G,MATCH($B3499,Data!$A:$A,0),MATCH($C$7,Data!$4:$4,0))))</f>
        <v>81.400000000000006</v>
      </c>
      <c r="D3499" s="148">
        <f t="shared" ca="1" si="114"/>
        <v>0</v>
      </c>
      <c r="E3499" s="148">
        <f t="shared" ca="1" si="115"/>
        <v>16.400000000000006</v>
      </c>
    </row>
    <row r="3500" spans="2:5" x14ac:dyDescent="0.25">
      <c r="B3500" s="8">
        <v>41094</v>
      </c>
      <c r="C3500" s="6">
        <f ca="1">IF(OR($C$7="",$B3500&gt;NOW()),"",IF(INDEX(Data!$A:$G,MATCH($B3500,Data!$A:$A,0),MATCH($C$7,Data!$4:$4,0))="","",INDEX(Data!$A:$G,MATCH($B3500,Data!$A:$A,0),MATCH($C$7,Data!$4:$4,0))))</f>
        <v>83.4</v>
      </c>
      <c r="D3500" s="148">
        <f t="shared" ca="1" si="114"/>
        <v>0</v>
      </c>
      <c r="E3500" s="148">
        <f t="shared" ca="1" si="115"/>
        <v>18.400000000000006</v>
      </c>
    </row>
    <row r="3501" spans="2:5" x14ac:dyDescent="0.25">
      <c r="B3501" s="8">
        <v>41095</v>
      </c>
      <c r="C3501" s="6">
        <f ca="1">IF(OR($C$7="",$B3501&gt;NOW()),"",IF(INDEX(Data!$A:$G,MATCH($B3501,Data!$A:$A,0),MATCH($C$7,Data!$4:$4,0))="","",INDEX(Data!$A:$G,MATCH($B3501,Data!$A:$A,0),MATCH($C$7,Data!$4:$4,0))))</f>
        <v>87.8</v>
      </c>
      <c r="D3501" s="148">
        <f t="shared" ca="1" si="114"/>
        <v>0</v>
      </c>
      <c r="E3501" s="148">
        <f t="shared" ca="1" si="115"/>
        <v>22.799999999999997</v>
      </c>
    </row>
    <row r="3502" spans="2:5" x14ac:dyDescent="0.25">
      <c r="B3502" s="8">
        <v>41096</v>
      </c>
      <c r="C3502" s="6">
        <f ca="1">IF(OR($C$7="",$B3502&gt;NOW()),"",IF(INDEX(Data!$A:$G,MATCH($B3502,Data!$A:$A,0),MATCH($C$7,Data!$4:$4,0))="","",INDEX(Data!$A:$G,MATCH($B3502,Data!$A:$A,0),MATCH($C$7,Data!$4:$4,0))))</f>
        <v>82.2</v>
      </c>
      <c r="D3502" s="148">
        <f t="shared" ca="1" si="114"/>
        <v>0</v>
      </c>
      <c r="E3502" s="148">
        <f t="shared" ca="1" si="115"/>
        <v>17.200000000000003</v>
      </c>
    </row>
    <row r="3503" spans="2:5" x14ac:dyDescent="0.25">
      <c r="B3503" s="8">
        <v>41097</v>
      </c>
      <c r="C3503" s="6">
        <f ca="1">IF(OR($C$7="",$B3503&gt;NOW()),"",IF(INDEX(Data!$A:$G,MATCH($B3503,Data!$A:$A,0),MATCH($C$7,Data!$4:$4,0))="","",INDEX(Data!$A:$G,MATCH($B3503,Data!$A:$A,0),MATCH($C$7,Data!$4:$4,0))))</f>
        <v>86.2</v>
      </c>
      <c r="D3503" s="148">
        <f t="shared" ca="1" si="114"/>
        <v>0</v>
      </c>
      <c r="E3503" s="148">
        <f t="shared" ca="1" si="115"/>
        <v>21.200000000000003</v>
      </c>
    </row>
    <row r="3504" spans="2:5" x14ac:dyDescent="0.25">
      <c r="B3504" s="8">
        <v>41098</v>
      </c>
      <c r="C3504" s="6">
        <f ca="1">IF(OR($C$7="",$B3504&gt;NOW()),"",IF(INDEX(Data!$A:$G,MATCH($B3504,Data!$A:$A,0),MATCH($C$7,Data!$4:$4,0))="","",INDEX(Data!$A:$G,MATCH($B3504,Data!$A:$A,0),MATCH($C$7,Data!$4:$4,0))))</f>
        <v>82.8</v>
      </c>
      <c r="D3504" s="148">
        <f t="shared" ca="1" si="114"/>
        <v>0</v>
      </c>
      <c r="E3504" s="148">
        <f t="shared" ca="1" si="115"/>
        <v>17.799999999999997</v>
      </c>
    </row>
    <row r="3505" spans="2:5" x14ac:dyDescent="0.25">
      <c r="B3505" s="8">
        <v>41099</v>
      </c>
      <c r="C3505" s="6">
        <f ca="1">IF(OR($C$7="",$B3505&gt;NOW()),"",IF(INDEX(Data!$A:$G,MATCH($B3505,Data!$A:$A,0),MATCH($C$7,Data!$4:$4,0))="","",INDEX(Data!$A:$G,MATCH($B3505,Data!$A:$A,0),MATCH($C$7,Data!$4:$4,0))))</f>
        <v>79.7</v>
      </c>
      <c r="D3505" s="148">
        <f t="shared" ca="1" si="114"/>
        <v>0</v>
      </c>
      <c r="E3505" s="148">
        <f t="shared" ca="1" si="115"/>
        <v>14.700000000000003</v>
      </c>
    </row>
    <row r="3506" spans="2:5" x14ac:dyDescent="0.25">
      <c r="B3506" s="8">
        <v>41100</v>
      </c>
      <c r="C3506" s="6">
        <f ca="1">IF(OR($C$7="",$B3506&gt;NOW()),"",IF(INDEX(Data!$A:$G,MATCH($B3506,Data!$A:$A,0),MATCH($C$7,Data!$4:$4,0))="","",INDEX(Data!$A:$G,MATCH($B3506,Data!$A:$A,0),MATCH($C$7,Data!$4:$4,0))))</f>
        <v>77.7</v>
      </c>
      <c r="D3506" s="148">
        <f t="shared" ca="1" si="114"/>
        <v>0</v>
      </c>
      <c r="E3506" s="148">
        <f t="shared" ca="1" si="115"/>
        <v>12.700000000000003</v>
      </c>
    </row>
    <row r="3507" spans="2:5" x14ac:dyDescent="0.25">
      <c r="B3507" s="8">
        <v>41101</v>
      </c>
      <c r="C3507" s="6">
        <f ca="1">IF(OR($C$7="",$B3507&gt;NOW()),"",IF(INDEX(Data!$A:$G,MATCH($B3507,Data!$A:$A,0),MATCH($C$7,Data!$4:$4,0))="","",INDEX(Data!$A:$G,MATCH($B3507,Data!$A:$A,0),MATCH($C$7,Data!$4:$4,0))))</f>
        <v>78.099999999999994</v>
      </c>
      <c r="D3507" s="148">
        <f t="shared" ca="1" si="114"/>
        <v>0</v>
      </c>
      <c r="E3507" s="148">
        <f t="shared" ca="1" si="115"/>
        <v>13.099999999999994</v>
      </c>
    </row>
    <row r="3508" spans="2:5" x14ac:dyDescent="0.25">
      <c r="B3508" s="8">
        <v>41102</v>
      </c>
      <c r="C3508" s="6">
        <f ca="1">IF(OR($C$7="",$B3508&gt;NOW()),"",IF(INDEX(Data!$A:$G,MATCH($B3508,Data!$A:$A,0),MATCH($C$7,Data!$4:$4,0))="","",INDEX(Data!$A:$G,MATCH($B3508,Data!$A:$A,0),MATCH($C$7,Data!$4:$4,0))))</f>
        <v>78.8</v>
      </c>
      <c r="D3508" s="148">
        <f t="shared" ca="1" si="114"/>
        <v>0</v>
      </c>
      <c r="E3508" s="148">
        <f t="shared" ca="1" si="115"/>
        <v>13.799999999999997</v>
      </c>
    </row>
    <row r="3509" spans="2:5" x14ac:dyDescent="0.25">
      <c r="B3509" s="8">
        <v>41103</v>
      </c>
      <c r="C3509" s="6">
        <f ca="1">IF(OR($C$7="",$B3509&gt;NOW()),"",IF(INDEX(Data!$A:$G,MATCH($B3509,Data!$A:$A,0),MATCH($C$7,Data!$4:$4,0))="","",INDEX(Data!$A:$G,MATCH($B3509,Data!$A:$A,0),MATCH($C$7,Data!$4:$4,0))))</f>
        <v>80.900000000000006</v>
      </c>
      <c r="D3509" s="148">
        <f t="shared" ca="1" si="114"/>
        <v>0</v>
      </c>
      <c r="E3509" s="148">
        <f t="shared" ca="1" si="115"/>
        <v>15.900000000000006</v>
      </c>
    </row>
    <row r="3510" spans="2:5" x14ac:dyDescent="0.25">
      <c r="B3510" s="8">
        <v>41104</v>
      </c>
      <c r="C3510" s="6">
        <f ca="1">IF(OR($C$7="",$B3510&gt;NOW()),"",IF(INDEX(Data!$A:$G,MATCH($B3510,Data!$A:$A,0),MATCH($C$7,Data!$4:$4,0))="","",INDEX(Data!$A:$G,MATCH($B3510,Data!$A:$A,0),MATCH($C$7,Data!$4:$4,0))))</f>
        <v>80.7</v>
      </c>
      <c r="D3510" s="148">
        <f t="shared" ca="1" si="114"/>
        <v>0</v>
      </c>
      <c r="E3510" s="148">
        <f t="shared" ca="1" si="115"/>
        <v>15.700000000000003</v>
      </c>
    </row>
    <row r="3511" spans="2:5" x14ac:dyDescent="0.25">
      <c r="B3511" s="8">
        <v>41105</v>
      </c>
      <c r="C3511" s="6">
        <f ca="1">IF(OR($C$7="",$B3511&gt;NOW()),"",IF(INDEX(Data!$A:$G,MATCH($B3511,Data!$A:$A,0),MATCH($C$7,Data!$4:$4,0))="","",INDEX(Data!$A:$G,MATCH($B3511,Data!$A:$A,0),MATCH($C$7,Data!$4:$4,0))))</f>
        <v>81.400000000000006</v>
      </c>
      <c r="D3511" s="148">
        <f t="shared" ca="1" si="114"/>
        <v>0</v>
      </c>
      <c r="E3511" s="148">
        <f t="shared" ca="1" si="115"/>
        <v>16.400000000000006</v>
      </c>
    </row>
    <row r="3512" spans="2:5" x14ac:dyDescent="0.25">
      <c r="B3512" s="8">
        <v>41106</v>
      </c>
      <c r="C3512" s="6">
        <f ca="1">IF(OR($C$7="",$B3512&gt;NOW()),"",IF(INDEX(Data!$A:$G,MATCH($B3512,Data!$A:$A,0),MATCH($C$7,Data!$4:$4,0))="","",INDEX(Data!$A:$G,MATCH($B3512,Data!$A:$A,0),MATCH($C$7,Data!$4:$4,0))))</f>
        <v>81</v>
      </c>
      <c r="D3512" s="148">
        <f t="shared" ca="1" si="114"/>
        <v>0</v>
      </c>
      <c r="E3512" s="148">
        <f t="shared" ca="1" si="115"/>
        <v>16</v>
      </c>
    </row>
    <row r="3513" spans="2:5" x14ac:dyDescent="0.25">
      <c r="B3513" s="8">
        <v>41107</v>
      </c>
      <c r="C3513" s="6">
        <f ca="1">IF(OR($C$7="",$B3513&gt;NOW()),"",IF(INDEX(Data!$A:$G,MATCH($B3513,Data!$A:$A,0),MATCH($C$7,Data!$4:$4,0))="","",INDEX(Data!$A:$G,MATCH($B3513,Data!$A:$A,0),MATCH($C$7,Data!$4:$4,0))))</f>
        <v>87.2</v>
      </c>
      <c r="D3513" s="148">
        <f t="shared" ca="1" si="114"/>
        <v>0</v>
      </c>
      <c r="E3513" s="148">
        <f t="shared" ca="1" si="115"/>
        <v>22.200000000000003</v>
      </c>
    </row>
    <row r="3514" spans="2:5" x14ac:dyDescent="0.25">
      <c r="B3514" s="8">
        <v>41108</v>
      </c>
      <c r="C3514" s="6">
        <f ca="1">IF(OR($C$7="",$B3514&gt;NOW()),"",IF(INDEX(Data!$A:$G,MATCH($B3514,Data!$A:$A,0),MATCH($C$7,Data!$4:$4,0))="","",INDEX(Data!$A:$G,MATCH($B3514,Data!$A:$A,0),MATCH($C$7,Data!$4:$4,0))))</f>
        <v>89</v>
      </c>
      <c r="D3514" s="148">
        <f t="shared" ca="1" si="114"/>
        <v>0</v>
      </c>
      <c r="E3514" s="148">
        <f t="shared" ca="1" si="115"/>
        <v>24</v>
      </c>
    </row>
    <row r="3515" spans="2:5" x14ac:dyDescent="0.25">
      <c r="B3515" s="8">
        <v>41109</v>
      </c>
      <c r="C3515" s="6">
        <f ca="1">IF(OR($C$7="",$B3515&gt;NOW()),"",IF(INDEX(Data!$A:$G,MATCH($B3515,Data!$A:$A,0),MATCH($C$7,Data!$4:$4,0))="","",INDEX(Data!$A:$G,MATCH($B3515,Data!$A:$A,0),MATCH($C$7,Data!$4:$4,0))))</f>
        <v>75.3</v>
      </c>
      <c r="D3515" s="148">
        <f t="shared" ca="1" si="114"/>
        <v>0</v>
      </c>
      <c r="E3515" s="148">
        <f t="shared" ca="1" si="115"/>
        <v>10.299999999999997</v>
      </c>
    </row>
    <row r="3516" spans="2:5" x14ac:dyDescent="0.25">
      <c r="B3516" s="8">
        <v>41110</v>
      </c>
      <c r="C3516" s="6">
        <f ca="1">IF(OR($C$7="",$B3516&gt;NOW()),"",IF(INDEX(Data!$A:$G,MATCH($B3516,Data!$A:$A,0),MATCH($C$7,Data!$4:$4,0))="","",INDEX(Data!$A:$G,MATCH($B3516,Data!$A:$A,0),MATCH($C$7,Data!$4:$4,0))))</f>
        <v>69.2</v>
      </c>
      <c r="D3516" s="148">
        <f t="shared" ca="1" si="114"/>
        <v>0</v>
      </c>
      <c r="E3516" s="148">
        <f t="shared" ca="1" si="115"/>
        <v>4.2000000000000028</v>
      </c>
    </row>
    <row r="3517" spans="2:5" x14ac:dyDescent="0.25">
      <c r="B3517" s="8">
        <v>41111</v>
      </c>
      <c r="C3517" s="6">
        <f ca="1">IF(OR($C$7="",$B3517&gt;NOW()),"",IF(INDEX(Data!$A:$G,MATCH($B3517,Data!$A:$A,0),MATCH($C$7,Data!$4:$4,0))="","",INDEX(Data!$A:$G,MATCH($B3517,Data!$A:$A,0),MATCH($C$7,Data!$4:$4,0))))</f>
        <v>69.3</v>
      </c>
      <c r="D3517" s="148">
        <f t="shared" ca="1" si="114"/>
        <v>0</v>
      </c>
      <c r="E3517" s="148">
        <f t="shared" ca="1" si="115"/>
        <v>4.2999999999999972</v>
      </c>
    </row>
    <row r="3518" spans="2:5" x14ac:dyDescent="0.25">
      <c r="B3518" s="8">
        <v>41112</v>
      </c>
      <c r="C3518" s="6">
        <f ca="1">IF(OR($C$7="",$B3518&gt;NOW()),"",IF(INDEX(Data!$A:$G,MATCH($B3518,Data!$A:$A,0),MATCH($C$7,Data!$4:$4,0))="","",INDEX(Data!$A:$G,MATCH($B3518,Data!$A:$A,0),MATCH($C$7,Data!$4:$4,0))))</f>
        <v>74.8</v>
      </c>
      <c r="D3518" s="148">
        <f t="shared" ca="1" si="114"/>
        <v>0</v>
      </c>
      <c r="E3518" s="148">
        <f t="shared" ca="1" si="115"/>
        <v>9.7999999999999972</v>
      </c>
    </row>
    <row r="3519" spans="2:5" x14ac:dyDescent="0.25">
      <c r="B3519" s="8">
        <v>41113</v>
      </c>
      <c r="C3519" s="6">
        <f ca="1">IF(OR($C$7="",$B3519&gt;NOW()),"",IF(INDEX(Data!$A:$G,MATCH($B3519,Data!$A:$A,0),MATCH($C$7,Data!$4:$4,0))="","",INDEX(Data!$A:$G,MATCH($B3519,Data!$A:$A,0),MATCH($C$7,Data!$4:$4,0))))</f>
        <v>77.400000000000006</v>
      </c>
      <c r="D3519" s="148">
        <f t="shared" ca="1" si="114"/>
        <v>0</v>
      </c>
      <c r="E3519" s="148">
        <f t="shared" ca="1" si="115"/>
        <v>12.400000000000006</v>
      </c>
    </row>
    <row r="3520" spans="2:5" x14ac:dyDescent="0.25">
      <c r="B3520" s="8">
        <v>41114</v>
      </c>
      <c r="C3520" s="6">
        <f ca="1">IF(OR($C$7="",$B3520&gt;NOW()),"",IF(INDEX(Data!$A:$G,MATCH($B3520,Data!$A:$A,0),MATCH($C$7,Data!$4:$4,0))="","",INDEX(Data!$A:$G,MATCH($B3520,Data!$A:$A,0),MATCH($C$7,Data!$4:$4,0))))</f>
        <v>83.1</v>
      </c>
      <c r="D3520" s="148">
        <f t="shared" ca="1" si="114"/>
        <v>0</v>
      </c>
      <c r="E3520" s="148">
        <f t="shared" ca="1" si="115"/>
        <v>18.099999999999994</v>
      </c>
    </row>
    <row r="3521" spans="2:5" x14ac:dyDescent="0.25">
      <c r="B3521" s="8">
        <v>41115</v>
      </c>
      <c r="C3521" s="6">
        <f ca="1">IF(OR($C$7="",$B3521&gt;NOW()),"",IF(INDEX(Data!$A:$G,MATCH($B3521,Data!$A:$A,0),MATCH($C$7,Data!$4:$4,0))="","",INDEX(Data!$A:$G,MATCH($B3521,Data!$A:$A,0),MATCH($C$7,Data!$4:$4,0))))</f>
        <v>78.2</v>
      </c>
      <c r="D3521" s="148">
        <f t="shared" ca="1" si="114"/>
        <v>0</v>
      </c>
      <c r="E3521" s="148">
        <f t="shared" ca="1" si="115"/>
        <v>13.200000000000003</v>
      </c>
    </row>
    <row r="3522" spans="2:5" x14ac:dyDescent="0.25">
      <c r="B3522" s="8">
        <v>41116</v>
      </c>
      <c r="C3522" s="6">
        <f ca="1">IF(OR($C$7="",$B3522&gt;NOW()),"",IF(INDEX(Data!$A:$G,MATCH($B3522,Data!$A:$A,0),MATCH($C$7,Data!$4:$4,0))="","",INDEX(Data!$A:$G,MATCH($B3522,Data!$A:$A,0),MATCH($C$7,Data!$4:$4,0))))</f>
        <v>81.400000000000006</v>
      </c>
      <c r="D3522" s="148">
        <f t="shared" ca="1" si="114"/>
        <v>0</v>
      </c>
      <c r="E3522" s="148">
        <f t="shared" ca="1" si="115"/>
        <v>16.400000000000006</v>
      </c>
    </row>
    <row r="3523" spans="2:5" x14ac:dyDescent="0.25">
      <c r="B3523" s="8">
        <v>41117</v>
      </c>
      <c r="C3523" s="6">
        <f ca="1">IF(OR($C$7="",$B3523&gt;NOW()),"",IF(INDEX(Data!$A:$G,MATCH($B3523,Data!$A:$A,0),MATCH($C$7,Data!$4:$4,0))="","",INDEX(Data!$A:$G,MATCH($B3523,Data!$A:$A,0),MATCH($C$7,Data!$4:$4,0))))</f>
        <v>80.3</v>
      </c>
      <c r="D3523" s="148">
        <f t="shared" ca="1" si="114"/>
        <v>0</v>
      </c>
      <c r="E3523" s="148">
        <f t="shared" ca="1" si="115"/>
        <v>15.299999999999997</v>
      </c>
    </row>
    <row r="3524" spans="2:5" x14ac:dyDescent="0.25">
      <c r="B3524" s="8">
        <v>41118</v>
      </c>
      <c r="C3524" s="6">
        <f ca="1">IF(OR($C$7="",$B3524&gt;NOW()),"",IF(INDEX(Data!$A:$G,MATCH($B3524,Data!$A:$A,0),MATCH($C$7,Data!$4:$4,0))="","",INDEX(Data!$A:$G,MATCH($B3524,Data!$A:$A,0),MATCH($C$7,Data!$4:$4,0))))</f>
        <v>76.400000000000006</v>
      </c>
      <c r="D3524" s="148">
        <f t="shared" ca="1" si="114"/>
        <v>0</v>
      </c>
      <c r="E3524" s="148">
        <f t="shared" ca="1" si="115"/>
        <v>11.400000000000006</v>
      </c>
    </row>
    <row r="3525" spans="2:5" x14ac:dyDescent="0.25">
      <c r="B3525" s="8">
        <v>41119</v>
      </c>
      <c r="C3525" s="6">
        <f ca="1">IF(OR($C$7="",$B3525&gt;NOW()),"",IF(INDEX(Data!$A:$G,MATCH($B3525,Data!$A:$A,0),MATCH($C$7,Data!$4:$4,0))="","",INDEX(Data!$A:$G,MATCH($B3525,Data!$A:$A,0),MATCH($C$7,Data!$4:$4,0))))</f>
        <v>72.7</v>
      </c>
      <c r="D3525" s="148">
        <f t="shared" ca="1" si="114"/>
        <v>0</v>
      </c>
      <c r="E3525" s="148">
        <f t="shared" ca="1" si="115"/>
        <v>7.7000000000000028</v>
      </c>
    </row>
    <row r="3526" spans="2:5" x14ac:dyDescent="0.25">
      <c r="B3526" s="8">
        <v>41120</v>
      </c>
      <c r="C3526" s="6">
        <f ca="1">IF(OR($C$7="",$B3526&gt;NOW()),"",IF(INDEX(Data!$A:$G,MATCH($B3526,Data!$A:$A,0),MATCH($C$7,Data!$4:$4,0))="","",INDEX(Data!$A:$G,MATCH($B3526,Data!$A:$A,0),MATCH($C$7,Data!$4:$4,0))))</f>
        <v>74.599999999999994</v>
      </c>
      <c r="D3526" s="148">
        <f t="shared" ca="1" si="114"/>
        <v>0</v>
      </c>
      <c r="E3526" s="148">
        <f t="shared" ca="1" si="115"/>
        <v>9.5999999999999943</v>
      </c>
    </row>
    <row r="3527" spans="2:5" x14ac:dyDescent="0.25">
      <c r="B3527" s="8">
        <v>41121</v>
      </c>
      <c r="C3527" s="6">
        <f ca="1">IF(OR($C$7="",$B3527&gt;NOW()),"",IF(INDEX(Data!$A:$G,MATCH($B3527,Data!$A:$A,0),MATCH($C$7,Data!$4:$4,0))="","",INDEX(Data!$A:$G,MATCH($B3527,Data!$A:$A,0),MATCH($C$7,Data!$4:$4,0))))</f>
        <v>74</v>
      </c>
      <c r="D3527" s="148">
        <f t="shared" ca="1" si="114"/>
        <v>0</v>
      </c>
      <c r="E3527" s="148">
        <f t="shared" ca="1" si="115"/>
        <v>9</v>
      </c>
    </row>
    <row r="3528" spans="2:5" x14ac:dyDescent="0.25">
      <c r="B3528" s="8">
        <v>41122</v>
      </c>
      <c r="C3528" s="6">
        <f ca="1">IF(OR($C$7="",$B3528&gt;NOW()),"",IF(INDEX(Data!$A:$G,MATCH($B3528,Data!$A:$A,0),MATCH($C$7,Data!$4:$4,0))="","",INDEX(Data!$A:$G,MATCH($B3528,Data!$A:$A,0),MATCH($C$7,Data!$4:$4,0))))</f>
        <v>75.2</v>
      </c>
      <c r="D3528" s="148">
        <f t="shared" ca="1" si="114"/>
        <v>0</v>
      </c>
      <c r="E3528" s="148">
        <f t="shared" ca="1" si="115"/>
        <v>10.200000000000003</v>
      </c>
    </row>
    <row r="3529" spans="2:5" x14ac:dyDescent="0.25">
      <c r="B3529" s="8">
        <v>41123</v>
      </c>
      <c r="C3529" s="6">
        <f ca="1">IF(OR($C$7="",$B3529&gt;NOW()),"",IF(INDEX(Data!$A:$G,MATCH($B3529,Data!$A:$A,0),MATCH($C$7,Data!$4:$4,0))="","",INDEX(Data!$A:$G,MATCH($B3529,Data!$A:$A,0),MATCH($C$7,Data!$4:$4,0))))</f>
        <v>79.099999999999994</v>
      </c>
      <c r="D3529" s="148">
        <f t="shared" ca="1" si="114"/>
        <v>0</v>
      </c>
      <c r="E3529" s="148">
        <f t="shared" ca="1" si="115"/>
        <v>14.099999999999994</v>
      </c>
    </row>
    <row r="3530" spans="2:5" x14ac:dyDescent="0.25">
      <c r="B3530" s="8">
        <v>41124</v>
      </c>
      <c r="C3530" s="6">
        <f ca="1">IF(OR($C$7="",$B3530&gt;NOW()),"",IF(INDEX(Data!$A:$G,MATCH($B3530,Data!$A:$A,0),MATCH($C$7,Data!$4:$4,0))="","",INDEX(Data!$A:$G,MATCH($B3530,Data!$A:$A,0),MATCH($C$7,Data!$4:$4,0))))</f>
        <v>83.4</v>
      </c>
      <c r="D3530" s="148">
        <f t="shared" ca="1" si="114"/>
        <v>0</v>
      </c>
      <c r="E3530" s="148">
        <f t="shared" ca="1" si="115"/>
        <v>18.400000000000006</v>
      </c>
    </row>
    <row r="3531" spans="2:5" x14ac:dyDescent="0.25">
      <c r="B3531" s="8">
        <v>41125</v>
      </c>
      <c r="C3531" s="6">
        <f ca="1">IF(OR($C$7="",$B3531&gt;NOW()),"",IF(INDEX(Data!$A:$G,MATCH($B3531,Data!$A:$A,0),MATCH($C$7,Data!$4:$4,0))="","",INDEX(Data!$A:$G,MATCH($B3531,Data!$A:$A,0),MATCH($C$7,Data!$4:$4,0))))</f>
        <v>83.4</v>
      </c>
      <c r="D3531" s="148">
        <f t="shared" ca="1" si="114"/>
        <v>0</v>
      </c>
      <c r="E3531" s="148">
        <f t="shared" ca="1" si="115"/>
        <v>18.400000000000006</v>
      </c>
    </row>
    <row r="3532" spans="2:5" x14ac:dyDescent="0.25">
      <c r="B3532" s="8">
        <v>41126</v>
      </c>
      <c r="C3532" s="6">
        <f ca="1">IF(OR($C$7="",$B3532&gt;NOW()),"",IF(INDEX(Data!$A:$G,MATCH($B3532,Data!$A:$A,0),MATCH($C$7,Data!$4:$4,0))="","",INDEX(Data!$A:$G,MATCH($B3532,Data!$A:$A,0),MATCH($C$7,Data!$4:$4,0))))</f>
        <v>83.4</v>
      </c>
      <c r="D3532" s="148">
        <f t="shared" ca="1" si="114"/>
        <v>0</v>
      </c>
      <c r="E3532" s="148">
        <f t="shared" ca="1" si="115"/>
        <v>18.400000000000006</v>
      </c>
    </row>
    <row r="3533" spans="2:5" x14ac:dyDescent="0.25">
      <c r="B3533" s="8">
        <v>41127</v>
      </c>
      <c r="C3533" s="6">
        <f ca="1">IF(OR($C$7="",$B3533&gt;NOW()),"",IF(INDEX(Data!$A:$G,MATCH($B3533,Data!$A:$A,0),MATCH($C$7,Data!$4:$4,0))="","",INDEX(Data!$A:$G,MATCH($B3533,Data!$A:$A,0),MATCH($C$7,Data!$4:$4,0))))</f>
        <v>80.2</v>
      </c>
      <c r="D3533" s="148">
        <f t="shared" ca="1" si="114"/>
        <v>0</v>
      </c>
      <c r="E3533" s="148">
        <f t="shared" ca="1" si="115"/>
        <v>15.200000000000003</v>
      </c>
    </row>
    <row r="3534" spans="2:5" x14ac:dyDescent="0.25">
      <c r="B3534" s="8">
        <v>41128</v>
      </c>
      <c r="C3534" s="6">
        <f ca="1">IF(OR($C$7="",$B3534&gt;NOW()),"",IF(INDEX(Data!$A:$G,MATCH($B3534,Data!$A:$A,0),MATCH($C$7,Data!$4:$4,0))="","",INDEX(Data!$A:$G,MATCH($B3534,Data!$A:$A,0),MATCH($C$7,Data!$4:$4,0))))</f>
        <v>77.3</v>
      </c>
      <c r="D3534" s="148">
        <f t="shared" ca="1" si="114"/>
        <v>0</v>
      </c>
      <c r="E3534" s="148">
        <f t="shared" ca="1" si="115"/>
        <v>12.299999999999997</v>
      </c>
    </row>
    <row r="3535" spans="2:5" x14ac:dyDescent="0.25">
      <c r="B3535" s="8">
        <v>41129</v>
      </c>
      <c r="C3535" s="6">
        <f ca="1">IF(OR($C$7="",$B3535&gt;NOW()),"",IF(INDEX(Data!$A:$G,MATCH($B3535,Data!$A:$A,0),MATCH($C$7,Data!$4:$4,0))="","",INDEX(Data!$A:$G,MATCH($B3535,Data!$A:$A,0),MATCH($C$7,Data!$4:$4,0))))</f>
        <v>79.8</v>
      </c>
      <c r="D3535" s="148">
        <f t="shared" ca="1" si="114"/>
        <v>0</v>
      </c>
      <c r="E3535" s="148">
        <f t="shared" ca="1" si="115"/>
        <v>14.799999999999997</v>
      </c>
    </row>
    <row r="3536" spans="2:5" x14ac:dyDescent="0.25">
      <c r="B3536" s="8">
        <v>41130</v>
      </c>
      <c r="C3536" s="6">
        <f ca="1">IF(OR($C$7="",$B3536&gt;NOW()),"",IF(INDEX(Data!$A:$G,MATCH($B3536,Data!$A:$A,0),MATCH($C$7,Data!$4:$4,0))="","",INDEX(Data!$A:$G,MATCH($B3536,Data!$A:$A,0),MATCH($C$7,Data!$4:$4,0))))</f>
        <v>81.2</v>
      </c>
      <c r="D3536" s="148">
        <f t="shared" ca="1" si="114"/>
        <v>0</v>
      </c>
      <c r="E3536" s="148">
        <f t="shared" ca="1" si="115"/>
        <v>16.200000000000003</v>
      </c>
    </row>
    <row r="3537" spans="2:5" x14ac:dyDescent="0.25">
      <c r="B3537" s="8">
        <v>41131</v>
      </c>
      <c r="C3537" s="6">
        <f ca="1">IF(OR($C$7="",$B3537&gt;NOW()),"",IF(INDEX(Data!$A:$G,MATCH($B3537,Data!$A:$A,0),MATCH($C$7,Data!$4:$4,0))="","",INDEX(Data!$A:$G,MATCH($B3537,Data!$A:$A,0),MATCH($C$7,Data!$4:$4,0))))</f>
        <v>79.2</v>
      </c>
      <c r="D3537" s="148">
        <f t="shared" ca="1" si="114"/>
        <v>0</v>
      </c>
      <c r="E3537" s="148">
        <f t="shared" ca="1" si="115"/>
        <v>14.200000000000003</v>
      </c>
    </row>
    <row r="3538" spans="2:5" x14ac:dyDescent="0.25">
      <c r="B3538" s="8">
        <v>41132</v>
      </c>
      <c r="C3538" s="6">
        <f ca="1">IF(OR($C$7="",$B3538&gt;NOW()),"",IF(INDEX(Data!$A:$G,MATCH($B3538,Data!$A:$A,0),MATCH($C$7,Data!$4:$4,0))="","",INDEX(Data!$A:$G,MATCH($B3538,Data!$A:$A,0),MATCH($C$7,Data!$4:$4,0))))</f>
        <v>80.8</v>
      </c>
      <c r="D3538" s="148">
        <f t="shared" ca="1" si="114"/>
        <v>0</v>
      </c>
      <c r="E3538" s="148">
        <f t="shared" ca="1" si="115"/>
        <v>15.799999999999997</v>
      </c>
    </row>
    <row r="3539" spans="2:5" x14ac:dyDescent="0.25">
      <c r="B3539" s="8">
        <v>41133</v>
      </c>
      <c r="C3539" s="6">
        <f ca="1">IF(OR($C$7="",$B3539&gt;NOW()),"",IF(INDEX(Data!$A:$G,MATCH($B3539,Data!$A:$A,0),MATCH($C$7,Data!$4:$4,0))="","",INDEX(Data!$A:$G,MATCH($B3539,Data!$A:$A,0),MATCH($C$7,Data!$4:$4,0))))</f>
        <v>81</v>
      </c>
      <c r="D3539" s="148">
        <f t="shared" ca="1" si="114"/>
        <v>0</v>
      </c>
      <c r="E3539" s="148">
        <f t="shared" ca="1" si="115"/>
        <v>16</v>
      </c>
    </row>
    <row r="3540" spans="2:5" x14ac:dyDescent="0.25">
      <c r="B3540" s="8">
        <v>41134</v>
      </c>
      <c r="C3540" s="6">
        <f ca="1">IF(OR($C$7="",$B3540&gt;NOW()),"",IF(INDEX(Data!$A:$G,MATCH($B3540,Data!$A:$A,0),MATCH($C$7,Data!$4:$4,0))="","",INDEX(Data!$A:$G,MATCH($B3540,Data!$A:$A,0),MATCH($C$7,Data!$4:$4,0))))</f>
        <v>79.099999999999994</v>
      </c>
      <c r="D3540" s="148">
        <f t="shared" ca="1" si="114"/>
        <v>0</v>
      </c>
      <c r="E3540" s="148">
        <f t="shared" ca="1" si="115"/>
        <v>14.099999999999994</v>
      </c>
    </row>
    <row r="3541" spans="2:5" x14ac:dyDescent="0.25">
      <c r="B3541" s="8">
        <v>41135</v>
      </c>
      <c r="C3541" s="6">
        <f ca="1">IF(OR($C$7="",$B3541&gt;NOW()),"",IF(INDEX(Data!$A:$G,MATCH($B3541,Data!$A:$A,0),MATCH($C$7,Data!$4:$4,0))="","",INDEX(Data!$A:$G,MATCH($B3541,Data!$A:$A,0),MATCH($C$7,Data!$4:$4,0))))</f>
        <v>78.900000000000006</v>
      </c>
      <c r="D3541" s="148">
        <f t="shared" ca="1" si="114"/>
        <v>0</v>
      </c>
      <c r="E3541" s="148">
        <f t="shared" ca="1" si="115"/>
        <v>13.900000000000006</v>
      </c>
    </row>
    <row r="3542" spans="2:5" x14ac:dyDescent="0.25">
      <c r="B3542" s="8">
        <v>41136</v>
      </c>
      <c r="C3542" s="6">
        <f ca="1">IF(OR($C$7="",$B3542&gt;NOW()),"",IF(INDEX(Data!$A:$G,MATCH($B3542,Data!$A:$A,0),MATCH($C$7,Data!$4:$4,0))="","",INDEX(Data!$A:$G,MATCH($B3542,Data!$A:$A,0),MATCH($C$7,Data!$4:$4,0))))</f>
        <v>76.2</v>
      </c>
      <c r="D3542" s="148">
        <f t="shared" ca="1" si="114"/>
        <v>0</v>
      </c>
      <c r="E3542" s="148">
        <f t="shared" ca="1" si="115"/>
        <v>11.200000000000003</v>
      </c>
    </row>
    <row r="3543" spans="2:5" x14ac:dyDescent="0.25">
      <c r="B3543" s="8">
        <v>41137</v>
      </c>
      <c r="C3543" s="6">
        <f ca="1">IF(OR($C$7="",$B3543&gt;NOW()),"",IF(INDEX(Data!$A:$G,MATCH($B3543,Data!$A:$A,0),MATCH($C$7,Data!$4:$4,0))="","",INDEX(Data!$A:$G,MATCH($B3543,Data!$A:$A,0),MATCH($C$7,Data!$4:$4,0))))</f>
        <v>75.599999999999994</v>
      </c>
      <c r="D3543" s="148">
        <f t="shared" ca="1" si="114"/>
        <v>0</v>
      </c>
      <c r="E3543" s="148">
        <f t="shared" ca="1" si="115"/>
        <v>10.599999999999994</v>
      </c>
    </row>
    <row r="3544" spans="2:5" x14ac:dyDescent="0.25">
      <c r="B3544" s="8">
        <v>41138</v>
      </c>
      <c r="C3544" s="6">
        <f ca="1">IF(OR($C$7="",$B3544&gt;NOW()),"",IF(INDEX(Data!$A:$G,MATCH($B3544,Data!$A:$A,0),MATCH($C$7,Data!$4:$4,0))="","",INDEX(Data!$A:$G,MATCH($B3544,Data!$A:$A,0),MATCH($C$7,Data!$4:$4,0))))</f>
        <v>81.3</v>
      </c>
      <c r="D3544" s="148">
        <f t="shared" ca="1" si="114"/>
        <v>0</v>
      </c>
      <c r="E3544" s="148">
        <f t="shared" ca="1" si="115"/>
        <v>16.299999999999997</v>
      </c>
    </row>
    <row r="3545" spans="2:5" x14ac:dyDescent="0.25">
      <c r="B3545" s="8">
        <v>41139</v>
      </c>
      <c r="C3545" s="6">
        <f ca="1">IF(OR($C$7="",$B3545&gt;NOW()),"",IF(INDEX(Data!$A:$G,MATCH($B3545,Data!$A:$A,0),MATCH($C$7,Data!$4:$4,0))="","",INDEX(Data!$A:$G,MATCH($B3545,Data!$A:$A,0),MATCH($C$7,Data!$4:$4,0))))</f>
        <v>72.7</v>
      </c>
      <c r="D3545" s="148">
        <f t="shared" ca="1" si="114"/>
        <v>0</v>
      </c>
      <c r="E3545" s="148">
        <f t="shared" ca="1" si="115"/>
        <v>7.7000000000000028</v>
      </c>
    </row>
    <row r="3546" spans="2:5" x14ac:dyDescent="0.25">
      <c r="B3546" s="8">
        <v>41140</v>
      </c>
      <c r="C3546" s="6">
        <f ca="1">IF(OR($C$7="",$B3546&gt;NOW()),"",IF(INDEX(Data!$A:$G,MATCH($B3546,Data!$A:$A,0),MATCH($C$7,Data!$4:$4,0))="","",INDEX(Data!$A:$G,MATCH($B3546,Data!$A:$A,0),MATCH($C$7,Data!$4:$4,0))))</f>
        <v>71.900000000000006</v>
      </c>
      <c r="D3546" s="148">
        <f t="shared" ca="1" si="114"/>
        <v>0</v>
      </c>
      <c r="E3546" s="148">
        <f t="shared" ca="1" si="115"/>
        <v>6.9000000000000057</v>
      </c>
    </row>
    <row r="3547" spans="2:5" x14ac:dyDescent="0.25">
      <c r="B3547" s="8">
        <v>41141</v>
      </c>
      <c r="C3547" s="6">
        <f ca="1">IF(OR($C$7="",$B3547&gt;NOW()),"",IF(INDEX(Data!$A:$G,MATCH($B3547,Data!$A:$A,0),MATCH($C$7,Data!$4:$4,0))="","",INDEX(Data!$A:$G,MATCH($B3547,Data!$A:$A,0),MATCH($C$7,Data!$4:$4,0))))</f>
        <v>73.599999999999994</v>
      </c>
      <c r="D3547" s="148">
        <f t="shared" ca="1" si="114"/>
        <v>0</v>
      </c>
      <c r="E3547" s="148">
        <f t="shared" ca="1" si="115"/>
        <v>8.5999999999999943</v>
      </c>
    </row>
    <row r="3548" spans="2:5" x14ac:dyDescent="0.25">
      <c r="B3548" s="8">
        <v>41142</v>
      </c>
      <c r="C3548" s="6">
        <f ca="1">IF(OR($C$7="",$B3548&gt;NOW()),"",IF(INDEX(Data!$A:$G,MATCH($B3548,Data!$A:$A,0),MATCH($C$7,Data!$4:$4,0))="","",INDEX(Data!$A:$G,MATCH($B3548,Data!$A:$A,0),MATCH($C$7,Data!$4:$4,0))))</f>
        <v>74.900000000000006</v>
      </c>
      <c r="D3548" s="148">
        <f t="shared" ca="1" si="114"/>
        <v>0</v>
      </c>
      <c r="E3548" s="148">
        <f t="shared" ca="1" si="115"/>
        <v>9.9000000000000057</v>
      </c>
    </row>
    <row r="3549" spans="2:5" x14ac:dyDescent="0.25">
      <c r="B3549" s="8">
        <v>41143</v>
      </c>
      <c r="C3549" s="6">
        <f ca="1">IF(OR($C$7="",$B3549&gt;NOW()),"",IF(INDEX(Data!$A:$G,MATCH($B3549,Data!$A:$A,0),MATCH($C$7,Data!$4:$4,0))="","",INDEX(Data!$A:$G,MATCH($B3549,Data!$A:$A,0),MATCH($C$7,Data!$4:$4,0))))</f>
        <v>76.599999999999994</v>
      </c>
      <c r="D3549" s="148">
        <f t="shared" ref="D3549:D3612" ca="1" si="116">IF($C3549="","",IF($C3549&gt;$D$26,0,$D$26-$C3549))</f>
        <v>0</v>
      </c>
      <c r="E3549" s="148">
        <f t="shared" ref="E3549:E3612" ca="1" si="117">IF($C3549="","",IF($C3549&lt;$E$26,0,$C3549-$E$26))</f>
        <v>11.599999999999994</v>
      </c>
    </row>
    <row r="3550" spans="2:5" x14ac:dyDescent="0.25">
      <c r="B3550" s="8">
        <v>41144</v>
      </c>
      <c r="C3550" s="6">
        <f ca="1">IF(OR($C$7="",$B3550&gt;NOW()),"",IF(INDEX(Data!$A:$G,MATCH($B3550,Data!$A:$A,0),MATCH($C$7,Data!$4:$4,0))="","",INDEX(Data!$A:$G,MATCH($B3550,Data!$A:$A,0),MATCH($C$7,Data!$4:$4,0))))</f>
        <v>77.5</v>
      </c>
      <c r="D3550" s="148">
        <f t="shared" ca="1" si="116"/>
        <v>0</v>
      </c>
      <c r="E3550" s="148">
        <f t="shared" ca="1" si="117"/>
        <v>12.5</v>
      </c>
    </row>
    <row r="3551" spans="2:5" x14ac:dyDescent="0.25">
      <c r="B3551" s="8">
        <v>41145</v>
      </c>
      <c r="C3551" s="6">
        <f ca="1">IF(OR($C$7="",$B3551&gt;NOW()),"",IF(INDEX(Data!$A:$G,MATCH($B3551,Data!$A:$A,0),MATCH($C$7,Data!$4:$4,0))="","",INDEX(Data!$A:$G,MATCH($B3551,Data!$A:$A,0),MATCH($C$7,Data!$4:$4,0))))</f>
        <v>78.7</v>
      </c>
      <c r="D3551" s="148">
        <f t="shared" ca="1" si="116"/>
        <v>0</v>
      </c>
      <c r="E3551" s="148">
        <f t="shared" ca="1" si="117"/>
        <v>13.700000000000003</v>
      </c>
    </row>
    <row r="3552" spans="2:5" x14ac:dyDescent="0.25">
      <c r="B3552" s="8">
        <v>41146</v>
      </c>
      <c r="C3552" s="6">
        <f ca="1">IF(OR($C$7="",$B3552&gt;NOW()),"",IF(INDEX(Data!$A:$G,MATCH($B3552,Data!$A:$A,0),MATCH($C$7,Data!$4:$4,0))="","",INDEX(Data!$A:$G,MATCH($B3552,Data!$A:$A,0),MATCH($C$7,Data!$4:$4,0))))</f>
        <v>77.5</v>
      </c>
      <c r="D3552" s="148">
        <f t="shared" ca="1" si="116"/>
        <v>0</v>
      </c>
      <c r="E3552" s="148">
        <f t="shared" ca="1" si="117"/>
        <v>12.5</v>
      </c>
    </row>
    <row r="3553" spans="2:5" x14ac:dyDescent="0.25">
      <c r="B3553" s="8">
        <v>41147</v>
      </c>
      <c r="C3553" s="6">
        <f ca="1">IF(OR($C$7="",$B3553&gt;NOW()),"",IF(INDEX(Data!$A:$G,MATCH($B3553,Data!$A:$A,0),MATCH($C$7,Data!$4:$4,0))="","",INDEX(Data!$A:$G,MATCH($B3553,Data!$A:$A,0),MATCH($C$7,Data!$4:$4,0))))</f>
        <v>74.5</v>
      </c>
      <c r="D3553" s="148">
        <f t="shared" ca="1" si="116"/>
        <v>0</v>
      </c>
      <c r="E3553" s="148">
        <f t="shared" ca="1" si="117"/>
        <v>9.5</v>
      </c>
    </row>
    <row r="3554" spans="2:5" x14ac:dyDescent="0.25">
      <c r="B3554" s="8">
        <v>41148</v>
      </c>
      <c r="C3554" s="6">
        <f ca="1">IF(OR($C$7="",$B3554&gt;NOW()),"",IF(INDEX(Data!$A:$G,MATCH($B3554,Data!$A:$A,0),MATCH($C$7,Data!$4:$4,0))="","",INDEX(Data!$A:$G,MATCH($B3554,Data!$A:$A,0),MATCH($C$7,Data!$4:$4,0))))</f>
        <v>75.8</v>
      </c>
      <c r="D3554" s="148">
        <f t="shared" ca="1" si="116"/>
        <v>0</v>
      </c>
      <c r="E3554" s="148">
        <f t="shared" ca="1" si="117"/>
        <v>10.799999999999997</v>
      </c>
    </row>
    <row r="3555" spans="2:5" x14ac:dyDescent="0.25">
      <c r="B3555" s="8">
        <v>41149</v>
      </c>
      <c r="C3555" s="6">
        <f ca="1">IF(OR($C$7="",$B3555&gt;NOW()),"",IF(INDEX(Data!$A:$G,MATCH($B3555,Data!$A:$A,0),MATCH($C$7,Data!$4:$4,0))="","",INDEX(Data!$A:$G,MATCH($B3555,Data!$A:$A,0),MATCH($C$7,Data!$4:$4,0))))</f>
        <v>79.900000000000006</v>
      </c>
      <c r="D3555" s="148">
        <f t="shared" ca="1" si="116"/>
        <v>0</v>
      </c>
      <c r="E3555" s="148">
        <f t="shared" ca="1" si="117"/>
        <v>14.900000000000006</v>
      </c>
    </row>
    <row r="3556" spans="2:5" x14ac:dyDescent="0.25">
      <c r="B3556" s="8">
        <v>41150</v>
      </c>
      <c r="C3556" s="6">
        <f ca="1">IF(OR($C$7="",$B3556&gt;NOW()),"",IF(INDEX(Data!$A:$G,MATCH($B3556,Data!$A:$A,0),MATCH($C$7,Data!$4:$4,0))="","",INDEX(Data!$A:$G,MATCH($B3556,Data!$A:$A,0),MATCH($C$7,Data!$4:$4,0))))</f>
        <v>75.2</v>
      </c>
      <c r="D3556" s="148">
        <f t="shared" ca="1" si="116"/>
        <v>0</v>
      </c>
      <c r="E3556" s="148">
        <f t="shared" ca="1" si="117"/>
        <v>10.200000000000003</v>
      </c>
    </row>
    <row r="3557" spans="2:5" x14ac:dyDescent="0.25">
      <c r="B3557" s="8">
        <v>41151</v>
      </c>
      <c r="C3557" s="6">
        <f ca="1">IF(OR($C$7="",$B3557&gt;NOW()),"",IF(INDEX(Data!$A:$G,MATCH($B3557,Data!$A:$A,0),MATCH($C$7,Data!$4:$4,0))="","",INDEX(Data!$A:$G,MATCH($B3557,Data!$A:$A,0),MATCH($C$7,Data!$4:$4,0))))</f>
        <v>75.2</v>
      </c>
      <c r="D3557" s="148">
        <f t="shared" ca="1" si="116"/>
        <v>0</v>
      </c>
      <c r="E3557" s="148">
        <f t="shared" ca="1" si="117"/>
        <v>10.200000000000003</v>
      </c>
    </row>
    <row r="3558" spans="2:5" x14ac:dyDescent="0.25">
      <c r="B3558" s="8">
        <v>41152</v>
      </c>
      <c r="C3558" s="6">
        <f ca="1">IF(OR($C$7="",$B3558&gt;NOW()),"",IF(INDEX(Data!$A:$G,MATCH($B3558,Data!$A:$A,0),MATCH($C$7,Data!$4:$4,0))="","",INDEX(Data!$A:$G,MATCH($B3558,Data!$A:$A,0),MATCH($C$7,Data!$4:$4,0))))</f>
        <v>81.900000000000006</v>
      </c>
      <c r="D3558" s="148">
        <f t="shared" ca="1" si="116"/>
        <v>0</v>
      </c>
      <c r="E3558" s="148">
        <f t="shared" ca="1" si="117"/>
        <v>16.900000000000006</v>
      </c>
    </row>
    <row r="3559" spans="2:5" x14ac:dyDescent="0.25">
      <c r="B3559" s="8">
        <v>41153</v>
      </c>
      <c r="C3559" s="6">
        <f ca="1">IF(OR($C$7="",$B3559&gt;NOW()),"",IF(INDEX(Data!$A:$G,MATCH($B3559,Data!$A:$A,0),MATCH($C$7,Data!$4:$4,0))="","",INDEX(Data!$A:$G,MATCH($B3559,Data!$A:$A,0),MATCH($C$7,Data!$4:$4,0))))</f>
        <v>83.4</v>
      </c>
      <c r="D3559" s="148">
        <f t="shared" ca="1" si="116"/>
        <v>0</v>
      </c>
      <c r="E3559" s="148">
        <f t="shared" ca="1" si="117"/>
        <v>18.400000000000006</v>
      </c>
    </row>
    <row r="3560" spans="2:5" x14ac:dyDescent="0.25">
      <c r="B3560" s="8">
        <v>41154</v>
      </c>
      <c r="C3560" s="6">
        <f ca="1">IF(OR($C$7="",$B3560&gt;NOW()),"",IF(INDEX(Data!$A:$G,MATCH($B3560,Data!$A:$A,0),MATCH($C$7,Data!$4:$4,0))="","",INDEX(Data!$A:$G,MATCH($B3560,Data!$A:$A,0),MATCH($C$7,Data!$4:$4,0))))</f>
        <v>76.099999999999994</v>
      </c>
      <c r="D3560" s="148">
        <f t="shared" ca="1" si="116"/>
        <v>0</v>
      </c>
      <c r="E3560" s="148">
        <f t="shared" ca="1" si="117"/>
        <v>11.099999999999994</v>
      </c>
    </row>
    <row r="3561" spans="2:5" x14ac:dyDescent="0.25">
      <c r="B3561" s="8">
        <v>41155</v>
      </c>
      <c r="C3561" s="6">
        <f ca="1">IF(OR($C$7="",$B3561&gt;NOW()),"",IF(INDEX(Data!$A:$G,MATCH($B3561,Data!$A:$A,0),MATCH($C$7,Data!$4:$4,0))="","",INDEX(Data!$A:$G,MATCH($B3561,Data!$A:$A,0),MATCH($C$7,Data!$4:$4,0))))</f>
        <v>75.099999999999994</v>
      </c>
      <c r="D3561" s="148">
        <f t="shared" ca="1" si="116"/>
        <v>0</v>
      </c>
      <c r="E3561" s="148">
        <f t="shared" ca="1" si="117"/>
        <v>10.099999999999994</v>
      </c>
    </row>
    <row r="3562" spans="2:5" x14ac:dyDescent="0.25">
      <c r="B3562" s="8">
        <v>41156</v>
      </c>
      <c r="C3562" s="6">
        <f ca="1">IF(OR($C$7="",$B3562&gt;NOW()),"",IF(INDEX(Data!$A:$G,MATCH($B3562,Data!$A:$A,0),MATCH($C$7,Data!$4:$4,0))="","",INDEX(Data!$A:$G,MATCH($B3562,Data!$A:$A,0),MATCH($C$7,Data!$4:$4,0))))</f>
        <v>74.5</v>
      </c>
      <c r="D3562" s="148">
        <f t="shared" ca="1" si="116"/>
        <v>0</v>
      </c>
      <c r="E3562" s="148">
        <f t="shared" ca="1" si="117"/>
        <v>9.5</v>
      </c>
    </row>
    <row r="3563" spans="2:5" x14ac:dyDescent="0.25">
      <c r="B3563" s="8">
        <v>41157</v>
      </c>
      <c r="C3563" s="6">
        <f ca="1">IF(OR($C$7="",$B3563&gt;NOW()),"",IF(INDEX(Data!$A:$G,MATCH($B3563,Data!$A:$A,0),MATCH($C$7,Data!$4:$4,0))="","",INDEX(Data!$A:$G,MATCH($B3563,Data!$A:$A,0),MATCH($C$7,Data!$4:$4,0))))</f>
        <v>78.599999999999994</v>
      </c>
      <c r="D3563" s="148">
        <f t="shared" ca="1" si="116"/>
        <v>0</v>
      </c>
      <c r="E3563" s="148">
        <f t="shared" ca="1" si="117"/>
        <v>13.599999999999994</v>
      </c>
    </row>
    <row r="3564" spans="2:5" x14ac:dyDescent="0.25">
      <c r="B3564" s="8">
        <v>41158</v>
      </c>
      <c r="C3564" s="6">
        <f ca="1">IF(OR($C$7="",$B3564&gt;NOW()),"",IF(INDEX(Data!$A:$G,MATCH($B3564,Data!$A:$A,0),MATCH($C$7,Data!$4:$4,0))="","",INDEX(Data!$A:$G,MATCH($B3564,Data!$A:$A,0),MATCH($C$7,Data!$4:$4,0))))</f>
        <v>75.900000000000006</v>
      </c>
      <c r="D3564" s="148">
        <f t="shared" ca="1" si="116"/>
        <v>0</v>
      </c>
      <c r="E3564" s="148">
        <f t="shared" ca="1" si="117"/>
        <v>10.900000000000006</v>
      </c>
    </row>
    <row r="3565" spans="2:5" x14ac:dyDescent="0.25">
      <c r="B3565" s="8">
        <v>41159</v>
      </c>
      <c r="C3565" s="6">
        <f ca="1">IF(OR($C$7="",$B3565&gt;NOW()),"",IF(INDEX(Data!$A:$G,MATCH($B3565,Data!$A:$A,0),MATCH($C$7,Data!$4:$4,0))="","",INDEX(Data!$A:$G,MATCH($B3565,Data!$A:$A,0),MATCH($C$7,Data!$4:$4,0))))</f>
        <v>79</v>
      </c>
      <c r="D3565" s="148">
        <f t="shared" ca="1" si="116"/>
        <v>0</v>
      </c>
      <c r="E3565" s="148">
        <f t="shared" ca="1" si="117"/>
        <v>14</v>
      </c>
    </row>
    <row r="3566" spans="2:5" x14ac:dyDescent="0.25">
      <c r="B3566" s="8">
        <v>41160</v>
      </c>
      <c r="C3566" s="6">
        <f ca="1">IF(OR($C$7="",$B3566&gt;NOW()),"",IF(INDEX(Data!$A:$G,MATCH($B3566,Data!$A:$A,0),MATCH($C$7,Data!$4:$4,0))="","",INDEX(Data!$A:$G,MATCH($B3566,Data!$A:$A,0),MATCH($C$7,Data!$4:$4,0))))</f>
        <v>78.3</v>
      </c>
      <c r="D3566" s="148">
        <f t="shared" ca="1" si="116"/>
        <v>0</v>
      </c>
      <c r="E3566" s="148">
        <f t="shared" ca="1" si="117"/>
        <v>13.299999999999997</v>
      </c>
    </row>
    <row r="3567" spans="2:5" x14ac:dyDescent="0.25">
      <c r="B3567" s="8">
        <v>41161</v>
      </c>
      <c r="C3567" s="6">
        <f ca="1">IF(OR($C$7="",$B3567&gt;NOW()),"",IF(INDEX(Data!$A:$G,MATCH($B3567,Data!$A:$A,0),MATCH($C$7,Data!$4:$4,0))="","",INDEX(Data!$A:$G,MATCH($B3567,Data!$A:$A,0),MATCH($C$7,Data!$4:$4,0))))</f>
        <v>70.900000000000006</v>
      </c>
      <c r="D3567" s="148">
        <f t="shared" ca="1" si="116"/>
        <v>0</v>
      </c>
      <c r="E3567" s="148">
        <f t="shared" ca="1" si="117"/>
        <v>5.9000000000000057</v>
      </c>
    </row>
    <row r="3568" spans="2:5" x14ac:dyDescent="0.25">
      <c r="B3568" s="8">
        <v>41162</v>
      </c>
      <c r="C3568" s="6">
        <f ca="1">IF(OR($C$7="",$B3568&gt;NOW()),"",IF(INDEX(Data!$A:$G,MATCH($B3568,Data!$A:$A,0),MATCH($C$7,Data!$4:$4,0))="","",INDEX(Data!$A:$G,MATCH($B3568,Data!$A:$A,0),MATCH($C$7,Data!$4:$4,0))))</f>
        <v>67.900000000000006</v>
      </c>
      <c r="D3568" s="148">
        <f t="shared" ca="1" si="116"/>
        <v>0</v>
      </c>
      <c r="E3568" s="148">
        <f t="shared" ca="1" si="117"/>
        <v>2.9000000000000057</v>
      </c>
    </row>
    <row r="3569" spans="2:5" x14ac:dyDescent="0.25">
      <c r="B3569" s="8">
        <v>41163</v>
      </c>
      <c r="C3569" s="6">
        <f ca="1">IF(OR($C$7="",$B3569&gt;NOW()),"",IF(INDEX(Data!$A:$G,MATCH($B3569,Data!$A:$A,0),MATCH($C$7,Data!$4:$4,0))="","",INDEX(Data!$A:$G,MATCH($B3569,Data!$A:$A,0),MATCH($C$7,Data!$4:$4,0))))</f>
        <v>65.099999999999994</v>
      </c>
      <c r="D3569" s="148">
        <f t="shared" ca="1" si="116"/>
        <v>0</v>
      </c>
      <c r="E3569" s="148">
        <f t="shared" ca="1" si="117"/>
        <v>9.9999999999994316E-2</v>
      </c>
    </row>
    <row r="3570" spans="2:5" x14ac:dyDescent="0.25">
      <c r="B3570" s="8">
        <v>41164</v>
      </c>
      <c r="C3570" s="6">
        <f ca="1">IF(OR($C$7="",$B3570&gt;NOW()),"",IF(INDEX(Data!$A:$G,MATCH($B3570,Data!$A:$A,0),MATCH($C$7,Data!$4:$4,0))="","",INDEX(Data!$A:$G,MATCH($B3570,Data!$A:$A,0),MATCH($C$7,Data!$4:$4,0))))</f>
        <v>70.8</v>
      </c>
      <c r="D3570" s="148">
        <f t="shared" ca="1" si="116"/>
        <v>0</v>
      </c>
      <c r="E3570" s="148">
        <f t="shared" ca="1" si="117"/>
        <v>5.7999999999999972</v>
      </c>
    </row>
    <row r="3571" spans="2:5" x14ac:dyDescent="0.25">
      <c r="B3571" s="8">
        <v>41165</v>
      </c>
      <c r="C3571" s="6">
        <f ca="1">IF(OR($C$7="",$B3571&gt;NOW()),"",IF(INDEX(Data!$A:$G,MATCH($B3571,Data!$A:$A,0),MATCH($C$7,Data!$4:$4,0))="","",INDEX(Data!$A:$G,MATCH($B3571,Data!$A:$A,0),MATCH($C$7,Data!$4:$4,0))))</f>
        <v>71.900000000000006</v>
      </c>
      <c r="D3571" s="148">
        <f t="shared" ca="1" si="116"/>
        <v>0</v>
      </c>
      <c r="E3571" s="148">
        <f t="shared" ca="1" si="117"/>
        <v>6.9000000000000057</v>
      </c>
    </row>
    <row r="3572" spans="2:5" x14ac:dyDescent="0.25">
      <c r="B3572" s="8">
        <v>41166</v>
      </c>
      <c r="C3572" s="6">
        <f ca="1">IF(OR($C$7="",$B3572&gt;NOW()),"",IF(INDEX(Data!$A:$G,MATCH($B3572,Data!$A:$A,0),MATCH($C$7,Data!$4:$4,0))="","",INDEX(Data!$A:$G,MATCH($B3572,Data!$A:$A,0),MATCH($C$7,Data!$4:$4,0))))</f>
        <v>72.099999999999994</v>
      </c>
      <c r="D3572" s="148">
        <f t="shared" ca="1" si="116"/>
        <v>0</v>
      </c>
      <c r="E3572" s="148">
        <f t="shared" ca="1" si="117"/>
        <v>7.0999999999999943</v>
      </c>
    </row>
    <row r="3573" spans="2:5" x14ac:dyDescent="0.25">
      <c r="B3573" s="8">
        <v>41167</v>
      </c>
      <c r="C3573" s="6">
        <f ca="1">IF(OR($C$7="",$B3573&gt;NOW()),"",IF(INDEX(Data!$A:$G,MATCH($B3573,Data!$A:$A,0),MATCH($C$7,Data!$4:$4,0))="","",INDEX(Data!$A:$G,MATCH($B3573,Data!$A:$A,0),MATCH($C$7,Data!$4:$4,0))))</f>
        <v>69.3</v>
      </c>
      <c r="D3573" s="148">
        <f t="shared" ca="1" si="116"/>
        <v>0</v>
      </c>
      <c r="E3573" s="148">
        <f t="shared" ca="1" si="117"/>
        <v>4.2999999999999972</v>
      </c>
    </row>
    <row r="3574" spans="2:5" x14ac:dyDescent="0.25">
      <c r="B3574" s="8">
        <v>41168</v>
      </c>
      <c r="C3574" s="6">
        <f ca="1">IF(OR($C$7="",$B3574&gt;NOW()),"",IF(INDEX(Data!$A:$G,MATCH($B3574,Data!$A:$A,0),MATCH($C$7,Data!$4:$4,0))="","",INDEX(Data!$A:$G,MATCH($B3574,Data!$A:$A,0),MATCH($C$7,Data!$4:$4,0))))</f>
        <v>67.900000000000006</v>
      </c>
      <c r="D3574" s="148">
        <f t="shared" ca="1" si="116"/>
        <v>0</v>
      </c>
      <c r="E3574" s="148">
        <f t="shared" ca="1" si="117"/>
        <v>2.9000000000000057</v>
      </c>
    </row>
    <row r="3575" spans="2:5" x14ac:dyDescent="0.25">
      <c r="B3575" s="8">
        <v>41169</v>
      </c>
      <c r="C3575" s="6">
        <f ca="1">IF(OR($C$7="",$B3575&gt;NOW()),"",IF(INDEX(Data!$A:$G,MATCH($B3575,Data!$A:$A,0),MATCH($C$7,Data!$4:$4,0))="","",INDEX(Data!$A:$G,MATCH($B3575,Data!$A:$A,0),MATCH($C$7,Data!$4:$4,0))))</f>
        <v>70</v>
      </c>
      <c r="D3575" s="148">
        <f t="shared" ca="1" si="116"/>
        <v>0</v>
      </c>
      <c r="E3575" s="148">
        <f t="shared" ca="1" si="117"/>
        <v>5</v>
      </c>
    </row>
    <row r="3576" spans="2:5" x14ac:dyDescent="0.25">
      <c r="B3576" s="8">
        <v>41170</v>
      </c>
      <c r="C3576" s="6">
        <f ca="1">IF(OR($C$7="",$B3576&gt;NOW()),"",IF(INDEX(Data!$A:$G,MATCH($B3576,Data!$A:$A,0),MATCH($C$7,Data!$4:$4,0))="","",INDEX(Data!$A:$G,MATCH($B3576,Data!$A:$A,0),MATCH($C$7,Data!$4:$4,0))))</f>
        <v>72.7</v>
      </c>
      <c r="D3576" s="148">
        <f t="shared" ca="1" si="116"/>
        <v>0</v>
      </c>
      <c r="E3576" s="148">
        <f t="shared" ca="1" si="117"/>
        <v>7.7000000000000028</v>
      </c>
    </row>
    <row r="3577" spans="2:5" x14ac:dyDescent="0.25">
      <c r="B3577" s="8">
        <v>41171</v>
      </c>
      <c r="C3577" s="6">
        <f ca="1">IF(OR($C$7="",$B3577&gt;NOW()),"",IF(INDEX(Data!$A:$G,MATCH($B3577,Data!$A:$A,0),MATCH($C$7,Data!$4:$4,0))="","",INDEX(Data!$A:$G,MATCH($B3577,Data!$A:$A,0),MATCH($C$7,Data!$4:$4,0))))</f>
        <v>67.5</v>
      </c>
      <c r="D3577" s="148">
        <f t="shared" ca="1" si="116"/>
        <v>0</v>
      </c>
      <c r="E3577" s="148">
        <f t="shared" ca="1" si="117"/>
        <v>2.5</v>
      </c>
    </row>
    <row r="3578" spans="2:5" x14ac:dyDescent="0.25">
      <c r="B3578" s="8">
        <v>41172</v>
      </c>
      <c r="C3578" s="6">
        <f ca="1">IF(OR($C$7="",$B3578&gt;NOW()),"",IF(INDEX(Data!$A:$G,MATCH($B3578,Data!$A:$A,0),MATCH($C$7,Data!$4:$4,0))="","",INDEX(Data!$A:$G,MATCH($B3578,Data!$A:$A,0),MATCH($C$7,Data!$4:$4,0))))</f>
        <v>63.3</v>
      </c>
      <c r="D3578" s="148">
        <f t="shared" ca="1" si="116"/>
        <v>1.7000000000000028</v>
      </c>
      <c r="E3578" s="148">
        <f t="shared" ca="1" si="117"/>
        <v>0</v>
      </c>
    </row>
    <row r="3579" spans="2:5" x14ac:dyDescent="0.25">
      <c r="B3579" s="8">
        <v>41173</v>
      </c>
      <c r="C3579" s="6">
        <f ca="1">IF(OR($C$7="",$B3579&gt;NOW()),"",IF(INDEX(Data!$A:$G,MATCH($B3579,Data!$A:$A,0),MATCH($C$7,Data!$4:$4,0))="","",INDEX(Data!$A:$G,MATCH($B3579,Data!$A:$A,0),MATCH($C$7,Data!$4:$4,0))))</f>
        <v>66.099999999999994</v>
      </c>
      <c r="D3579" s="148">
        <f t="shared" ca="1" si="116"/>
        <v>0</v>
      </c>
      <c r="E3579" s="148">
        <f t="shared" ca="1" si="117"/>
        <v>1.0999999999999943</v>
      </c>
    </row>
    <row r="3580" spans="2:5" x14ac:dyDescent="0.25">
      <c r="B3580" s="8">
        <v>41174</v>
      </c>
      <c r="C3580" s="6">
        <f ca="1">IF(OR($C$7="",$B3580&gt;NOW()),"",IF(INDEX(Data!$A:$G,MATCH($B3580,Data!$A:$A,0),MATCH($C$7,Data!$4:$4,0))="","",INDEX(Data!$A:$G,MATCH($B3580,Data!$A:$A,0),MATCH($C$7,Data!$4:$4,0))))</f>
        <v>67.7</v>
      </c>
      <c r="D3580" s="148">
        <f t="shared" ca="1" si="116"/>
        <v>0</v>
      </c>
      <c r="E3580" s="148">
        <f t="shared" ca="1" si="117"/>
        <v>2.7000000000000028</v>
      </c>
    </row>
    <row r="3581" spans="2:5" x14ac:dyDescent="0.25">
      <c r="B3581" s="8">
        <v>41175</v>
      </c>
      <c r="C3581" s="6">
        <f ca="1">IF(OR($C$7="",$B3581&gt;NOW()),"",IF(INDEX(Data!$A:$G,MATCH($B3581,Data!$A:$A,0),MATCH($C$7,Data!$4:$4,0))="","",INDEX(Data!$A:$G,MATCH($B3581,Data!$A:$A,0),MATCH($C$7,Data!$4:$4,0))))</f>
        <v>66</v>
      </c>
      <c r="D3581" s="148">
        <f t="shared" ca="1" si="116"/>
        <v>0</v>
      </c>
      <c r="E3581" s="148">
        <f t="shared" ca="1" si="117"/>
        <v>1</v>
      </c>
    </row>
    <row r="3582" spans="2:5" x14ac:dyDescent="0.25">
      <c r="B3582" s="8">
        <v>41176</v>
      </c>
      <c r="C3582" s="6">
        <f ca="1">IF(OR($C$7="",$B3582&gt;NOW()),"",IF(INDEX(Data!$A:$G,MATCH($B3582,Data!$A:$A,0),MATCH($C$7,Data!$4:$4,0))="","",INDEX(Data!$A:$G,MATCH($B3582,Data!$A:$A,0),MATCH($C$7,Data!$4:$4,0))))</f>
        <v>62.1</v>
      </c>
      <c r="D3582" s="148">
        <f t="shared" ca="1" si="116"/>
        <v>2.8999999999999986</v>
      </c>
      <c r="E3582" s="148">
        <f t="shared" ca="1" si="117"/>
        <v>0</v>
      </c>
    </row>
    <row r="3583" spans="2:5" x14ac:dyDescent="0.25">
      <c r="B3583" s="8">
        <v>41177</v>
      </c>
      <c r="C3583" s="6">
        <f ca="1">IF(OR($C$7="",$B3583&gt;NOW()),"",IF(INDEX(Data!$A:$G,MATCH($B3583,Data!$A:$A,0),MATCH($C$7,Data!$4:$4,0))="","",INDEX(Data!$A:$G,MATCH($B3583,Data!$A:$A,0),MATCH($C$7,Data!$4:$4,0))))</f>
        <v>64.099999999999994</v>
      </c>
      <c r="D3583" s="148">
        <f t="shared" ca="1" si="116"/>
        <v>0.90000000000000568</v>
      </c>
      <c r="E3583" s="148">
        <f t="shared" ca="1" si="117"/>
        <v>0</v>
      </c>
    </row>
    <row r="3584" spans="2:5" x14ac:dyDescent="0.25">
      <c r="B3584" s="8">
        <v>41178</v>
      </c>
      <c r="C3584" s="6">
        <f ca="1">IF(OR($C$7="",$B3584&gt;NOW()),"",IF(INDEX(Data!$A:$G,MATCH($B3584,Data!$A:$A,0),MATCH($C$7,Data!$4:$4,0))="","",INDEX(Data!$A:$G,MATCH($B3584,Data!$A:$A,0),MATCH($C$7,Data!$4:$4,0))))</f>
        <v>69.400000000000006</v>
      </c>
      <c r="D3584" s="148">
        <f t="shared" ca="1" si="116"/>
        <v>0</v>
      </c>
      <c r="E3584" s="148">
        <f t="shared" ca="1" si="117"/>
        <v>4.4000000000000057</v>
      </c>
    </row>
    <row r="3585" spans="2:5" x14ac:dyDescent="0.25">
      <c r="B3585" s="8">
        <v>41179</v>
      </c>
      <c r="C3585" s="6">
        <f ca="1">IF(OR($C$7="",$B3585&gt;NOW()),"",IF(INDEX(Data!$A:$G,MATCH($B3585,Data!$A:$A,0),MATCH($C$7,Data!$4:$4,0))="","",INDEX(Data!$A:$G,MATCH($B3585,Data!$A:$A,0),MATCH($C$7,Data!$4:$4,0))))</f>
        <v>71.400000000000006</v>
      </c>
      <c r="D3585" s="148">
        <f t="shared" ca="1" si="116"/>
        <v>0</v>
      </c>
      <c r="E3585" s="148">
        <f t="shared" ca="1" si="117"/>
        <v>6.4000000000000057</v>
      </c>
    </row>
    <row r="3586" spans="2:5" x14ac:dyDescent="0.25">
      <c r="B3586" s="8">
        <v>41180</v>
      </c>
      <c r="C3586" s="6">
        <f ca="1">IF(OR($C$7="",$B3586&gt;NOW()),"",IF(INDEX(Data!$A:$G,MATCH($B3586,Data!$A:$A,0),MATCH($C$7,Data!$4:$4,0))="","",INDEX(Data!$A:$G,MATCH($B3586,Data!$A:$A,0),MATCH($C$7,Data!$4:$4,0))))</f>
        <v>67.5</v>
      </c>
      <c r="D3586" s="148">
        <f t="shared" ca="1" si="116"/>
        <v>0</v>
      </c>
      <c r="E3586" s="148">
        <f t="shared" ca="1" si="117"/>
        <v>2.5</v>
      </c>
    </row>
    <row r="3587" spans="2:5" x14ac:dyDescent="0.25">
      <c r="B3587" s="8">
        <v>41181</v>
      </c>
      <c r="C3587" s="6">
        <f ca="1">IF(OR($C$7="",$B3587&gt;NOW()),"",IF(INDEX(Data!$A:$G,MATCH($B3587,Data!$A:$A,0),MATCH($C$7,Data!$4:$4,0))="","",INDEX(Data!$A:$G,MATCH($B3587,Data!$A:$A,0),MATCH($C$7,Data!$4:$4,0))))</f>
        <v>62.1</v>
      </c>
      <c r="D3587" s="148">
        <f t="shared" ca="1" si="116"/>
        <v>2.8999999999999986</v>
      </c>
      <c r="E3587" s="148">
        <f t="shared" ca="1" si="117"/>
        <v>0</v>
      </c>
    </row>
    <row r="3588" spans="2:5" x14ac:dyDescent="0.25">
      <c r="B3588" s="8">
        <v>41182</v>
      </c>
      <c r="C3588" s="6">
        <f ca="1">IF(OR($C$7="",$B3588&gt;NOW()),"",IF(INDEX(Data!$A:$G,MATCH($B3588,Data!$A:$A,0),MATCH($C$7,Data!$4:$4,0))="","",INDEX(Data!$A:$G,MATCH($B3588,Data!$A:$A,0),MATCH($C$7,Data!$4:$4,0))))</f>
        <v>62.4</v>
      </c>
      <c r="D3588" s="148">
        <f t="shared" ca="1" si="116"/>
        <v>2.6000000000000014</v>
      </c>
      <c r="E3588" s="148">
        <f t="shared" ca="1" si="117"/>
        <v>0</v>
      </c>
    </row>
    <row r="3589" spans="2:5" x14ac:dyDescent="0.25">
      <c r="B3589" s="8">
        <v>41183</v>
      </c>
      <c r="C3589" s="6">
        <f ca="1">IF(OR($C$7="",$B3589&gt;NOW()),"",IF(INDEX(Data!$A:$G,MATCH($B3589,Data!$A:$A,0),MATCH($C$7,Data!$4:$4,0))="","",INDEX(Data!$A:$G,MATCH($B3589,Data!$A:$A,0),MATCH($C$7,Data!$4:$4,0))))</f>
        <v>63</v>
      </c>
      <c r="D3589" s="148">
        <f t="shared" ca="1" si="116"/>
        <v>2</v>
      </c>
      <c r="E3589" s="148">
        <f t="shared" ca="1" si="117"/>
        <v>0</v>
      </c>
    </row>
    <row r="3590" spans="2:5" x14ac:dyDescent="0.25">
      <c r="B3590" s="8">
        <v>41184</v>
      </c>
      <c r="C3590" s="6">
        <f ca="1">IF(OR($C$7="",$B3590&gt;NOW()),"",IF(INDEX(Data!$A:$G,MATCH($B3590,Data!$A:$A,0),MATCH($C$7,Data!$4:$4,0))="","",INDEX(Data!$A:$G,MATCH($B3590,Data!$A:$A,0),MATCH($C$7,Data!$4:$4,0))))</f>
        <v>66.5</v>
      </c>
      <c r="D3590" s="148">
        <f t="shared" ca="1" si="116"/>
        <v>0</v>
      </c>
      <c r="E3590" s="148">
        <f t="shared" ca="1" si="117"/>
        <v>1.5</v>
      </c>
    </row>
    <row r="3591" spans="2:5" x14ac:dyDescent="0.25">
      <c r="B3591" s="8">
        <v>41185</v>
      </c>
      <c r="C3591" s="6">
        <f ca="1">IF(OR($C$7="",$B3591&gt;NOW()),"",IF(INDEX(Data!$A:$G,MATCH($B3591,Data!$A:$A,0),MATCH($C$7,Data!$4:$4,0))="","",INDEX(Data!$A:$G,MATCH($B3591,Data!$A:$A,0),MATCH($C$7,Data!$4:$4,0))))</f>
        <v>66.3</v>
      </c>
      <c r="D3591" s="148">
        <f t="shared" ca="1" si="116"/>
        <v>0</v>
      </c>
      <c r="E3591" s="148">
        <f t="shared" ca="1" si="117"/>
        <v>1.2999999999999972</v>
      </c>
    </row>
    <row r="3592" spans="2:5" x14ac:dyDescent="0.25">
      <c r="B3592" s="8">
        <v>41186</v>
      </c>
      <c r="C3592" s="6">
        <f ca="1">IF(OR($C$7="",$B3592&gt;NOW()),"",IF(INDEX(Data!$A:$G,MATCH($B3592,Data!$A:$A,0),MATCH($C$7,Data!$4:$4,0))="","",INDEX(Data!$A:$G,MATCH($B3592,Data!$A:$A,0),MATCH($C$7,Data!$4:$4,0))))</f>
        <v>70.099999999999994</v>
      </c>
      <c r="D3592" s="148">
        <f t="shared" ca="1" si="116"/>
        <v>0</v>
      </c>
      <c r="E3592" s="148">
        <f t="shared" ca="1" si="117"/>
        <v>5.0999999999999943</v>
      </c>
    </row>
    <row r="3593" spans="2:5" x14ac:dyDescent="0.25">
      <c r="B3593" s="8">
        <v>41187</v>
      </c>
      <c r="C3593" s="6">
        <f ca="1">IF(OR($C$7="",$B3593&gt;NOW()),"",IF(INDEX(Data!$A:$G,MATCH($B3593,Data!$A:$A,0),MATCH($C$7,Data!$4:$4,0))="","",INDEX(Data!$A:$G,MATCH($B3593,Data!$A:$A,0),MATCH($C$7,Data!$4:$4,0))))</f>
        <v>71.400000000000006</v>
      </c>
      <c r="D3593" s="148">
        <f t="shared" ca="1" si="116"/>
        <v>0</v>
      </c>
      <c r="E3593" s="148">
        <f t="shared" ca="1" si="117"/>
        <v>6.4000000000000057</v>
      </c>
    </row>
    <row r="3594" spans="2:5" x14ac:dyDescent="0.25">
      <c r="B3594" s="8">
        <v>41188</v>
      </c>
      <c r="C3594" s="6">
        <f ca="1">IF(OR($C$7="",$B3594&gt;NOW()),"",IF(INDEX(Data!$A:$G,MATCH($B3594,Data!$A:$A,0),MATCH($C$7,Data!$4:$4,0))="","",INDEX(Data!$A:$G,MATCH($B3594,Data!$A:$A,0),MATCH($C$7,Data!$4:$4,0))))</f>
        <v>70.5</v>
      </c>
      <c r="D3594" s="148">
        <f t="shared" ca="1" si="116"/>
        <v>0</v>
      </c>
      <c r="E3594" s="148">
        <f t="shared" ca="1" si="117"/>
        <v>5.5</v>
      </c>
    </row>
    <row r="3595" spans="2:5" x14ac:dyDescent="0.25">
      <c r="B3595" s="8">
        <v>41189</v>
      </c>
      <c r="C3595" s="6">
        <f ca="1">IF(OR($C$7="",$B3595&gt;NOW()),"",IF(INDEX(Data!$A:$G,MATCH($B3595,Data!$A:$A,0),MATCH($C$7,Data!$4:$4,0))="","",INDEX(Data!$A:$G,MATCH($B3595,Data!$A:$A,0),MATCH($C$7,Data!$4:$4,0))))</f>
        <v>54.8</v>
      </c>
      <c r="D3595" s="148">
        <f t="shared" ca="1" si="116"/>
        <v>10.200000000000003</v>
      </c>
      <c r="E3595" s="148">
        <f t="shared" ca="1" si="117"/>
        <v>0</v>
      </c>
    </row>
    <row r="3596" spans="2:5" x14ac:dyDescent="0.25">
      <c r="B3596" s="8">
        <v>41190</v>
      </c>
      <c r="C3596" s="6">
        <f ca="1">IF(OR($C$7="",$B3596&gt;NOW()),"",IF(INDEX(Data!$A:$G,MATCH($B3596,Data!$A:$A,0),MATCH($C$7,Data!$4:$4,0))="","",INDEX(Data!$A:$G,MATCH($B3596,Data!$A:$A,0),MATCH($C$7,Data!$4:$4,0))))</f>
        <v>51.7</v>
      </c>
      <c r="D3596" s="148">
        <f t="shared" ca="1" si="116"/>
        <v>13.299999999999997</v>
      </c>
      <c r="E3596" s="148">
        <f t="shared" ca="1" si="117"/>
        <v>0</v>
      </c>
    </row>
    <row r="3597" spans="2:5" x14ac:dyDescent="0.25">
      <c r="B3597" s="8">
        <v>41191</v>
      </c>
      <c r="C3597" s="6">
        <f ca="1">IF(OR($C$7="",$B3597&gt;NOW()),"",IF(INDEX(Data!$A:$G,MATCH($B3597,Data!$A:$A,0),MATCH($C$7,Data!$4:$4,0))="","",INDEX(Data!$A:$G,MATCH($B3597,Data!$A:$A,0),MATCH($C$7,Data!$4:$4,0))))</f>
        <v>55.4</v>
      </c>
      <c r="D3597" s="148">
        <f t="shared" ca="1" si="116"/>
        <v>9.6000000000000014</v>
      </c>
      <c r="E3597" s="148">
        <f t="shared" ca="1" si="117"/>
        <v>0</v>
      </c>
    </row>
    <row r="3598" spans="2:5" x14ac:dyDescent="0.25">
      <c r="B3598" s="8">
        <v>41192</v>
      </c>
      <c r="C3598" s="6">
        <f ca="1">IF(OR($C$7="",$B3598&gt;NOW()),"",IF(INDEX(Data!$A:$G,MATCH($B3598,Data!$A:$A,0),MATCH($C$7,Data!$4:$4,0))="","",INDEX(Data!$A:$G,MATCH($B3598,Data!$A:$A,0),MATCH($C$7,Data!$4:$4,0))))</f>
        <v>59.8</v>
      </c>
      <c r="D3598" s="148">
        <f t="shared" ca="1" si="116"/>
        <v>5.2000000000000028</v>
      </c>
      <c r="E3598" s="148">
        <f t="shared" ca="1" si="117"/>
        <v>0</v>
      </c>
    </row>
    <row r="3599" spans="2:5" x14ac:dyDescent="0.25">
      <c r="B3599" s="8">
        <v>41193</v>
      </c>
      <c r="C3599" s="6">
        <f ca="1">IF(OR($C$7="",$B3599&gt;NOW()),"",IF(INDEX(Data!$A:$G,MATCH($B3599,Data!$A:$A,0),MATCH($C$7,Data!$4:$4,0))="","",INDEX(Data!$A:$G,MATCH($B3599,Data!$A:$A,0),MATCH($C$7,Data!$4:$4,0))))</f>
        <v>56</v>
      </c>
      <c r="D3599" s="148">
        <f t="shared" ca="1" si="116"/>
        <v>9</v>
      </c>
      <c r="E3599" s="148">
        <f t="shared" ca="1" si="117"/>
        <v>0</v>
      </c>
    </row>
    <row r="3600" spans="2:5" x14ac:dyDescent="0.25">
      <c r="B3600" s="8">
        <v>41194</v>
      </c>
      <c r="C3600" s="6">
        <f ca="1">IF(OR($C$7="",$B3600&gt;NOW()),"",IF(INDEX(Data!$A:$G,MATCH($B3600,Data!$A:$A,0),MATCH($C$7,Data!$4:$4,0))="","",INDEX(Data!$A:$G,MATCH($B3600,Data!$A:$A,0),MATCH($C$7,Data!$4:$4,0))))</f>
        <v>53.7</v>
      </c>
      <c r="D3600" s="148">
        <f t="shared" ca="1" si="116"/>
        <v>11.299999999999997</v>
      </c>
      <c r="E3600" s="148">
        <f t="shared" ca="1" si="117"/>
        <v>0</v>
      </c>
    </row>
    <row r="3601" spans="2:5" x14ac:dyDescent="0.25">
      <c r="B3601" s="8">
        <v>41195</v>
      </c>
      <c r="C3601" s="6">
        <f ca="1">IF(OR($C$7="",$B3601&gt;NOW()),"",IF(INDEX(Data!$A:$G,MATCH($B3601,Data!$A:$A,0),MATCH($C$7,Data!$4:$4,0))="","",INDEX(Data!$A:$G,MATCH($B3601,Data!$A:$A,0),MATCH($C$7,Data!$4:$4,0))))</f>
        <v>47.3</v>
      </c>
      <c r="D3601" s="148">
        <f t="shared" ca="1" si="116"/>
        <v>17.700000000000003</v>
      </c>
      <c r="E3601" s="148">
        <f t="shared" ca="1" si="117"/>
        <v>0</v>
      </c>
    </row>
    <row r="3602" spans="2:5" x14ac:dyDescent="0.25">
      <c r="B3602" s="8">
        <v>41196</v>
      </c>
      <c r="C3602" s="6">
        <f ca="1">IF(OR($C$7="",$B3602&gt;NOW()),"",IF(INDEX(Data!$A:$G,MATCH($B3602,Data!$A:$A,0),MATCH($C$7,Data!$4:$4,0))="","",INDEX(Data!$A:$G,MATCH($B3602,Data!$A:$A,0),MATCH($C$7,Data!$4:$4,0))))</f>
        <v>59.7</v>
      </c>
      <c r="D3602" s="148">
        <f t="shared" ca="1" si="116"/>
        <v>5.2999999999999972</v>
      </c>
      <c r="E3602" s="148">
        <f t="shared" ca="1" si="117"/>
        <v>0</v>
      </c>
    </row>
    <row r="3603" spans="2:5" x14ac:dyDescent="0.25">
      <c r="B3603" s="8">
        <v>41197</v>
      </c>
      <c r="C3603" s="6">
        <f ca="1">IF(OR($C$7="",$B3603&gt;NOW()),"",IF(INDEX(Data!$A:$G,MATCH($B3603,Data!$A:$A,0),MATCH($C$7,Data!$4:$4,0))="","",INDEX(Data!$A:$G,MATCH($B3603,Data!$A:$A,0),MATCH($C$7,Data!$4:$4,0))))</f>
        <v>67</v>
      </c>
      <c r="D3603" s="148">
        <f t="shared" ca="1" si="116"/>
        <v>0</v>
      </c>
      <c r="E3603" s="148">
        <f t="shared" ca="1" si="117"/>
        <v>2</v>
      </c>
    </row>
    <row r="3604" spans="2:5" x14ac:dyDescent="0.25">
      <c r="B3604" s="8">
        <v>41198</v>
      </c>
      <c r="C3604" s="6">
        <f ca="1">IF(OR($C$7="",$B3604&gt;NOW()),"",IF(INDEX(Data!$A:$G,MATCH($B3604,Data!$A:$A,0),MATCH($C$7,Data!$4:$4,0))="","",INDEX(Data!$A:$G,MATCH($B3604,Data!$A:$A,0),MATCH($C$7,Data!$4:$4,0))))</f>
        <v>58.1</v>
      </c>
      <c r="D3604" s="148">
        <f t="shared" ca="1" si="116"/>
        <v>6.8999999999999986</v>
      </c>
      <c r="E3604" s="148">
        <f t="shared" ca="1" si="117"/>
        <v>0</v>
      </c>
    </row>
    <row r="3605" spans="2:5" x14ac:dyDescent="0.25">
      <c r="B3605" s="8">
        <v>41199</v>
      </c>
      <c r="C3605" s="6">
        <f ca="1">IF(OR($C$7="",$B3605&gt;NOW()),"",IF(INDEX(Data!$A:$G,MATCH($B3605,Data!$A:$A,0),MATCH($C$7,Data!$4:$4,0))="","",INDEX(Data!$A:$G,MATCH($B3605,Data!$A:$A,0),MATCH($C$7,Data!$4:$4,0))))</f>
        <v>53.9</v>
      </c>
      <c r="D3605" s="148">
        <f t="shared" ca="1" si="116"/>
        <v>11.100000000000001</v>
      </c>
      <c r="E3605" s="148">
        <f t="shared" ca="1" si="117"/>
        <v>0</v>
      </c>
    </row>
    <row r="3606" spans="2:5" x14ac:dyDescent="0.25">
      <c r="B3606" s="8">
        <v>41200</v>
      </c>
      <c r="C3606" s="6">
        <f ca="1">IF(OR($C$7="",$B3606&gt;NOW()),"",IF(INDEX(Data!$A:$G,MATCH($B3606,Data!$A:$A,0),MATCH($C$7,Data!$4:$4,0))="","",INDEX(Data!$A:$G,MATCH($B3606,Data!$A:$A,0),MATCH($C$7,Data!$4:$4,0))))</f>
        <v>58.4</v>
      </c>
      <c r="D3606" s="148">
        <f t="shared" ca="1" si="116"/>
        <v>6.6000000000000014</v>
      </c>
      <c r="E3606" s="148">
        <f t="shared" ca="1" si="117"/>
        <v>0</v>
      </c>
    </row>
    <row r="3607" spans="2:5" x14ac:dyDescent="0.25">
      <c r="B3607" s="8">
        <v>41201</v>
      </c>
      <c r="C3607" s="6">
        <f ca="1">IF(OR($C$7="",$B3607&gt;NOW()),"",IF(INDEX(Data!$A:$G,MATCH($B3607,Data!$A:$A,0),MATCH($C$7,Data!$4:$4,0))="","",INDEX(Data!$A:$G,MATCH($B3607,Data!$A:$A,0),MATCH($C$7,Data!$4:$4,0))))</f>
        <v>64.900000000000006</v>
      </c>
      <c r="D3607" s="148">
        <f t="shared" ca="1" si="116"/>
        <v>9.9999999999994316E-2</v>
      </c>
      <c r="E3607" s="148">
        <f t="shared" ca="1" si="117"/>
        <v>0</v>
      </c>
    </row>
    <row r="3608" spans="2:5" x14ac:dyDescent="0.25">
      <c r="B3608" s="8">
        <v>41202</v>
      </c>
      <c r="C3608" s="6">
        <f ca="1">IF(OR($C$7="",$B3608&gt;NOW()),"",IF(INDEX(Data!$A:$G,MATCH($B3608,Data!$A:$A,0),MATCH($C$7,Data!$4:$4,0))="","",INDEX(Data!$A:$G,MATCH($B3608,Data!$A:$A,0),MATCH($C$7,Data!$4:$4,0))))</f>
        <v>64.900000000000006</v>
      </c>
      <c r="D3608" s="148">
        <f t="shared" ca="1" si="116"/>
        <v>9.9999999999994316E-2</v>
      </c>
      <c r="E3608" s="148">
        <f t="shared" ca="1" si="117"/>
        <v>0</v>
      </c>
    </row>
    <row r="3609" spans="2:5" x14ac:dyDescent="0.25">
      <c r="B3609" s="8">
        <v>41203</v>
      </c>
      <c r="C3609" s="6">
        <f ca="1">IF(OR($C$7="",$B3609&gt;NOW()),"",IF(INDEX(Data!$A:$G,MATCH($B3609,Data!$A:$A,0),MATCH($C$7,Data!$4:$4,0))="","",INDEX(Data!$A:$G,MATCH($B3609,Data!$A:$A,0),MATCH($C$7,Data!$4:$4,0))))</f>
        <v>58.9</v>
      </c>
      <c r="D3609" s="148">
        <f t="shared" ca="1" si="116"/>
        <v>6.1000000000000014</v>
      </c>
      <c r="E3609" s="148">
        <f t="shared" ca="1" si="117"/>
        <v>0</v>
      </c>
    </row>
    <row r="3610" spans="2:5" x14ac:dyDescent="0.25">
      <c r="B3610" s="8">
        <v>41204</v>
      </c>
      <c r="C3610" s="6">
        <f ca="1">IF(OR($C$7="",$B3610&gt;NOW()),"",IF(INDEX(Data!$A:$G,MATCH($B3610,Data!$A:$A,0),MATCH($C$7,Data!$4:$4,0))="","",INDEX(Data!$A:$G,MATCH($B3610,Data!$A:$A,0),MATCH($C$7,Data!$4:$4,0))))</f>
        <v>60.4</v>
      </c>
      <c r="D3610" s="148">
        <f t="shared" ca="1" si="116"/>
        <v>4.6000000000000014</v>
      </c>
      <c r="E3610" s="148">
        <f t="shared" ca="1" si="117"/>
        <v>0</v>
      </c>
    </row>
    <row r="3611" spans="2:5" x14ac:dyDescent="0.25">
      <c r="B3611" s="8">
        <v>41205</v>
      </c>
      <c r="C3611" s="6">
        <f ca="1">IF(OR($C$7="",$B3611&gt;NOW()),"",IF(INDEX(Data!$A:$G,MATCH($B3611,Data!$A:$A,0),MATCH($C$7,Data!$4:$4,0))="","",INDEX(Data!$A:$G,MATCH($B3611,Data!$A:$A,0),MATCH($C$7,Data!$4:$4,0))))</f>
        <v>61.9</v>
      </c>
      <c r="D3611" s="148">
        <f t="shared" ca="1" si="116"/>
        <v>3.1000000000000014</v>
      </c>
      <c r="E3611" s="148">
        <f t="shared" ca="1" si="117"/>
        <v>0</v>
      </c>
    </row>
    <row r="3612" spans="2:5" x14ac:dyDescent="0.25">
      <c r="B3612" s="8">
        <v>41206</v>
      </c>
      <c r="C3612" s="6">
        <f ca="1">IF(OR($C$7="",$B3612&gt;NOW()),"",IF(INDEX(Data!$A:$G,MATCH($B3612,Data!$A:$A,0),MATCH($C$7,Data!$4:$4,0))="","",INDEX(Data!$A:$G,MATCH($B3612,Data!$A:$A,0),MATCH($C$7,Data!$4:$4,0))))</f>
        <v>58.2</v>
      </c>
      <c r="D3612" s="148">
        <f t="shared" ca="1" si="116"/>
        <v>6.7999999999999972</v>
      </c>
      <c r="E3612" s="148">
        <f t="shared" ca="1" si="117"/>
        <v>0</v>
      </c>
    </row>
    <row r="3613" spans="2:5" x14ac:dyDescent="0.25">
      <c r="B3613" s="8">
        <v>41207</v>
      </c>
      <c r="C3613" s="6">
        <f ca="1">IF(OR($C$7="",$B3613&gt;NOW()),"",IF(INDEX(Data!$A:$G,MATCH($B3613,Data!$A:$A,0),MATCH($C$7,Data!$4:$4,0))="","",INDEX(Data!$A:$G,MATCH($B3613,Data!$A:$A,0),MATCH($C$7,Data!$4:$4,0))))</f>
        <v>58.9</v>
      </c>
      <c r="D3613" s="148">
        <f t="shared" ref="D3613:D3676" ca="1" si="118">IF($C3613="","",IF($C3613&gt;$D$26,0,$D$26-$C3613))</f>
        <v>6.1000000000000014</v>
      </c>
      <c r="E3613" s="148">
        <f t="shared" ref="E3613:E3676" ca="1" si="119">IF($C3613="","",IF($C3613&lt;$E$26,0,$C3613-$E$26))</f>
        <v>0</v>
      </c>
    </row>
    <row r="3614" spans="2:5" x14ac:dyDescent="0.25">
      <c r="B3614" s="8">
        <v>41208</v>
      </c>
      <c r="C3614" s="6">
        <f ca="1">IF(OR($C$7="",$B3614&gt;NOW()),"",IF(INDEX(Data!$A:$G,MATCH($B3614,Data!$A:$A,0),MATCH($C$7,Data!$4:$4,0))="","",INDEX(Data!$A:$G,MATCH($B3614,Data!$A:$A,0),MATCH($C$7,Data!$4:$4,0))))</f>
        <v>62.2</v>
      </c>
      <c r="D3614" s="148">
        <f t="shared" ca="1" si="118"/>
        <v>2.7999999999999972</v>
      </c>
      <c r="E3614" s="148">
        <f t="shared" ca="1" si="119"/>
        <v>0</v>
      </c>
    </row>
    <row r="3615" spans="2:5" x14ac:dyDescent="0.25">
      <c r="B3615" s="8">
        <v>41209</v>
      </c>
      <c r="C3615" s="6">
        <f ca="1">IF(OR($C$7="",$B3615&gt;NOW()),"",IF(INDEX(Data!$A:$G,MATCH($B3615,Data!$A:$A,0),MATCH($C$7,Data!$4:$4,0))="","",INDEX(Data!$A:$G,MATCH($B3615,Data!$A:$A,0),MATCH($C$7,Data!$4:$4,0))))</f>
        <v>63.2</v>
      </c>
      <c r="D3615" s="148">
        <f t="shared" ca="1" si="118"/>
        <v>1.7999999999999972</v>
      </c>
      <c r="E3615" s="148">
        <f t="shared" ca="1" si="119"/>
        <v>0</v>
      </c>
    </row>
    <row r="3616" spans="2:5" x14ac:dyDescent="0.25">
      <c r="B3616" s="8">
        <v>41210</v>
      </c>
      <c r="C3616" s="6">
        <f ca="1">IF(OR($C$7="",$B3616&gt;NOW()),"",IF(INDEX(Data!$A:$G,MATCH($B3616,Data!$A:$A,0),MATCH($C$7,Data!$4:$4,0))="","",INDEX(Data!$A:$G,MATCH($B3616,Data!$A:$A,0),MATCH($C$7,Data!$4:$4,0))))</f>
        <v>59.2</v>
      </c>
      <c r="D3616" s="148">
        <f t="shared" ca="1" si="118"/>
        <v>5.7999999999999972</v>
      </c>
      <c r="E3616" s="148">
        <f t="shared" ca="1" si="119"/>
        <v>0</v>
      </c>
    </row>
    <row r="3617" spans="2:5" x14ac:dyDescent="0.25">
      <c r="B3617" s="8">
        <v>41211</v>
      </c>
      <c r="C3617" s="6">
        <f ca="1">IF(OR($C$7="",$B3617&gt;NOW()),"",IF(INDEX(Data!$A:$G,MATCH($B3617,Data!$A:$A,0),MATCH($C$7,Data!$4:$4,0))="","",INDEX(Data!$A:$G,MATCH($B3617,Data!$A:$A,0),MATCH($C$7,Data!$4:$4,0))))</f>
        <v>58.4</v>
      </c>
      <c r="D3617" s="148">
        <f t="shared" ca="1" si="118"/>
        <v>6.6000000000000014</v>
      </c>
      <c r="E3617" s="148">
        <f t="shared" ca="1" si="119"/>
        <v>0</v>
      </c>
    </row>
    <row r="3618" spans="2:5" x14ac:dyDescent="0.25">
      <c r="B3618" s="8">
        <v>41212</v>
      </c>
      <c r="C3618" s="6">
        <f ca="1">IF(OR($C$7="",$B3618&gt;NOW()),"",IF(INDEX(Data!$A:$G,MATCH($B3618,Data!$A:$A,0),MATCH($C$7,Data!$4:$4,0))="","",INDEX(Data!$A:$G,MATCH($B3618,Data!$A:$A,0),MATCH($C$7,Data!$4:$4,0))))</f>
        <v>57.7</v>
      </c>
      <c r="D3618" s="148">
        <f t="shared" ca="1" si="118"/>
        <v>7.2999999999999972</v>
      </c>
      <c r="E3618" s="148">
        <f t="shared" ca="1" si="119"/>
        <v>0</v>
      </c>
    </row>
    <row r="3619" spans="2:5" x14ac:dyDescent="0.25">
      <c r="B3619" s="8">
        <v>41213</v>
      </c>
      <c r="C3619" s="6">
        <f ca="1">IF(OR($C$7="",$B3619&gt;NOW()),"",IF(INDEX(Data!$A:$G,MATCH($B3619,Data!$A:$A,0),MATCH($C$7,Data!$4:$4,0))="","",INDEX(Data!$A:$G,MATCH($B3619,Data!$A:$A,0),MATCH($C$7,Data!$4:$4,0))))</f>
        <v>51.4</v>
      </c>
      <c r="D3619" s="148">
        <f t="shared" ca="1" si="118"/>
        <v>13.600000000000001</v>
      </c>
      <c r="E3619" s="148">
        <f t="shared" ca="1" si="119"/>
        <v>0</v>
      </c>
    </row>
    <row r="3620" spans="2:5" x14ac:dyDescent="0.25">
      <c r="B3620" s="8">
        <v>41214</v>
      </c>
      <c r="C3620" s="6">
        <f ca="1">IF(OR($C$7="",$B3620&gt;NOW()),"",IF(INDEX(Data!$A:$G,MATCH($B3620,Data!$A:$A,0),MATCH($C$7,Data!$4:$4,0))="","",INDEX(Data!$A:$G,MATCH($B3620,Data!$A:$A,0),MATCH($C$7,Data!$4:$4,0))))</f>
        <v>47.5</v>
      </c>
      <c r="D3620" s="148">
        <f t="shared" ca="1" si="118"/>
        <v>17.5</v>
      </c>
      <c r="E3620" s="148">
        <f t="shared" ca="1" si="119"/>
        <v>0</v>
      </c>
    </row>
    <row r="3621" spans="2:5" x14ac:dyDescent="0.25">
      <c r="B3621" s="8">
        <v>41215</v>
      </c>
      <c r="C3621" s="6">
        <f ca="1">IF(OR($C$7="",$B3621&gt;NOW()),"",IF(INDEX(Data!$A:$G,MATCH($B3621,Data!$A:$A,0),MATCH($C$7,Data!$4:$4,0))="","",INDEX(Data!$A:$G,MATCH($B3621,Data!$A:$A,0),MATCH($C$7,Data!$4:$4,0))))</f>
        <v>49.2</v>
      </c>
      <c r="D3621" s="148">
        <f t="shared" ca="1" si="118"/>
        <v>15.799999999999997</v>
      </c>
      <c r="E3621" s="148">
        <f t="shared" ca="1" si="119"/>
        <v>0</v>
      </c>
    </row>
    <row r="3622" spans="2:5" x14ac:dyDescent="0.25">
      <c r="B3622" s="8">
        <v>41216</v>
      </c>
      <c r="C3622" s="6">
        <f ca="1">IF(OR($C$7="",$B3622&gt;NOW()),"",IF(INDEX(Data!$A:$G,MATCH($B3622,Data!$A:$A,0),MATCH($C$7,Data!$4:$4,0))="","",INDEX(Data!$A:$G,MATCH($B3622,Data!$A:$A,0),MATCH($C$7,Data!$4:$4,0))))</f>
        <v>46.6</v>
      </c>
      <c r="D3622" s="148">
        <f t="shared" ca="1" si="118"/>
        <v>18.399999999999999</v>
      </c>
      <c r="E3622" s="148">
        <f t="shared" ca="1" si="119"/>
        <v>0</v>
      </c>
    </row>
    <row r="3623" spans="2:5" x14ac:dyDescent="0.25">
      <c r="B3623" s="8">
        <v>41217</v>
      </c>
      <c r="C3623" s="6">
        <f ca="1">IF(OR($C$7="",$B3623&gt;NOW()),"",IF(INDEX(Data!$A:$G,MATCH($B3623,Data!$A:$A,0),MATCH($C$7,Data!$4:$4,0))="","",INDEX(Data!$A:$G,MATCH($B3623,Data!$A:$A,0),MATCH($C$7,Data!$4:$4,0))))</f>
        <v>45.3</v>
      </c>
      <c r="D3623" s="148">
        <f t="shared" ca="1" si="118"/>
        <v>19.700000000000003</v>
      </c>
      <c r="E3623" s="148">
        <f t="shared" ca="1" si="119"/>
        <v>0</v>
      </c>
    </row>
    <row r="3624" spans="2:5" x14ac:dyDescent="0.25">
      <c r="B3624" s="8">
        <v>41218</v>
      </c>
      <c r="C3624" s="6">
        <f ca="1">IF(OR($C$7="",$B3624&gt;NOW()),"",IF(INDEX(Data!$A:$G,MATCH($B3624,Data!$A:$A,0),MATCH($C$7,Data!$4:$4,0))="","",INDEX(Data!$A:$G,MATCH($B3624,Data!$A:$A,0),MATCH($C$7,Data!$4:$4,0))))</f>
        <v>43.2</v>
      </c>
      <c r="D3624" s="148">
        <f t="shared" ca="1" si="118"/>
        <v>21.799999999999997</v>
      </c>
      <c r="E3624" s="148">
        <f t="shared" ca="1" si="119"/>
        <v>0</v>
      </c>
    </row>
    <row r="3625" spans="2:5" x14ac:dyDescent="0.25">
      <c r="B3625" s="8">
        <v>41219</v>
      </c>
      <c r="C3625" s="6">
        <f ca="1">IF(OR($C$7="",$B3625&gt;NOW()),"",IF(INDEX(Data!$A:$G,MATCH($B3625,Data!$A:$A,0),MATCH($C$7,Data!$4:$4,0))="","",INDEX(Data!$A:$G,MATCH($B3625,Data!$A:$A,0),MATCH($C$7,Data!$4:$4,0))))</f>
        <v>38.4</v>
      </c>
      <c r="D3625" s="148">
        <f t="shared" ca="1" si="118"/>
        <v>26.6</v>
      </c>
      <c r="E3625" s="148">
        <f t="shared" ca="1" si="119"/>
        <v>0</v>
      </c>
    </row>
    <row r="3626" spans="2:5" x14ac:dyDescent="0.25">
      <c r="B3626" s="8">
        <v>41220</v>
      </c>
      <c r="C3626" s="6">
        <f ca="1">IF(OR($C$7="",$B3626&gt;NOW()),"",IF(INDEX(Data!$A:$G,MATCH($B3626,Data!$A:$A,0),MATCH($C$7,Data!$4:$4,0))="","",INDEX(Data!$A:$G,MATCH($B3626,Data!$A:$A,0),MATCH($C$7,Data!$4:$4,0))))</f>
        <v>38.9</v>
      </c>
      <c r="D3626" s="148">
        <f t="shared" ca="1" si="118"/>
        <v>26.1</v>
      </c>
      <c r="E3626" s="148">
        <f t="shared" ca="1" si="119"/>
        <v>0</v>
      </c>
    </row>
    <row r="3627" spans="2:5" x14ac:dyDescent="0.25">
      <c r="B3627" s="8">
        <v>41221</v>
      </c>
      <c r="C3627" s="6">
        <f ca="1">IF(OR($C$7="",$B3627&gt;NOW()),"",IF(INDEX(Data!$A:$G,MATCH($B3627,Data!$A:$A,0),MATCH($C$7,Data!$4:$4,0))="","",INDEX(Data!$A:$G,MATCH($B3627,Data!$A:$A,0),MATCH($C$7,Data!$4:$4,0))))</f>
        <v>40.1</v>
      </c>
      <c r="D3627" s="148">
        <f t="shared" ca="1" si="118"/>
        <v>24.9</v>
      </c>
      <c r="E3627" s="148">
        <f t="shared" ca="1" si="119"/>
        <v>0</v>
      </c>
    </row>
    <row r="3628" spans="2:5" x14ac:dyDescent="0.25">
      <c r="B3628" s="8">
        <v>41222</v>
      </c>
      <c r="C3628" s="6">
        <f ca="1">IF(OR($C$7="",$B3628&gt;NOW()),"",IF(INDEX(Data!$A:$G,MATCH($B3628,Data!$A:$A,0),MATCH($C$7,Data!$4:$4,0))="","",INDEX(Data!$A:$G,MATCH($B3628,Data!$A:$A,0),MATCH($C$7,Data!$4:$4,0))))</f>
        <v>44.9</v>
      </c>
      <c r="D3628" s="148">
        <f t="shared" ca="1" si="118"/>
        <v>20.100000000000001</v>
      </c>
      <c r="E3628" s="148">
        <f t="shared" ca="1" si="119"/>
        <v>0</v>
      </c>
    </row>
    <row r="3629" spans="2:5" x14ac:dyDescent="0.25">
      <c r="B3629" s="8">
        <v>41223</v>
      </c>
      <c r="C3629" s="6">
        <f ca="1">IF(OR($C$7="",$B3629&gt;NOW()),"",IF(INDEX(Data!$A:$G,MATCH($B3629,Data!$A:$A,0),MATCH($C$7,Data!$4:$4,0))="","",INDEX(Data!$A:$G,MATCH($B3629,Data!$A:$A,0),MATCH($C$7,Data!$4:$4,0))))</f>
        <v>49.6</v>
      </c>
      <c r="D3629" s="148">
        <f t="shared" ca="1" si="118"/>
        <v>15.399999999999999</v>
      </c>
      <c r="E3629" s="148">
        <f t="shared" ca="1" si="119"/>
        <v>0</v>
      </c>
    </row>
    <row r="3630" spans="2:5" x14ac:dyDescent="0.25">
      <c r="B3630" s="8">
        <v>41224</v>
      </c>
      <c r="C3630" s="6">
        <f ca="1">IF(OR($C$7="",$B3630&gt;NOW()),"",IF(INDEX(Data!$A:$G,MATCH($B3630,Data!$A:$A,0),MATCH($C$7,Data!$4:$4,0))="","",INDEX(Data!$A:$G,MATCH($B3630,Data!$A:$A,0),MATCH($C$7,Data!$4:$4,0))))</f>
        <v>54.1</v>
      </c>
      <c r="D3630" s="148">
        <f t="shared" ca="1" si="118"/>
        <v>10.899999999999999</v>
      </c>
      <c r="E3630" s="148">
        <f t="shared" ca="1" si="119"/>
        <v>0</v>
      </c>
    </row>
    <row r="3631" spans="2:5" x14ac:dyDescent="0.25">
      <c r="B3631" s="8">
        <v>41225</v>
      </c>
      <c r="C3631" s="6">
        <f ca="1">IF(OR($C$7="",$B3631&gt;NOW()),"",IF(INDEX(Data!$A:$G,MATCH($B3631,Data!$A:$A,0),MATCH($C$7,Data!$4:$4,0))="","",INDEX(Data!$A:$G,MATCH($B3631,Data!$A:$A,0),MATCH($C$7,Data!$4:$4,0))))</f>
        <v>56</v>
      </c>
      <c r="D3631" s="148">
        <f t="shared" ca="1" si="118"/>
        <v>9</v>
      </c>
      <c r="E3631" s="148">
        <f t="shared" ca="1" si="119"/>
        <v>0</v>
      </c>
    </row>
    <row r="3632" spans="2:5" x14ac:dyDescent="0.25">
      <c r="B3632" s="8">
        <v>41226</v>
      </c>
      <c r="C3632" s="6">
        <f ca="1">IF(OR($C$7="",$B3632&gt;NOW()),"",IF(INDEX(Data!$A:$G,MATCH($B3632,Data!$A:$A,0),MATCH($C$7,Data!$4:$4,0))="","",INDEX(Data!$A:$G,MATCH($B3632,Data!$A:$A,0),MATCH($C$7,Data!$4:$4,0))))</f>
        <v>53.3</v>
      </c>
      <c r="D3632" s="148">
        <f t="shared" ca="1" si="118"/>
        <v>11.700000000000003</v>
      </c>
      <c r="E3632" s="148">
        <f t="shared" ca="1" si="119"/>
        <v>0</v>
      </c>
    </row>
    <row r="3633" spans="2:5" x14ac:dyDescent="0.25">
      <c r="B3633" s="8">
        <v>41227</v>
      </c>
      <c r="C3633" s="6">
        <f ca="1">IF(OR($C$7="",$B3633&gt;NOW()),"",IF(INDEX(Data!$A:$G,MATCH($B3633,Data!$A:$A,0),MATCH($C$7,Data!$4:$4,0))="","",INDEX(Data!$A:$G,MATCH($B3633,Data!$A:$A,0),MATCH($C$7,Data!$4:$4,0))))</f>
        <v>43.3</v>
      </c>
      <c r="D3633" s="148">
        <f t="shared" ca="1" si="118"/>
        <v>21.700000000000003</v>
      </c>
      <c r="E3633" s="148">
        <f t="shared" ca="1" si="119"/>
        <v>0</v>
      </c>
    </row>
    <row r="3634" spans="2:5" x14ac:dyDescent="0.25">
      <c r="B3634" s="8">
        <v>41228</v>
      </c>
      <c r="C3634" s="6">
        <f ca="1">IF(OR($C$7="",$B3634&gt;NOW()),"",IF(INDEX(Data!$A:$G,MATCH($B3634,Data!$A:$A,0),MATCH($C$7,Data!$4:$4,0))="","",INDEX(Data!$A:$G,MATCH($B3634,Data!$A:$A,0),MATCH($C$7,Data!$4:$4,0))))</f>
        <v>41.7</v>
      </c>
      <c r="D3634" s="148">
        <f t="shared" ca="1" si="118"/>
        <v>23.299999999999997</v>
      </c>
      <c r="E3634" s="148">
        <f t="shared" ca="1" si="119"/>
        <v>0</v>
      </c>
    </row>
    <row r="3635" spans="2:5" x14ac:dyDescent="0.25">
      <c r="B3635" s="8">
        <v>41229</v>
      </c>
      <c r="C3635" s="6">
        <f ca="1">IF(OR($C$7="",$B3635&gt;NOW()),"",IF(INDEX(Data!$A:$G,MATCH($B3635,Data!$A:$A,0),MATCH($C$7,Data!$4:$4,0))="","",INDEX(Data!$A:$G,MATCH($B3635,Data!$A:$A,0),MATCH($C$7,Data!$4:$4,0))))</f>
        <v>42.6</v>
      </c>
      <c r="D3635" s="148">
        <f t="shared" ca="1" si="118"/>
        <v>22.4</v>
      </c>
      <c r="E3635" s="148">
        <f t="shared" ca="1" si="119"/>
        <v>0</v>
      </c>
    </row>
    <row r="3636" spans="2:5" x14ac:dyDescent="0.25">
      <c r="B3636" s="8">
        <v>41230</v>
      </c>
      <c r="C3636" s="6">
        <f ca="1">IF(OR($C$7="",$B3636&gt;NOW()),"",IF(INDEX(Data!$A:$G,MATCH($B3636,Data!$A:$A,0),MATCH($C$7,Data!$4:$4,0))="","",INDEX(Data!$A:$G,MATCH($B3636,Data!$A:$A,0),MATCH($C$7,Data!$4:$4,0))))</f>
        <v>44.8</v>
      </c>
      <c r="D3636" s="148">
        <f t="shared" ca="1" si="118"/>
        <v>20.200000000000003</v>
      </c>
      <c r="E3636" s="148">
        <f t="shared" ca="1" si="119"/>
        <v>0</v>
      </c>
    </row>
    <row r="3637" spans="2:5" x14ac:dyDescent="0.25">
      <c r="B3637" s="8">
        <v>41231</v>
      </c>
      <c r="C3637" s="6">
        <f ca="1">IF(OR($C$7="",$B3637&gt;NOW()),"",IF(INDEX(Data!$A:$G,MATCH($B3637,Data!$A:$A,0),MATCH($C$7,Data!$4:$4,0))="","",INDEX(Data!$A:$G,MATCH($B3637,Data!$A:$A,0),MATCH($C$7,Data!$4:$4,0))))</f>
        <v>44.7</v>
      </c>
      <c r="D3637" s="148">
        <f t="shared" ca="1" si="118"/>
        <v>20.299999999999997</v>
      </c>
      <c r="E3637" s="148">
        <f t="shared" ca="1" si="119"/>
        <v>0</v>
      </c>
    </row>
    <row r="3638" spans="2:5" x14ac:dyDescent="0.25">
      <c r="B3638" s="8">
        <v>41232</v>
      </c>
      <c r="C3638" s="6">
        <f ca="1">IF(OR($C$7="",$B3638&gt;NOW()),"",IF(INDEX(Data!$A:$G,MATCH($B3638,Data!$A:$A,0),MATCH($C$7,Data!$4:$4,0))="","",INDEX(Data!$A:$G,MATCH($B3638,Data!$A:$A,0),MATCH($C$7,Data!$4:$4,0))))</f>
        <v>43.9</v>
      </c>
      <c r="D3638" s="148">
        <f t="shared" ca="1" si="118"/>
        <v>21.1</v>
      </c>
      <c r="E3638" s="148">
        <f t="shared" ca="1" si="119"/>
        <v>0</v>
      </c>
    </row>
    <row r="3639" spans="2:5" x14ac:dyDescent="0.25">
      <c r="B3639" s="8">
        <v>41233</v>
      </c>
      <c r="C3639" s="6">
        <f ca="1">IF(OR($C$7="",$B3639&gt;NOW()),"",IF(INDEX(Data!$A:$G,MATCH($B3639,Data!$A:$A,0),MATCH($C$7,Data!$4:$4,0))="","",INDEX(Data!$A:$G,MATCH($B3639,Data!$A:$A,0),MATCH($C$7,Data!$4:$4,0))))</f>
        <v>45.3</v>
      </c>
      <c r="D3639" s="148">
        <f t="shared" ca="1" si="118"/>
        <v>19.700000000000003</v>
      </c>
      <c r="E3639" s="148">
        <f t="shared" ca="1" si="119"/>
        <v>0</v>
      </c>
    </row>
    <row r="3640" spans="2:5" x14ac:dyDescent="0.25">
      <c r="B3640" s="8">
        <v>41234</v>
      </c>
      <c r="C3640" s="6">
        <f ca="1">IF(OR($C$7="",$B3640&gt;NOW()),"",IF(INDEX(Data!$A:$G,MATCH($B3640,Data!$A:$A,0),MATCH($C$7,Data!$4:$4,0))="","",INDEX(Data!$A:$G,MATCH($B3640,Data!$A:$A,0),MATCH($C$7,Data!$4:$4,0))))</f>
        <v>47.5</v>
      </c>
      <c r="D3640" s="148">
        <f t="shared" ca="1" si="118"/>
        <v>17.5</v>
      </c>
      <c r="E3640" s="148">
        <f t="shared" ca="1" si="119"/>
        <v>0</v>
      </c>
    </row>
    <row r="3641" spans="2:5" x14ac:dyDescent="0.25">
      <c r="B3641" s="8">
        <v>41235</v>
      </c>
      <c r="C3641" s="6">
        <f ca="1">IF(OR($C$7="",$B3641&gt;NOW()),"",IF(INDEX(Data!$A:$G,MATCH($B3641,Data!$A:$A,0),MATCH($C$7,Data!$4:$4,0))="","",INDEX(Data!$A:$G,MATCH($B3641,Data!$A:$A,0),MATCH($C$7,Data!$4:$4,0))))</f>
        <v>47.6</v>
      </c>
      <c r="D3641" s="148">
        <f t="shared" ca="1" si="118"/>
        <v>17.399999999999999</v>
      </c>
      <c r="E3641" s="148">
        <f t="shared" ca="1" si="119"/>
        <v>0</v>
      </c>
    </row>
    <row r="3642" spans="2:5" x14ac:dyDescent="0.25">
      <c r="B3642" s="8">
        <v>41236</v>
      </c>
      <c r="C3642" s="6">
        <f ca="1">IF(OR($C$7="",$B3642&gt;NOW()),"",IF(INDEX(Data!$A:$G,MATCH($B3642,Data!$A:$A,0),MATCH($C$7,Data!$4:$4,0))="","",INDEX(Data!$A:$G,MATCH($B3642,Data!$A:$A,0),MATCH($C$7,Data!$4:$4,0))))</f>
        <v>48.5</v>
      </c>
      <c r="D3642" s="148">
        <f t="shared" ca="1" si="118"/>
        <v>16.5</v>
      </c>
      <c r="E3642" s="148">
        <f t="shared" ca="1" si="119"/>
        <v>0</v>
      </c>
    </row>
    <row r="3643" spans="2:5" x14ac:dyDescent="0.25">
      <c r="B3643" s="8">
        <v>41237</v>
      </c>
      <c r="C3643" s="6">
        <f ca="1">IF(OR($C$7="",$B3643&gt;NOW()),"",IF(INDEX(Data!$A:$G,MATCH($B3643,Data!$A:$A,0),MATCH($C$7,Data!$4:$4,0))="","",INDEX(Data!$A:$G,MATCH($B3643,Data!$A:$A,0),MATCH($C$7,Data!$4:$4,0))))</f>
        <v>46</v>
      </c>
      <c r="D3643" s="148">
        <f t="shared" ca="1" si="118"/>
        <v>19</v>
      </c>
      <c r="E3643" s="148">
        <f t="shared" ca="1" si="119"/>
        <v>0</v>
      </c>
    </row>
    <row r="3644" spans="2:5" x14ac:dyDescent="0.25">
      <c r="B3644" s="8">
        <v>41238</v>
      </c>
      <c r="C3644" s="6">
        <f ca="1">IF(OR($C$7="",$B3644&gt;NOW()),"",IF(INDEX(Data!$A:$G,MATCH($B3644,Data!$A:$A,0),MATCH($C$7,Data!$4:$4,0))="","",INDEX(Data!$A:$G,MATCH($B3644,Data!$A:$A,0),MATCH($C$7,Data!$4:$4,0))))</f>
        <v>38.5</v>
      </c>
      <c r="D3644" s="148">
        <f t="shared" ca="1" si="118"/>
        <v>26.5</v>
      </c>
      <c r="E3644" s="148">
        <f t="shared" ca="1" si="119"/>
        <v>0</v>
      </c>
    </row>
    <row r="3645" spans="2:5" x14ac:dyDescent="0.25">
      <c r="B3645" s="8">
        <v>41239</v>
      </c>
      <c r="C3645" s="6">
        <f ca="1">IF(OR($C$7="",$B3645&gt;NOW()),"",IF(INDEX(Data!$A:$G,MATCH($B3645,Data!$A:$A,0),MATCH($C$7,Data!$4:$4,0))="","",INDEX(Data!$A:$G,MATCH($B3645,Data!$A:$A,0),MATCH($C$7,Data!$4:$4,0))))</f>
        <v>42.3</v>
      </c>
      <c r="D3645" s="148">
        <f t="shared" ca="1" si="118"/>
        <v>22.700000000000003</v>
      </c>
      <c r="E3645" s="148">
        <f t="shared" ca="1" si="119"/>
        <v>0</v>
      </c>
    </row>
    <row r="3646" spans="2:5" x14ac:dyDescent="0.25">
      <c r="B3646" s="8">
        <v>41240</v>
      </c>
      <c r="C3646" s="6">
        <f ca="1">IF(OR($C$7="",$B3646&gt;NOW()),"",IF(INDEX(Data!$A:$G,MATCH($B3646,Data!$A:$A,0),MATCH($C$7,Data!$4:$4,0))="","",INDEX(Data!$A:$G,MATCH($B3646,Data!$A:$A,0),MATCH($C$7,Data!$4:$4,0))))</f>
        <v>40.5</v>
      </c>
      <c r="D3646" s="148">
        <f t="shared" ca="1" si="118"/>
        <v>24.5</v>
      </c>
      <c r="E3646" s="148">
        <f t="shared" ca="1" si="119"/>
        <v>0</v>
      </c>
    </row>
    <row r="3647" spans="2:5" x14ac:dyDescent="0.25">
      <c r="B3647" s="8">
        <v>41241</v>
      </c>
      <c r="C3647" s="6">
        <f ca="1">IF(OR($C$7="",$B3647&gt;NOW()),"",IF(INDEX(Data!$A:$G,MATCH($B3647,Data!$A:$A,0),MATCH($C$7,Data!$4:$4,0))="","",INDEX(Data!$A:$G,MATCH($B3647,Data!$A:$A,0),MATCH($C$7,Data!$4:$4,0))))</f>
        <v>38.5</v>
      </c>
      <c r="D3647" s="148">
        <f t="shared" ca="1" si="118"/>
        <v>26.5</v>
      </c>
      <c r="E3647" s="148">
        <f t="shared" ca="1" si="119"/>
        <v>0</v>
      </c>
    </row>
    <row r="3648" spans="2:5" x14ac:dyDescent="0.25">
      <c r="B3648" s="8">
        <v>41242</v>
      </c>
      <c r="C3648" s="6">
        <f ca="1">IF(OR($C$7="",$B3648&gt;NOW()),"",IF(INDEX(Data!$A:$G,MATCH($B3648,Data!$A:$A,0),MATCH($C$7,Data!$4:$4,0))="","",INDEX(Data!$A:$G,MATCH($B3648,Data!$A:$A,0),MATCH($C$7,Data!$4:$4,0))))</f>
        <v>39.799999999999997</v>
      </c>
      <c r="D3648" s="148">
        <f t="shared" ca="1" si="118"/>
        <v>25.200000000000003</v>
      </c>
      <c r="E3648" s="148">
        <f t="shared" ca="1" si="119"/>
        <v>0</v>
      </c>
    </row>
    <row r="3649" spans="2:5" x14ac:dyDescent="0.25">
      <c r="B3649" s="8">
        <v>41243</v>
      </c>
      <c r="C3649" s="6">
        <f ca="1">IF(OR($C$7="",$B3649&gt;NOW()),"",IF(INDEX(Data!$A:$G,MATCH($B3649,Data!$A:$A,0),MATCH($C$7,Data!$4:$4,0))="","",INDEX(Data!$A:$G,MATCH($B3649,Data!$A:$A,0),MATCH($C$7,Data!$4:$4,0))))</f>
        <v>43</v>
      </c>
      <c r="D3649" s="148">
        <f t="shared" ca="1" si="118"/>
        <v>22</v>
      </c>
      <c r="E3649" s="148">
        <f t="shared" ca="1" si="119"/>
        <v>0</v>
      </c>
    </row>
    <row r="3650" spans="2:5" x14ac:dyDescent="0.25">
      <c r="B3650" s="8">
        <v>41244</v>
      </c>
      <c r="C3650" s="6">
        <f ca="1">IF(OR($C$7="",$B3650&gt;NOW()),"",IF(INDEX(Data!$A:$G,MATCH($B3650,Data!$A:$A,0),MATCH($C$7,Data!$4:$4,0))="","",INDEX(Data!$A:$G,MATCH($B3650,Data!$A:$A,0),MATCH($C$7,Data!$4:$4,0))))</f>
        <v>39.5</v>
      </c>
      <c r="D3650" s="148">
        <f t="shared" ca="1" si="118"/>
        <v>25.5</v>
      </c>
      <c r="E3650" s="148">
        <f t="shared" ca="1" si="119"/>
        <v>0</v>
      </c>
    </row>
    <row r="3651" spans="2:5" x14ac:dyDescent="0.25">
      <c r="B3651" s="8">
        <v>41245</v>
      </c>
      <c r="C3651" s="6">
        <f ca="1">IF(OR($C$7="",$B3651&gt;NOW()),"",IF(INDEX(Data!$A:$G,MATCH($B3651,Data!$A:$A,0),MATCH($C$7,Data!$4:$4,0))="","",INDEX(Data!$A:$G,MATCH($B3651,Data!$A:$A,0),MATCH($C$7,Data!$4:$4,0))))</f>
        <v>44.3</v>
      </c>
      <c r="D3651" s="148">
        <f t="shared" ca="1" si="118"/>
        <v>20.700000000000003</v>
      </c>
      <c r="E3651" s="148">
        <f t="shared" ca="1" si="119"/>
        <v>0</v>
      </c>
    </row>
    <row r="3652" spans="2:5" x14ac:dyDescent="0.25">
      <c r="B3652" s="8">
        <v>41246</v>
      </c>
      <c r="C3652" s="6">
        <f ca="1">IF(OR($C$7="",$B3652&gt;NOW()),"",IF(INDEX(Data!$A:$G,MATCH($B3652,Data!$A:$A,0),MATCH($C$7,Data!$4:$4,0))="","",INDEX(Data!$A:$G,MATCH($B3652,Data!$A:$A,0),MATCH($C$7,Data!$4:$4,0))))</f>
        <v>53.9</v>
      </c>
      <c r="D3652" s="148">
        <f t="shared" ca="1" si="118"/>
        <v>11.100000000000001</v>
      </c>
      <c r="E3652" s="148">
        <f t="shared" ca="1" si="119"/>
        <v>0</v>
      </c>
    </row>
    <row r="3653" spans="2:5" x14ac:dyDescent="0.25">
      <c r="B3653" s="8">
        <v>41247</v>
      </c>
      <c r="C3653" s="6">
        <f ca="1">IF(OR($C$7="",$B3653&gt;NOW()),"",IF(INDEX(Data!$A:$G,MATCH($B3653,Data!$A:$A,0),MATCH($C$7,Data!$4:$4,0))="","",INDEX(Data!$A:$G,MATCH($B3653,Data!$A:$A,0),MATCH($C$7,Data!$4:$4,0))))</f>
        <v>51.4</v>
      </c>
      <c r="D3653" s="148">
        <f t="shared" ca="1" si="118"/>
        <v>13.600000000000001</v>
      </c>
      <c r="E3653" s="148">
        <f t="shared" ca="1" si="119"/>
        <v>0</v>
      </c>
    </row>
    <row r="3654" spans="2:5" x14ac:dyDescent="0.25">
      <c r="B3654" s="8">
        <v>41248</v>
      </c>
      <c r="C3654" s="6">
        <f ca="1">IF(OR($C$7="",$B3654&gt;NOW()),"",IF(INDEX(Data!$A:$G,MATCH($B3654,Data!$A:$A,0),MATCH($C$7,Data!$4:$4,0))="","",INDEX(Data!$A:$G,MATCH($B3654,Data!$A:$A,0),MATCH($C$7,Data!$4:$4,0))))</f>
        <v>53</v>
      </c>
      <c r="D3654" s="148">
        <f t="shared" ca="1" si="118"/>
        <v>12</v>
      </c>
      <c r="E3654" s="148">
        <f t="shared" ca="1" si="119"/>
        <v>0</v>
      </c>
    </row>
    <row r="3655" spans="2:5" x14ac:dyDescent="0.25">
      <c r="B3655" s="8">
        <v>41249</v>
      </c>
      <c r="C3655" s="6">
        <f ca="1">IF(OR($C$7="",$B3655&gt;NOW()),"",IF(INDEX(Data!$A:$G,MATCH($B3655,Data!$A:$A,0),MATCH($C$7,Data!$4:$4,0))="","",INDEX(Data!$A:$G,MATCH($B3655,Data!$A:$A,0),MATCH($C$7,Data!$4:$4,0))))</f>
        <v>36.700000000000003</v>
      </c>
      <c r="D3655" s="148">
        <f t="shared" ca="1" si="118"/>
        <v>28.299999999999997</v>
      </c>
      <c r="E3655" s="148">
        <f t="shared" ca="1" si="119"/>
        <v>0</v>
      </c>
    </row>
    <row r="3656" spans="2:5" x14ac:dyDescent="0.25">
      <c r="B3656" s="8">
        <v>41250</v>
      </c>
      <c r="C3656" s="6">
        <f ca="1">IF(OR($C$7="",$B3656&gt;NOW()),"",IF(INDEX(Data!$A:$G,MATCH($B3656,Data!$A:$A,0),MATCH($C$7,Data!$4:$4,0))="","",INDEX(Data!$A:$G,MATCH($B3656,Data!$A:$A,0),MATCH($C$7,Data!$4:$4,0))))</f>
        <v>40.9</v>
      </c>
      <c r="D3656" s="148">
        <f t="shared" ca="1" si="118"/>
        <v>24.1</v>
      </c>
      <c r="E3656" s="148">
        <f t="shared" ca="1" si="119"/>
        <v>0</v>
      </c>
    </row>
    <row r="3657" spans="2:5" x14ac:dyDescent="0.25">
      <c r="B3657" s="8">
        <v>41251</v>
      </c>
      <c r="C3657" s="6">
        <f ca="1">IF(OR($C$7="",$B3657&gt;NOW()),"",IF(INDEX(Data!$A:$G,MATCH($B3657,Data!$A:$A,0),MATCH($C$7,Data!$4:$4,0))="","",INDEX(Data!$A:$G,MATCH($B3657,Data!$A:$A,0),MATCH($C$7,Data!$4:$4,0))))</f>
        <v>46.9</v>
      </c>
      <c r="D3657" s="148">
        <f t="shared" ca="1" si="118"/>
        <v>18.100000000000001</v>
      </c>
      <c r="E3657" s="148">
        <f t="shared" ca="1" si="119"/>
        <v>0</v>
      </c>
    </row>
    <row r="3658" spans="2:5" x14ac:dyDescent="0.25">
      <c r="B3658" s="8">
        <v>41252</v>
      </c>
      <c r="C3658" s="6">
        <f ca="1">IF(OR($C$7="",$B3658&gt;NOW()),"",IF(INDEX(Data!$A:$G,MATCH($B3658,Data!$A:$A,0),MATCH($C$7,Data!$4:$4,0))="","",INDEX(Data!$A:$G,MATCH($B3658,Data!$A:$A,0),MATCH($C$7,Data!$4:$4,0))))</f>
        <v>47.5</v>
      </c>
      <c r="D3658" s="148">
        <f t="shared" ca="1" si="118"/>
        <v>17.5</v>
      </c>
      <c r="E3658" s="148">
        <f t="shared" ca="1" si="119"/>
        <v>0</v>
      </c>
    </row>
    <row r="3659" spans="2:5" x14ac:dyDescent="0.25">
      <c r="B3659" s="8">
        <v>41253</v>
      </c>
      <c r="C3659" s="6">
        <f ca="1">IF(OR($C$7="",$B3659&gt;NOW()),"",IF(INDEX(Data!$A:$G,MATCH($B3659,Data!$A:$A,0),MATCH($C$7,Data!$4:$4,0))="","",INDEX(Data!$A:$G,MATCH($B3659,Data!$A:$A,0),MATCH($C$7,Data!$4:$4,0))))</f>
        <v>50.6</v>
      </c>
      <c r="D3659" s="148">
        <f t="shared" ca="1" si="118"/>
        <v>14.399999999999999</v>
      </c>
      <c r="E3659" s="148">
        <f t="shared" ca="1" si="119"/>
        <v>0</v>
      </c>
    </row>
    <row r="3660" spans="2:5" x14ac:dyDescent="0.25">
      <c r="B3660" s="8">
        <v>41254</v>
      </c>
      <c r="C3660" s="6">
        <f ca="1">IF(OR($C$7="",$B3660&gt;NOW()),"",IF(INDEX(Data!$A:$G,MATCH($B3660,Data!$A:$A,0),MATCH($C$7,Data!$4:$4,0))="","",INDEX(Data!$A:$G,MATCH($B3660,Data!$A:$A,0),MATCH($C$7,Data!$4:$4,0))))</f>
        <v>49.8</v>
      </c>
      <c r="D3660" s="148">
        <f t="shared" ca="1" si="118"/>
        <v>15.200000000000003</v>
      </c>
      <c r="E3660" s="148">
        <f t="shared" ca="1" si="119"/>
        <v>0</v>
      </c>
    </row>
    <row r="3661" spans="2:5" x14ac:dyDescent="0.25">
      <c r="B3661" s="8">
        <v>41255</v>
      </c>
      <c r="C3661" s="6">
        <f ca="1">IF(OR($C$7="",$B3661&gt;NOW()),"",IF(INDEX(Data!$A:$G,MATCH($B3661,Data!$A:$A,0),MATCH($C$7,Data!$4:$4,0))="","",INDEX(Data!$A:$G,MATCH($B3661,Data!$A:$A,0),MATCH($C$7,Data!$4:$4,0))))</f>
        <v>41.7</v>
      </c>
      <c r="D3661" s="148">
        <f t="shared" ca="1" si="118"/>
        <v>23.299999999999997</v>
      </c>
      <c r="E3661" s="148">
        <f t="shared" ca="1" si="119"/>
        <v>0</v>
      </c>
    </row>
    <row r="3662" spans="2:5" x14ac:dyDescent="0.25">
      <c r="B3662" s="8">
        <v>41256</v>
      </c>
      <c r="C3662" s="6">
        <f ca="1">IF(OR($C$7="",$B3662&gt;NOW()),"",IF(INDEX(Data!$A:$G,MATCH($B3662,Data!$A:$A,0),MATCH($C$7,Data!$4:$4,0))="","",INDEX(Data!$A:$G,MATCH($B3662,Data!$A:$A,0),MATCH($C$7,Data!$4:$4,0))))</f>
        <v>41.8</v>
      </c>
      <c r="D3662" s="148">
        <f t="shared" ca="1" si="118"/>
        <v>23.200000000000003</v>
      </c>
      <c r="E3662" s="148">
        <f t="shared" ca="1" si="119"/>
        <v>0</v>
      </c>
    </row>
    <row r="3663" spans="2:5" x14ac:dyDescent="0.25">
      <c r="B3663" s="8">
        <v>41257</v>
      </c>
      <c r="C3663" s="6">
        <f ca="1">IF(OR($C$7="",$B3663&gt;NOW()),"",IF(INDEX(Data!$A:$G,MATCH($B3663,Data!$A:$A,0),MATCH($C$7,Data!$4:$4,0))="","",INDEX(Data!$A:$G,MATCH($B3663,Data!$A:$A,0),MATCH($C$7,Data!$4:$4,0))))</f>
        <v>42.9</v>
      </c>
      <c r="D3663" s="148">
        <f t="shared" ca="1" si="118"/>
        <v>22.1</v>
      </c>
      <c r="E3663" s="148">
        <f t="shared" ca="1" si="119"/>
        <v>0</v>
      </c>
    </row>
    <row r="3664" spans="2:5" x14ac:dyDescent="0.25">
      <c r="B3664" s="8">
        <v>41258</v>
      </c>
      <c r="C3664" s="6">
        <f ca="1">IF(OR($C$7="",$B3664&gt;NOW()),"",IF(INDEX(Data!$A:$G,MATCH($B3664,Data!$A:$A,0),MATCH($C$7,Data!$4:$4,0))="","",INDEX(Data!$A:$G,MATCH($B3664,Data!$A:$A,0),MATCH($C$7,Data!$4:$4,0))))</f>
        <v>44</v>
      </c>
      <c r="D3664" s="148">
        <f t="shared" ca="1" si="118"/>
        <v>21</v>
      </c>
      <c r="E3664" s="148">
        <f t="shared" ca="1" si="119"/>
        <v>0</v>
      </c>
    </row>
    <row r="3665" spans="2:5" x14ac:dyDescent="0.25">
      <c r="B3665" s="8">
        <v>41259</v>
      </c>
      <c r="C3665" s="6">
        <f ca="1">IF(OR($C$7="",$B3665&gt;NOW()),"",IF(INDEX(Data!$A:$G,MATCH($B3665,Data!$A:$A,0),MATCH($C$7,Data!$4:$4,0))="","",INDEX(Data!$A:$G,MATCH($B3665,Data!$A:$A,0),MATCH($C$7,Data!$4:$4,0))))</f>
        <v>45.3</v>
      </c>
      <c r="D3665" s="148">
        <f t="shared" ca="1" si="118"/>
        <v>19.700000000000003</v>
      </c>
      <c r="E3665" s="148">
        <f t="shared" ca="1" si="119"/>
        <v>0</v>
      </c>
    </row>
    <row r="3666" spans="2:5" x14ac:dyDescent="0.25">
      <c r="B3666" s="8">
        <v>41260</v>
      </c>
      <c r="C3666" s="6">
        <f ca="1">IF(OR($C$7="",$B3666&gt;NOW()),"",IF(INDEX(Data!$A:$G,MATCH($B3666,Data!$A:$A,0),MATCH($C$7,Data!$4:$4,0))="","",INDEX(Data!$A:$G,MATCH($B3666,Data!$A:$A,0),MATCH($C$7,Data!$4:$4,0))))</f>
        <v>42.8</v>
      </c>
      <c r="D3666" s="148">
        <f t="shared" ca="1" si="118"/>
        <v>22.200000000000003</v>
      </c>
      <c r="E3666" s="148">
        <f t="shared" ca="1" si="119"/>
        <v>0</v>
      </c>
    </row>
    <row r="3667" spans="2:5" x14ac:dyDescent="0.25">
      <c r="B3667" s="8">
        <v>41261</v>
      </c>
      <c r="C3667" s="6">
        <f ca="1">IF(OR($C$7="",$B3667&gt;NOW()),"",IF(INDEX(Data!$A:$G,MATCH($B3667,Data!$A:$A,0),MATCH($C$7,Data!$4:$4,0))="","",INDEX(Data!$A:$G,MATCH($B3667,Data!$A:$A,0),MATCH($C$7,Data!$4:$4,0))))</f>
        <v>47.3</v>
      </c>
      <c r="D3667" s="148">
        <f t="shared" ca="1" si="118"/>
        <v>17.700000000000003</v>
      </c>
      <c r="E3667" s="148">
        <f t="shared" ca="1" si="119"/>
        <v>0</v>
      </c>
    </row>
    <row r="3668" spans="2:5" x14ac:dyDescent="0.25">
      <c r="B3668" s="8">
        <v>41262</v>
      </c>
      <c r="C3668" s="6">
        <f ca="1">IF(OR($C$7="",$B3668&gt;NOW()),"",IF(INDEX(Data!$A:$G,MATCH($B3668,Data!$A:$A,0),MATCH($C$7,Data!$4:$4,0))="","",INDEX(Data!$A:$G,MATCH($B3668,Data!$A:$A,0),MATCH($C$7,Data!$4:$4,0))))</f>
        <v>45.4</v>
      </c>
      <c r="D3668" s="148">
        <f t="shared" ca="1" si="118"/>
        <v>19.600000000000001</v>
      </c>
      <c r="E3668" s="148">
        <f t="shared" ca="1" si="119"/>
        <v>0</v>
      </c>
    </row>
    <row r="3669" spans="2:5" x14ac:dyDescent="0.25">
      <c r="B3669" s="8">
        <v>41263</v>
      </c>
      <c r="C3669" s="6">
        <f ca="1">IF(OR($C$7="",$B3669&gt;NOW()),"",IF(INDEX(Data!$A:$G,MATCH($B3669,Data!$A:$A,0),MATCH($C$7,Data!$4:$4,0))="","",INDEX(Data!$A:$G,MATCH($B3669,Data!$A:$A,0),MATCH($C$7,Data!$4:$4,0))))</f>
        <v>40.700000000000003</v>
      </c>
      <c r="D3669" s="148">
        <f t="shared" ca="1" si="118"/>
        <v>24.299999999999997</v>
      </c>
      <c r="E3669" s="148">
        <f t="shared" ca="1" si="119"/>
        <v>0</v>
      </c>
    </row>
    <row r="3670" spans="2:5" x14ac:dyDescent="0.25">
      <c r="B3670" s="8">
        <v>41264</v>
      </c>
      <c r="C3670" s="6">
        <f ca="1">IF(OR($C$7="",$B3670&gt;NOW()),"",IF(INDEX(Data!$A:$G,MATCH($B3670,Data!$A:$A,0),MATCH($C$7,Data!$4:$4,0))="","",INDEX(Data!$A:$G,MATCH($B3670,Data!$A:$A,0),MATCH($C$7,Data!$4:$4,0))))</f>
        <v>48.3</v>
      </c>
      <c r="D3670" s="148">
        <f t="shared" ca="1" si="118"/>
        <v>16.700000000000003</v>
      </c>
      <c r="E3670" s="148">
        <f t="shared" ca="1" si="119"/>
        <v>0</v>
      </c>
    </row>
    <row r="3671" spans="2:5" x14ac:dyDescent="0.25">
      <c r="B3671" s="8">
        <v>41265</v>
      </c>
      <c r="C3671" s="6">
        <f ca="1">IF(OR($C$7="",$B3671&gt;NOW()),"",IF(INDEX(Data!$A:$G,MATCH($B3671,Data!$A:$A,0),MATCH($C$7,Data!$4:$4,0))="","",INDEX(Data!$A:$G,MATCH($B3671,Data!$A:$A,0),MATCH($C$7,Data!$4:$4,0))))</f>
        <v>38.4</v>
      </c>
      <c r="D3671" s="148">
        <f t="shared" ca="1" si="118"/>
        <v>26.6</v>
      </c>
      <c r="E3671" s="148">
        <f t="shared" ca="1" si="119"/>
        <v>0</v>
      </c>
    </row>
    <row r="3672" spans="2:5" x14ac:dyDescent="0.25">
      <c r="B3672" s="8">
        <v>41266</v>
      </c>
      <c r="C3672" s="6">
        <f ca="1">IF(OR($C$7="",$B3672&gt;NOW()),"",IF(INDEX(Data!$A:$G,MATCH($B3672,Data!$A:$A,0),MATCH($C$7,Data!$4:$4,0))="","",INDEX(Data!$A:$G,MATCH($B3672,Data!$A:$A,0),MATCH($C$7,Data!$4:$4,0))))</f>
        <v>39.299999999999997</v>
      </c>
      <c r="D3672" s="148">
        <f t="shared" ca="1" si="118"/>
        <v>25.700000000000003</v>
      </c>
      <c r="E3672" s="148">
        <f t="shared" ca="1" si="119"/>
        <v>0</v>
      </c>
    </row>
    <row r="3673" spans="2:5" x14ac:dyDescent="0.25">
      <c r="B3673" s="8">
        <v>41267</v>
      </c>
      <c r="C3673" s="6">
        <f ca="1">IF(OR($C$7="",$B3673&gt;NOW()),"",IF(INDEX(Data!$A:$G,MATCH($B3673,Data!$A:$A,0),MATCH($C$7,Data!$4:$4,0))="","",INDEX(Data!$A:$G,MATCH($B3673,Data!$A:$A,0),MATCH($C$7,Data!$4:$4,0))))</f>
        <v>38.799999999999997</v>
      </c>
      <c r="D3673" s="148">
        <f t="shared" ca="1" si="118"/>
        <v>26.200000000000003</v>
      </c>
      <c r="E3673" s="148">
        <f t="shared" ca="1" si="119"/>
        <v>0</v>
      </c>
    </row>
    <row r="3674" spans="2:5" x14ac:dyDescent="0.25">
      <c r="B3674" s="8">
        <v>41268</v>
      </c>
      <c r="C3674" s="6">
        <f ca="1">IF(OR($C$7="",$B3674&gt;NOW()),"",IF(INDEX(Data!$A:$G,MATCH($B3674,Data!$A:$A,0),MATCH($C$7,Data!$4:$4,0))="","",INDEX(Data!$A:$G,MATCH($B3674,Data!$A:$A,0),MATCH($C$7,Data!$4:$4,0))))</f>
        <v>37.5</v>
      </c>
      <c r="D3674" s="148">
        <f t="shared" ca="1" si="118"/>
        <v>27.5</v>
      </c>
      <c r="E3674" s="148">
        <f t="shared" ca="1" si="119"/>
        <v>0</v>
      </c>
    </row>
    <row r="3675" spans="2:5" x14ac:dyDescent="0.25">
      <c r="B3675" s="8">
        <v>41269</v>
      </c>
      <c r="C3675" s="6">
        <f ca="1">IF(OR($C$7="",$B3675&gt;NOW()),"",IF(INDEX(Data!$A:$G,MATCH($B3675,Data!$A:$A,0),MATCH($C$7,Data!$4:$4,0))="","",INDEX(Data!$A:$G,MATCH($B3675,Data!$A:$A,0),MATCH($C$7,Data!$4:$4,0))))</f>
        <v>33.200000000000003</v>
      </c>
      <c r="D3675" s="148">
        <f t="shared" ca="1" si="118"/>
        <v>31.799999999999997</v>
      </c>
      <c r="E3675" s="148">
        <f t="shared" ca="1" si="119"/>
        <v>0</v>
      </c>
    </row>
    <row r="3676" spans="2:5" x14ac:dyDescent="0.25">
      <c r="B3676" s="8">
        <v>41270</v>
      </c>
      <c r="C3676" s="6">
        <f ca="1">IF(OR($C$7="",$B3676&gt;NOW()),"",IF(INDEX(Data!$A:$G,MATCH($B3676,Data!$A:$A,0),MATCH($C$7,Data!$4:$4,0))="","",INDEX(Data!$A:$G,MATCH($B3676,Data!$A:$A,0),MATCH($C$7,Data!$4:$4,0))))</f>
        <v>39.1</v>
      </c>
      <c r="D3676" s="148">
        <f t="shared" ca="1" si="118"/>
        <v>25.9</v>
      </c>
      <c r="E3676" s="148">
        <f t="shared" ca="1" si="119"/>
        <v>0</v>
      </c>
    </row>
    <row r="3677" spans="2:5" x14ac:dyDescent="0.25">
      <c r="B3677" s="8">
        <v>41271</v>
      </c>
      <c r="C3677" s="6">
        <f ca="1">IF(OR($C$7="",$B3677&gt;NOW()),"",IF(INDEX(Data!$A:$G,MATCH($B3677,Data!$A:$A,0),MATCH($C$7,Data!$4:$4,0))="","",INDEX(Data!$A:$G,MATCH($B3677,Data!$A:$A,0),MATCH($C$7,Data!$4:$4,0))))</f>
        <v>33.799999999999997</v>
      </c>
      <c r="D3677" s="148">
        <f t="shared" ref="D3677:D3740" ca="1" si="120">IF($C3677="","",IF($C3677&gt;$D$26,0,$D$26-$C3677))</f>
        <v>31.200000000000003</v>
      </c>
      <c r="E3677" s="148">
        <f t="shared" ref="E3677:E3740" ca="1" si="121">IF($C3677="","",IF($C3677&lt;$E$26,0,$C3677-$E$26))</f>
        <v>0</v>
      </c>
    </row>
    <row r="3678" spans="2:5" x14ac:dyDescent="0.25">
      <c r="B3678" s="8">
        <v>41272</v>
      </c>
      <c r="C3678" s="6">
        <f ca="1">IF(OR($C$7="",$B3678&gt;NOW()),"",IF(INDEX(Data!$A:$G,MATCH($B3678,Data!$A:$A,0),MATCH($C$7,Data!$4:$4,0))="","",INDEX(Data!$A:$G,MATCH($B3678,Data!$A:$A,0),MATCH($C$7,Data!$4:$4,0))))</f>
        <v>33.5</v>
      </c>
      <c r="D3678" s="148">
        <f t="shared" ca="1" si="120"/>
        <v>31.5</v>
      </c>
      <c r="E3678" s="148">
        <f t="shared" ca="1" si="121"/>
        <v>0</v>
      </c>
    </row>
    <row r="3679" spans="2:5" x14ac:dyDescent="0.25">
      <c r="B3679" s="8">
        <v>41273</v>
      </c>
      <c r="C3679" s="6">
        <f ca="1">IF(OR($C$7="",$B3679&gt;NOW()),"",IF(INDEX(Data!$A:$G,MATCH($B3679,Data!$A:$A,0),MATCH($C$7,Data!$4:$4,0))="","",INDEX(Data!$A:$G,MATCH($B3679,Data!$A:$A,0),MATCH($C$7,Data!$4:$4,0))))</f>
        <v>33.5</v>
      </c>
      <c r="D3679" s="148">
        <f t="shared" ca="1" si="120"/>
        <v>31.5</v>
      </c>
      <c r="E3679" s="148">
        <f t="shared" ca="1" si="121"/>
        <v>0</v>
      </c>
    </row>
    <row r="3680" spans="2:5" x14ac:dyDescent="0.25">
      <c r="B3680" s="8">
        <v>41274</v>
      </c>
      <c r="C3680" s="6">
        <f ca="1">IF(OR($C$7="",$B3680&gt;NOW()),"",IF(INDEX(Data!$A:$G,MATCH($B3680,Data!$A:$A,0),MATCH($C$7,Data!$4:$4,0))="","",INDEX(Data!$A:$G,MATCH($B3680,Data!$A:$A,0),MATCH($C$7,Data!$4:$4,0))))</f>
        <v>33</v>
      </c>
      <c r="D3680" s="148">
        <f t="shared" ca="1" si="120"/>
        <v>32</v>
      </c>
      <c r="E3680" s="148">
        <f t="shared" ca="1" si="121"/>
        <v>0</v>
      </c>
    </row>
    <row r="3681" spans="2:5" x14ac:dyDescent="0.25">
      <c r="B3681" s="8">
        <v>41275</v>
      </c>
      <c r="C3681" s="6">
        <f ca="1">IF(OR($C$7="",$B3681&gt;NOW()),"",IF(INDEX(Data!$A:$G,MATCH($B3681,Data!$A:$A,0),MATCH($C$7,Data!$4:$4,0))="","",INDEX(Data!$A:$G,MATCH($B3681,Data!$A:$A,0),MATCH($C$7,Data!$4:$4,0))))</f>
        <v>39.5</v>
      </c>
      <c r="D3681" s="148">
        <f t="shared" ca="1" si="120"/>
        <v>25.5</v>
      </c>
      <c r="E3681" s="148">
        <f t="shared" ca="1" si="121"/>
        <v>0</v>
      </c>
    </row>
    <row r="3682" spans="2:5" x14ac:dyDescent="0.25">
      <c r="B3682" s="8">
        <v>41276</v>
      </c>
      <c r="C3682" s="6">
        <f ca="1">IF(OR($C$7="",$B3682&gt;NOW()),"",IF(INDEX(Data!$A:$G,MATCH($B3682,Data!$A:$A,0),MATCH($C$7,Data!$4:$4,0))="","",INDEX(Data!$A:$G,MATCH($B3682,Data!$A:$A,0),MATCH($C$7,Data!$4:$4,0))))</f>
        <v>28.8</v>
      </c>
      <c r="D3682" s="148">
        <f t="shared" ca="1" si="120"/>
        <v>36.200000000000003</v>
      </c>
      <c r="E3682" s="148">
        <f t="shared" ca="1" si="121"/>
        <v>0</v>
      </c>
    </row>
    <row r="3683" spans="2:5" x14ac:dyDescent="0.25">
      <c r="B3683" s="8">
        <v>41277</v>
      </c>
      <c r="C3683" s="6">
        <f ca="1">IF(OR($C$7="",$B3683&gt;NOW()),"",IF(INDEX(Data!$A:$G,MATCH($B3683,Data!$A:$A,0),MATCH($C$7,Data!$4:$4,0))="","",INDEX(Data!$A:$G,MATCH($B3683,Data!$A:$A,0),MATCH($C$7,Data!$4:$4,0))))</f>
        <v>29.7</v>
      </c>
      <c r="D3683" s="148">
        <f t="shared" ca="1" si="120"/>
        <v>35.299999999999997</v>
      </c>
      <c r="E3683" s="148">
        <f t="shared" ca="1" si="121"/>
        <v>0</v>
      </c>
    </row>
    <row r="3684" spans="2:5" x14ac:dyDescent="0.25">
      <c r="B3684" s="8">
        <v>41278</v>
      </c>
      <c r="C3684" s="6">
        <f ca="1">IF(OR($C$7="",$B3684&gt;NOW()),"",IF(INDEX(Data!$A:$G,MATCH($B3684,Data!$A:$A,0),MATCH($C$7,Data!$4:$4,0))="","",INDEX(Data!$A:$G,MATCH($B3684,Data!$A:$A,0),MATCH($C$7,Data!$4:$4,0))))</f>
        <v>35.1</v>
      </c>
      <c r="D3684" s="148">
        <f t="shared" ca="1" si="120"/>
        <v>29.9</v>
      </c>
      <c r="E3684" s="148">
        <f t="shared" ca="1" si="121"/>
        <v>0</v>
      </c>
    </row>
    <row r="3685" spans="2:5" x14ac:dyDescent="0.25">
      <c r="B3685" s="8">
        <v>41279</v>
      </c>
      <c r="C3685" s="6">
        <f ca="1">IF(OR($C$7="",$B3685&gt;NOW()),"",IF(INDEX(Data!$A:$G,MATCH($B3685,Data!$A:$A,0),MATCH($C$7,Data!$4:$4,0))="","",INDEX(Data!$A:$G,MATCH($B3685,Data!$A:$A,0),MATCH($C$7,Data!$4:$4,0))))</f>
        <v>37.6</v>
      </c>
      <c r="D3685" s="148">
        <f t="shared" ca="1" si="120"/>
        <v>27.4</v>
      </c>
      <c r="E3685" s="148">
        <f t="shared" ca="1" si="121"/>
        <v>0</v>
      </c>
    </row>
    <row r="3686" spans="2:5" x14ac:dyDescent="0.25">
      <c r="B3686" s="8">
        <v>41280</v>
      </c>
      <c r="C3686" s="6">
        <f ca="1">IF(OR($C$7="",$B3686&gt;NOW()),"",IF(INDEX(Data!$A:$G,MATCH($B3686,Data!$A:$A,0),MATCH($C$7,Data!$4:$4,0))="","",INDEX(Data!$A:$G,MATCH($B3686,Data!$A:$A,0),MATCH($C$7,Data!$4:$4,0))))</f>
        <v>39.5</v>
      </c>
      <c r="D3686" s="148">
        <f t="shared" ca="1" si="120"/>
        <v>25.5</v>
      </c>
      <c r="E3686" s="148">
        <f t="shared" ca="1" si="121"/>
        <v>0</v>
      </c>
    </row>
    <row r="3687" spans="2:5" x14ac:dyDescent="0.25">
      <c r="B3687" s="8">
        <v>41281</v>
      </c>
      <c r="C3687" s="6">
        <f ca="1">IF(OR($C$7="",$B3687&gt;NOW()),"",IF(INDEX(Data!$A:$G,MATCH($B3687,Data!$A:$A,0),MATCH($C$7,Data!$4:$4,0))="","",INDEX(Data!$A:$G,MATCH($B3687,Data!$A:$A,0),MATCH($C$7,Data!$4:$4,0))))</f>
        <v>42.4</v>
      </c>
      <c r="D3687" s="148">
        <f t="shared" ca="1" si="120"/>
        <v>22.6</v>
      </c>
      <c r="E3687" s="148">
        <f t="shared" ca="1" si="121"/>
        <v>0</v>
      </c>
    </row>
    <row r="3688" spans="2:5" x14ac:dyDescent="0.25">
      <c r="B3688" s="8">
        <v>41282</v>
      </c>
      <c r="C3688" s="6">
        <f ca="1">IF(OR($C$7="",$B3688&gt;NOW()),"",IF(INDEX(Data!$A:$G,MATCH($B3688,Data!$A:$A,0),MATCH($C$7,Data!$4:$4,0))="","",INDEX(Data!$A:$G,MATCH($B3688,Data!$A:$A,0),MATCH($C$7,Data!$4:$4,0))))</f>
        <v>41.3</v>
      </c>
      <c r="D3688" s="148">
        <f t="shared" ca="1" si="120"/>
        <v>23.700000000000003</v>
      </c>
      <c r="E3688" s="148">
        <f t="shared" ca="1" si="121"/>
        <v>0</v>
      </c>
    </row>
    <row r="3689" spans="2:5" x14ac:dyDescent="0.25">
      <c r="B3689" s="8">
        <v>41283</v>
      </c>
      <c r="C3689" s="6">
        <f ca="1">IF(OR($C$7="",$B3689&gt;NOW()),"",IF(INDEX(Data!$A:$G,MATCH($B3689,Data!$A:$A,0),MATCH($C$7,Data!$4:$4,0))="","",INDEX(Data!$A:$G,MATCH($B3689,Data!$A:$A,0),MATCH($C$7,Data!$4:$4,0))))</f>
        <v>43.6</v>
      </c>
      <c r="D3689" s="148">
        <f t="shared" ca="1" si="120"/>
        <v>21.4</v>
      </c>
      <c r="E3689" s="148">
        <f t="shared" ca="1" si="121"/>
        <v>0</v>
      </c>
    </row>
    <row r="3690" spans="2:5" x14ac:dyDescent="0.25">
      <c r="B3690" s="8">
        <v>41284</v>
      </c>
      <c r="C3690" s="6">
        <f ca="1">IF(OR($C$7="",$B3690&gt;NOW()),"",IF(INDEX(Data!$A:$G,MATCH($B3690,Data!$A:$A,0),MATCH($C$7,Data!$4:$4,0))="","",INDEX(Data!$A:$G,MATCH($B3690,Data!$A:$A,0),MATCH($C$7,Data!$4:$4,0))))</f>
        <v>46</v>
      </c>
      <c r="D3690" s="148">
        <f t="shared" ca="1" si="120"/>
        <v>19</v>
      </c>
      <c r="E3690" s="148">
        <f t="shared" ca="1" si="121"/>
        <v>0</v>
      </c>
    </row>
    <row r="3691" spans="2:5" x14ac:dyDescent="0.25">
      <c r="B3691" s="8">
        <v>41285</v>
      </c>
      <c r="C3691" s="6">
        <f ca="1">IF(OR($C$7="",$B3691&gt;NOW()),"",IF(INDEX(Data!$A:$G,MATCH($B3691,Data!$A:$A,0),MATCH($C$7,Data!$4:$4,0))="","",INDEX(Data!$A:$G,MATCH($B3691,Data!$A:$A,0),MATCH($C$7,Data!$4:$4,0))))</f>
        <v>40.1</v>
      </c>
      <c r="D3691" s="148">
        <f t="shared" ca="1" si="120"/>
        <v>24.9</v>
      </c>
      <c r="E3691" s="148">
        <f t="shared" ca="1" si="121"/>
        <v>0</v>
      </c>
    </row>
    <row r="3692" spans="2:5" x14ac:dyDescent="0.25">
      <c r="B3692" s="8">
        <v>41286</v>
      </c>
      <c r="C3692" s="6">
        <f ca="1">IF(OR($C$7="",$B3692&gt;NOW()),"",IF(INDEX(Data!$A:$G,MATCH($B3692,Data!$A:$A,0),MATCH($C$7,Data!$4:$4,0))="","",INDEX(Data!$A:$G,MATCH($B3692,Data!$A:$A,0),MATCH($C$7,Data!$4:$4,0))))</f>
        <v>44</v>
      </c>
      <c r="D3692" s="148">
        <f t="shared" ca="1" si="120"/>
        <v>21</v>
      </c>
      <c r="E3692" s="148">
        <f t="shared" ca="1" si="121"/>
        <v>0</v>
      </c>
    </row>
    <row r="3693" spans="2:5" x14ac:dyDescent="0.25">
      <c r="B3693" s="8">
        <v>41287</v>
      </c>
      <c r="C3693" s="6">
        <f ca="1">IF(OR($C$7="",$B3693&gt;NOW()),"",IF(INDEX(Data!$A:$G,MATCH($B3693,Data!$A:$A,0),MATCH($C$7,Data!$4:$4,0))="","",INDEX(Data!$A:$G,MATCH($B3693,Data!$A:$A,0),MATCH($C$7,Data!$4:$4,0))))</f>
        <v>44.1</v>
      </c>
      <c r="D3693" s="148">
        <f t="shared" ca="1" si="120"/>
        <v>20.9</v>
      </c>
      <c r="E3693" s="148">
        <f t="shared" ca="1" si="121"/>
        <v>0</v>
      </c>
    </row>
    <row r="3694" spans="2:5" x14ac:dyDescent="0.25">
      <c r="B3694" s="8">
        <v>41288</v>
      </c>
      <c r="C3694" s="6">
        <f ca="1">IF(OR($C$7="",$B3694&gt;NOW()),"",IF(INDEX(Data!$A:$G,MATCH($B3694,Data!$A:$A,0),MATCH($C$7,Data!$4:$4,0))="","",INDEX(Data!$A:$G,MATCH($B3694,Data!$A:$A,0),MATCH($C$7,Data!$4:$4,0))))</f>
        <v>50.4</v>
      </c>
      <c r="D3694" s="148">
        <f t="shared" ca="1" si="120"/>
        <v>14.600000000000001</v>
      </c>
      <c r="E3694" s="148">
        <f t="shared" ca="1" si="121"/>
        <v>0</v>
      </c>
    </row>
    <row r="3695" spans="2:5" x14ac:dyDescent="0.25">
      <c r="B3695" s="8">
        <v>41289</v>
      </c>
      <c r="C3695" s="6">
        <f ca="1">IF(OR($C$7="",$B3695&gt;NOW()),"",IF(INDEX(Data!$A:$G,MATCH($B3695,Data!$A:$A,0),MATCH($C$7,Data!$4:$4,0))="","",INDEX(Data!$A:$G,MATCH($B3695,Data!$A:$A,0),MATCH($C$7,Data!$4:$4,0))))</f>
        <v>39.4</v>
      </c>
      <c r="D3695" s="148">
        <f t="shared" ca="1" si="120"/>
        <v>25.6</v>
      </c>
      <c r="E3695" s="148">
        <f t="shared" ca="1" si="121"/>
        <v>0</v>
      </c>
    </row>
    <row r="3696" spans="2:5" x14ac:dyDescent="0.25">
      <c r="B3696" s="8">
        <v>41290</v>
      </c>
      <c r="C3696" s="6">
        <f ca="1">IF(OR($C$7="",$B3696&gt;NOW()),"",IF(INDEX(Data!$A:$G,MATCH($B3696,Data!$A:$A,0),MATCH($C$7,Data!$4:$4,0))="","",INDEX(Data!$A:$G,MATCH($B3696,Data!$A:$A,0),MATCH($C$7,Data!$4:$4,0))))</f>
        <v>35.4</v>
      </c>
      <c r="D3696" s="148">
        <f t="shared" ca="1" si="120"/>
        <v>29.6</v>
      </c>
      <c r="E3696" s="148">
        <f t="shared" ca="1" si="121"/>
        <v>0</v>
      </c>
    </row>
    <row r="3697" spans="2:5" x14ac:dyDescent="0.25">
      <c r="B3697" s="8">
        <v>41291</v>
      </c>
      <c r="C3697" s="6">
        <f ca="1">IF(OR($C$7="",$B3697&gt;NOW()),"",IF(INDEX(Data!$A:$G,MATCH($B3697,Data!$A:$A,0),MATCH($C$7,Data!$4:$4,0))="","",INDEX(Data!$A:$G,MATCH($B3697,Data!$A:$A,0),MATCH($C$7,Data!$4:$4,0))))</f>
        <v>40.299999999999997</v>
      </c>
      <c r="D3697" s="148">
        <f t="shared" ca="1" si="120"/>
        <v>24.700000000000003</v>
      </c>
      <c r="E3697" s="148">
        <f t="shared" ca="1" si="121"/>
        <v>0</v>
      </c>
    </row>
    <row r="3698" spans="2:5" x14ac:dyDescent="0.25">
      <c r="B3698" s="8">
        <v>41292</v>
      </c>
      <c r="C3698" s="6">
        <f ca="1">IF(OR($C$7="",$B3698&gt;NOW()),"",IF(INDEX(Data!$A:$G,MATCH($B3698,Data!$A:$A,0),MATCH($C$7,Data!$4:$4,0))="","",INDEX(Data!$A:$G,MATCH($B3698,Data!$A:$A,0),MATCH($C$7,Data!$4:$4,0))))</f>
        <v>31.7</v>
      </c>
      <c r="D3698" s="148">
        <f t="shared" ca="1" si="120"/>
        <v>33.299999999999997</v>
      </c>
      <c r="E3698" s="148">
        <f t="shared" ca="1" si="121"/>
        <v>0</v>
      </c>
    </row>
    <row r="3699" spans="2:5" x14ac:dyDescent="0.25">
      <c r="B3699" s="8">
        <v>41293</v>
      </c>
      <c r="C3699" s="6">
        <f ca="1">IF(OR($C$7="",$B3699&gt;NOW()),"",IF(INDEX(Data!$A:$G,MATCH($B3699,Data!$A:$A,0),MATCH($C$7,Data!$4:$4,0))="","",INDEX(Data!$A:$G,MATCH($B3699,Data!$A:$A,0),MATCH($C$7,Data!$4:$4,0))))</f>
        <v>37.5</v>
      </c>
      <c r="D3699" s="148">
        <f t="shared" ca="1" si="120"/>
        <v>27.5</v>
      </c>
      <c r="E3699" s="148">
        <f t="shared" ca="1" si="121"/>
        <v>0</v>
      </c>
    </row>
    <row r="3700" spans="2:5" x14ac:dyDescent="0.25">
      <c r="B3700" s="8">
        <v>41294</v>
      </c>
      <c r="C3700" s="6">
        <f ca="1">IF(OR($C$7="",$B3700&gt;NOW()),"",IF(INDEX(Data!$A:$G,MATCH($B3700,Data!$A:$A,0),MATCH($C$7,Data!$4:$4,0))="","",INDEX(Data!$A:$G,MATCH($B3700,Data!$A:$A,0),MATCH($C$7,Data!$4:$4,0))))</f>
        <v>46.9</v>
      </c>
      <c r="D3700" s="148">
        <f t="shared" ca="1" si="120"/>
        <v>18.100000000000001</v>
      </c>
      <c r="E3700" s="148">
        <f t="shared" ca="1" si="121"/>
        <v>0</v>
      </c>
    </row>
    <row r="3701" spans="2:5" x14ac:dyDescent="0.25">
      <c r="B3701" s="8">
        <v>41295</v>
      </c>
      <c r="C3701" s="6">
        <f ca="1">IF(OR($C$7="",$B3701&gt;NOW()),"",IF(INDEX(Data!$A:$G,MATCH($B3701,Data!$A:$A,0),MATCH($C$7,Data!$4:$4,0))="","",INDEX(Data!$A:$G,MATCH($B3701,Data!$A:$A,0),MATCH($C$7,Data!$4:$4,0))))</f>
        <v>31.5</v>
      </c>
      <c r="D3701" s="148">
        <f t="shared" ca="1" si="120"/>
        <v>33.5</v>
      </c>
      <c r="E3701" s="148">
        <f t="shared" ca="1" si="121"/>
        <v>0</v>
      </c>
    </row>
    <row r="3702" spans="2:5" x14ac:dyDescent="0.25">
      <c r="B3702" s="8">
        <v>41296</v>
      </c>
      <c r="C3702" s="6">
        <f ca="1">IF(OR($C$7="",$B3702&gt;NOW()),"",IF(INDEX(Data!$A:$G,MATCH($B3702,Data!$A:$A,0),MATCH($C$7,Data!$4:$4,0))="","",INDEX(Data!$A:$G,MATCH($B3702,Data!$A:$A,0),MATCH($C$7,Data!$4:$4,0))))</f>
        <v>24.7</v>
      </c>
      <c r="D3702" s="148">
        <f t="shared" ca="1" si="120"/>
        <v>40.299999999999997</v>
      </c>
      <c r="E3702" s="148">
        <f t="shared" ca="1" si="121"/>
        <v>0</v>
      </c>
    </row>
    <row r="3703" spans="2:5" x14ac:dyDescent="0.25">
      <c r="B3703" s="8">
        <v>41297</v>
      </c>
      <c r="C3703" s="6">
        <f ca="1">IF(OR($C$7="",$B3703&gt;NOW()),"",IF(INDEX(Data!$A:$G,MATCH($B3703,Data!$A:$A,0),MATCH($C$7,Data!$4:$4,0))="","",INDEX(Data!$A:$G,MATCH($B3703,Data!$A:$A,0),MATCH($C$7,Data!$4:$4,0))))</f>
        <v>16.100000000000001</v>
      </c>
      <c r="D3703" s="148">
        <f t="shared" ca="1" si="120"/>
        <v>48.9</v>
      </c>
      <c r="E3703" s="148">
        <f t="shared" ca="1" si="121"/>
        <v>0</v>
      </c>
    </row>
    <row r="3704" spans="2:5" x14ac:dyDescent="0.25">
      <c r="B3704" s="8">
        <v>41298</v>
      </c>
      <c r="C3704" s="6">
        <f ca="1">IF(OR($C$7="",$B3704&gt;NOW()),"",IF(INDEX(Data!$A:$G,MATCH($B3704,Data!$A:$A,0),MATCH($C$7,Data!$4:$4,0))="","",INDEX(Data!$A:$G,MATCH($B3704,Data!$A:$A,0),MATCH($C$7,Data!$4:$4,0))))</f>
        <v>18.600000000000001</v>
      </c>
      <c r="D3704" s="148">
        <f t="shared" ca="1" si="120"/>
        <v>46.4</v>
      </c>
      <c r="E3704" s="148">
        <f t="shared" ca="1" si="121"/>
        <v>0</v>
      </c>
    </row>
    <row r="3705" spans="2:5" x14ac:dyDescent="0.25">
      <c r="B3705" s="8">
        <v>41299</v>
      </c>
      <c r="C3705" s="6">
        <f ca="1">IF(OR($C$7="",$B3705&gt;NOW()),"",IF(INDEX(Data!$A:$G,MATCH($B3705,Data!$A:$A,0),MATCH($C$7,Data!$4:$4,0))="","",INDEX(Data!$A:$G,MATCH($B3705,Data!$A:$A,0),MATCH($C$7,Data!$4:$4,0))))</f>
        <v>18.600000000000001</v>
      </c>
      <c r="D3705" s="148">
        <f t="shared" ca="1" si="120"/>
        <v>46.4</v>
      </c>
      <c r="E3705" s="148">
        <f t="shared" ca="1" si="121"/>
        <v>0</v>
      </c>
    </row>
    <row r="3706" spans="2:5" x14ac:dyDescent="0.25">
      <c r="B3706" s="8">
        <v>41300</v>
      </c>
      <c r="C3706" s="6">
        <f ca="1">IF(OR($C$7="",$B3706&gt;NOW()),"",IF(INDEX(Data!$A:$G,MATCH($B3706,Data!$A:$A,0),MATCH($C$7,Data!$4:$4,0))="","",INDEX(Data!$A:$G,MATCH($B3706,Data!$A:$A,0),MATCH($C$7,Data!$4:$4,0))))</f>
        <v>21.6</v>
      </c>
      <c r="D3706" s="148">
        <f t="shared" ca="1" si="120"/>
        <v>43.4</v>
      </c>
      <c r="E3706" s="148">
        <f t="shared" ca="1" si="121"/>
        <v>0</v>
      </c>
    </row>
    <row r="3707" spans="2:5" x14ac:dyDescent="0.25">
      <c r="B3707" s="8">
        <v>41301</v>
      </c>
      <c r="C3707" s="6">
        <f ca="1">IF(OR($C$7="",$B3707&gt;NOW()),"",IF(INDEX(Data!$A:$G,MATCH($B3707,Data!$A:$A,0),MATCH($C$7,Data!$4:$4,0))="","",INDEX(Data!$A:$G,MATCH($B3707,Data!$A:$A,0),MATCH($C$7,Data!$4:$4,0))))</f>
        <v>25.7</v>
      </c>
      <c r="D3707" s="148">
        <f t="shared" ca="1" si="120"/>
        <v>39.299999999999997</v>
      </c>
      <c r="E3707" s="148">
        <f t="shared" ca="1" si="121"/>
        <v>0</v>
      </c>
    </row>
    <row r="3708" spans="2:5" x14ac:dyDescent="0.25">
      <c r="B3708" s="8">
        <v>41302</v>
      </c>
      <c r="C3708" s="6">
        <f ca="1">IF(OR($C$7="",$B3708&gt;NOW()),"",IF(INDEX(Data!$A:$G,MATCH($B3708,Data!$A:$A,0),MATCH($C$7,Data!$4:$4,0))="","",INDEX(Data!$A:$G,MATCH($B3708,Data!$A:$A,0),MATCH($C$7,Data!$4:$4,0))))</f>
        <v>32.4</v>
      </c>
      <c r="D3708" s="148">
        <f t="shared" ca="1" si="120"/>
        <v>32.6</v>
      </c>
      <c r="E3708" s="148">
        <f t="shared" ca="1" si="121"/>
        <v>0</v>
      </c>
    </row>
    <row r="3709" spans="2:5" x14ac:dyDescent="0.25">
      <c r="B3709" s="8">
        <v>41303</v>
      </c>
      <c r="C3709" s="6">
        <f ca="1">IF(OR($C$7="",$B3709&gt;NOW()),"",IF(INDEX(Data!$A:$G,MATCH($B3709,Data!$A:$A,0),MATCH($C$7,Data!$4:$4,0))="","",INDEX(Data!$A:$G,MATCH($B3709,Data!$A:$A,0),MATCH($C$7,Data!$4:$4,0))))</f>
        <v>39</v>
      </c>
      <c r="D3709" s="148">
        <f t="shared" ca="1" si="120"/>
        <v>26</v>
      </c>
      <c r="E3709" s="148">
        <f t="shared" ca="1" si="121"/>
        <v>0</v>
      </c>
    </row>
    <row r="3710" spans="2:5" x14ac:dyDescent="0.25">
      <c r="B3710" s="8">
        <v>41304</v>
      </c>
      <c r="C3710" s="6">
        <f ca="1">IF(OR($C$7="",$B3710&gt;NOW()),"",IF(INDEX(Data!$A:$G,MATCH($B3710,Data!$A:$A,0),MATCH($C$7,Data!$4:$4,0))="","",INDEX(Data!$A:$G,MATCH($B3710,Data!$A:$A,0),MATCH($C$7,Data!$4:$4,0))))</f>
        <v>43.6</v>
      </c>
      <c r="D3710" s="148">
        <f t="shared" ca="1" si="120"/>
        <v>21.4</v>
      </c>
      <c r="E3710" s="148">
        <f t="shared" ca="1" si="121"/>
        <v>0</v>
      </c>
    </row>
    <row r="3711" spans="2:5" x14ac:dyDescent="0.25">
      <c r="B3711" s="8">
        <v>41305</v>
      </c>
      <c r="C3711" s="6">
        <f ca="1">IF(OR($C$7="",$B3711&gt;NOW()),"",IF(INDEX(Data!$A:$G,MATCH($B3711,Data!$A:$A,0),MATCH($C$7,Data!$4:$4,0))="","",INDEX(Data!$A:$G,MATCH($B3711,Data!$A:$A,0),MATCH($C$7,Data!$4:$4,0))))</f>
        <v>49.9</v>
      </c>
      <c r="D3711" s="148">
        <f t="shared" ca="1" si="120"/>
        <v>15.100000000000001</v>
      </c>
      <c r="E3711" s="148">
        <f t="shared" ca="1" si="121"/>
        <v>0</v>
      </c>
    </row>
    <row r="3712" spans="2:5" x14ac:dyDescent="0.25">
      <c r="B3712" s="8">
        <v>41306</v>
      </c>
      <c r="C3712" s="6">
        <f ca="1">IF(OR($C$7="",$B3712&gt;NOW()),"",IF(INDEX(Data!$A:$G,MATCH($B3712,Data!$A:$A,0),MATCH($C$7,Data!$4:$4,0))="","",INDEX(Data!$A:$G,MATCH($B3712,Data!$A:$A,0),MATCH($C$7,Data!$4:$4,0))))</f>
        <v>30.8</v>
      </c>
      <c r="D3712" s="148">
        <f t="shared" ca="1" si="120"/>
        <v>34.200000000000003</v>
      </c>
      <c r="E3712" s="148">
        <f t="shared" ca="1" si="121"/>
        <v>0</v>
      </c>
    </row>
    <row r="3713" spans="2:5" x14ac:dyDescent="0.25">
      <c r="B3713" s="8">
        <v>41307</v>
      </c>
      <c r="C3713" s="6">
        <f ca="1">IF(OR($C$7="",$B3713&gt;NOW()),"",IF(INDEX(Data!$A:$G,MATCH($B3713,Data!$A:$A,0),MATCH($C$7,Data!$4:$4,0))="","",INDEX(Data!$A:$G,MATCH($B3713,Data!$A:$A,0),MATCH($C$7,Data!$4:$4,0))))</f>
        <v>25.3</v>
      </c>
      <c r="D3713" s="148">
        <f t="shared" ca="1" si="120"/>
        <v>39.700000000000003</v>
      </c>
      <c r="E3713" s="148">
        <f t="shared" ca="1" si="121"/>
        <v>0</v>
      </c>
    </row>
    <row r="3714" spans="2:5" x14ac:dyDescent="0.25">
      <c r="B3714" s="8">
        <v>41308</v>
      </c>
      <c r="C3714" s="6">
        <f ca="1">IF(OR($C$7="",$B3714&gt;NOW()),"",IF(INDEX(Data!$A:$G,MATCH($B3714,Data!$A:$A,0),MATCH($C$7,Data!$4:$4,0))="","",INDEX(Data!$A:$G,MATCH($B3714,Data!$A:$A,0),MATCH($C$7,Data!$4:$4,0))))</f>
        <v>27</v>
      </c>
      <c r="D3714" s="148">
        <f t="shared" ca="1" si="120"/>
        <v>38</v>
      </c>
      <c r="E3714" s="148">
        <f t="shared" ca="1" si="121"/>
        <v>0</v>
      </c>
    </row>
    <row r="3715" spans="2:5" x14ac:dyDescent="0.25">
      <c r="B3715" s="8">
        <v>41309</v>
      </c>
      <c r="C3715" s="6">
        <f ca="1">IF(OR($C$7="",$B3715&gt;NOW()),"",IF(INDEX(Data!$A:$G,MATCH($B3715,Data!$A:$A,0),MATCH($C$7,Data!$4:$4,0))="","",INDEX(Data!$A:$G,MATCH($B3715,Data!$A:$A,0),MATCH($C$7,Data!$4:$4,0))))</f>
        <v>28.3</v>
      </c>
      <c r="D3715" s="148">
        <f t="shared" ca="1" si="120"/>
        <v>36.700000000000003</v>
      </c>
      <c r="E3715" s="148">
        <f t="shared" ca="1" si="121"/>
        <v>0</v>
      </c>
    </row>
    <row r="3716" spans="2:5" x14ac:dyDescent="0.25">
      <c r="B3716" s="8">
        <v>41310</v>
      </c>
      <c r="C3716" s="6">
        <f ca="1">IF(OR($C$7="",$B3716&gt;NOW()),"",IF(INDEX(Data!$A:$G,MATCH($B3716,Data!$A:$A,0),MATCH($C$7,Data!$4:$4,0))="","",INDEX(Data!$A:$G,MATCH($B3716,Data!$A:$A,0),MATCH($C$7,Data!$4:$4,0))))</f>
        <v>29.4</v>
      </c>
      <c r="D3716" s="148">
        <f t="shared" ca="1" si="120"/>
        <v>35.6</v>
      </c>
      <c r="E3716" s="148">
        <f t="shared" ca="1" si="121"/>
        <v>0</v>
      </c>
    </row>
    <row r="3717" spans="2:5" x14ac:dyDescent="0.25">
      <c r="B3717" s="8">
        <v>41311</v>
      </c>
      <c r="C3717" s="6">
        <f ca="1">IF(OR($C$7="",$B3717&gt;NOW()),"",IF(INDEX(Data!$A:$G,MATCH($B3717,Data!$A:$A,0),MATCH($C$7,Data!$4:$4,0))="","",INDEX(Data!$A:$G,MATCH($B3717,Data!$A:$A,0),MATCH($C$7,Data!$4:$4,0))))</f>
        <v>33.4</v>
      </c>
      <c r="D3717" s="148">
        <f t="shared" ca="1" si="120"/>
        <v>31.6</v>
      </c>
      <c r="E3717" s="148">
        <f t="shared" ca="1" si="121"/>
        <v>0</v>
      </c>
    </row>
    <row r="3718" spans="2:5" x14ac:dyDescent="0.25">
      <c r="B3718" s="8">
        <v>41312</v>
      </c>
      <c r="C3718" s="6">
        <f ca="1">IF(OR($C$7="",$B3718&gt;NOW()),"",IF(INDEX(Data!$A:$G,MATCH($B3718,Data!$A:$A,0),MATCH($C$7,Data!$4:$4,0))="","",INDEX(Data!$A:$G,MATCH($B3718,Data!$A:$A,0),MATCH($C$7,Data!$4:$4,0))))</f>
        <v>30.1</v>
      </c>
      <c r="D3718" s="148">
        <f t="shared" ca="1" si="120"/>
        <v>34.9</v>
      </c>
      <c r="E3718" s="148">
        <f t="shared" ca="1" si="121"/>
        <v>0</v>
      </c>
    </row>
    <row r="3719" spans="2:5" x14ac:dyDescent="0.25">
      <c r="B3719" s="8">
        <v>41313</v>
      </c>
      <c r="C3719" s="6">
        <f ca="1">IF(OR($C$7="",$B3719&gt;NOW()),"",IF(INDEX(Data!$A:$G,MATCH($B3719,Data!$A:$A,0),MATCH($C$7,Data!$4:$4,0))="","",INDEX(Data!$A:$G,MATCH($B3719,Data!$A:$A,0),MATCH($C$7,Data!$4:$4,0))))</f>
        <v>33</v>
      </c>
      <c r="D3719" s="148">
        <f t="shared" ca="1" si="120"/>
        <v>32</v>
      </c>
      <c r="E3719" s="148">
        <f t="shared" ca="1" si="121"/>
        <v>0</v>
      </c>
    </row>
    <row r="3720" spans="2:5" x14ac:dyDescent="0.25">
      <c r="B3720" s="8">
        <v>41314</v>
      </c>
      <c r="C3720" s="6">
        <f ca="1">IF(OR($C$7="",$B3720&gt;NOW()),"",IF(INDEX(Data!$A:$G,MATCH($B3720,Data!$A:$A,0),MATCH($C$7,Data!$4:$4,0))="","",INDEX(Data!$A:$G,MATCH($B3720,Data!$A:$A,0),MATCH($C$7,Data!$4:$4,0))))</f>
        <v>30</v>
      </c>
      <c r="D3720" s="148">
        <f t="shared" ca="1" si="120"/>
        <v>35</v>
      </c>
      <c r="E3720" s="148">
        <f t="shared" ca="1" si="121"/>
        <v>0</v>
      </c>
    </row>
    <row r="3721" spans="2:5" x14ac:dyDescent="0.25">
      <c r="B3721" s="8">
        <v>41315</v>
      </c>
      <c r="C3721" s="6">
        <f ca="1">IF(OR($C$7="",$B3721&gt;NOW()),"",IF(INDEX(Data!$A:$G,MATCH($B3721,Data!$A:$A,0),MATCH($C$7,Data!$4:$4,0))="","",INDEX(Data!$A:$G,MATCH($B3721,Data!$A:$A,0),MATCH($C$7,Data!$4:$4,0))))</f>
        <v>26.4</v>
      </c>
      <c r="D3721" s="148">
        <f t="shared" ca="1" si="120"/>
        <v>38.6</v>
      </c>
      <c r="E3721" s="148">
        <f t="shared" ca="1" si="121"/>
        <v>0</v>
      </c>
    </row>
    <row r="3722" spans="2:5" x14ac:dyDescent="0.25">
      <c r="B3722" s="8">
        <v>41316</v>
      </c>
      <c r="C3722" s="6">
        <f ca="1">IF(OR($C$7="",$B3722&gt;NOW()),"",IF(INDEX(Data!$A:$G,MATCH($B3722,Data!$A:$A,0),MATCH($C$7,Data!$4:$4,0))="","",INDEX(Data!$A:$G,MATCH($B3722,Data!$A:$A,0),MATCH($C$7,Data!$4:$4,0))))</f>
        <v>37.9</v>
      </c>
      <c r="D3722" s="148">
        <f t="shared" ca="1" si="120"/>
        <v>27.1</v>
      </c>
      <c r="E3722" s="148">
        <f t="shared" ca="1" si="121"/>
        <v>0</v>
      </c>
    </row>
    <row r="3723" spans="2:5" x14ac:dyDescent="0.25">
      <c r="B3723" s="8">
        <v>41317</v>
      </c>
      <c r="C3723" s="6">
        <f ca="1">IF(OR($C$7="",$B3723&gt;NOW()),"",IF(INDEX(Data!$A:$G,MATCH($B3723,Data!$A:$A,0),MATCH($C$7,Data!$4:$4,0))="","",INDEX(Data!$A:$G,MATCH($B3723,Data!$A:$A,0),MATCH($C$7,Data!$4:$4,0))))</f>
        <v>42.6</v>
      </c>
      <c r="D3723" s="148">
        <f t="shared" ca="1" si="120"/>
        <v>22.4</v>
      </c>
      <c r="E3723" s="148">
        <f t="shared" ca="1" si="121"/>
        <v>0</v>
      </c>
    </row>
    <row r="3724" spans="2:5" x14ac:dyDescent="0.25">
      <c r="B3724" s="8">
        <v>41318</v>
      </c>
      <c r="C3724" s="6">
        <f ca="1">IF(OR($C$7="",$B3724&gt;NOW()),"",IF(INDEX(Data!$A:$G,MATCH($B3724,Data!$A:$A,0),MATCH($C$7,Data!$4:$4,0))="","",INDEX(Data!$A:$G,MATCH($B3724,Data!$A:$A,0),MATCH($C$7,Data!$4:$4,0))))</f>
        <v>38.799999999999997</v>
      </c>
      <c r="D3724" s="148">
        <f t="shared" ca="1" si="120"/>
        <v>26.200000000000003</v>
      </c>
      <c r="E3724" s="148">
        <f t="shared" ca="1" si="121"/>
        <v>0</v>
      </c>
    </row>
    <row r="3725" spans="2:5" x14ac:dyDescent="0.25">
      <c r="B3725" s="8">
        <v>41319</v>
      </c>
      <c r="C3725" s="6">
        <f ca="1">IF(OR($C$7="",$B3725&gt;NOW()),"",IF(INDEX(Data!$A:$G,MATCH($B3725,Data!$A:$A,0),MATCH($C$7,Data!$4:$4,0))="","",INDEX(Data!$A:$G,MATCH($B3725,Data!$A:$A,0),MATCH($C$7,Data!$4:$4,0))))</f>
        <v>38.700000000000003</v>
      </c>
      <c r="D3725" s="148">
        <f t="shared" ca="1" si="120"/>
        <v>26.299999999999997</v>
      </c>
      <c r="E3725" s="148">
        <f t="shared" ca="1" si="121"/>
        <v>0</v>
      </c>
    </row>
    <row r="3726" spans="2:5" x14ac:dyDescent="0.25">
      <c r="B3726" s="8">
        <v>41320</v>
      </c>
      <c r="C3726" s="6">
        <f ca="1">IF(OR($C$7="",$B3726&gt;NOW()),"",IF(INDEX(Data!$A:$G,MATCH($B3726,Data!$A:$A,0),MATCH($C$7,Data!$4:$4,0))="","",INDEX(Data!$A:$G,MATCH($B3726,Data!$A:$A,0),MATCH($C$7,Data!$4:$4,0))))</f>
        <v>42.6</v>
      </c>
      <c r="D3726" s="148">
        <f t="shared" ca="1" si="120"/>
        <v>22.4</v>
      </c>
      <c r="E3726" s="148">
        <f t="shared" ca="1" si="121"/>
        <v>0</v>
      </c>
    </row>
    <row r="3727" spans="2:5" x14ac:dyDescent="0.25">
      <c r="B3727" s="8">
        <v>41321</v>
      </c>
      <c r="C3727" s="6">
        <f ca="1">IF(OR($C$7="",$B3727&gt;NOW()),"",IF(INDEX(Data!$A:$G,MATCH($B3727,Data!$A:$A,0),MATCH($C$7,Data!$4:$4,0))="","",INDEX(Data!$A:$G,MATCH($B3727,Data!$A:$A,0),MATCH($C$7,Data!$4:$4,0))))</f>
        <v>38.299999999999997</v>
      </c>
      <c r="D3727" s="148">
        <f t="shared" ca="1" si="120"/>
        <v>26.700000000000003</v>
      </c>
      <c r="E3727" s="148">
        <f t="shared" ca="1" si="121"/>
        <v>0</v>
      </c>
    </row>
    <row r="3728" spans="2:5" x14ac:dyDescent="0.25">
      <c r="B3728" s="8">
        <v>41322</v>
      </c>
      <c r="C3728" s="6">
        <f ca="1">IF(OR($C$7="",$B3728&gt;NOW()),"",IF(INDEX(Data!$A:$G,MATCH($B3728,Data!$A:$A,0),MATCH($C$7,Data!$4:$4,0))="","",INDEX(Data!$A:$G,MATCH($B3728,Data!$A:$A,0),MATCH($C$7,Data!$4:$4,0))))</f>
        <v>30.1</v>
      </c>
      <c r="D3728" s="148">
        <f t="shared" ca="1" si="120"/>
        <v>34.9</v>
      </c>
      <c r="E3728" s="148">
        <f t="shared" ca="1" si="121"/>
        <v>0</v>
      </c>
    </row>
    <row r="3729" spans="2:5" x14ac:dyDescent="0.25">
      <c r="B3729" s="8">
        <v>41323</v>
      </c>
      <c r="C3729" s="6">
        <f ca="1">IF(OR($C$7="",$B3729&gt;NOW()),"",IF(INDEX(Data!$A:$G,MATCH($B3729,Data!$A:$A,0),MATCH($C$7,Data!$4:$4,0))="","",INDEX(Data!$A:$G,MATCH($B3729,Data!$A:$A,0),MATCH($C$7,Data!$4:$4,0))))</f>
        <v>24.5</v>
      </c>
      <c r="D3729" s="148">
        <f t="shared" ca="1" si="120"/>
        <v>40.5</v>
      </c>
      <c r="E3729" s="148">
        <f t="shared" ca="1" si="121"/>
        <v>0</v>
      </c>
    </row>
    <row r="3730" spans="2:5" x14ac:dyDescent="0.25">
      <c r="B3730" s="8">
        <v>41324</v>
      </c>
      <c r="C3730" s="6">
        <f ca="1">IF(OR($C$7="",$B3730&gt;NOW()),"",IF(INDEX(Data!$A:$G,MATCH($B3730,Data!$A:$A,0),MATCH($C$7,Data!$4:$4,0))="","",INDEX(Data!$A:$G,MATCH($B3730,Data!$A:$A,0),MATCH($C$7,Data!$4:$4,0))))</f>
        <v>38.200000000000003</v>
      </c>
      <c r="D3730" s="148">
        <f t="shared" ca="1" si="120"/>
        <v>26.799999999999997</v>
      </c>
      <c r="E3730" s="148">
        <f t="shared" ca="1" si="121"/>
        <v>0</v>
      </c>
    </row>
    <row r="3731" spans="2:5" x14ac:dyDescent="0.25">
      <c r="B3731" s="8">
        <v>41325</v>
      </c>
      <c r="C3731" s="6">
        <f ca="1">IF(OR($C$7="",$B3731&gt;NOW()),"",IF(INDEX(Data!$A:$G,MATCH($B3731,Data!$A:$A,0),MATCH($C$7,Data!$4:$4,0))="","",INDEX(Data!$A:$G,MATCH($B3731,Data!$A:$A,0),MATCH($C$7,Data!$4:$4,0))))</f>
        <v>35.6</v>
      </c>
      <c r="D3731" s="148">
        <f t="shared" ca="1" si="120"/>
        <v>29.4</v>
      </c>
      <c r="E3731" s="148">
        <f t="shared" ca="1" si="121"/>
        <v>0</v>
      </c>
    </row>
    <row r="3732" spans="2:5" x14ac:dyDescent="0.25">
      <c r="B3732" s="8">
        <v>41326</v>
      </c>
      <c r="C3732" s="6">
        <f ca="1">IF(OR($C$7="",$B3732&gt;NOW()),"",IF(INDEX(Data!$A:$G,MATCH($B3732,Data!$A:$A,0),MATCH($C$7,Data!$4:$4,0))="","",INDEX(Data!$A:$G,MATCH($B3732,Data!$A:$A,0),MATCH($C$7,Data!$4:$4,0))))</f>
        <v>29.1</v>
      </c>
      <c r="D3732" s="148">
        <f t="shared" ca="1" si="120"/>
        <v>35.9</v>
      </c>
      <c r="E3732" s="148">
        <f t="shared" ca="1" si="121"/>
        <v>0</v>
      </c>
    </row>
    <row r="3733" spans="2:5" x14ac:dyDescent="0.25">
      <c r="B3733" s="8">
        <v>41327</v>
      </c>
      <c r="C3733" s="6">
        <f ca="1">IF(OR($C$7="",$B3733&gt;NOW()),"",IF(INDEX(Data!$A:$G,MATCH($B3733,Data!$A:$A,0),MATCH($C$7,Data!$4:$4,0))="","",INDEX(Data!$A:$G,MATCH($B3733,Data!$A:$A,0),MATCH($C$7,Data!$4:$4,0))))</f>
        <v>29.9</v>
      </c>
      <c r="D3733" s="148">
        <f t="shared" ca="1" si="120"/>
        <v>35.1</v>
      </c>
      <c r="E3733" s="148">
        <f t="shared" ca="1" si="121"/>
        <v>0</v>
      </c>
    </row>
    <row r="3734" spans="2:5" x14ac:dyDescent="0.25">
      <c r="B3734" s="8">
        <v>41328</v>
      </c>
      <c r="C3734" s="6">
        <f ca="1">IF(OR($C$7="",$B3734&gt;NOW()),"",IF(INDEX(Data!$A:$G,MATCH($B3734,Data!$A:$A,0),MATCH($C$7,Data!$4:$4,0))="","",INDEX(Data!$A:$G,MATCH($B3734,Data!$A:$A,0),MATCH($C$7,Data!$4:$4,0))))</f>
        <v>36.799999999999997</v>
      </c>
      <c r="D3734" s="148">
        <f t="shared" ca="1" si="120"/>
        <v>28.200000000000003</v>
      </c>
      <c r="E3734" s="148">
        <f t="shared" ca="1" si="121"/>
        <v>0</v>
      </c>
    </row>
    <row r="3735" spans="2:5" x14ac:dyDescent="0.25">
      <c r="B3735" s="8">
        <v>41329</v>
      </c>
      <c r="C3735" s="6">
        <f ca="1">IF(OR($C$7="",$B3735&gt;NOW()),"",IF(INDEX(Data!$A:$G,MATCH($B3735,Data!$A:$A,0),MATCH($C$7,Data!$4:$4,0))="","",INDEX(Data!$A:$G,MATCH($B3735,Data!$A:$A,0),MATCH($C$7,Data!$4:$4,0))))</f>
        <v>39.1</v>
      </c>
      <c r="D3735" s="148">
        <f t="shared" ca="1" si="120"/>
        <v>25.9</v>
      </c>
      <c r="E3735" s="148">
        <f t="shared" ca="1" si="121"/>
        <v>0</v>
      </c>
    </row>
    <row r="3736" spans="2:5" x14ac:dyDescent="0.25">
      <c r="B3736" s="8">
        <v>41330</v>
      </c>
      <c r="C3736" s="6">
        <f ca="1">IF(OR($C$7="",$B3736&gt;NOW()),"",IF(INDEX(Data!$A:$G,MATCH($B3736,Data!$A:$A,0),MATCH($C$7,Data!$4:$4,0))="","",INDEX(Data!$A:$G,MATCH($B3736,Data!$A:$A,0),MATCH($C$7,Data!$4:$4,0))))</f>
        <v>37.700000000000003</v>
      </c>
      <c r="D3736" s="148">
        <f t="shared" ca="1" si="120"/>
        <v>27.299999999999997</v>
      </c>
      <c r="E3736" s="148">
        <f t="shared" ca="1" si="121"/>
        <v>0</v>
      </c>
    </row>
    <row r="3737" spans="2:5" x14ac:dyDescent="0.25">
      <c r="B3737" s="8">
        <v>41331</v>
      </c>
      <c r="C3737" s="6">
        <f ca="1">IF(OR($C$7="",$B3737&gt;NOW()),"",IF(INDEX(Data!$A:$G,MATCH($B3737,Data!$A:$A,0),MATCH($C$7,Data!$4:$4,0))="","",INDEX(Data!$A:$G,MATCH($B3737,Data!$A:$A,0),MATCH($C$7,Data!$4:$4,0))))</f>
        <v>39</v>
      </c>
      <c r="D3737" s="148">
        <f t="shared" ca="1" si="120"/>
        <v>26</v>
      </c>
      <c r="E3737" s="148">
        <f t="shared" ca="1" si="121"/>
        <v>0</v>
      </c>
    </row>
    <row r="3738" spans="2:5" x14ac:dyDescent="0.25">
      <c r="B3738" s="8">
        <v>41332</v>
      </c>
      <c r="C3738" s="6">
        <f ca="1">IF(OR($C$7="",$B3738&gt;NOW()),"",IF(INDEX(Data!$A:$G,MATCH($B3738,Data!$A:$A,0),MATCH($C$7,Data!$4:$4,0))="","",INDEX(Data!$A:$G,MATCH($B3738,Data!$A:$A,0),MATCH($C$7,Data!$4:$4,0))))</f>
        <v>39.9</v>
      </c>
      <c r="D3738" s="148">
        <f t="shared" ca="1" si="120"/>
        <v>25.1</v>
      </c>
      <c r="E3738" s="148">
        <f t="shared" ca="1" si="121"/>
        <v>0</v>
      </c>
    </row>
    <row r="3739" spans="2:5" x14ac:dyDescent="0.25">
      <c r="B3739" s="8">
        <v>41333</v>
      </c>
      <c r="C3739" s="6">
        <f ca="1">IF(OR($C$7="",$B3739&gt;NOW()),"",IF(INDEX(Data!$A:$G,MATCH($B3739,Data!$A:$A,0),MATCH($C$7,Data!$4:$4,0))="","",INDEX(Data!$A:$G,MATCH($B3739,Data!$A:$A,0),MATCH($C$7,Data!$4:$4,0))))</f>
        <v>45.5</v>
      </c>
      <c r="D3739" s="148">
        <f t="shared" ca="1" si="120"/>
        <v>19.5</v>
      </c>
      <c r="E3739" s="148">
        <f t="shared" ca="1" si="121"/>
        <v>0</v>
      </c>
    </row>
    <row r="3740" spans="2:5" x14ac:dyDescent="0.25">
      <c r="B3740" s="8">
        <v>41334</v>
      </c>
      <c r="C3740" s="6">
        <f ca="1">IF(OR($C$7="",$B3740&gt;NOW()),"",IF(INDEX(Data!$A:$G,MATCH($B3740,Data!$A:$A,0),MATCH($C$7,Data!$4:$4,0))="","",INDEX(Data!$A:$G,MATCH($B3740,Data!$A:$A,0),MATCH($C$7,Data!$4:$4,0))))</f>
        <v>40.799999999999997</v>
      </c>
      <c r="D3740" s="148">
        <f t="shared" ca="1" si="120"/>
        <v>24.200000000000003</v>
      </c>
      <c r="E3740" s="148">
        <f t="shared" ca="1" si="121"/>
        <v>0</v>
      </c>
    </row>
    <row r="3741" spans="2:5" x14ac:dyDescent="0.25">
      <c r="B3741" s="8">
        <v>41335</v>
      </c>
      <c r="C3741" s="6">
        <f ca="1">IF(OR($C$7="",$B3741&gt;NOW()),"",IF(INDEX(Data!$A:$G,MATCH($B3741,Data!$A:$A,0),MATCH($C$7,Data!$4:$4,0))="","",INDEX(Data!$A:$G,MATCH($B3741,Data!$A:$A,0),MATCH($C$7,Data!$4:$4,0))))</f>
        <v>37.200000000000003</v>
      </c>
      <c r="D3741" s="148">
        <f t="shared" ref="D3741:D3804" ca="1" si="122">IF($C3741="","",IF($C3741&gt;$D$26,0,$D$26-$C3741))</f>
        <v>27.799999999999997</v>
      </c>
      <c r="E3741" s="148">
        <f t="shared" ref="E3741:E3804" ca="1" si="123">IF($C3741="","",IF($C3741&lt;$E$26,0,$C3741-$E$26))</f>
        <v>0</v>
      </c>
    </row>
    <row r="3742" spans="2:5" x14ac:dyDescent="0.25">
      <c r="B3742" s="8">
        <v>41336</v>
      </c>
      <c r="C3742" s="6">
        <f ca="1">IF(OR($C$7="",$B3742&gt;NOW()),"",IF(INDEX(Data!$A:$G,MATCH($B3742,Data!$A:$A,0),MATCH($C$7,Data!$4:$4,0))="","",INDEX(Data!$A:$G,MATCH($B3742,Data!$A:$A,0),MATCH($C$7,Data!$4:$4,0))))</f>
        <v>33.299999999999997</v>
      </c>
      <c r="D3742" s="148">
        <f t="shared" ca="1" si="122"/>
        <v>31.700000000000003</v>
      </c>
      <c r="E3742" s="148">
        <f t="shared" ca="1" si="123"/>
        <v>0</v>
      </c>
    </row>
    <row r="3743" spans="2:5" x14ac:dyDescent="0.25">
      <c r="B3743" s="8">
        <v>41337</v>
      </c>
      <c r="C3743" s="6">
        <f ca="1">IF(OR($C$7="",$B3743&gt;NOW()),"",IF(INDEX(Data!$A:$G,MATCH($B3743,Data!$A:$A,0),MATCH($C$7,Data!$4:$4,0))="","",INDEX(Data!$A:$G,MATCH($B3743,Data!$A:$A,0),MATCH($C$7,Data!$4:$4,0))))</f>
        <v>33.5</v>
      </c>
      <c r="D3743" s="148">
        <f t="shared" ca="1" si="122"/>
        <v>31.5</v>
      </c>
      <c r="E3743" s="148">
        <f t="shared" ca="1" si="123"/>
        <v>0</v>
      </c>
    </row>
    <row r="3744" spans="2:5" x14ac:dyDescent="0.25">
      <c r="B3744" s="8">
        <v>41338</v>
      </c>
      <c r="C3744" s="6">
        <f ca="1">IF(OR($C$7="",$B3744&gt;NOW()),"",IF(INDEX(Data!$A:$G,MATCH($B3744,Data!$A:$A,0),MATCH($C$7,Data!$4:$4,0))="","",INDEX(Data!$A:$G,MATCH($B3744,Data!$A:$A,0),MATCH($C$7,Data!$4:$4,0))))</f>
        <v>37.9</v>
      </c>
      <c r="D3744" s="148">
        <f t="shared" ca="1" si="122"/>
        <v>27.1</v>
      </c>
      <c r="E3744" s="148">
        <f t="shared" ca="1" si="123"/>
        <v>0</v>
      </c>
    </row>
    <row r="3745" spans="2:5" x14ac:dyDescent="0.25">
      <c r="B3745" s="8">
        <v>41339</v>
      </c>
      <c r="C3745" s="6">
        <f ca="1">IF(OR($C$7="",$B3745&gt;NOW()),"",IF(INDEX(Data!$A:$G,MATCH($B3745,Data!$A:$A,0),MATCH($C$7,Data!$4:$4,0))="","",INDEX(Data!$A:$G,MATCH($B3745,Data!$A:$A,0),MATCH($C$7,Data!$4:$4,0))))</f>
        <v>40.799999999999997</v>
      </c>
      <c r="D3745" s="148">
        <f t="shared" ca="1" si="122"/>
        <v>24.200000000000003</v>
      </c>
      <c r="E3745" s="148">
        <f t="shared" ca="1" si="123"/>
        <v>0</v>
      </c>
    </row>
    <row r="3746" spans="2:5" x14ac:dyDescent="0.25">
      <c r="B3746" s="8">
        <v>41340</v>
      </c>
      <c r="C3746" s="6">
        <f ca="1">IF(OR($C$7="",$B3746&gt;NOW()),"",IF(INDEX(Data!$A:$G,MATCH($B3746,Data!$A:$A,0),MATCH($C$7,Data!$4:$4,0))="","",INDEX(Data!$A:$G,MATCH($B3746,Data!$A:$A,0),MATCH($C$7,Data!$4:$4,0))))</f>
        <v>37.1</v>
      </c>
      <c r="D3746" s="148">
        <f t="shared" ca="1" si="122"/>
        <v>27.9</v>
      </c>
      <c r="E3746" s="148">
        <f t="shared" ca="1" si="123"/>
        <v>0</v>
      </c>
    </row>
    <row r="3747" spans="2:5" x14ac:dyDescent="0.25">
      <c r="B3747" s="8">
        <v>41341</v>
      </c>
      <c r="C3747" s="6">
        <f ca="1">IF(OR($C$7="",$B3747&gt;NOW()),"",IF(INDEX(Data!$A:$G,MATCH($B3747,Data!$A:$A,0),MATCH($C$7,Data!$4:$4,0))="","",INDEX(Data!$A:$G,MATCH($B3747,Data!$A:$A,0),MATCH($C$7,Data!$4:$4,0))))</f>
        <v>34.4</v>
      </c>
      <c r="D3747" s="148">
        <f t="shared" ca="1" si="122"/>
        <v>30.6</v>
      </c>
      <c r="E3747" s="148">
        <f t="shared" ca="1" si="123"/>
        <v>0</v>
      </c>
    </row>
    <row r="3748" spans="2:5" x14ac:dyDescent="0.25">
      <c r="B3748" s="8">
        <v>41342</v>
      </c>
      <c r="C3748" s="6">
        <f ca="1">IF(OR($C$7="",$B3748&gt;NOW()),"",IF(INDEX(Data!$A:$G,MATCH($B3748,Data!$A:$A,0),MATCH($C$7,Data!$4:$4,0))="","",INDEX(Data!$A:$G,MATCH($B3748,Data!$A:$A,0),MATCH($C$7,Data!$4:$4,0))))</f>
        <v>43.2</v>
      </c>
      <c r="D3748" s="148">
        <f t="shared" ca="1" si="122"/>
        <v>21.799999999999997</v>
      </c>
      <c r="E3748" s="148">
        <f t="shared" ca="1" si="123"/>
        <v>0</v>
      </c>
    </row>
    <row r="3749" spans="2:5" x14ac:dyDescent="0.25">
      <c r="B3749" s="8">
        <v>41343</v>
      </c>
      <c r="C3749" s="6">
        <f ca="1">IF(OR($C$7="",$B3749&gt;NOW()),"",IF(INDEX(Data!$A:$G,MATCH($B3749,Data!$A:$A,0),MATCH($C$7,Data!$4:$4,0))="","",INDEX(Data!$A:$G,MATCH($B3749,Data!$A:$A,0),MATCH($C$7,Data!$4:$4,0))))</f>
        <v>41.2</v>
      </c>
      <c r="D3749" s="148">
        <f t="shared" ca="1" si="122"/>
        <v>23.799999999999997</v>
      </c>
      <c r="E3749" s="148">
        <f t="shared" ca="1" si="123"/>
        <v>0</v>
      </c>
    </row>
    <row r="3750" spans="2:5" x14ac:dyDescent="0.25">
      <c r="B3750" s="8">
        <v>41344</v>
      </c>
      <c r="C3750" s="6">
        <f ca="1">IF(OR($C$7="",$B3750&gt;NOW()),"",IF(INDEX(Data!$A:$G,MATCH($B3750,Data!$A:$A,0),MATCH($C$7,Data!$4:$4,0))="","",INDEX(Data!$A:$G,MATCH($B3750,Data!$A:$A,0),MATCH($C$7,Data!$4:$4,0))))</f>
        <v>44.5</v>
      </c>
      <c r="D3750" s="148">
        <f t="shared" ca="1" si="122"/>
        <v>20.5</v>
      </c>
      <c r="E3750" s="148">
        <f t="shared" ca="1" si="123"/>
        <v>0</v>
      </c>
    </row>
    <row r="3751" spans="2:5" x14ac:dyDescent="0.25">
      <c r="B3751" s="8">
        <v>41345</v>
      </c>
      <c r="C3751" s="6">
        <f ca="1">IF(OR($C$7="",$B3751&gt;NOW()),"",IF(INDEX(Data!$A:$G,MATCH($B3751,Data!$A:$A,0),MATCH($C$7,Data!$4:$4,0))="","",INDEX(Data!$A:$G,MATCH($B3751,Data!$A:$A,0),MATCH($C$7,Data!$4:$4,0))))</f>
        <v>50.4</v>
      </c>
      <c r="D3751" s="148">
        <f t="shared" ca="1" si="122"/>
        <v>14.600000000000001</v>
      </c>
      <c r="E3751" s="148">
        <f t="shared" ca="1" si="123"/>
        <v>0</v>
      </c>
    </row>
    <row r="3752" spans="2:5" x14ac:dyDescent="0.25">
      <c r="B3752" s="8">
        <v>41346</v>
      </c>
      <c r="C3752" s="6">
        <f ca="1">IF(OR($C$7="",$B3752&gt;NOW()),"",IF(INDEX(Data!$A:$G,MATCH($B3752,Data!$A:$A,0),MATCH($C$7,Data!$4:$4,0))="","",INDEX(Data!$A:$G,MATCH($B3752,Data!$A:$A,0),MATCH($C$7,Data!$4:$4,0))))</f>
        <v>45.4</v>
      </c>
      <c r="D3752" s="148">
        <f t="shared" ca="1" si="122"/>
        <v>19.600000000000001</v>
      </c>
      <c r="E3752" s="148">
        <f t="shared" ca="1" si="123"/>
        <v>0</v>
      </c>
    </row>
    <row r="3753" spans="2:5" x14ac:dyDescent="0.25">
      <c r="B3753" s="8">
        <v>41347</v>
      </c>
      <c r="C3753" s="6">
        <f ca="1">IF(OR($C$7="",$B3753&gt;NOW()),"",IF(INDEX(Data!$A:$G,MATCH($B3753,Data!$A:$A,0),MATCH($C$7,Data!$4:$4,0))="","",INDEX(Data!$A:$G,MATCH($B3753,Data!$A:$A,0),MATCH($C$7,Data!$4:$4,0))))</f>
        <v>36.799999999999997</v>
      </c>
      <c r="D3753" s="148">
        <f t="shared" ca="1" si="122"/>
        <v>28.200000000000003</v>
      </c>
      <c r="E3753" s="148">
        <f t="shared" ca="1" si="123"/>
        <v>0</v>
      </c>
    </row>
    <row r="3754" spans="2:5" x14ac:dyDescent="0.25">
      <c r="B3754" s="8">
        <v>41348</v>
      </c>
      <c r="C3754" s="6">
        <f ca="1">IF(OR($C$7="",$B3754&gt;NOW()),"",IF(INDEX(Data!$A:$G,MATCH($B3754,Data!$A:$A,0),MATCH($C$7,Data!$4:$4,0))="","",INDEX(Data!$A:$G,MATCH($B3754,Data!$A:$A,0),MATCH($C$7,Data!$4:$4,0))))</f>
        <v>37</v>
      </c>
      <c r="D3754" s="148">
        <f t="shared" ca="1" si="122"/>
        <v>28</v>
      </c>
      <c r="E3754" s="148">
        <f t="shared" ca="1" si="123"/>
        <v>0</v>
      </c>
    </row>
    <row r="3755" spans="2:5" x14ac:dyDescent="0.25">
      <c r="B3755" s="8">
        <v>41349</v>
      </c>
      <c r="C3755" s="6">
        <f ca="1">IF(OR($C$7="",$B3755&gt;NOW()),"",IF(INDEX(Data!$A:$G,MATCH($B3755,Data!$A:$A,0),MATCH($C$7,Data!$4:$4,0))="","",INDEX(Data!$A:$G,MATCH($B3755,Data!$A:$A,0),MATCH($C$7,Data!$4:$4,0))))</f>
        <v>38.299999999999997</v>
      </c>
      <c r="D3755" s="148">
        <f t="shared" ca="1" si="122"/>
        <v>26.700000000000003</v>
      </c>
      <c r="E3755" s="148">
        <f t="shared" ca="1" si="123"/>
        <v>0</v>
      </c>
    </row>
    <row r="3756" spans="2:5" x14ac:dyDescent="0.25">
      <c r="B3756" s="8">
        <v>41350</v>
      </c>
      <c r="C3756" s="6">
        <f ca="1">IF(OR($C$7="",$B3756&gt;NOW()),"",IF(INDEX(Data!$A:$G,MATCH($B3756,Data!$A:$A,0),MATCH($C$7,Data!$4:$4,0))="","",INDEX(Data!$A:$G,MATCH($B3756,Data!$A:$A,0),MATCH($C$7,Data!$4:$4,0))))</f>
        <v>34.1</v>
      </c>
      <c r="D3756" s="148">
        <f t="shared" ca="1" si="122"/>
        <v>30.9</v>
      </c>
      <c r="E3756" s="148">
        <f t="shared" ca="1" si="123"/>
        <v>0</v>
      </c>
    </row>
    <row r="3757" spans="2:5" x14ac:dyDescent="0.25">
      <c r="B3757" s="8">
        <v>41351</v>
      </c>
      <c r="C3757" s="6">
        <f ca="1">IF(OR($C$7="",$B3757&gt;NOW()),"",IF(INDEX(Data!$A:$G,MATCH($B3757,Data!$A:$A,0),MATCH($C$7,Data!$4:$4,0))="","",INDEX(Data!$A:$G,MATCH($B3757,Data!$A:$A,0),MATCH($C$7,Data!$4:$4,0))))</f>
        <v>33</v>
      </c>
      <c r="D3757" s="148">
        <f t="shared" ca="1" si="122"/>
        <v>32</v>
      </c>
      <c r="E3757" s="148">
        <f t="shared" ca="1" si="123"/>
        <v>0</v>
      </c>
    </row>
    <row r="3758" spans="2:5" x14ac:dyDescent="0.25">
      <c r="B3758" s="8">
        <v>41352</v>
      </c>
      <c r="C3758" s="6">
        <f ca="1">IF(OR($C$7="",$B3758&gt;NOW()),"",IF(INDEX(Data!$A:$G,MATCH($B3758,Data!$A:$A,0),MATCH($C$7,Data!$4:$4,0))="","",INDEX(Data!$A:$G,MATCH($B3758,Data!$A:$A,0),MATCH($C$7,Data!$4:$4,0))))</f>
        <v>36.5</v>
      </c>
      <c r="D3758" s="148">
        <f t="shared" ca="1" si="122"/>
        <v>28.5</v>
      </c>
      <c r="E3758" s="148">
        <f t="shared" ca="1" si="123"/>
        <v>0</v>
      </c>
    </row>
    <row r="3759" spans="2:5" x14ac:dyDescent="0.25">
      <c r="B3759" s="8">
        <v>41353</v>
      </c>
      <c r="C3759" s="6">
        <f ca="1">IF(OR($C$7="",$B3759&gt;NOW()),"",IF(INDEX(Data!$A:$G,MATCH($B3759,Data!$A:$A,0),MATCH($C$7,Data!$4:$4,0))="","",INDEX(Data!$A:$G,MATCH($B3759,Data!$A:$A,0),MATCH($C$7,Data!$4:$4,0))))</f>
        <v>39.5</v>
      </c>
      <c r="D3759" s="148">
        <f t="shared" ca="1" si="122"/>
        <v>25.5</v>
      </c>
      <c r="E3759" s="148">
        <f t="shared" ca="1" si="123"/>
        <v>0</v>
      </c>
    </row>
    <row r="3760" spans="2:5" x14ac:dyDescent="0.25">
      <c r="B3760" s="8">
        <v>41354</v>
      </c>
      <c r="C3760" s="6">
        <f ca="1">IF(OR($C$7="",$B3760&gt;NOW()),"",IF(INDEX(Data!$A:$G,MATCH($B3760,Data!$A:$A,0),MATCH($C$7,Data!$4:$4,0))="","",INDEX(Data!$A:$G,MATCH($B3760,Data!$A:$A,0),MATCH($C$7,Data!$4:$4,0))))</f>
        <v>36.4</v>
      </c>
      <c r="D3760" s="148">
        <f t="shared" ca="1" si="122"/>
        <v>28.6</v>
      </c>
      <c r="E3760" s="148">
        <f t="shared" ca="1" si="123"/>
        <v>0</v>
      </c>
    </row>
    <row r="3761" spans="2:5" x14ac:dyDescent="0.25">
      <c r="B3761" s="8">
        <v>41355</v>
      </c>
      <c r="C3761" s="6">
        <f ca="1">IF(OR($C$7="",$B3761&gt;NOW()),"",IF(INDEX(Data!$A:$G,MATCH($B3761,Data!$A:$A,0),MATCH($C$7,Data!$4:$4,0))="","",INDEX(Data!$A:$G,MATCH($B3761,Data!$A:$A,0),MATCH($C$7,Data!$4:$4,0))))</f>
        <v>34.9</v>
      </c>
      <c r="D3761" s="148">
        <f t="shared" ca="1" si="122"/>
        <v>30.1</v>
      </c>
      <c r="E3761" s="148">
        <f t="shared" ca="1" si="123"/>
        <v>0</v>
      </c>
    </row>
    <row r="3762" spans="2:5" x14ac:dyDescent="0.25">
      <c r="B3762" s="8">
        <v>41356</v>
      </c>
      <c r="C3762" s="6">
        <f ca="1">IF(OR($C$7="",$B3762&gt;NOW()),"",IF(INDEX(Data!$A:$G,MATCH($B3762,Data!$A:$A,0),MATCH($C$7,Data!$4:$4,0))="","",INDEX(Data!$A:$G,MATCH($B3762,Data!$A:$A,0),MATCH($C$7,Data!$4:$4,0))))</f>
        <v>39.299999999999997</v>
      </c>
      <c r="D3762" s="148">
        <f t="shared" ca="1" si="122"/>
        <v>25.700000000000003</v>
      </c>
      <c r="E3762" s="148">
        <f t="shared" ca="1" si="123"/>
        <v>0</v>
      </c>
    </row>
    <row r="3763" spans="2:5" x14ac:dyDescent="0.25">
      <c r="B3763" s="8">
        <v>41357</v>
      </c>
      <c r="C3763" s="6">
        <f ca="1">IF(OR($C$7="",$B3763&gt;NOW()),"",IF(INDEX(Data!$A:$G,MATCH($B3763,Data!$A:$A,0),MATCH($C$7,Data!$4:$4,0))="","",INDEX(Data!$A:$G,MATCH($B3763,Data!$A:$A,0),MATCH($C$7,Data!$4:$4,0))))</f>
        <v>39.6</v>
      </c>
      <c r="D3763" s="148">
        <f t="shared" ca="1" si="122"/>
        <v>25.4</v>
      </c>
      <c r="E3763" s="148">
        <f t="shared" ca="1" si="123"/>
        <v>0</v>
      </c>
    </row>
    <row r="3764" spans="2:5" x14ac:dyDescent="0.25">
      <c r="B3764" s="8">
        <v>41358</v>
      </c>
      <c r="C3764" s="6">
        <f ca="1">IF(OR($C$7="",$B3764&gt;NOW()),"",IF(INDEX(Data!$A:$G,MATCH($B3764,Data!$A:$A,0),MATCH($C$7,Data!$4:$4,0))="","",INDEX(Data!$A:$G,MATCH($B3764,Data!$A:$A,0),MATCH($C$7,Data!$4:$4,0))))</f>
        <v>39.200000000000003</v>
      </c>
      <c r="D3764" s="148">
        <f t="shared" ca="1" si="122"/>
        <v>25.799999999999997</v>
      </c>
      <c r="E3764" s="148">
        <f t="shared" ca="1" si="123"/>
        <v>0</v>
      </c>
    </row>
    <row r="3765" spans="2:5" x14ac:dyDescent="0.25">
      <c r="B3765" s="8">
        <v>41359</v>
      </c>
      <c r="C3765" s="6">
        <f ca="1">IF(OR($C$7="",$B3765&gt;NOW()),"",IF(INDEX(Data!$A:$G,MATCH($B3765,Data!$A:$A,0),MATCH($C$7,Data!$4:$4,0))="","",INDEX(Data!$A:$G,MATCH($B3765,Data!$A:$A,0),MATCH($C$7,Data!$4:$4,0))))</f>
        <v>42.4</v>
      </c>
      <c r="D3765" s="148">
        <f t="shared" ca="1" si="122"/>
        <v>22.6</v>
      </c>
      <c r="E3765" s="148">
        <f t="shared" ca="1" si="123"/>
        <v>0</v>
      </c>
    </row>
    <row r="3766" spans="2:5" x14ac:dyDescent="0.25">
      <c r="B3766" s="8">
        <v>41360</v>
      </c>
      <c r="C3766" s="6">
        <f ca="1">IF(OR($C$7="",$B3766&gt;NOW()),"",IF(INDEX(Data!$A:$G,MATCH($B3766,Data!$A:$A,0),MATCH($C$7,Data!$4:$4,0))="","",INDEX(Data!$A:$G,MATCH($B3766,Data!$A:$A,0),MATCH($C$7,Data!$4:$4,0))))</f>
        <v>44.3</v>
      </c>
      <c r="D3766" s="148">
        <f t="shared" ca="1" si="122"/>
        <v>20.700000000000003</v>
      </c>
      <c r="E3766" s="148">
        <f t="shared" ca="1" si="123"/>
        <v>0</v>
      </c>
    </row>
    <row r="3767" spans="2:5" x14ac:dyDescent="0.25">
      <c r="B3767" s="8">
        <v>41361</v>
      </c>
      <c r="C3767" s="6">
        <f ca="1">IF(OR($C$7="",$B3767&gt;NOW()),"",IF(INDEX(Data!$A:$G,MATCH($B3767,Data!$A:$A,0),MATCH($C$7,Data!$4:$4,0))="","",INDEX(Data!$A:$G,MATCH($B3767,Data!$A:$A,0),MATCH($C$7,Data!$4:$4,0))))</f>
        <v>43.8</v>
      </c>
      <c r="D3767" s="148">
        <f t="shared" ca="1" si="122"/>
        <v>21.200000000000003</v>
      </c>
      <c r="E3767" s="148">
        <f t="shared" ca="1" si="123"/>
        <v>0</v>
      </c>
    </row>
    <row r="3768" spans="2:5" x14ac:dyDescent="0.25">
      <c r="B3768" s="8">
        <v>41362</v>
      </c>
      <c r="C3768" s="6">
        <f ca="1">IF(OR($C$7="",$B3768&gt;NOW()),"",IF(INDEX(Data!$A:$G,MATCH($B3768,Data!$A:$A,0),MATCH($C$7,Data!$4:$4,0))="","",INDEX(Data!$A:$G,MATCH($B3768,Data!$A:$A,0),MATCH($C$7,Data!$4:$4,0))))</f>
        <v>47</v>
      </c>
      <c r="D3768" s="148">
        <f t="shared" ca="1" si="122"/>
        <v>18</v>
      </c>
      <c r="E3768" s="148">
        <f t="shared" ca="1" si="123"/>
        <v>0</v>
      </c>
    </row>
    <row r="3769" spans="2:5" x14ac:dyDescent="0.25">
      <c r="B3769" s="8">
        <v>41363</v>
      </c>
      <c r="C3769" s="6">
        <f ca="1">IF(OR($C$7="",$B3769&gt;NOW()),"",IF(INDEX(Data!$A:$G,MATCH($B3769,Data!$A:$A,0),MATCH($C$7,Data!$4:$4,0))="","",INDEX(Data!$A:$G,MATCH($B3769,Data!$A:$A,0),MATCH($C$7,Data!$4:$4,0))))</f>
        <v>48.1</v>
      </c>
      <c r="D3769" s="148">
        <f t="shared" ca="1" si="122"/>
        <v>16.899999999999999</v>
      </c>
      <c r="E3769" s="148">
        <f t="shared" ca="1" si="123"/>
        <v>0</v>
      </c>
    </row>
    <row r="3770" spans="2:5" x14ac:dyDescent="0.25">
      <c r="B3770" s="8">
        <v>41364</v>
      </c>
      <c r="C3770" s="6">
        <f ca="1">IF(OR($C$7="",$B3770&gt;NOW()),"",IF(INDEX(Data!$A:$G,MATCH($B3770,Data!$A:$A,0),MATCH($C$7,Data!$4:$4,0))="","",INDEX(Data!$A:$G,MATCH($B3770,Data!$A:$A,0),MATCH($C$7,Data!$4:$4,0))))</f>
        <v>47.6</v>
      </c>
      <c r="D3770" s="148">
        <f t="shared" ca="1" si="122"/>
        <v>17.399999999999999</v>
      </c>
      <c r="E3770" s="148">
        <f t="shared" ca="1" si="123"/>
        <v>0</v>
      </c>
    </row>
    <row r="3771" spans="2:5" x14ac:dyDescent="0.25">
      <c r="B3771" s="8">
        <v>41365</v>
      </c>
      <c r="C3771" s="6">
        <f ca="1">IF(OR($C$7="",$B3771&gt;NOW()),"",IF(INDEX(Data!$A:$G,MATCH($B3771,Data!$A:$A,0),MATCH($C$7,Data!$4:$4,0))="","",INDEX(Data!$A:$G,MATCH($B3771,Data!$A:$A,0),MATCH($C$7,Data!$4:$4,0))))</f>
        <v>49.9</v>
      </c>
      <c r="D3771" s="148">
        <f t="shared" ca="1" si="122"/>
        <v>15.100000000000001</v>
      </c>
      <c r="E3771" s="148">
        <f t="shared" ca="1" si="123"/>
        <v>0</v>
      </c>
    </row>
    <row r="3772" spans="2:5" x14ac:dyDescent="0.25">
      <c r="B3772" s="8">
        <v>41366</v>
      </c>
      <c r="C3772" s="6">
        <f ca="1">IF(OR($C$7="",$B3772&gt;NOW()),"",IF(INDEX(Data!$A:$G,MATCH($B3772,Data!$A:$A,0),MATCH($C$7,Data!$4:$4,0))="","",INDEX(Data!$A:$G,MATCH($B3772,Data!$A:$A,0),MATCH($C$7,Data!$4:$4,0))))</f>
        <v>39.299999999999997</v>
      </c>
      <c r="D3772" s="148">
        <f t="shared" ca="1" si="122"/>
        <v>25.700000000000003</v>
      </c>
      <c r="E3772" s="148">
        <f t="shared" ca="1" si="123"/>
        <v>0</v>
      </c>
    </row>
    <row r="3773" spans="2:5" x14ac:dyDescent="0.25">
      <c r="B3773" s="8">
        <v>41367</v>
      </c>
      <c r="C3773" s="6">
        <f ca="1">IF(OR($C$7="",$B3773&gt;NOW()),"",IF(INDEX(Data!$A:$G,MATCH($B3773,Data!$A:$A,0),MATCH($C$7,Data!$4:$4,0))="","",INDEX(Data!$A:$G,MATCH($B3773,Data!$A:$A,0),MATCH($C$7,Data!$4:$4,0))))</f>
        <v>39.799999999999997</v>
      </c>
      <c r="D3773" s="148">
        <f t="shared" ca="1" si="122"/>
        <v>25.200000000000003</v>
      </c>
      <c r="E3773" s="148">
        <f t="shared" ca="1" si="123"/>
        <v>0</v>
      </c>
    </row>
    <row r="3774" spans="2:5" x14ac:dyDescent="0.25">
      <c r="B3774" s="8">
        <v>41368</v>
      </c>
      <c r="C3774" s="6">
        <f ca="1">IF(OR($C$7="",$B3774&gt;NOW()),"",IF(INDEX(Data!$A:$G,MATCH($B3774,Data!$A:$A,0),MATCH($C$7,Data!$4:$4,0))="","",INDEX(Data!$A:$G,MATCH($B3774,Data!$A:$A,0),MATCH($C$7,Data!$4:$4,0))))</f>
        <v>40.6</v>
      </c>
      <c r="D3774" s="148">
        <f t="shared" ca="1" si="122"/>
        <v>24.4</v>
      </c>
      <c r="E3774" s="148">
        <f t="shared" ca="1" si="123"/>
        <v>0</v>
      </c>
    </row>
    <row r="3775" spans="2:5" x14ac:dyDescent="0.25">
      <c r="B3775" s="8">
        <v>41369</v>
      </c>
      <c r="C3775" s="6">
        <f ca="1">IF(OR($C$7="",$B3775&gt;NOW()),"",IF(INDEX(Data!$A:$G,MATCH($B3775,Data!$A:$A,0),MATCH($C$7,Data!$4:$4,0))="","",INDEX(Data!$A:$G,MATCH($B3775,Data!$A:$A,0),MATCH($C$7,Data!$4:$4,0))))</f>
        <v>48.4</v>
      </c>
      <c r="D3775" s="148">
        <f t="shared" ca="1" si="122"/>
        <v>16.600000000000001</v>
      </c>
      <c r="E3775" s="148">
        <f t="shared" ca="1" si="123"/>
        <v>0</v>
      </c>
    </row>
    <row r="3776" spans="2:5" x14ac:dyDescent="0.25">
      <c r="B3776" s="8">
        <v>41370</v>
      </c>
      <c r="C3776" s="6">
        <f ca="1">IF(OR($C$7="",$B3776&gt;NOW()),"",IF(INDEX(Data!$A:$G,MATCH($B3776,Data!$A:$A,0),MATCH($C$7,Data!$4:$4,0))="","",INDEX(Data!$A:$G,MATCH($B3776,Data!$A:$A,0),MATCH($C$7,Data!$4:$4,0))))</f>
        <v>43.9</v>
      </c>
      <c r="D3776" s="148">
        <f t="shared" ca="1" si="122"/>
        <v>21.1</v>
      </c>
      <c r="E3776" s="148">
        <f t="shared" ca="1" si="123"/>
        <v>0</v>
      </c>
    </row>
    <row r="3777" spans="2:5" x14ac:dyDescent="0.25">
      <c r="B3777" s="8">
        <v>41371</v>
      </c>
      <c r="C3777" s="6">
        <f ca="1">IF(OR($C$7="",$B3777&gt;NOW()),"",IF(INDEX(Data!$A:$G,MATCH($B3777,Data!$A:$A,0),MATCH($C$7,Data!$4:$4,0))="","",INDEX(Data!$A:$G,MATCH($B3777,Data!$A:$A,0),MATCH($C$7,Data!$4:$4,0))))</f>
        <v>46.2</v>
      </c>
      <c r="D3777" s="148">
        <f t="shared" ca="1" si="122"/>
        <v>18.799999999999997</v>
      </c>
      <c r="E3777" s="148">
        <f t="shared" ca="1" si="123"/>
        <v>0</v>
      </c>
    </row>
    <row r="3778" spans="2:5" x14ac:dyDescent="0.25">
      <c r="B3778" s="8">
        <v>41372</v>
      </c>
      <c r="C3778" s="6">
        <f ca="1">IF(OR($C$7="",$B3778&gt;NOW()),"",IF(INDEX(Data!$A:$G,MATCH($B3778,Data!$A:$A,0),MATCH($C$7,Data!$4:$4,0))="","",INDEX(Data!$A:$G,MATCH($B3778,Data!$A:$A,0),MATCH($C$7,Data!$4:$4,0))))</f>
        <v>55.9</v>
      </c>
      <c r="D3778" s="148">
        <f t="shared" ca="1" si="122"/>
        <v>9.1000000000000014</v>
      </c>
      <c r="E3778" s="148">
        <f t="shared" ca="1" si="123"/>
        <v>0</v>
      </c>
    </row>
    <row r="3779" spans="2:5" x14ac:dyDescent="0.25">
      <c r="B3779" s="8">
        <v>41373</v>
      </c>
      <c r="C3779" s="6">
        <f ca="1">IF(OR($C$7="",$B3779&gt;NOW()),"",IF(INDEX(Data!$A:$G,MATCH($B3779,Data!$A:$A,0),MATCH($C$7,Data!$4:$4,0))="","",INDEX(Data!$A:$G,MATCH($B3779,Data!$A:$A,0),MATCH($C$7,Data!$4:$4,0))))</f>
        <v>63.2</v>
      </c>
      <c r="D3779" s="148">
        <f t="shared" ca="1" si="122"/>
        <v>1.7999999999999972</v>
      </c>
      <c r="E3779" s="148">
        <f t="shared" ca="1" si="123"/>
        <v>0</v>
      </c>
    </row>
    <row r="3780" spans="2:5" x14ac:dyDescent="0.25">
      <c r="B3780" s="8">
        <v>41374</v>
      </c>
      <c r="C3780" s="6">
        <f ca="1">IF(OR($C$7="",$B3780&gt;NOW()),"",IF(INDEX(Data!$A:$G,MATCH($B3780,Data!$A:$A,0),MATCH($C$7,Data!$4:$4,0))="","",INDEX(Data!$A:$G,MATCH($B3780,Data!$A:$A,0),MATCH($C$7,Data!$4:$4,0))))</f>
        <v>62.8</v>
      </c>
      <c r="D3780" s="148">
        <f t="shared" ca="1" si="122"/>
        <v>2.2000000000000028</v>
      </c>
      <c r="E3780" s="148">
        <f t="shared" ca="1" si="123"/>
        <v>0</v>
      </c>
    </row>
    <row r="3781" spans="2:5" x14ac:dyDescent="0.25">
      <c r="B3781" s="8">
        <v>41375</v>
      </c>
      <c r="C3781" s="6">
        <f ca="1">IF(OR($C$7="",$B3781&gt;NOW()),"",IF(INDEX(Data!$A:$G,MATCH($B3781,Data!$A:$A,0),MATCH($C$7,Data!$4:$4,0))="","",INDEX(Data!$A:$G,MATCH($B3781,Data!$A:$A,0),MATCH($C$7,Data!$4:$4,0))))</f>
        <v>56.4</v>
      </c>
      <c r="D3781" s="148">
        <f t="shared" ca="1" si="122"/>
        <v>8.6000000000000014</v>
      </c>
      <c r="E3781" s="148">
        <f t="shared" ca="1" si="123"/>
        <v>0</v>
      </c>
    </row>
    <row r="3782" spans="2:5" x14ac:dyDescent="0.25">
      <c r="B3782" s="8">
        <v>41376</v>
      </c>
      <c r="C3782" s="6">
        <f ca="1">IF(OR($C$7="",$B3782&gt;NOW()),"",IF(INDEX(Data!$A:$G,MATCH($B3782,Data!$A:$A,0),MATCH($C$7,Data!$4:$4,0))="","",INDEX(Data!$A:$G,MATCH($B3782,Data!$A:$A,0),MATCH($C$7,Data!$4:$4,0))))</f>
        <v>45.1</v>
      </c>
      <c r="D3782" s="148">
        <f t="shared" ca="1" si="122"/>
        <v>19.899999999999999</v>
      </c>
      <c r="E3782" s="148">
        <f t="shared" ca="1" si="123"/>
        <v>0</v>
      </c>
    </row>
    <row r="3783" spans="2:5" x14ac:dyDescent="0.25">
      <c r="B3783" s="8">
        <v>41377</v>
      </c>
      <c r="C3783" s="6">
        <f ca="1">IF(OR($C$7="",$B3783&gt;NOW()),"",IF(INDEX(Data!$A:$G,MATCH($B3783,Data!$A:$A,0),MATCH($C$7,Data!$4:$4,0))="","",INDEX(Data!$A:$G,MATCH($B3783,Data!$A:$A,0),MATCH($C$7,Data!$4:$4,0))))</f>
        <v>46.6</v>
      </c>
      <c r="D3783" s="148">
        <f t="shared" ca="1" si="122"/>
        <v>18.399999999999999</v>
      </c>
      <c r="E3783" s="148">
        <f t="shared" ca="1" si="123"/>
        <v>0</v>
      </c>
    </row>
    <row r="3784" spans="2:5" x14ac:dyDescent="0.25">
      <c r="B3784" s="8">
        <v>41378</v>
      </c>
      <c r="C3784" s="6">
        <f ca="1">IF(OR($C$7="",$B3784&gt;NOW()),"",IF(INDEX(Data!$A:$G,MATCH($B3784,Data!$A:$A,0),MATCH($C$7,Data!$4:$4,0))="","",INDEX(Data!$A:$G,MATCH($B3784,Data!$A:$A,0),MATCH($C$7,Data!$4:$4,0))))</f>
        <v>51.8</v>
      </c>
      <c r="D3784" s="148">
        <f t="shared" ca="1" si="122"/>
        <v>13.200000000000003</v>
      </c>
      <c r="E3784" s="148">
        <f t="shared" ca="1" si="123"/>
        <v>0</v>
      </c>
    </row>
    <row r="3785" spans="2:5" x14ac:dyDescent="0.25">
      <c r="B3785" s="8">
        <v>41379</v>
      </c>
      <c r="C3785" s="6">
        <f ca="1">IF(OR($C$7="",$B3785&gt;NOW()),"",IF(INDEX(Data!$A:$G,MATCH($B3785,Data!$A:$A,0),MATCH($C$7,Data!$4:$4,0))="","",INDEX(Data!$A:$G,MATCH($B3785,Data!$A:$A,0),MATCH($C$7,Data!$4:$4,0))))</f>
        <v>49.3</v>
      </c>
      <c r="D3785" s="148">
        <f t="shared" ca="1" si="122"/>
        <v>15.700000000000003</v>
      </c>
      <c r="E3785" s="148">
        <f t="shared" ca="1" si="123"/>
        <v>0</v>
      </c>
    </row>
    <row r="3786" spans="2:5" x14ac:dyDescent="0.25">
      <c r="B3786" s="8">
        <v>41380</v>
      </c>
      <c r="C3786" s="6">
        <f ca="1">IF(OR($C$7="",$B3786&gt;NOW()),"",IF(INDEX(Data!$A:$G,MATCH($B3786,Data!$A:$A,0),MATCH($C$7,Data!$4:$4,0))="","",INDEX(Data!$A:$G,MATCH($B3786,Data!$A:$A,0),MATCH($C$7,Data!$4:$4,0))))</f>
        <v>53.1</v>
      </c>
      <c r="D3786" s="148">
        <f t="shared" ca="1" si="122"/>
        <v>11.899999999999999</v>
      </c>
      <c r="E3786" s="148">
        <f t="shared" ca="1" si="123"/>
        <v>0</v>
      </c>
    </row>
    <row r="3787" spans="2:5" x14ac:dyDescent="0.25">
      <c r="B3787" s="8">
        <v>41381</v>
      </c>
      <c r="C3787" s="6">
        <f ca="1">IF(OR($C$7="",$B3787&gt;NOW()),"",IF(INDEX(Data!$A:$G,MATCH($B3787,Data!$A:$A,0),MATCH($C$7,Data!$4:$4,0))="","",INDEX(Data!$A:$G,MATCH($B3787,Data!$A:$A,0),MATCH($C$7,Data!$4:$4,0))))</f>
        <v>61</v>
      </c>
      <c r="D3787" s="148">
        <f t="shared" ca="1" si="122"/>
        <v>4</v>
      </c>
      <c r="E3787" s="148">
        <f t="shared" ca="1" si="123"/>
        <v>0</v>
      </c>
    </row>
    <row r="3788" spans="2:5" x14ac:dyDescent="0.25">
      <c r="B3788" s="8">
        <v>41382</v>
      </c>
      <c r="C3788" s="6">
        <f ca="1">IF(OR($C$7="",$B3788&gt;NOW()),"",IF(INDEX(Data!$A:$G,MATCH($B3788,Data!$A:$A,0),MATCH($C$7,Data!$4:$4,0))="","",INDEX(Data!$A:$G,MATCH($B3788,Data!$A:$A,0),MATCH($C$7,Data!$4:$4,0))))</f>
        <v>56.4</v>
      </c>
      <c r="D3788" s="148">
        <f t="shared" ca="1" si="122"/>
        <v>8.6000000000000014</v>
      </c>
      <c r="E3788" s="148">
        <f t="shared" ca="1" si="123"/>
        <v>0</v>
      </c>
    </row>
    <row r="3789" spans="2:5" x14ac:dyDescent="0.25">
      <c r="B3789" s="8">
        <v>41383</v>
      </c>
      <c r="C3789" s="6">
        <f ca="1">IF(OR($C$7="",$B3789&gt;NOW()),"",IF(INDEX(Data!$A:$G,MATCH($B3789,Data!$A:$A,0),MATCH($C$7,Data!$4:$4,0))="","",INDEX(Data!$A:$G,MATCH($B3789,Data!$A:$A,0),MATCH($C$7,Data!$4:$4,0))))</f>
        <v>59.2</v>
      </c>
      <c r="D3789" s="148">
        <f t="shared" ca="1" si="122"/>
        <v>5.7999999999999972</v>
      </c>
      <c r="E3789" s="148">
        <f t="shared" ca="1" si="123"/>
        <v>0</v>
      </c>
    </row>
    <row r="3790" spans="2:5" x14ac:dyDescent="0.25">
      <c r="B3790" s="8">
        <v>41384</v>
      </c>
      <c r="C3790" s="6">
        <f ca="1">IF(OR($C$7="",$B3790&gt;NOW()),"",IF(INDEX(Data!$A:$G,MATCH($B3790,Data!$A:$A,0),MATCH($C$7,Data!$4:$4,0))="","",INDEX(Data!$A:$G,MATCH($B3790,Data!$A:$A,0),MATCH($C$7,Data!$4:$4,0))))</f>
        <v>56.4</v>
      </c>
      <c r="D3790" s="148">
        <f t="shared" ca="1" si="122"/>
        <v>8.6000000000000014</v>
      </c>
      <c r="E3790" s="148">
        <f t="shared" ca="1" si="123"/>
        <v>0</v>
      </c>
    </row>
    <row r="3791" spans="2:5" x14ac:dyDescent="0.25">
      <c r="B3791" s="8">
        <v>41385</v>
      </c>
      <c r="C3791" s="6">
        <f ca="1">IF(OR($C$7="",$B3791&gt;NOW()),"",IF(INDEX(Data!$A:$G,MATCH($B3791,Data!$A:$A,0),MATCH($C$7,Data!$4:$4,0))="","",INDEX(Data!$A:$G,MATCH($B3791,Data!$A:$A,0),MATCH($C$7,Data!$4:$4,0))))</f>
        <v>46.5</v>
      </c>
      <c r="D3791" s="148">
        <f t="shared" ca="1" si="122"/>
        <v>18.5</v>
      </c>
      <c r="E3791" s="148">
        <f t="shared" ca="1" si="123"/>
        <v>0</v>
      </c>
    </row>
    <row r="3792" spans="2:5" x14ac:dyDescent="0.25">
      <c r="B3792" s="8">
        <v>41386</v>
      </c>
      <c r="C3792" s="6">
        <f ca="1">IF(OR($C$7="",$B3792&gt;NOW()),"",IF(INDEX(Data!$A:$G,MATCH($B3792,Data!$A:$A,0),MATCH($C$7,Data!$4:$4,0))="","",INDEX(Data!$A:$G,MATCH($B3792,Data!$A:$A,0),MATCH($C$7,Data!$4:$4,0))))</f>
        <v>47.5</v>
      </c>
      <c r="D3792" s="148">
        <f t="shared" ca="1" si="122"/>
        <v>17.5</v>
      </c>
      <c r="E3792" s="148">
        <f t="shared" ca="1" si="123"/>
        <v>0</v>
      </c>
    </row>
    <row r="3793" spans="2:5" x14ac:dyDescent="0.25">
      <c r="B3793" s="8">
        <v>41387</v>
      </c>
      <c r="C3793" s="6">
        <f ca="1">IF(OR($C$7="",$B3793&gt;NOW()),"",IF(INDEX(Data!$A:$G,MATCH($B3793,Data!$A:$A,0),MATCH($C$7,Data!$4:$4,0))="","",INDEX(Data!$A:$G,MATCH($B3793,Data!$A:$A,0),MATCH($C$7,Data!$4:$4,0))))</f>
        <v>45.9</v>
      </c>
      <c r="D3793" s="148">
        <f t="shared" ca="1" si="122"/>
        <v>19.100000000000001</v>
      </c>
      <c r="E3793" s="148">
        <f t="shared" ca="1" si="123"/>
        <v>0</v>
      </c>
    </row>
    <row r="3794" spans="2:5" x14ac:dyDescent="0.25">
      <c r="B3794" s="8">
        <v>41388</v>
      </c>
      <c r="C3794" s="6">
        <f ca="1">IF(OR($C$7="",$B3794&gt;NOW()),"",IF(INDEX(Data!$A:$G,MATCH($B3794,Data!$A:$A,0),MATCH($C$7,Data!$4:$4,0))="","",INDEX(Data!$A:$G,MATCH($B3794,Data!$A:$A,0),MATCH($C$7,Data!$4:$4,0))))</f>
        <v>52.8</v>
      </c>
      <c r="D3794" s="148">
        <f t="shared" ca="1" si="122"/>
        <v>12.200000000000003</v>
      </c>
      <c r="E3794" s="148">
        <f t="shared" ca="1" si="123"/>
        <v>0</v>
      </c>
    </row>
    <row r="3795" spans="2:5" x14ac:dyDescent="0.25">
      <c r="B3795" s="8">
        <v>41389</v>
      </c>
      <c r="C3795" s="6">
        <f ca="1">IF(OR($C$7="",$B3795&gt;NOW()),"",IF(INDEX(Data!$A:$G,MATCH($B3795,Data!$A:$A,0),MATCH($C$7,Data!$4:$4,0))="","",INDEX(Data!$A:$G,MATCH($B3795,Data!$A:$A,0),MATCH($C$7,Data!$4:$4,0))))</f>
        <v>55.6</v>
      </c>
      <c r="D3795" s="148">
        <f t="shared" ca="1" si="122"/>
        <v>9.3999999999999986</v>
      </c>
      <c r="E3795" s="148">
        <f t="shared" ca="1" si="123"/>
        <v>0</v>
      </c>
    </row>
    <row r="3796" spans="2:5" x14ac:dyDescent="0.25">
      <c r="B3796" s="8">
        <v>41390</v>
      </c>
      <c r="C3796" s="6">
        <f ca="1">IF(OR($C$7="",$B3796&gt;NOW()),"",IF(INDEX(Data!$A:$G,MATCH($B3796,Data!$A:$A,0),MATCH($C$7,Data!$4:$4,0))="","",INDEX(Data!$A:$G,MATCH($B3796,Data!$A:$A,0),MATCH($C$7,Data!$4:$4,0))))</f>
        <v>57.6</v>
      </c>
      <c r="D3796" s="148">
        <f t="shared" ca="1" si="122"/>
        <v>7.3999999999999986</v>
      </c>
      <c r="E3796" s="148">
        <f t="shared" ca="1" si="123"/>
        <v>0</v>
      </c>
    </row>
    <row r="3797" spans="2:5" x14ac:dyDescent="0.25">
      <c r="B3797" s="8">
        <v>41391</v>
      </c>
      <c r="C3797" s="6">
        <f ca="1">IF(OR($C$7="",$B3797&gt;NOW()),"",IF(INDEX(Data!$A:$G,MATCH($B3797,Data!$A:$A,0),MATCH($C$7,Data!$4:$4,0))="","",INDEX(Data!$A:$G,MATCH($B3797,Data!$A:$A,0),MATCH($C$7,Data!$4:$4,0))))</f>
        <v>57.6</v>
      </c>
      <c r="D3797" s="148">
        <f t="shared" ca="1" si="122"/>
        <v>7.3999999999999986</v>
      </c>
      <c r="E3797" s="148">
        <f t="shared" ca="1" si="123"/>
        <v>0</v>
      </c>
    </row>
    <row r="3798" spans="2:5" x14ac:dyDescent="0.25">
      <c r="B3798" s="8">
        <v>41392</v>
      </c>
      <c r="C3798" s="6">
        <f ca="1">IF(OR($C$7="",$B3798&gt;NOW()),"",IF(INDEX(Data!$A:$G,MATCH($B3798,Data!$A:$A,0),MATCH($C$7,Data!$4:$4,0))="","",INDEX(Data!$A:$G,MATCH($B3798,Data!$A:$A,0),MATCH($C$7,Data!$4:$4,0))))</f>
        <v>58.5</v>
      </c>
      <c r="D3798" s="148">
        <f t="shared" ca="1" si="122"/>
        <v>6.5</v>
      </c>
      <c r="E3798" s="148">
        <f t="shared" ca="1" si="123"/>
        <v>0</v>
      </c>
    </row>
    <row r="3799" spans="2:5" x14ac:dyDescent="0.25">
      <c r="B3799" s="8">
        <v>41393</v>
      </c>
      <c r="C3799" s="6">
        <f ca="1">IF(OR($C$7="",$B3799&gt;NOW()),"",IF(INDEX(Data!$A:$G,MATCH($B3799,Data!$A:$A,0),MATCH($C$7,Data!$4:$4,0))="","",INDEX(Data!$A:$G,MATCH($B3799,Data!$A:$A,0),MATCH($C$7,Data!$4:$4,0))))</f>
        <v>55.7</v>
      </c>
      <c r="D3799" s="148">
        <f t="shared" ca="1" si="122"/>
        <v>9.2999999999999972</v>
      </c>
      <c r="E3799" s="148">
        <f t="shared" ca="1" si="123"/>
        <v>0</v>
      </c>
    </row>
    <row r="3800" spans="2:5" x14ac:dyDescent="0.25">
      <c r="B3800" s="8">
        <v>41394</v>
      </c>
      <c r="C3800" s="6">
        <f ca="1">IF(OR($C$7="",$B3800&gt;NOW()),"",IF(INDEX(Data!$A:$G,MATCH($B3800,Data!$A:$A,0),MATCH($C$7,Data!$4:$4,0))="","",INDEX(Data!$A:$G,MATCH($B3800,Data!$A:$A,0),MATCH($C$7,Data!$4:$4,0))))</f>
        <v>56.6</v>
      </c>
      <c r="D3800" s="148">
        <f t="shared" ca="1" si="122"/>
        <v>8.3999999999999986</v>
      </c>
      <c r="E3800" s="148">
        <f t="shared" ca="1" si="123"/>
        <v>0</v>
      </c>
    </row>
    <row r="3801" spans="2:5" x14ac:dyDescent="0.25">
      <c r="B3801" s="8">
        <v>41395</v>
      </c>
      <c r="C3801" s="6">
        <f ca="1">IF(OR($C$7="",$B3801&gt;NOW()),"",IF(INDEX(Data!$A:$G,MATCH($B3801,Data!$A:$A,0),MATCH($C$7,Data!$4:$4,0))="","",INDEX(Data!$A:$G,MATCH($B3801,Data!$A:$A,0),MATCH($C$7,Data!$4:$4,0))))</f>
        <v>56.7</v>
      </c>
      <c r="D3801" s="148">
        <f t="shared" ca="1" si="122"/>
        <v>8.2999999999999972</v>
      </c>
      <c r="E3801" s="148">
        <f t="shared" ca="1" si="123"/>
        <v>0</v>
      </c>
    </row>
    <row r="3802" spans="2:5" x14ac:dyDescent="0.25">
      <c r="B3802" s="8">
        <v>41396</v>
      </c>
      <c r="C3802" s="6">
        <f ca="1">IF(OR($C$7="",$B3802&gt;NOW()),"",IF(INDEX(Data!$A:$G,MATCH($B3802,Data!$A:$A,0),MATCH($C$7,Data!$4:$4,0))="","",INDEX(Data!$A:$G,MATCH($B3802,Data!$A:$A,0),MATCH($C$7,Data!$4:$4,0))))</f>
        <v>58.1</v>
      </c>
      <c r="D3802" s="148">
        <f t="shared" ca="1" si="122"/>
        <v>6.8999999999999986</v>
      </c>
      <c r="E3802" s="148">
        <f t="shared" ca="1" si="123"/>
        <v>0</v>
      </c>
    </row>
    <row r="3803" spans="2:5" x14ac:dyDescent="0.25">
      <c r="B3803" s="8">
        <v>41397</v>
      </c>
      <c r="C3803" s="6">
        <f ca="1">IF(OR($C$7="",$B3803&gt;NOW()),"",IF(INDEX(Data!$A:$G,MATCH($B3803,Data!$A:$A,0),MATCH($C$7,Data!$4:$4,0))="","",INDEX(Data!$A:$G,MATCH($B3803,Data!$A:$A,0),MATCH($C$7,Data!$4:$4,0))))</f>
        <v>57</v>
      </c>
      <c r="D3803" s="148">
        <f t="shared" ca="1" si="122"/>
        <v>8</v>
      </c>
      <c r="E3803" s="148">
        <f t="shared" ca="1" si="123"/>
        <v>0</v>
      </c>
    </row>
    <row r="3804" spans="2:5" x14ac:dyDescent="0.25">
      <c r="B3804" s="8">
        <v>41398</v>
      </c>
      <c r="C3804" s="6">
        <f ca="1">IF(OR($C$7="",$B3804&gt;NOW()),"",IF(INDEX(Data!$A:$G,MATCH($B3804,Data!$A:$A,0),MATCH($C$7,Data!$4:$4,0))="","",INDEX(Data!$A:$G,MATCH($B3804,Data!$A:$A,0),MATCH($C$7,Data!$4:$4,0))))</f>
        <v>55.2</v>
      </c>
      <c r="D3804" s="148">
        <f t="shared" ca="1" si="122"/>
        <v>9.7999999999999972</v>
      </c>
      <c r="E3804" s="148">
        <f t="shared" ca="1" si="123"/>
        <v>0</v>
      </c>
    </row>
    <row r="3805" spans="2:5" x14ac:dyDescent="0.25">
      <c r="B3805" s="8">
        <v>41399</v>
      </c>
      <c r="C3805" s="6">
        <f ca="1">IF(OR($C$7="",$B3805&gt;NOW()),"",IF(INDEX(Data!$A:$G,MATCH($B3805,Data!$A:$A,0),MATCH($C$7,Data!$4:$4,0))="","",INDEX(Data!$A:$G,MATCH($B3805,Data!$A:$A,0),MATCH($C$7,Data!$4:$4,0))))</f>
        <v>52.1</v>
      </c>
      <c r="D3805" s="148">
        <f t="shared" ref="D3805:D3868" ca="1" si="124">IF($C3805="","",IF($C3805&gt;$D$26,0,$D$26-$C3805))</f>
        <v>12.899999999999999</v>
      </c>
      <c r="E3805" s="148">
        <f t="shared" ref="E3805:E3868" ca="1" si="125">IF($C3805="","",IF($C3805&lt;$E$26,0,$C3805-$E$26))</f>
        <v>0</v>
      </c>
    </row>
    <row r="3806" spans="2:5" x14ac:dyDescent="0.25">
      <c r="B3806" s="8">
        <v>41400</v>
      </c>
      <c r="C3806" s="6">
        <f ca="1">IF(OR($C$7="",$B3806&gt;NOW()),"",IF(INDEX(Data!$A:$G,MATCH($B3806,Data!$A:$A,0),MATCH($C$7,Data!$4:$4,0))="","",INDEX(Data!$A:$G,MATCH($B3806,Data!$A:$A,0),MATCH($C$7,Data!$4:$4,0))))</f>
        <v>54.4</v>
      </c>
      <c r="D3806" s="148">
        <f t="shared" ca="1" si="124"/>
        <v>10.600000000000001</v>
      </c>
      <c r="E3806" s="148">
        <f t="shared" ca="1" si="125"/>
        <v>0</v>
      </c>
    </row>
    <row r="3807" spans="2:5" x14ac:dyDescent="0.25">
      <c r="B3807" s="8">
        <v>41401</v>
      </c>
      <c r="C3807" s="6">
        <f ca="1">IF(OR($C$7="",$B3807&gt;NOW()),"",IF(INDEX(Data!$A:$G,MATCH($B3807,Data!$A:$A,0),MATCH($C$7,Data!$4:$4,0))="","",INDEX(Data!$A:$G,MATCH($B3807,Data!$A:$A,0),MATCH($C$7,Data!$4:$4,0))))</f>
        <v>59.3</v>
      </c>
      <c r="D3807" s="148">
        <f t="shared" ca="1" si="124"/>
        <v>5.7000000000000028</v>
      </c>
      <c r="E3807" s="148">
        <f t="shared" ca="1" si="125"/>
        <v>0</v>
      </c>
    </row>
    <row r="3808" spans="2:5" x14ac:dyDescent="0.25">
      <c r="B3808" s="8">
        <v>41402</v>
      </c>
      <c r="C3808" s="6">
        <f ca="1">IF(OR($C$7="",$B3808&gt;NOW()),"",IF(INDEX(Data!$A:$G,MATCH($B3808,Data!$A:$A,0),MATCH($C$7,Data!$4:$4,0))="","",INDEX(Data!$A:$G,MATCH($B3808,Data!$A:$A,0),MATCH($C$7,Data!$4:$4,0))))</f>
        <v>60.1</v>
      </c>
      <c r="D3808" s="148">
        <f t="shared" ca="1" si="124"/>
        <v>4.8999999999999986</v>
      </c>
      <c r="E3808" s="148">
        <f t="shared" ca="1" si="125"/>
        <v>0</v>
      </c>
    </row>
    <row r="3809" spans="2:5" x14ac:dyDescent="0.25">
      <c r="B3809" s="8">
        <v>41403</v>
      </c>
      <c r="C3809" s="6">
        <f ca="1">IF(OR($C$7="",$B3809&gt;NOW()),"",IF(INDEX(Data!$A:$G,MATCH($B3809,Data!$A:$A,0),MATCH($C$7,Data!$4:$4,0))="","",INDEX(Data!$A:$G,MATCH($B3809,Data!$A:$A,0),MATCH($C$7,Data!$4:$4,0))))</f>
        <v>58.2</v>
      </c>
      <c r="D3809" s="148">
        <f t="shared" ca="1" si="124"/>
        <v>6.7999999999999972</v>
      </c>
      <c r="E3809" s="148">
        <f t="shared" ca="1" si="125"/>
        <v>0</v>
      </c>
    </row>
    <row r="3810" spans="2:5" x14ac:dyDescent="0.25">
      <c r="B3810" s="8">
        <v>41404</v>
      </c>
      <c r="C3810" s="6">
        <f ca="1">IF(OR($C$7="",$B3810&gt;NOW()),"",IF(INDEX(Data!$A:$G,MATCH($B3810,Data!$A:$A,0),MATCH($C$7,Data!$4:$4,0))="","",INDEX(Data!$A:$G,MATCH($B3810,Data!$A:$A,0),MATCH($C$7,Data!$4:$4,0))))</f>
        <v>67.7</v>
      </c>
      <c r="D3810" s="148">
        <f t="shared" ca="1" si="124"/>
        <v>0</v>
      </c>
      <c r="E3810" s="148">
        <f t="shared" ca="1" si="125"/>
        <v>2.7000000000000028</v>
      </c>
    </row>
    <row r="3811" spans="2:5" x14ac:dyDescent="0.25">
      <c r="B3811" s="8">
        <v>41405</v>
      </c>
      <c r="C3811" s="6">
        <f ca="1">IF(OR($C$7="",$B3811&gt;NOW()),"",IF(INDEX(Data!$A:$G,MATCH($B3811,Data!$A:$A,0),MATCH($C$7,Data!$4:$4,0))="","",INDEX(Data!$A:$G,MATCH($B3811,Data!$A:$A,0),MATCH($C$7,Data!$4:$4,0))))</f>
        <v>64.599999999999994</v>
      </c>
      <c r="D3811" s="148">
        <f t="shared" ca="1" si="124"/>
        <v>0.40000000000000568</v>
      </c>
      <c r="E3811" s="148">
        <f t="shared" ca="1" si="125"/>
        <v>0</v>
      </c>
    </row>
    <row r="3812" spans="2:5" x14ac:dyDescent="0.25">
      <c r="B3812" s="8">
        <v>41406</v>
      </c>
      <c r="C3812" s="6">
        <f ca="1">IF(OR($C$7="",$B3812&gt;NOW()),"",IF(INDEX(Data!$A:$G,MATCH($B3812,Data!$A:$A,0),MATCH($C$7,Data!$4:$4,0))="","",INDEX(Data!$A:$G,MATCH($B3812,Data!$A:$A,0),MATCH($C$7,Data!$4:$4,0))))</f>
        <v>64.3</v>
      </c>
      <c r="D3812" s="148">
        <f t="shared" ca="1" si="124"/>
        <v>0.70000000000000284</v>
      </c>
      <c r="E3812" s="148">
        <f t="shared" ca="1" si="125"/>
        <v>0</v>
      </c>
    </row>
    <row r="3813" spans="2:5" x14ac:dyDescent="0.25">
      <c r="B3813" s="8">
        <v>41407</v>
      </c>
      <c r="C3813" s="6">
        <f ca="1">IF(OR($C$7="",$B3813&gt;NOW()),"",IF(INDEX(Data!$A:$G,MATCH($B3813,Data!$A:$A,0),MATCH($C$7,Data!$4:$4,0))="","",INDEX(Data!$A:$G,MATCH($B3813,Data!$A:$A,0),MATCH($C$7,Data!$4:$4,0))))</f>
        <v>53.4</v>
      </c>
      <c r="D3813" s="148">
        <f t="shared" ca="1" si="124"/>
        <v>11.600000000000001</v>
      </c>
      <c r="E3813" s="148">
        <f t="shared" ca="1" si="125"/>
        <v>0</v>
      </c>
    </row>
    <row r="3814" spans="2:5" x14ac:dyDescent="0.25">
      <c r="B3814" s="8">
        <v>41408</v>
      </c>
      <c r="C3814" s="6">
        <f ca="1">IF(OR($C$7="",$B3814&gt;NOW()),"",IF(INDEX(Data!$A:$G,MATCH($B3814,Data!$A:$A,0),MATCH($C$7,Data!$4:$4,0))="","",INDEX(Data!$A:$G,MATCH($B3814,Data!$A:$A,0),MATCH($C$7,Data!$4:$4,0))))</f>
        <v>52.1</v>
      </c>
      <c r="D3814" s="148">
        <f t="shared" ca="1" si="124"/>
        <v>12.899999999999999</v>
      </c>
      <c r="E3814" s="148">
        <f t="shared" ca="1" si="125"/>
        <v>0</v>
      </c>
    </row>
    <row r="3815" spans="2:5" x14ac:dyDescent="0.25">
      <c r="B3815" s="8">
        <v>41409</v>
      </c>
      <c r="C3815" s="6">
        <f ca="1">IF(OR($C$7="",$B3815&gt;NOW()),"",IF(INDEX(Data!$A:$G,MATCH($B3815,Data!$A:$A,0),MATCH($C$7,Data!$4:$4,0))="","",INDEX(Data!$A:$G,MATCH($B3815,Data!$A:$A,0),MATCH($C$7,Data!$4:$4,0))))</f>
        <v>58.9</v>
      </c>
      <c r="D3815" s="148">
        <f t="shared" ca="1" si="124"/>
        <v>6.1000000000000014</v>
      </c>
      <c r="E3815" s="148">
        <f t="shared" ca="1" si="125"/>
        <v>0</v>
      </c>
    </row>
    <row r="3816" spans="2:5" x14ac:dyDescent="0.25">
      <c r="B3816" s="8">
        <v>41410</v>
      </c>
      <c r="C3816" s="6">
        <f ca="1">IF(OR($C$7="",$B3816&gt;NOW()),"",IF(INDEX(Data!$A:$G,MATCH($B3816,Data!$A:$A,0),MATCH($C$7,Data!$4:$4,0))="","",INDEX(Data!$A:$G,MATCH($B3816,Data!$A:$A,0),MATCH($C$7,Data!$4:$4,0))))</f>
        <v>69.8</v>
      </c>
      <c r="D3816" s="148">
        <f t="shared" ca="1" si="124"/>
        <v>0</v>
      </c>
      <c r="E3816" s="148">
        <f t="shared" ca="1" si="125"/>
        <v>4.7999999999999972</v>
      </c>
    </row>
    <row r="3817" spans="2:5" x14ac:dyDescent="0.25">
      <c r="B3817" s="8">
        <v>41411</v>
      </c>
      <c r="C3817" s="6">
        <f ca="1">IF(OR($C$7="",$B3817&gt;NOW()),"",IF(INDEX(Data!$A:$G,MATCH($B3817,Data!$A:$A,0),MATCH($C$7,Data!$4:$4,0))="","",INDEX(Data!$A:$G,MATCH($B3817,Data!$A:$A,0),MATCH($C$7,Data!$4:$4,0))))</f>
        <v>66.900000000000006</v>
      </c>
      <c r="D3817" s="148">
        <f t="shared" ca="1" si="124"/>
        <v>0</v>
      </c>
      <c r="E3817" s="148">
        <f t="shared" ca="1" si="125"/>
        <v>1.9000000000000057</v>
      </c>
    </row>
    <row r="3818" spans="2:5" x14ac:dyDescent="0.25">
      <c r="B3818" s="8">
        <v>41412</v>
      </c>
      <c r="C3818" s="6">
        <f ca="1">IF(OR($C$7="",$B3818&gt;NOW()),"",IF(INDEX(Data!$A:$G,MATCH($B3818,Data!$A:$A,0),MATCH($C$7,Data!$4:$4,0))="","",INDEX(Data!$A:$G,MATCH($B3818,Data!$A:$A,0),MATCH($C$7,Data!$4:$4,0))))</f>
        <v>62.2</v>
      </c>
      <c r="D3818" s="148">
        <f t="shared" ca="1" si="124"/>
        <v>2.7999999999999972</v>
      </c>
      <c r="E3818" s="148">
        <f t="shared" ca="1" si="125"/>
        <v>0</v>
      </c>
    </row>
    <row r="3819" spans="2:5" x14ac:dyDescent="0.25">
      <c r="B3819" s="8">
        <v>41413</v>
      </c>
      <c r="C3819" s="6">
        <f ca="1">IF(OR($C$7="",$B3819&gt;NOW()),"",IF(INDEX(Data!$A:$G,MATCH($B3819,Data!$A:$A,0),MATCH($C$7,Data!$4:$4,0))="","",INDEX(Data!$A:$G,MATCH($B3819,Data!$A:$A,0),MATCH($C$7,Data!$4:$4,0))))</f>
        <v>58.3</v>
      </c>
      <c r="D3819" s="148">
        <f t="shared" ca="1" si="124"/>
        <v>6.7000000000000028</v>
      </c>
      <c r="E3819" s="148">
        <f t="shared" ca="1" si="125"/>
        <v>0</v>
      </c>
    </row>
    <row r="3820" spans="2:5" x14ac:dyDescent="0.25">
      <c r="B3820" s="8">
        <v>41414</v>
      </c>
      <c r="C3820" s="6">
        <f ca="1">IF(OR($C$7="",$B3820&gt;NOW()),"",IF(INDEX(Data!$A:$G,MATCH($B3820,Data!$A:$A,0),MATCH($C$7,Data!$4:$4,0))="","",INDEX(Data!$A:$G,MATCH($B3820,Data!$A:$A,0),MATCH($C$7,Data!$4:$4,0))))</f>
        <v>64.900000000000006</v>
      </c>
      <c r="D3820" s="148">
        <f t="shared" ca="1" si="124"/>
        <v>9.9999999999994316E-2</v>
      </c>
      <c r="E3820" s="148">
        <f t="shared" ca="1" si="125"/>
        <v>0</v>
      </c>
    </row>
    <row r="3821" spans="2:5" x14ac:dyDescent="0.25">
      <c r="B3821" s="8">
        <v>41415</v>
      </c>
      <c r="C3821" s="6">
        <f ca="1">IF(OR($C$7="",$B3821&gt;NOW()),"",IF(INDEX(Data!$A:$G,MATCH($B3821,Data!$A:$A,0),MATCH($C$7,Data!$4:$4,0))="","",INDEX(Data!$A:$G,MATCH($B3821,Data!$A:$A,0),MATCH($C$7,Data!$4:$4,0))))</f>
        <v>75.400000000000006</v>
      </c>
      <c r="D3821" s="148">
        <f t="shared" ca="1" si="124"/>
        <v>0</v>
      </c>
      <c r="E3821" s="148">
        <f t="shared" ca="1" si="125"/>
        <v>10.400000000000006</v>
      </c>
    </row>
    <row r="3822" spans="2:5" x14ac:dyDescent="0.25">
      <c r="B3822" s="8">
        <v>41416</v>
      </c>
      <c r="C3822" s="6">
        <f ca="1">IF(OR($C$7="",$B3822&gt;NOW()),"",IF(INDEX(Data!$A:$G,MATCH($B3822,Data!$A:$A,0),MATCH($C$7,Data!$4:$4,0))="","",INDEX(Data!$A:$G,MATCH($B3822,Data!$A:$A,0),MATCH($C$7,Data!$4:$4,0))))</f>
        <v>69.599999999999994</v>
      </c>
      <c r="D3822" s="148">
        <f t="shared" ca="1" si="124"/>
        <v>0</v>
      </c>
      <c r="E3822" s="148">
        <f t="shared" ca="1" si="125"/>
        <v>4.5999999999999943</v>
      </c>
    </row>
    <row r="3823" spans="2:5" x14ac:dyDescent="0.25">
      <c r="B3823" s="8">
        <v>41417</v>
      </c>
      <c r="C3823" s="6">
        <f ca="1">IF(OR($C$7="",$B3823&gt;NOW()),"",IF(INDEX(Data!$A:$G,MATCH($B3823,Data!$A:$A,0),MATCH($C$7,Data!$4:$4,0))="","",INDEX(Data!$A:$G,MATCH($B3823,Data!$A:$A,0),MATCH($C$7,Data!$4:$4,0))))</f>
        <v>70.400000000000006</v>
      </c>
      <c r="D3823" s="148">
        <f t="shared" ca="1" si="124"/>
        <v>0</v>
      </c>
      <c r="E3823" s="148">
        <f t="shared" ca="1" si="125"/>
        <v>5.4000000000000057</v>
      </c>
    </row>
    <row r="3824" spans="2:5" x14ac:dyDescent="0.25">
      <c r="B3824" s="8">
        <v>41418</v>
      </c>
      <c r="C3824" s="6">
        <f ca="1">IF(OR($C$7="",$B3824&gt;NOW()),"",IF(INDEX(Data!$A:$G,MATCH($B3824,Data!$A:$A,0),MATCH($C$7,Data!$4:$4,0))="","",INDEX(Data!$A:$G,MATCH($B3824,Data!$A:$A,0),MATCH($C$7,Data!$4:$4,0))))</f>
        <v>60.8</v>
      </c>
      <c r="D3824" s="148">
        <f t="shared" ca="1" si="124"/>
        <v>4.2000000000000028</v>
      </c>
      <c r="E3824" s="148">
        <f t="shared" ca="1" si="125"/>
        <v>0</v>
      </c>
    </row>
    <row r="3825" spans="2:5" x14ac:dyDescent="0.25">
      <c r="B3825" s="8">
        <v>41419</v>
      </c>
      <c r="C3825" s="6">
        <f ca="1">IF(OR($C$7="",$B3825&gt;NOW()),"",IF(INDEX(Data!$A:$G,MATCH($B3825,Data!$A:$A,0),MATCH($C$7,Data!$4:$4,0))="","",INDEX(Data!$A:$G,MATCH($B3825,Data!$A:$A,0),MATCH($C$7,Data!$4:$4,0))))</f>
        <v>49.7</v>
      </c>
      <c r="D3825" s="148">
        <f t="shared" ca="1" si="124"/>
        <v>15.299999999999997</v>
      </c>
      <c r="E3825" s="148">
        <f t="shared" ca="1" si="125"/>
        <v>0</v>
      </c>
    </row>
    <row r="3826" spans="2:5" x14ac:dyDescent="0.25">
      <c r="B3826" s="8">
        <v>41420</v>
      </c>
      <c r="C3826" s="6">
        <f ca="1">IF(OR($C$7="",$B3826&gt;NOW()),"",IF(INDEX(Data!$A:$G,MATCH($B3826,Data!$A:$A,0),MATCH($C$7,Data!$4:$4,0))="","",INDEX(Data!$A:$G,MATCH($B3826,Data!$A:$A,0),MATCH($C$7,Data!$4:$4,0))))</f>
        <v>56.2</v>
      </c>
      <c r="D3826" s="148">
        <f t="shared" ca="1" si="124"/>
        <v>8.7999999999999972</v>
      </c>
      <c r="E3826" s="148">
        <f t="shared" ca="1" si="125"/>
        <v>0</v>
      </c>
    </row>
    <row r="3827" spans="2:5" x14ac:dyDescent="0.25">
      <c r="B3827" s="8">
        <v>41421</v>
      </c>
      <c r="C3827" s="6">
        <f ca="1">IF(OR($C$7="",$B3827&gt;NOW()),"",IF(INDEX(Data!$A:$G,MATCH($B3827,Data!$A:$A,0),MATCH($C$7,Data!$4:$4,0))="","",INDEX(Data!$A:$G,MATCH($B3827,Data!$A:$A,0),MATCH($C$7,Data!$4:$4,0))))</f>
        <v>64.2</v>
      </c>
      <c r="D3827" s="148">
        <f t="shared" ca="1" si="124"/>
        <v>0.79999999999999716</v>
      </c>
      <c r="E3827" s="148">
        <f t="shared" ca="1" si="125"/>
        <v>0</v>
      </c>
    </row>
    <row r="3828" spans="2:5" x14ac:dyDescent="0.25">
      <c r="B3828" s="8">
        <v>41422</v>
      </c>
      <c r="C3828" s="6">
        <f ca="1">IF(OR($C$7="",$B3828&gt;NOW()),"",IF(INDEX(Data!$A:$G,MATCH($B3828,Data!$A:$A,0),MATCH($C$7,Data!$4:$4,0))="","",INDEX(Data!$A:$G,MATCH($B3828,Data!$A:$A,0),MATCH($C$7,Data!$4:$4,0))))</f>
        <v>63.9</v>
      </c>
      <c r="D3828" s="148">
        <f t="shared" ca="1" si="124"/>
        <v>1.1000000000000014</v>
      </c>
      <c r="E3828" s="148">
        <f t="shared" ca="1" si="125"/>
        <v>0</v>
      </c>
    </row>
    <row r="3829" spans="2:5" x14ac:dyDescent="0.25">
      <c r="B3829" s="8">
        <v>41423</v>
      </c>
      <c r="C3829" s="6">
        <f ca="1">IF(OR($C$7="",$B3829&gt;NOW()),"",IF(INDEX(Data!$A:$G,MATCH($B3829,Data!$A:$A,0),MATCH($C$7,Data!$4:$4,0))="","",INDEX(Data!$A:$G,MATCH($B3829,Data!$A:$A,0),MATCH($C$7,Data!$4:$4,0))))</f>
        <v>65.8</v>
      </c>
      <c r="D3829" s="148">
        <f t="shared" ca="1" si="124"/>
        <v>0</v>
      </c>
      <c r="E3829" s="148">
        <f t="shared" ca="1" si="125"/>
        <v>0.79999999999999716</v>
      </c>
    </row>
    <row r="3830" spans="2:5" x14ac:dyDescent="0.25">
      <c r="B3830" s="8">
        <v>41424</v>
      </c>
      <c r="C3830" s="6">
        <f ca="1">IF(OR($C$7="",$B3830&gt;NOW()),"",IF(INDEX(Data!$A:$G,MATCH($B3830,Data!$A:$A,0),MATCH($C$7,Data!$4:$4,0))="","",INDEX(Data!$A:$G,MATCH($B3830,Data!$A:$A,0),MATCH($C$7,Data!$4:$4,0))))</f>
        <v>82.5</v>
      </c>
      <c r="D3830" s="148">
        <f t="shared" ca="1" si="124"/>
        <v>0</v>
      </c>
      <c r="E3830" s="148">
        <f t="shared" ca="1" si="125"/>
        <v>17.5</v>
      </c>
    </row>
    <row r="3831" spans="2:5" x14ac:dyDescent="0.25">
      <c r="B3831" s="8">
        <v>41425</v>
      </c>
      <c r="C3831" s="6">
        <f ca="1">IF(OR($C$7="",$B3831&gt;NOW()),"",IF(INDEX(Data!$A:$G,MATCH($B3831,Data!$A:$A,0),MATCH($C$7,Data!$4:$4,0))="","",INDEX(Data!$A:$G,MATCH($B3831,Data!$A:$A,0),MATCH($C$7,Data!$4:$4,0))))</f>
        <v>84.8</v>
      </c>
      <c r="D3831" s="148">
        <f t="shared" ca="1" si="124"/>
        <v>0</v>
      </c>
      <c r="E3831" s="148">
        <f t="shared" ca="1" si="125"/>
        <v>19.799999999999997</v>
      </c>
    </row>
    <row r="3832" spans="2:5" x14ac:dyDescent="0.25">
      <c r="B3832" s="8">
        <v>41426</v>
      </c>
      <c r="C3832" s="6">
        <f ca="1">IF(OR($C$7="",$B3832&gt;NOW()),"",IF(INDEX(Data!$A:$G,MATCH($B3832,Data!$A:$A,0),MATCH($C$7,Data!$4:$4,0))="","",INDEX(Data!$A:$G,MATCH($B3832,Data!$A:$A,0),MATCH($C$7,Data!$4:$4,0))))</f>
        <v>82.6</v>
      </c>
      <c r="D3832" s="148">
        <f t="shared" ca="1" si="124"/>
        <v>0</v>
      </c>
      <c r="E3832" s="148">
        <f t="shared" ca="1" si="125"/>
        <v>17.599999999999994</v>
      </c>
    </row>
    <row r="3833" spans="2:5" x14ac:dyDescent="0.25">
      <c r="B3833" s="8">
        <v>41427</v>
      </c>
      <c r="C3833" s="6">
        <f ca="1">IF(OR($C$7="",$B3833&gt;NOW()),"",IF(INDEX(Data!$A:$G,MATCH($B3833,Data!$A:$A,0),MATCH($C$7,Data!$4:$4,0))="","",INDEX(Data!$A:$G,MATCH($B3833,Data!$A:$A,0),MATCH($C$7,Data!$4:$4,0))))</f>
        <v>79.599999999999994</v>
      </c>
      <c r="D3833" s="148">
        <f t="shared" ca="1" si="124"/>
        <v>0</v>
      </c>
      <c r="E3833" s="148">
        <f t="shared" ca="1" si="125"/>
        <v>14.599999999999994</v>
      </c>
    </row>
    <row r="3834" spans="2:5" x14ac:dyDescent="0.25">
      <c r="B3834" s="8">
        <v>41428</v>
      </c>
      <c r="C3834" s="6">
        <f ca="1">IF(OR($C$7="",$B3834&gt;NOW()),"",IF(INDEX(Data!$A:$G,MATCH($B3834,Data!$A:$A,0),MATCH($C$7,Data!$4:$4,0))="","",INDEX(Data!$A:$G,MATCH($B3834,Data!$A:$A,0),MATCH($C$7,Data!$4:$4,0))))</f>
        <v>74.2</v>
      </c>
      <c r="D3834" s="148">
        <f t="shared" ca="1" si="124"/>
        <v>0</v>
      </c>
      <c r="E3834" s="148">
        <f t="shared" ca="1" si="125"/>
        <v>9.2000000000000028</v>
      </c>
    </row>
    <row r="3835" spans="2:5" x14ac:dyDescent="0.25">
      <c r="B3835" s="8">
        <v>41429</v>
      </c>
      <c r="C3835" s="6">
        <f ca="1">IF(OR($C$7="",$B3835&gt;NOW()),"",IF(INDEX(Data!$A:$G,MATCH($B3835,Data!$A:$A,0),MATCH($C$7,Data!$4:$4,0))="","",INDEX(Data!$A:$G,MATCH($B3835,Data!$A:$A,0),MATCH($C$7,Data!$4:$4,0))))</f>
        <v>67.599999999999994</v>
      </c>
      <c r="D3835" s="148">
        <f t="shared" ca="1" si="124"/>
        <v>0</v>
      </c>
      <c r="E3835" s="148">
        <f t="shared" ca="1" si="125"/>
        <v>2.5999999999999943</v>
      </c>
    </row>
    <row r="3836" spans="2:5" x14ac:dyDescent="0.25">
      <c r="B3836" s="8">
        <v>41430</v>
      </c>
      <c r="C3836" s="6">
        <f ca="1">IF(OR($C$7="",$B3836&gt;NOW()),"",IF(INDEX(Data!$A:$G,MATCH($B3836,Data!$A:$A,0),MATCH($C$7,Data!$4:$4,0))="","",INDEX(Data!$A:$G,MATCH($B3836,Data!$A:$A,0),MATCH($C$7,Data!$4:$4,0))))</f>
        <v>67.099999999999994</v>
      </c>
      <c r="D3836" s="148">
        <f t="shared" ca="1" si="124"/>
        <v>0</v>
      </c>
      <c r="E3836" s="148">
        <f t="shared" ca="1" si="125"/>
        <v>2.0999999999999943</v>
      </c>
    </row>
    <row r="3837" spans="2:5" x14ac:dyDescent="0.25">
      <c r="B3837" s="8">
        <v>41431</v>
      </c>
      <c r="C3837" s="6">
        <f ca="1">IF(OR($C$7="",$B3837&gt;NOW()),"",IF(INDEX(Data!$A:$G,MATCH($B3837,Data!$A:$A,0),MATCH($C$7,Data!$4:$4,0))="","",INDEX(Data!$A:$G,MATCH($B3837,Data!$A:$A,0),MATCH($C$7,Data!$4:$4,0))))</f>
        <v>65.400000000000006</v>
      </c>
      <c r="D3837" s="148">
        <f t="shared" ca="1" si="124"/>
        <v>0</v>
      </c>
      <c r="E3837" s="148">
        <f t="shared" ca="1" si="125"/>
        <v>0.40000000000000568</v>
      </c>
    </row>
    <row r="3838" spans="2:5" x14ac:dyDescent="0.25">
      <c r="B3838" s="8">
        <v>41432</v>
      </c>
      <c r="C3838" s="6">
        <f ca="1">IF(OR($C$7="",$B3838&gt;NOW()),"",IF(INDEX(Data!$A:$G,MATCH($B3838,Data!$A:$A,0),MATCH($C$7,Data!$4:$4,0))="","",INDEX(Data!$A:$G,MATCH($B3838,Data!$A:$A,0),MATCH($C$7,Data!$4:$4,0))))</f>
        <v>62.3</v>
      </c>
      <c r="D3838" s="148">
        <f t="shared" ca="1" si="124"/>
        <v>2.7000000000000028</v>
      </c>
      <c r="E3838" s="148">
        <f t="shared" ca="1" si="125"/>
        <v>0</v>
      </c>
    </row>
    <row r="3839" spans="2:5" x14ac:dyDescent="0.25">
      <c r="B3839" s="8">
        <v>41433</v>
      </c>
      <c r="C3839" s="6">
        <f ca="1">IF(OR($C$7="",$B3839&gt;NOW()),"",IF(INDEX(Data!$A:$G,MATCH($B3839,Data!$A:$A,0),MATCH($C$7,Data!$4:$4,0))="","",INDEX(Data!$A:$G,MATCH($B3839,Data!$A:$A,0),MATCH($C$7,Data!$4:$4,0))))</f>
        <v>66.099999999999994</v>
      </c>
      <c r="D3839" s="148">
        <f t="shared" ca="1" si="124"/>
        <v>0</v>
      </c>
      <c r="E3839" s="148">
        <f t="shared" ca="1" si="125"/>
        <v>1.0999999999999943</v>
      </c>
    </row>
    <row r="3840" spans="2:5" x14ac:dyDescent="0.25">
      <c r="B3840" s="8">
        <v>41434</v>
      </c>
      <c r="C3840" s="6">
        <f ca="1">IF(OR($C$7="",$B3840&gt;NOW()),"",IF(INDEX(Data!$A:$G,MATCH($B3840,Data!$A:$A,0),MATCH($C$7,Data!$4:$4,0))="","",INDEX(Data!$A:$G,MATCH($B3840,Data!$A:$A,0),MATCH($C$7,Data!$4:$4,0))))</f>
        <v>72.900000000000006</v>
      </c>
      <c r="D3840" s="148">
        <f t="shared" ca="1" si="124"/>
        <v>0</v>
      </c>
      <c r="E3840" s="148">
        <f t="shared" ca="1" si="125"/>
        <v>7.9000000000000057</v>
      </c>
    </row>
    <row r="3841" spans="2:5" x14ac:dyDescent="0.25">
      <c r="B3841" s="8">
        <v>41435</v>
      </c>
      <c r="C3841" s="6">
        <f ca="1">IF(OR($C$7="",$B3841&gt;NOW()),"",IF(INDEX(Data!$A:$G,MATCH($B3841,Data!$A:$A,0),MATCH($C$7,Data!$4:$4,0))="","",INDEX(Data!$A:$G,MATCH($B3841,Data!$A:$A,0),MATCH($C$7,Data!$4:$4,0))))</f>
        <v>67.7</v>
      </c>
      <c r="D3841" s="148">
        <f t="shared" ca="1" si="124"/>
        <v>0</v>
      </c>
      <c r="E3841" s="148">
        <f t="shared" ca="1" si="125"/>
        <v>2.7000000000000028</v>
      </c>
    </row>
    <row r="3842" spans="2:5" x14ac:dyDescent="0.25">
      <c r="B3842" s="8">
        <v>41436</v>
      </c>
      <c r="C3842" s="6">
        <f ca="1">IF(OR($C$7="",$B3842&gt;NOW()),"",IF(INDEX(Data!$A:$G,MATCH($B3842,Data!$A:$A,0),MATCH($C$7,Data!$4:$4,0))="","",INDEX(Data!$A:$G,MATCH($B3842,Data!$A:$A,0),MATCH($C$7,Data!$4:$4,0))))</f>
        <v>70.8</v>
      </c>
      <c r="D3842" s="148">
        <f t="shared" ca="1" si="124"/>
        <v>0</v>
      </c>
      <c r="E3842" s="148">
        <f t="shared" ca="1" si="125"/>
        <v>5.7999999999999972</v>
      </c>
    </row>
    <row r="3843" spans="2:5" x14ac:dyDescent="0.25">
      <c r="B3843" s="8">
        <v>41437</v>
      </c>
      <c r="C3843" s="6">
        <f ca="1">IF(OR($C$7="",$B3843&gt;NOW()),"",IF(INDEX(Data!$A:$G,MATCH($B3843,Data!$A:$A,0),MATCH($C$7,Data!$4:$4,0))="","",INDEX(Data!$A:$G,MATCH($B3843,Data!$A:$A,0),MATCH($C$7,Data!$4:$4,0))))</f>
        <v>71.599999999999994</v>
      </c>
      <c r="D3843" s="148">
        <f t="shared" ca="1" si="124"/>
        <v>0</v>
      </c>
      <c r="E3843" s="148">
        <f t="shared" ca="1" si="125"/>
        <v>6.5999999999999943</v>
      </c>
    </row>
    <row r="3844" spans="2:5" x14ac:dyDescent="0.25">
      <c r="B3844" s="8">
        <v>41438</v>
      </c>
      <c r="C3844" s="6">
        <f ca="1">IF(OR($C$7="",$B3844&gt;NOW()),"",IF(INDEX(Data!$A:$G,MATCH($B3844,Data!$A:$A,0),MATCH($C$7,Data!$4:$4,0))="","",INDEX(Data!$A:$G,MATCH($B3844,Data!$A:$A,0),MATCH($C$7,Data!$4:$4,0))))</f>
        <v>68.400000000000006</v>
      </c>
      <c r="D3844" s="148">
        <f t="shared" ca="1" si="124"/>
        <v>0</v>
      </c>
      <c r="E3844" s="148">
        <f t="shared" ca="1" si="125"/>
        <v>3.4000000000000057</v>
      </c>
    </row>
    <row r="3845" spans="2:5" x14ac:dyDescent="0.25">
      <c r="B3845" s="8">
        <v>41439</v>
      </c>
      <c r="C3845" s="6">
        <f ca="1">IF(OR($C$7="",$B3845&gt;NOW()),"",IF(INDEX(Data!$A:$G,MATCH($B3845,Data!$A:$A,0),MATCH($C$7,Data!$4:$4,0))="","",INDEX(Data!$A:$G,MATCH($B3845,Data!$A:$A,0),MATCH($C$7,Data!$4:$4,0))))</f>
        <v>61.6</v>
      </c>
      <c r="D3845" s="148">
        <f t="shared" ca="1" si="124"/>
        <v>3.3999999999999986</v>
      </c>
      <c r="E3845" s="148">
        <f t="shared" ca="1" si="125"/>
        <v>0</v>
      </c>
    </row>
    <row r="3846" spans="2:5" x14ac:dyDescent="0.25">
      <c r="B3846" s="8">
        <v>41440</v>
      </c>
      <c r="C3846" s="6">
        <f ca="1">IF(OR($C$7="",$B3846&gt;NOW()),"",IF(INDEX(Data!$A:$G,MATCH($B3846,Data!$A:$A,0),MATCH($C$7,Data!$4:$4,0))="","",INDEX(Data!$A:$G,MATCH($B3846,Data!$A:$A,0),MATCH($C$7,Data!$4:$4,0))))</f>
        <v>71.2</v>
      </c>
      <c r="D3846" s="148">
        <f t="shared" ca="1" si="124"/>
        <v>0</v>
      </c>
      <c r="E3846" s="148">
        <f t="shared" ca="1" si="125"/>
        <v>6.2000000000000028</v>
      </c>
    </row>
    <row r="3847" spans="2:5" x14ac:dyDescent="0.25">
      <c r="B3847" s="8">
        <v>41441</v>
      </c>
      <c r="C3847" s="6">
        <f ca="1">IF(OR($C$7="",$B3847&gt;NOW()),"",IF(INDEX(Data!$A:$G,MATCH($B3847,Data!$A:$A,0),MATCH($C$7,Data!$4:$4,0))="","",INDEX(Data!$A:$G,MATCH($B3847,Data!$A:$A,0),MATCH($C$7,Data!$4:$4,0))))</f>
        <v>75.400000000000006</v>
      </c>
      <c r="D3847" s="148">
        <f t="shared" ca="1" si="124"/>
        <v>0</v>
      </c>
      <c r="E3847" s="148">
        <f t="shared" ca="1" si="125"/>
        <v>10.400000000000006</v>
      </c>
    </row>
    <row r="3848" spans="2:5" x14ac:dyDescent="0.25">
      <c r="B3848" s="8">
        <v>41442</v>
      </c>
      <c r="C3848" s="6">
        <f ca="1">IF(OR($C$7="",$B3848&gt;NOW()),"",IF(INDEX(Data!$A:$G,MATCH($B3848,Data!$A:$A,0),MATCH($C$7,Data!$4:$4,0))="","",INDEX(Data!$A:$G,MATCH($B3848,Data!$A:$A,0),MATCH($C$7,Data!$4:$4,0))))</f>
        <v>77.8</v>
      </c>
      <c r="D3848" s="148">
        <f t="shared" ca="1" si="124"/>
        <v>0</v>
      </c>
      <c r="E3848" s="148">
        <f t="shared" ca="1" si="125"/>
        <v>12.799999999999997</v>
      </c>
    </row>
    <row r="3849" spans="2:5" x14ac:dyDescent="0.25">
      <c r="B3849" s="8">
        <v>41443</v>
      </c>
      <c r="C3849" s="6">
        <f ca="1">IF(OR($C$7="",$B3849&gt;NOW()),"",IF(INDEX(Data!$A:$G,MATCH($B3849,Data!$A:$A,0),MATCH($C$7,Data!$4:$4,0))="","",INDEX(Data!$A:$G,MATCH($B3849,Data!$A:$A,0),MATCH($C$7,Data!$4:$4,0))))</f>
        <v>73.099999999999994</v>
      </c>
      <c r="D3849" s="148">
        <f t="shared" ca="1" si="124"/>
        <v>0</v>
      </c>
      <c r="E3849" s="148">
        <f t="shared" ca="1" si="125"/>
        <v>8.0999999999999943</v>
      </c>
    </row>
    <row r="3850" spans="2:5" x14ac:dyDescent="0.25">
      <c r="B3850" s="8">
        <v>41444</v>
      </c>
      <c r="C3850" s="6">
        <f ca="1">IF(OR($C$7="",$B3850&gt;NOW()),"",IF(INDEX(Data!$A:$G,MATCH($B3850,Data!$A:$A,0),MATCH($C$7,Data!$4:$4,0))="","",INDEX(Data!$A:$G,MATCH($B3850,Data!$A:$A,0),MATCH($C$7,Data!$4:$4,0))))</f>
        <v>68.599999999999994</v>
      </c>
      <c r="D3850" s="148">
        <f t="shared" ca="1" si="124"/>
        <v>0</v>
      </c>
      <c r="E3850" s="148">
        <f t="shared" ca="1" si="125"/>
        <v>3.5999999999999943</v>
      </c>
    </row>
    <row r="3851" spans="2:5" x14ac:dyDescent="0.25">
      <c r="B3851" s="8">
        <v>41445</v>
      </c>
      <c r="C3851" s="6">
        <f ca="1">IF(OR($C$7="",$B3851&gt;NOW()),"",IF(INDEX(Data!$A:$G,MATCH($B3851,Data!$A:$A,0),MATCH($C$7,Data!$4:$4,0))="","",INDEX(Data!$A:$G,MATCH($B3851,Data!$A:$A,0),MATCH($C$7,Data!$4:$4,0))))</f>
        <v>71.400000000000006</v>
      </c>
      <c r="D3851" s="148">
        <f t="shared" ca="1" si="124"/>
        <v>0</v>
      </c>
      <c r="E3851" s="148">
        <f t="shared" ca="1" si="125"/>
        <v>6.4000000000000057</v>
      </c>
    </row>
    <row r="3852" spans="2:5" x14ac:dyDescent="0.25">
      <c r="B3852" s="8">
        <v>41446</v>
      </c>
      <c r="C3852" s="6">
        <f ca="1">IF(OR($C$7="",$B3852&gt;NOW()),"",IF(INDEX(Data!$A:$G,MATCH($B3852,Data!$A:$A,0),MATCH($C$7,Data!$4:$4,0))="","",INDEX(Data!$A:$G,MATCH($B3852,Data!$A:$A,0),MATCH($C$7,Data!$4:$4,0))))</f>
        <v>73</v>
      </c>
      <c r="D3852" s="148">
        <f t="shared" ca="1" si="124"/>
        <v>0</v>
      </c>
      <c r="E3852" s="148">
        <f t="shared" ca="1" si="125"/>
        <v>8</v>
      </c>
    </row>
    <row r="3853" spans="2:5" x14ac:dyDescent="0.25">
      <c r="B3853" s="8">
        <v>41447</v>
      </c>
      <c r="C3853" s="6">
        <f ca="1">IF(OR($C$7="",$B3853&gt;NOW()),"",IF(INDEX(Data!$A:$G,MATCH($B3853,Data!$A:$A,0),MATCH($C$7,Data!$4:$4,0))="","",INDEX(Data!$A:$G,MATCH($B3853,Data!$A:$A,0),MATCH($C$7,Data!$4:$4,0))))</f>
        <v>73.7</v>
      </c>
      <c r="D3853" s="148">
        <f t="shared" ca="1" si="124"/>
        <v>0</v>
      </c>
      <c r="E3853" s="148">
        <f t="shared" ca="1" si="125"/>
        <v>8.7000000000000028</v>
      </c>
    </row>
    <row r="3854" spans="2:5" x14ac:dyDescent="0.25">
      <c r="B3854" s="8">
        <v>41448</v>
      </c>
      <c r="C3854" s="6">
        <f ca="1">IF(OR($C$7="",$B3854&gt;NOW()),"",IF(INDEX(Data!$A:$G,MATCH($B3854,Data!$A:$A,0),MATCH($C$7,Data!$4:$4,0))="","",INDEX(Data!$A:$G,MATCH($B3854,Data!$A:$A,0),MATCH($C$7,Data!$4:$4,0))))</f>
        <v>77.099999999999994</v>
      </c>
      <c r="D3854" s="148">
        <f t="shared" ca="1" si="124"/>
        <v>0</v>
      </c>
      <c r="E3854" s="148">
        <f t="shared" ca="1" si="125"/>
        <v>12.099999999999994</v>
      </c>
    </row>
    <row r="3855" spans="2:5" x14ac:dyDescent="0.25">
      <c r="B3855" s="8">
        <v>41449</v>
      </c>
      <c r="C3855" s="6">
        <f ca="1">IF(OR($C$7="",$B3855&gt;NOW()),"",IF(INDEX(Data!$A:$G,MATCH($B3855,Data!$A:$A,0),MATCH($C$7,Data!$4:$4,0))="","",INDEX(Data!$A:$G,MATCH($B3855,Data!$A:$A,0),MATCH($C$7,Data!$4:$4,0))))</f>
        <v>82.3</v>
      </c>
      <c r="D3855" s="148">
        <f t="shared" ca="1" si="124"/>
        <v>0</v>
      </c>
      <c r="E3855" s="148">
        <f t="shared" ca="1" si="125"/>
        <v>17.299999999999997</v>
      </c>
    </row>
    <row r="3856" spans="2:5" x14ac:dyDescent="0.25">
      <c r="B3856" s="8">
        <v>41450</v>
      </c>
      <c r="C3856" s="6">
        <f ca="1">IF(OR($C$7="",$B3856&gt;NOW()),"",IF(INDEX(Data!$A:$G,MATCH($B3856,Data!$A:$A,0),MATCH($C$7,Data!$4:$4,0))="","",INDEX(Data!$A:$G,MATCH($B3856,Data!$A:$A,0),MATCH($C$7,Data!$4:$4,0))))</f>
        <v>83.1</v>
      </c>
      <c r="D3856" s="148">
        <f t="shared" ca="1" si="124"/>
        <v>0</v>
      </c>
      <c r="E3856" s="148">
        <f t="shared" ca="1" si="125"/>
        <v>18.099999999999994</v>
      </c>
    </row>
    <row r="3857" spans="2:5" x14ac:dyDescent="0.25">
      <c r="B3857" s="8">
        <v>41451</v>
      </c>
      <c r="C3857" s="6">
        <f ca="1">IF(OR($C$7="",$B3857&gt;NOW()),"",IF(INDEX(Data!$A:$G,MATCH($B3857,Data!$A:$A,0),MATCH($C$7,Data!$4:$4,0))="","",INDEX(Data!$A:$G,MATCH($B3857,Data!$A:$A,0),MATCH($C$7,Data!$4:$4,0))))</f>
        <v>82.9</v>
      </c>
      <c r="D3857" s="148">
        <f t="shared" ca="1" si="124"/>
        <v>0</v>
      </c>
      <c r="E3857" s="148">
        <f t="shared" ca="1" si="125"/>
        <v>17.900000000000006</v>
      </c>
    </row>
    <row r="3858" spans="2:5" x14ac:dyDescent="0.25">
      <c r="B3858" s="8">
        <v>41452</v>
      </c>
      <c r="C3858" s="6">
        <f ca="1">IF(OR($C$7="",$B3858&gt;NOW()),"",IF(INDEX(Data!$A:$G,MATCH($B3858,Data!$A:$A,0),MATCH($C$7,Data!$4:$4,0))="","",INDEX(Data!$A:$G,MATCH($B3858,Data!$A:$A,0),MATCH($C$7,Data!$4:$4,0))))</f>
        <v>78.3</v>
      </c>
      <c r="D3858" s="148">
        <f t="shared" ca="1" si="124"/>
        <v>0</v>
      </c>
      <c r="E3858" s="148">
        <f t="shared" ca="1" si="125"/>
        <v>13.299999999999997</v>
      </c>
    </row>
    <row r="3859" spans="2:5" x14ac:dyDescent="0.25">
      <c r="B3859" s="8">
        <v>41453</v>
      </c>
      <c r="C3859" s="6">
        <f ca="1">IF(OR($C$7="",$B3859&gt;NOW()),"",IF(INDEX(Data!$A:$G,MATCH($B3859,Data!$A:$A,0),MATCH($C$7,Data!$4:$4,0))="","",INDEX(Data!$A:$G,MATCH($B3859,Data!$A:$A,0),MATCH($C$7,Data!$4:$4,0))))</f>
        <v>78.8</v>
      </c>
      <c r="D3859" s="148">
        <f t="shared" ca="1" si="124"/>
        <v>0</v>
      </c>
      <c r="E3859" s="148">
        <f t="shared" ca="1" si="125"/>
        <v>13.799999999999997</v>
      </c>
    </row>
    <row r="3860" spans="2:5" x14ac:dyDescent="0.25">
      <c r="B3860" s="8">
        <v>41454</v>
      </c>
      <c r="C3860" s="6">
        <f ca="1">IF(OR($C$7="",$B3860&gt;NOW()),"",IF(INDEX(Data!$A:$G,MATCH($B3860,Data!$A:$A,0),MATCH($C$7,Data!$4:$4,0))="","",INDEX(Data!$A:$G,MATCH($B3860,Data!$A:$A,0),MATCH($C$7,Data!$4:$4,0))))</f>
        <v>77.8</v>
      </c>
      <c r="D3860" s="148">
        <f t="shared" ca="1" si="124"/>
        <v>0</v>
      </c>
      <c r="E3860" s="148">
        <f t="shared" ca="1" si="125"/>
        <v>12.799999999999997</v>
      </c>
    </row>
    <row r="3861" spans="2:5" x14ac:dyDescent="0.25">
      <c r="B3861" s="8">
        <v>41455</v>
      </c>
      <c r="C3861" s="6">
        <f ca="1">IF(OR($C$7="",$B3861&gt;NOW()),"",IF(INDEX(Data!$A:$G,MATCH($B3861,Data!$A:$A,0),MATCH($C$7,Data!$4:$4,0))="","",INDEX(Data!$A:$G,MATCH($B3861,Data!$A:$A,0),MATCH($C$7,Data!$4:$4,0))))</f>
        <v>77.7</v>
      </c>
      <c r="D3861" s="148">
        <f t="shared" ca="1" si="124"/>
        <v>0</v>
      </c>
      <c r="E3861" s="148">
        <f t="shared" ca="1" si="125"/>
        <v>12.700000000000003</v>
      </c>
    </row>
    <row r="3862" spans="2:5" x14ac:dyDescent="0.25">
      <c r="B3862" s="8">
        <v>41456</v>
      </c>
      <c r="C3862" s="6">
        <f ca="1">IF(OR($C$7="",$B3862&gt;NOW()),"",IF(INDEX(Data!$A:$G,MATCH($B3862,Data!$A:$A,0),MATCH($C$7,Data!$4:$4,0))="","",INDEX(Data!$A:$G,MATCH($B3862,Data!$A:$A,0),MATCH($C$7,Data!$4:$4,0))))</f>
        <v>74.8</v>
      </c>
      <c r="D3862" s="148">
        <f t="shared" ca="1" si="124"/>
        <v>0</v>
      </c>
      <c r="E3862" s="148">
        <f t="shared" ca="1" si="125"/>
        <v>9.7999999999999972</v>
      </c>
    </row>
    <row r="3863" spans="2:5" x14ac:dyDescent="0.25">
      <c r="B3863" s="8">
        <v>41457</v>
      </c>
      <c r="C3863" s="6">
        <f ca="1">IF(OR($C$7="",$B3863&gt;NOW()),"",IF(INDEX(Data!$A:$G,MATCH($B3863,Data!$A:$A,0),MATCH($C$7,Data!$4:$4,0))="","",INDEX(Data!$A:$G,MATCH($B3863,Data!$A:$A,0),MATCH($C$7,Data!$4:$4,0))))</f>
        <v>76.099999999999994</v>
      </c>
      <c r="D3863" s="148">
        <f t="shared" ca="1" si="124"/>
        <v>0</v>
      </c>
      <c r="E3863" s="148">
        <f t="shared" ca="1" si="125"/>
        <v>11.099999999999994</v>
      </c>
    </row>
    <row r="3864" spans="2:5" x14ac:dyDescent="0.25">
      <c r="B3864" s="8">
        <v>41458</v>
      </c>
      <c r="C3864" s="6">
        <f ca="1">IF(OR($C$7="",$B3864&gt;NOW()),"",IF(INDEX(Data!$A:$G,MATCH($B3864,Data!$A:$A,0),MATCH($C$7,Data!$4:$4,0))="","",INDEX(Data!$A:$G,MATCH($B3864,Data!$A:$A,0),MATCH($C$7,Data!$4:$4,0))))</f>
        <v>78.5</v>
      </c>
      <c r="D3864" s="148">
        <f t="shared" ca="1" si="124"/>
        <v>0</v>
      </c>
      <c r="E3864" s="148">
        <f t="shared" ca="1" si="125"/>
        <v>13.5</v>
      </c>
    </row>
    <row r="3865" spans="2:5" x14ac:dyDescent="0.25">
      <c r="B3865" s="8">
        <v>41459</v>
      </c>
      <c r="C3865" s="6">
        <f ca="1">IF(OR($C$7="",$B3865&gt;NOW()),"",IF(INDEX(Data!$A:$G,MATCH($B3865,Data!$A:$A,0),MATCH($C$7,Data!$4:$4,0))="","",INDEX(Data!$A:$G,MATCH($B3865,Data!$A:$A,0),MATCH($C$7,Data!$4:$4,0))))</f>
        <v>82</v>
      </c>
      <c r="D3865" s="148">
        <f t="shared" ca="1" si="124"/>
        <v>0</v>
      </c>
      <c r="E3865" s="148">
        <f t="shared" ca="1" si="125"/>
        <v>17</v>
      </c>
    </row>
    <row r="3866" spans="2:5" x14ac:dyDescent="0.25">
      <c r="B3866" s="8">
        <v>41460</v>
      </c>
      <c r="C3866" s="6">
        <f ca="1">IF(OR($C$7="",$B3866&gt;NOW()),"",IF(INDEX(Data!$A:$G,MATCH($B3866,Data!$A:$A,0),MATCH($C$7,Data!$4:$4,0))="","",INDEX(Data!$A:$G,MATCH($B3866,Data!$A:$A,0),MATCH($C$7,Data!$4:$4,0))))</f>
        <v>84.4</v>
      </c>
      <c r="D3866" s="148">
        <f t="shared" ca="1" si="124"/>
        <v>0</v>
      </c>
      <c r="E3866" s="148">
        <f t="shared" ca="1" si="125"/>
        <v>19.400000000000006</v>
      </c>
    </row>
    <row r="3867" spans="2:5" x14ac:dyDescent="0.25">
      <c r="B3867" s="8">
        <v>41461</v>
      </c>
      <c r="C3867" s="6">
        <f ca="1">IF(OR($C$7="",$B3867&gt;NOW()),"",IF(INDEX(Data!$A:$G,MATCH($B3867,Data!$A:$A,0),MATCH($C$7,Data!$4:$4,0))="","",INDEX(Data!$A:$G,MATCH($B3867,Data!$A:$A,0),MATCH($C$7,Data!$4:$4,0))))</f>
        <v>87</v>
      </c>
      <c r="D3867" s="148">
        <f t="shared" ca="1" si="124"/>
        <v>0</v>
      </c>
      <c r="E3867" s="148">
        <f t="shared" ca="1" si="125"/>
        <v>22</v>
      </c>
    </row>
    <row r="3868" spans="2:5" x14ac:dyDescent="0.25">
      <c r="B3868" s="8">
        <v>41462</v>
      </c>
      <c r="C3868" s="6">
        <f ca="1">IF(OR($C$7="",$B3868&gt;NOW()),"",IF(INDEX(Data!$A:$G,MATCH($B3868,Data!$A:$A,0),MATCH($C$7,Data!$4:$4,0))="","",INDEX(Data!$A:$G,MATCH($B3868,Data!$A:$A,0),MATCH($C$7,Data!$4:$4,0))))</f>
        <v>88.8</v>
      </c>
      <c r="D3868" s="148">
        <f t="shared" ca="1" si="124"/>
        <v>0</v>
      </c>
      <c r="E3868" s="148">
        <f t="shared" ca="1" si="125"/>
        <v>23.799999999999997</v>
      </c>
    </row>
    <row r="3869" spans="2:5" x14ac:dyDescent="0.25">
      <c r="B3869" s="8">
        <v>41463</v>
      </c>
      <c r="C3869" s="6">
        <f ca="1">IF(OR($C$7="",$B3869&gt;NOW()),"",IF(INDEX(Data!$A:$G,MATCH($B3869,Data!$A:$A,0),MATCH($C$7,Data!$4:$4,0))="","",INDEX(Data!$A:$G,MATCH($B3869,Data!$A:$A,0),MATCH($C$7,Data!$4:$4,0))))</f>
        <v>83.7</v>
      </c>
      <c r="D3869" s="148">
        <f t="shared" ref="D3869:D3932" ca="1" si="126">IF($C3869="","",IF($C3869&gt;$D$26,0,$D$26-$C3869))</f>
        <v>0</v>
      </c>
      <c r="E3869" s="148">
        <f t="shared" ref="E3869:E3932" ca="1" si="127">IF($C3869="","",IF($C3869&lt;$E$26,0,$C3869-$E$26))</f>
        <v>18.700000000000003</v>
      </c>
    </row>
    <row r="3870" spans="2:5" x14ac:dyDescent="0.25">
      <c r="B3870" s="8">
        <v>41464</v>
      </c>
      <c r="C3870" s="6">
        <f ca="1">IF(OR($C$7="",$B3870&gt;NOW()),"",IF(INDEX(Data!$A:$G,MATCH($B3870,Data!$A:$A,0),MATCH($C$7,Data!$4:$4,0))="","",INDEX(Data!$A:$G,MATCH($B3870,Data!$A:$A,0),MATCH($C$7,Data!$4:$4,0))))</f>
        <v>82.6</v>
      </c>
      <c r="D3870" s="148">
        <f t="shared" ca="1" si="126"/>
        <v>0</v>
      </c>
      <c r="E3870" s="148">
        <f t="shared" ca="1" si="127"/>
        <v>17.599999999999994</v>
      </c>
    </row>
    <row r="3871" spans="2:5" x14ac:dyDescent="0.25">
      <c r="B3871" s="8">
        <v>41465</v>
      </c>
      <c r="C3871" s="6">
        <f ca="1">IF(OR($C$7="",$B3871&gt;NOW()),"",IF(INDEX(Data!$A:$G,MATCH($B3871,Data!$A:$A,0),MATCH($C$7,Data!$4:$4,0))="","",INDEX(Data!$A:$G,MATCH($B3871,Data!$A:$A,0),MATCH($C$7,Data!$4:$4,0))))</f>
        <v>82</v>
      </c>
      <c r="D3871" s="148">
        <f t="shared" ca="1" si="126"/>
        <v>0</v>
      </c>
      <c r="E3871" s="148">
        <f t="shared" ca="1" si="127"/>
        <v>17</v>
      </c>
    </row>
    <row r="3872" spans="2:5" x14ac:dyDescent="0.25">
      <c r="B3872" s="8">
        <v>41466</v>
      </c>
      <c r="C3872" s="6">
        <f ca="1">IF(OR($C$7="",$B3872&gt;NOW()),"",IF(INDEX(Data!$A:$G,MATCH($B3872,Data!$A:$A,0),MATCH($C$7,Data!$4:$4,0))="","",INDEX(Data!$A:$G,MATCH($B3872,Data!$A:$A,0),MATCH($C$7,Data!$4:$4,0))))</f>
        <v>82.3</v>
      </c>
      <c r="D3872" s="148">
        <f t="shared" ca="1" si="126"/>
        <v>0</v>
      </c>
      <c r="E3872" s="148">
        <f t="shared" ca="1" si="127"/>
        <v>17.299999999999997</v>
      </c>
    </row>
    <row r="3873" spans="2:5" x14ac:dyDescent="0.25">
      <c r="B3873" s="8">
        <v>41467</v>
      </c>
      <c r="C3873" s="6">
        <f ca="1">IF(OR($C$7="",$B3873&gt;NOW()),"",IF(INDEX(Data!$A:$G,MATCH($B3873,Data!$A:$A,0),MATCH($C$7,Data!$4:$4,0))="","",INDEX(Data!$A:$G,MATCH($B3873,Data!$A:$A,0),MATCH($C$7,Data!$4:$4,0))))</f>
        <v>75.400000000000006</v>
      </c>
      <c r="D3873" s="148">
        <f t="shared" ca="1" si="126"/>
        <v>0</v>
      </c>
      <c r="E3873" s="148">
        <f t="shared" ca="1" si="127"/>
        <v>10.400000000000006</v>
      </c>
    </row>
    <row r="3874" spans="2:5" x14ac:dyDescent="0.25">
      <c r="B3874" s="8">
        <v>41468</v>
      </c>
      <c r="C3874" s="6">
        <f ca="1">IF(OR($C$7="",$B3874&gt;NOW()),"",IF(INDEX(Data!$A:$G,MATCH($B3874,Data!$A:$A,0),MATCH($C$7,Data!$4:$4,0))="","",INDEX(Data!$A:$G,MATCH($B3874,Data!$A:$A,0),MATCH($C$7,Data!$4:$4,0))))</f>
        <v>71.400000000000006</v>
      </c>
      <c r="D3874" s="148">
        <f t="shared" ca="1" si="126"/>
        <v>0</v>
      </c>
      <c r="E3874" s="148">
        <f t="shared" ca="1" si="127"/>
        <v>6.4000000000000057</v>
      </c>
    </row>
    <row r="3875" spans="2:5" x14ac:dyDescent="0.25">
      <c r="B3875" s="8">
        <v>41469</v>
      </c>
      <c r="C3875" s="6">
        <f ca="1">IF(OR($C$7="",$B3875&gt;NOW()),"",IF(INDEX(Data!$A:$G,MATCH($B3875,Data!$A:$A,0),MATCH($C$7,Data!$4:$4,0))="","",INDEX(Data!$A:$G,MATCH($B3875,Data!$A:$A,0),MATCH($C$7,Data!$4:$4,0))))</f>
        <v>80.2</v>
      </c>
      <c r="D3875" s="148">
        <f t="shared" ca="1" si="126"/>
        <v>0</v>
      </c>
      <c r="E3875" s="148">
        <f t="shared" ca="1" si="127"/>
        <v>15.200000000000003</v>
      </c>
    </row>
    <row r="3876" spans="2:5" x14ac:dyDescent="0.25">
      <c r="B3876" s="8">
        <v>41470</v>
      </c>
      <c r="C3876" s="6">
        <f ca="1">IF(OR($C$7="",$B3876&gt;NOW()),"",IF(INDEX(Data!$A:$G,MATCH($B3876,Data!$A:$A,0),MATCH($C$7,Data!$4:$4,0))="","",INDEX(Data!$A:$G,MATCH($B3876,Data!$A:$A,0),MATCH($C$7,Data!$4:$4,0))))</f>
        <v>87.2</v>
      </c>
      <c r="D3876" s="148">
        <f t="shared" ca="1" si="126"/>
        <v>0</v>
      </c>
      <c r="E3876" s="148">
        <f t="shared" ca="1" si="127"/>
        <v>22.200000000000003</v>
      </c>
    </row>
    <row r="3877" spans="2:5" x14ac:dyDescent="0.25">
      <c r="B3877" s="8">
        <v>41471</v>
      </c>
      <c r="C3877" s="6">
        <f ca="1">IF(OR($C$7="",$B3877&gt;NOW()),"",IF(INDEX(Data!$A:$G,MATCH($B3877,Data!$A:$A,0),MATCH($C$7,Data!$4:$4,0))="","",INDEX(Data!$A:$G,MATCH($B3877,Data!$A:$A,0),MATCH($C$7,Data!$4:$4,0))))</f>
        <v>86.5</v>
      </c>
      <c r="D3877" s="148">
        <f t="shared" ca="1" si="126"/>
        <v>0</v>
      </c>
      <c r="E3877" s="148">
        <f t="shared" ca="1" si="127"/>
        <v>21.5</v>
      </c>
    </row>
    <row r="3878" spans="2:5" x14ac:dyDescent="0.25">
      <c r="B3878" s="8">
        <v>41472</v>
      </c>
      <c r="C3878" s="6">
        <f ca="1">IF(OR($C$7="",$B3878&gt;NOW()),"",IF(INDEX(Data!$A:$G,MATCH($B3878,Data!$A:$A,0),MATCH($C$7,Data!$4:$4,0))="","",INDEX(Data!$A:$G,MATCH($B3878,Data!$A:$A,0),MATCH($C$7,Data!$4:$4,0))))</f>
        <v>87.4</v>
      </c>
      <c r="D3878" s="148">
        <f t="shared" ca="1" si="126"/>
        <v>0</v>
      </c>
      <c r="E3878" s="148">
        <f t="shared" ca="1" si="127"/>
        <v>22.400000000000006</v>
      </c>
    </row>
    <row r="3879" spans="2:5" x14ac:dyDescent="0.25">
      <c r="B3879" s="8">
        <v>41473</v>
      </c>
      <c r="C3879" s="6">
        <f ca="1">IF(OR($C$7="",$B3879&gt;NOW()),"",IF(INDEX(Data!$A:$G,MATCH($B3879,Data!$A:$A,0),MATCH($C$7,Data!$4:$4,0))="","",INDEX(Data!$A:$G,MATCH($B3879,Data!$A:$A,0),MATCH($C$7,Data!$4:$4,0))))</f>
        <v>89.3</v>
      </c>
      <c r="D3879" s="148">
        <f t="shared" ca="1" si="126"/>
        <v>0</v>
      </c>
      <c r="E3879" s="148">
        <f t="shared" ca="1" si="127"/>
        <v>24.299999999999997</v>
      </c>
    </row>
    <row r="3880" spans="2:5" x14ac:dyDescent="0.25">
      <c r="B3880" s="8">
        <v>41474</v>
      </c>
      <c r="C3880" s="6">
        <f ca="1">IF(OR($C$7="",$B3880&gt;NOW()),"",IF(INDEX(Data!$A:$G,MATCH($B3880,Data!$A:$A,0),MATCH($C$7,Data!$4:$4,0))="","",INDEX(Data!$A:$G,MATCH($B3880,Data!$A:$A,0),MATCH($C$7,Data!$4:$4,0))))</f>
        <v>92.5</v>
      </c>
      <c r="D3880" s="148">
        <f t="shared" ca="1" si="126"/>
        <v>0</v>
      </c>
      <c r="E3880" s="148">
        <f t="shared" ca="1" si="127"/>
        <v>27.5</v>
      </c>
    </row>
    <row r="3881" spans="2:5" x14ac:dyDescent="0.25">
      <c r="B3881" s="8">
        <v>41475</v>
      </c>
      <c r="C3881" s="6">
        <f ca="1">IF(OR($C$7="",$B3881&gt;NOW()),"",IF(INDEX(Data!$A:$G,MATCH($B3881,Data!$A:$A,0),MATCH($C$7,Data!$4:$4,0))="","",INDEX(Data!$A:$G,MATCH($B3881,Data!$A:$A,0),MATCH($C$7,Data!$4:$4,0))))</f>
        <v>89.2</v>
      </c>
      <c r="D3881" s="148">
        <f t="shared" ca="1" si="126"/>
        <v>0</v>
      </c>
      <c r="E3881" s="148">
        <f t="shared" ca="1" si="127"/>
        <v>24.200000000000003</v>
      </c>
    </row>
    <row r="3882" spans="2:5" x14ac:dyDescent="0.25">
      <c r="B3882" s="8">
        <v>41476</v>
      </c>
      <c r="C3882" s="6">
        <f ca="1">IF(OR($C$7="",$B3882&gt;NOW()),"",IF(INDEX(Data!$A:$G,MATCH($B3882,Data!$A:$A,0),MATCH($C$7,Data!$4:$4,0))="","",INDEX(Data!$A:$G,MATCH($B3882,Data!$A:$A,0),MATCH($C$7,Data!$4:$4,0))))</f>
        <v>82.2</v>
      </c>
      <c r="D3882" s="148">
        <f t="shared" ca="1" si="126"/>
        <v>0</v>
      </c>
      <c r="E3882" s="148">
        <f t="shared" ca="1" si="127"/>
        <v>17.200000000000003</v>
      </c>
    </row>
    <row r="3883" spans="2:5" x14ac:dyDescent="0.25">
      <c r="B3883" s="8">
        <v>41477</v>
      </c>
      <c r="C3883" s="6">
        <f ca="1">IF(OR($C$7="",$B3883&gt;NOW()),"",IF(INDEX(Data!$A:$G,MATCH($B3883,Data!$A:$A,0),MATCH($C$7,Data!$4:$4,0))="","",INDEX(Data!$A:$G,MATCH($B3883,Data!$A:$A,0),MATCH($C$7,Data!$4:$4,0))))</f>
        <v>77.099999999999994</v>
      </c>
      <c r="D3883" s="148">
        <f t="shared" ca="1" si="126"/>
        <v>0</v>
      </c>
      <c r="E3883" s="148">
        <f t="shared" ca="1" si="127"/>
        <v>12.099999999999994</v>
      </c>
    </row>
    <row r="3884" spans="2:5" x14ac:dyDescent="0.25">
      <c r="B3884" s="8">
        <v>41478</v>
      </c>
      <c r="C3884" s="6">
        <f ca="1">IF(OR($C$7="",$B3884&gt;NOW()),"",IF(INDEX(Data!$A:$G,MATCH($B3884,Data!$A:$A,0),MATCH($C$7,Data!$4:$4,0))="","",INDEX(Data!$A:$G,MATCH($B3884,Data!$A:$A,0),MATCH($C$7,Data!$4:$4,0))))</f>
        <v>80</v>
      </c>
      <c r="D3884" s="148">
        <f t="shared" ca="1" si="126"/>
        <v>0</v>
      </c>
      <c r="E3884" s="148">
        <f t="shared" ca="1" si="127"/>
        <v>15</v>
      </c>
    </row>
    <row r="3885" spans="2:5" x14ac:dyDescent="0.25">
      <c r="B3885" s="8">
        <v>41479</v>
      </c>
      <c r="C3885" s="6">
        <f ca="1">IF(OR($C$7="",$B3885&gt;NOW()),"",IF(INDEX(Data!$A:$G,MATCH($B3885,Data!$A:$A,0),MATCH($C$7,Data!$4:$4,0))="","",INDEX(Data!$A:$G,MATCH($B3885,Data!$A:$A,0),MATCH($C$7,Data!$4:$4,0))))</f>
        <v>79.900000000000006</v>
      </c>
      <c r="D3885" s="148">
        <f t="shared" ca="1" si="126"/>
        <v>0</v>
      </c>
      <c r="E3885" s="148">
        <f t="shared" ca="1" si="127"/>
        <v>14.900000000000006</v>
      </c>
    </row>
    <row r="3886" spans="2:5" x14ac:dyDescent="0.25">
      <c r="B3886" s="8">
        <v>41480</v>
      </c>
      <c r="C3886" s="6">
        <f ca="1">IF(OR($C$7="",$B3886&gt;NOW()),"",IF(INDEX(Data!$A:$G,MATCH($B3886,Data!$A:$A,0),MATCH($C$7,Data!$4:$4,0))="","",INDEX(Data!$A:$G,MATCH($B3886,Data!$A:$A,0),MATCH($C$7,Data!$4:$4,0))))</f>
        <v>68</v>
      </c>
      <c r="D3886" s="148">
        <f t="shared" ca="1" si="126"/>
        <v>0</v>
      </c>
      <c r="E3886" s="148">
        <f t="shared" ca="1" si="127"/>
        <v>3</v>
      </c>
    </row>
    <row r="3887" spans="2:5" x14ac:dyDescent="0.25">
      <c r="B3887" s="8">
        <v>41481</v>
      </c>
      <c r="C3887" s="6">
        <f ca="1">IF(OR($C$7="",$B3887&gt;NOW()),"",IF(INDEX(Data!$A:$G,MATCH($B3887,Data!$A:$A,0),MATCH($C$7,Data!$4:$4,0))="","",INDEX(Data!$A:$G,MATCH($B3887,Data!$A:$A,0),MATCH($C$7,Data!$4:$4,0))))</f>
        <v>71.5</v>
      </c>
      <c r="D3887" s="148">
        <f t="shared" ca="1" si="126"/>
        <v>0</v>
      </c>
      <c r="E3887" s="148">
        <f t="shared" ca="1" si="127"/>
        <v>6.5</v>
      </c>
    </row>
    <row r="3888" spans="2:5" x14ac:dyDescent="0.25">
      <c r="B3888" s="8">
        <v>41482</v>
      </c>
      <c r="C3888" s="6">
        <f ca="1">IF(OR($C$7="",$B3888&gt;NOW()),"",IF(INDEX(Data!$A:$G,MATCH($B3888,Data!$A:$A,0),MATCH($C$7,Data!$4:$4,0))="","",INDEX(Data!$A:$G,MATCH($B3888,Data!$A:$A,0),MATCH($C$7,Data!$4:$4,0))))</f>
        <v>76.900000000000006</v>
      </c>
      <c r="D3888" s="148">
        <f t="shared" ca="1" si="126"/>
        <v>0</v>
      </c>
      <c r="E3888" s="148">
        <f t="shared" ca="1" si="127"/>
        <v>11.900000000000006</v>
      </c>
    </row>
    <row r="3889" spans="2:5" x14ac:dyDescent="0.25">
      <c r="B3889" s="8">
        <v>41483</v>
      </c>
      <c r="C3889" s="6">
        <f ca="1">IF(OR($C$7="",$B3889&gt;NOW()),"",IF(INDEX(Data!$A:$G,MATCH($B3889,Data!$A:$A,0),MATCH($C$7,Data!$4:$4,0))="","",INDEX(Data!$A:$G,MATCH($B3889,Data!$A:$A,0),MATCH($C$7,Data!$4:$4,0))))</f>
        <v>74.8</v>
      </c>
      <c r="D3889" s="148">
        <f t="shared" ca="1" si="126"/>
        <v>0</v>
      </c>
      <c r="E3889" s="148">
        <f t="shared" ca="1" si="127"/>
        <v>9.7999999999999972</v>
      </c>
    </row>
    <row r="3890" spans="2:5" x14ac:dyDescent="0.25">
      <c r="B3890" s="8">
        <v>41484</v>
      </c>
      <c r="C3890" s="6">
        <f ca="1">IF(OR($C$7="",$B3890&gt;NOW()),"",IF(INDEX(Data!$A:$G,MATCH($B3890,Data!$A:$A,0),MATCH($C$7,Data!$4:$4,0))="","",INDEX(Data!$A:$G,MATCH($B3890,Data!$A:$A,0),MATCH($C$7,Data!$4:$4,0))))</f>
        <v>77.3</v>
      </c>
      <c r="D3890" s="148">
        <f t="shared" ca="1" si="126"/>
        <v>0</v>
      </c>
      <c r="E3890" s="148">
        <f t="shared" ca="1" si="127"/>
        <v>12.299999999999997</v>
      </c>
    </row>
    <row r="3891" spans="2:5" x14ac:dyDescent="0.25">
      <c r="B3891" s="8">
        <v>41485</v>
      </c>
      <c r="C3891" s="6">
        <f ca="1">IF(OR($C$7="",$B3891&gt;NOW()),"",IF(INDEX(Data!$A:$G,MATCH($B3891,Data!$A:$A,0),MATCH($C$7,Data!$4:$4,0))="","",INDEX(Data!$A:$G,MATCH($B3891,Data!$A:$A,0),MATCH($C$7,Data!$4:$4,0))))</f>
        <v>75.900000000000006</v>
      </c>
      <c r="D3891" s="148">
        <f t="shared" ca="1" si="126"/>
        <v>0</v>
      </c>
      <c r="E3891" s="148">
        <f t="shared" ca="1" si="127"/>
        <v>10.900000000000006</v>
      </c>
    </row>
    <row r="3892" spans="2:5" x14ac:dyDescent="0.25">
      <c r="B3892" s="8">
        <v>41486</v>
      </c>
      <c r="C3892" s="6">
        <f ca="1">IF(OR($C$7="",$B3892&gt;NOW()),"",IF(INDEX(Data!$A:$G,MATCH($B3892,Data!$A:$A,0),MATCH($C$7,Data!$4:$4,0))="","",INDEX(Data!$A:$G,MATCH($B3892,Data!$A:$A,0),MATCH($C$7,Data!$4:$4,0))))</f>
        <v>76.099999999999994</v>
      </c>
      <c r="D3892" s="148">
        <f t="shared" ca="1" si="126"/>
        <v>0</v>
      </c>
      <c r="E3892" s="148">
        <f t="shared" ca="1" si="127"/>
        <v>11.099999999999994</v>
      </c>
    </row>
    <row r="3893" spans="2:5" x14ac:dyDescent="0.25">
      <c r="B3893" s="8">
        <v>41487</v>
      </c>
      <c r="C3893" s="6">
        <f ca="1">IF(OR($C$7="",$B3893&gt;NOW()),"",IF(INDEX(Data!$A:$G,MATCH($B3893,Data!$A:$A,0),MATCH($C$7,Data!$4:$4,0))="","",INDEX(Data!$A:$G,MATCH($B3893,Data!$A:$A,0),MATCH($C$7,Data!$4:$4,0))))</f>
        <v>73.5</v>
      </c>
      <c r="D3893" s="148">
        <f t="shared" ca="1" si="126"/>
        <v>0</v>
      </c>
      <c r="E3893" s="148">
        <f t="shared" ca="1" si="127"/>
        <v>8.5</v>
      </c>
    </row>
    <row r="3894" spans="2:5" x14ac:dyDescent="0.25">
      <c r="B3894" s="8">
        <v>41488</v>
      </c>
      <c r="C3894" s="6">
        <f ca="1">IF(OR($C$7="",$B3894&gt;NOW()),"",IF(INDEX(Data!$A:$G,MATCH($B3894,Data!$A:$A,0),MATCH($C$7,Data!$4:$4,0))="","",INDEX(Data!$A:$G,MATCH($B3894,Data!$A:$A,0),MATCH($C$7,Data!$4:$4,0))))</f>
        <v>75.5</v>
      </c>
      <c r="D3894" s="148">
        <f t="shared" ca="1" si="126"/>
        <v>0</v>
      </c>
      <c r="E3894" s="148">
        <f t="shared" ca="1" si="127"/>
        <v>10.5</v>
      </c>
    </row>
    <row r="3895" spans="2:5" x14ac:dyDescent="0.25">
      <c r="B3895" s="8">
        <v>41489</v>
      </c>
      <c r="C3895" s="6">
        <f ca="1">IF(OR($C$7="",$B3895&gt;NOW()),"",IF(INDEX(Data!$A:$G,MATCH($B3895,Data!$A:$A,0),MATCH($C$7,Data!$4:$4,0))="","",INDEX(Data!$A:$G,MATCH($B3895,Data!$A:$A,0),MATCH($C$7,Data!$4:$4,0))))</f>
        <v>76.400000000000006</v>
      </c>
      <c r="D3895" s="148">
        <f t="shared" ca="1" si="126"/>
        <v>0</v>
      </c>
      <c r="E3895" s="148">
        <f t="shared" ca="1" si="127"/>
        <v>11.400000000000006</v>
      </c>
    </row>
    <row r="3896" spans="2:5" x14ac:dyDescent="0.25">
      <c r="B3896" s="8">
        <v>41490</v>
      </c>
      <c r="C3896" s="6">
        <f ca="1">IF(OR($C$7="",$B3896&gt;NOW()),"",IF(INDEX(Data!$A:$G,MATCH($B3896,Data!$A:$A,0),MATCH($C$7,Data!$4:$4,0))="","",INDEX(Data!$A:$G,MATCH($B3896,Data!$A:$A,0),MATCH($C$7,Data!$4:$4,0))))</f>
        <v>74.599999999999994</v>
      </c>
      <c r="D3896" s="148">
        <f t="shared" ca="1" si="126"/>
        <v>0</v>
      </c>
      <c r="E3896" s="148">
        <f t="shared" ca="1" si="127"/>
        <v>9.5999999999999943</v>
      </c>
    </row>
    <row r="3897" spans="2:5" x14ac:dyDescent="0.25">
      <c r="B3897" s="8">
        <v>41491</v>
      </c>
      <c r="C3897" s="6">
        <f ca="1">IF(OR($C$7="",$B3897&gt;NOW()),"",IF(INDEX(Data!$A:$G,MATCH($B3897,Data!$A:$A,0),MATCH($C$7,Data!$4:$4,0))="","",INDEX(Data!$A:$G,MATCH($B3897,Data!$A:$A,0),MATCH($C$7,Data!$4:$4,0))))</f>
        <v>71.5</v>
      </c>
      <c r="D3897" s="148">
        <f t="shared" ca="1" si="126"/>
        <v>0</v>
      </c>
      <c r="E3897" s="148">
        <f t="shared" ca="1" si="127"/>
        <v>6.5</v>
      </c>
    </row>
    <row r="3898" spans="2:5" x14ac:dyDescent="0.25">
      <c r="B3898" s="8">
        <v>41492</v>
      </c>
      <c r="C3898" s="6">
        <f ca="1">IF(OR($C$7="",$B3898&gt;NOW()),"",IF(INDEX(Data!$A:$G,MATCH($B3898,Data!$A:$A,0),MATCH($C$7,Data!$4:$4,0))="","",INDEX(Data!$A:$G,MATCH($B3898,Data!$A:$A,0),MATCH($C$7,Data!$4:$4,0))))</f>
        <v>73.900000000000006</v>
      </c>
      <c r="D3898" s="148">
        <f t="shared" ca="1" si="126"/>
        <v>0</v>
      </c>
      <c r="E3898" s="148">
        <f t="shared" ca="1" si="127"/>
        <v>8.9000000000000057</v>
      </c>
    </row>
    <row r="3899" spans="2:5" x14ac:dyDescent="0.25">
      <c r="B3899" s="8">
        <v>41493</v>
      </c>
      <c r="C3899" s="6">
        <f ca="1">IF(OR($C$7="",$B3899&gt;NOW()),"",IF(INDEX(Data!$A:$G,MATCH($B3899,Data!$A:$A,0),MATCH($C$7,Data!$4:$4,0))="","",INDEX(Data!$A:$G,MATCH($B3899,Data!$A:$A,0),MATCH($C$7,Data!$4:$4,0))))</f>
        <v>74.400000000000006</v>
      </c>
      <c r="D3899" s="148">
        <f t="shared" ca="1" si="126"/>
        <v>0</v>
      </c>
      <c r="E3899" s="148">
        <f t="shared" ca="1" si="127"/>
        <v>9.4000000000000057</v>
      </c>
    </row>
    <row r="3900" spans="2:5" x14ac:dyDescent="0.25">
      <c r="B3900" s="8">
        <v>41494</v>
      </c>
      <c r="C3900" s="6">
        <f ca="1">IF(OR($C$7="",$B3900&gt;NOW()),"",IF(INDEX(Data!$A:$G,MATCH($B3900,Data!$A:$A,0),MATCH($C$7,Data!$4:$4,0))="","",INDEX(Data!$A:$G,MATCH($B3900,Data!$A:$A,0),MATCH($C$7,Data!$4:$4,0))))</f>
        <v>75</v>
      </c>
      <c r="D3900" s="148">
        <f t="shared" ca="1" si="126"/>
        <v>0</v>
      </c>
      <c r="E3900" s="148">
        <f t="shared" ca="1" si="127"/>
        <v>10</v>
      </c>
    </row>
    <row r="3901" spans="2:5" x14ac:dyDescent="0.25">
      <c r="B3901" s="8">
        <v>41495</v>
      </c>
      <c r="C3901" s="6">
        <f ca="1">IF(OR($C$7="",$B3901&gt;NOW()),"",IF(INDEX(Data!$A:$G,MATCH($B3901,Data!$A:$A,0),MATCH($C$7,Data!$4:$4,0))="","",INDEX(Data!$A:$G,MATCH($B3901,Data!$A:$A,0),MATCH($C$7,Data!$4:$4,0))))</f>
        <v>78.2</v>
      </c>
      <c r="D3901" s="148">
        <f t="shared" ca="1" si="126"/>
        <v>0</v>
      </c>
      <c r="E3901" s="148">
        <f t="shared" ca="1" si="127"/>
        <v>13.200000000000003</v>
      </c>
    </row>
    <row r="3902" spans="2:5" x14ac:dyDescent="0.25">
      <c r="B3902" s="8">
        <v>41496</v>
      </c>
      <c r="C3902" s="6">
        <f ca="1">IF(OR($C$7="",$B3902&gt;NOW()),"",IF(INDEX(Data!$A:$G,MATCH($B3902,Data!$A:$A,0),MATCH($C$7,Data!$4:$4,0))="","",INDEX(Data!$A:$G,MATCH($B3902,Data!$A:$A,0),MATCH($C$7,Data!$4:$4,0))))</f>
        <v>78.3</v>
      </c>
      <c r="D3902" s="148">
        <f t="shared" ca="1" si="126"/>
        <v>0</v>
      </c>
      <c r="E3902" s="148">
        <f t="shared" ca="1" si="127"/>
        <v>13.299999999999997</v>
      </c>
    </row>
    <row r="3903" spans="2:5" x14ac:dyDescent="0.25">
      <c r="B3903" s="8">
        <v>41497</v>
      </c>
      <c r="C3903" s="6">
        <f ca="1">IF(OR($C$7="",$B3903&gt;NOW()),"",IF(INDEX(Data!$A:$G,MATCH($B3903,Data!$A:$A,0),MATCH($C$7,Data!$4:$4,0))="","",INDEX(Data!$A:$G,MATCH($B3903,Data!$A:$A,0),MATCH($C$7,Data!$4:$4,0))))</f>
        <v>74.8</v>
      </c>
      <c r="D3903" s="148">
        <f t="shared" ca="1" si="126"/>
        <v>0</v>
      </c>
      <c r="E3903" s="148">
        <f t="shared" ca="1" si="127"/>
        <v>9.7999999999999972</v>
      </c>
    </row>
    <row r="3904" spans="2:5" x14ac:dyDescent="0.25">
      <c r="B3904" s="8">
        <v>41498</v>
      </c>
      <c r="C3904" s="6">
        <f ca="1">IF(OR($C$7="",$B3904&gt;NOW()),"",IF(INDEX(Data!$A:$G,MATCH($B3904,Data!$A:$A,0),MATCH($C$7,Data!$4:$4,0))="","",INDEX(Data!$A:$G,MATCH($B3904,Data!$A:$A,0),MATCH($C$7,Data!$4:$4,0))))</f>
        <v>74.8</v>
      </c>
      <c r="D3904" s="148">
        <f t="shared" ca="1" si="126"/>
        <v>0</v>
      </c>
      <c r="E3904" s="148">
        <f t="shared" ca="1" si="127"/>
        <v>9.7999999999999972</v>
      </c>
    </row>
    <row r="3905" spans="2:5" x14ac:dyDescent="0.25">
      <c r="B3905" s="8">
        <v>41499</v>
      </c>
      <c r="C3905" s="6">
        <f ca="1">IF(OR($C$7="",$B3905&gt;NOW()),"",IF(INDEX(Data!$A:$G,MATCH($B3905,Data!$A:$A,0),MATCH($C$7,Data!$4:$4,0))="","",INDEX(Data!$A:$G,MATCH($B3905,Data!$A:$A,0),MATCH($C$7,Data!$4:$4,0))))</f>
        <v>74</v>
      </c>
      <c r="D3905" s="148">
        <f t="shared" ca="1" si="126"/>
        <v>0</v>
      </c>
      <c r="E3905" s="148">
        <f t="shared" ca="1" si="127"/>
        <v>9</v>
      </c>
    </row>
    <row r="3906" spans="2:5" x14ac:dyDescent="0.25">
      <c r="B3906" s="8">
        <v>41500</v>
      </c>
      <c r="C3906" s="6">
        <f ca="1">IF(OR($C$7="",$B3906&gt;NOW()),"",IF(INDEX(Data!$A:$G,MATCH($B3906,Data!$A:$A,0),MATCH($C$7,Data!$4:$4,0))="","",INDEX(Data!$A:$G,MATCH($B3906,Data!$A:$A,0),MATCH($C$7,Data!$4:$4,0))))</f>
        <v>69.5</v>
      </c>
      <c r="D3906" s="148">
        <f t="shared" ca="1" si="126"/>
        <v>0</v>
      </c>
      <c r="E3906" s="148">
        <f t="shared" ca="1" si="127"/>
        <v>4.5</v>
      </c>
    </row>
    <row r="3907" spans="2:5" x14ac:dyDescent="0.25">
      <c r="B3907" s="8">
        <v>41501</v>
      </c>
      <c r="C3907" s="6">
        <f ca="1">IF(OR($C$7="",$B3907&gt;NOW()),"",IF(INDEX(Data!$A:$G,MATCH($B3907,Data!$A:$A,0),MATCH($C$7,Data!$4:$4,0))="","",INDEX(Data!$A:$G,MATCH($B3907,Data!$A:$A,0),MATCH($C$7,Data!$4:$4,0))))</f>
        <v>69.8</v>
      </c>
      <c r="D3907" s="148">
        <f t="shared" ca="1" si="126"/>
        <v>0</v>
      </c>
      <c r="E3907" s="148">
        <f t="shared" ca="1" si="127"/>
        <v>4.7999999999999972</v>
      </c>
    </row>
    <row r="3908" spans="2:5" x14ac:dyDescent="0.25">
      <c r="B3908" s="8">
        <v>41502</v>
      </c>
      <c r="C3908" s="6">
        <f ca="1">IF(OR($C$7="",$B3908&gt;NOW()),"",IF(INDEX(Data!$A:$G,MATCH($B3908,Data!$A:$A,0),MATCH($C$7,Data!$4:$4,0))="","",INDEX(Data!$A:$G,MATCH($B3908,Data!$A:$A,0),MATCH($C$7,Data!$4:$4,0))))</f>
        <v>72.599999999999994</v>
      </c>
      <c r="D3908" s="148">
        <f t="shared" ca="1" si="126"/>
        <v>0</v>
      </c>
      <c r="E3908" s="148">
        <f t="shared" ca="1" si="127"/>
        <v>7.5999999999999943</v>
      </c>
    </row>
    <row r="3909" spans="2:5" x14ac:dyDescent="0.25">
      <c r="B3909" s="8">
        <v>41503</v>
      </c>
      <c r="C3909" s="6">
        <f ca="1">IF(OR($C$7="",$B3909&gt;NOW()),"",IF(INDEX(Data!$A:$G,MATCH($B3909,Data!$A:$A,0),MATCH($C$7,Data!$4:$4,0))="","",INDEX(Data!$A:$G,MATCH($B3909,Data!$A:$A,0),MATCH($C$7,Data!$4:$4,0))))</f>
        <v>73.599999999999994</v>
      </c>
      <c r="D3909" s="148">
        <f t="shared" ca="1" si="126"/>
        <v>0</v>
      </c>
      <c r="E3909" s="148">
        <f t="shared" ca="1" si="127"/>
        <v>8.5999999999999943</v>
      </c>
    </row>
    <row r="3910" spans="2:5" x14ac:dyDescent="0.25">
      <c r="B3910" s="8">
        <v>41504</v>
      </c>
      <c r="C3910" s="6">
        <f ca="1">IF(OR($C$7="",$B3910&gt;NOW()),"",IF(INDEX(Data!$A:$G,MATCH($B3910,Data!$A:$A,0),MATCH($C$7,Data!$4:$4,0))="","",INDEX(Data!$A:$G,MATCH($B3910,Data!$A:$A,0),MATCH($C$7,Data!$4:$4,0))))</f>
        <v>72.5</v>
      </c>
      <c r="D3910" s="148">
        <f t="shared" ca="1" si="126"/>
        <v>0</v>
      </c>
      <c r="E3910" s="148">
        <f t="shared" ca="1" si="127"/>
        <v>7.5</v>
      </c>
    </row>
    <row r="3911" spans="2:5" x14ac:dyDescent="0.25">
      <c r="B3911" s="8">
        <v>41505</v>
      </c>
      <c r="C3911" s="6">
        <f ca="1">IF(OR($C$7="",$B3911&gt;NOW()),"",IF(INDEX(Data!$A:$G,MATCH($B3911,Data!$A:$A,0),MATCH($C$7,Data!$4:$4,0))="","",INDEX(Data!$A:$G,MATCH($B3911,Data!$A:$A,0),MATCH($C$7,Data!$4:$4,0))))</f>
        <v>73.5</v>
      </c>
      <c r="D3911" s="148">
        <f t="shared" ca="1" si="126"/>
        <v>0</v>
      </c>
      <c r="E3911" s="148">
        <f t="shared" ca="1" si="127"/>
        <v>8.5</v>
      </c>
    </row>
    <row r="3912" spans="2:5" x14ac:dyDescent="0.25">
      <c r="B3912" s="8">
        <v>41506</v>
      </c>
      <c r="C3912" s="6">
        <f ca="1">IF(OR($C$7="",$B3912&gt;NOW()),"",IF(INDEX(Data!$A:$G,MATCH($B3912,Data!$A:$A,0),MATCH($C$7,Data!$4:$4,0))="","",INDEX(Data!$A:$G,MATCH($B3912,Data!$A:$A,0),MATCH($C$7,Data!$4:$4,0))))</f>
        <v>77.5</v>
      </c>
      <c r="D3912" s="148">
        <f t="shared" ca="1" si="126"/>
        <v>0</v>
      </c>
      <c r="E3912" s="148">
        <f t="shared" ca="1" si="127"/>
        <v>12.5</v>
      </c>
    </row>
    <row r="3913" spans="2:5" x14ac:dyDescent="0.25">
      <c r="B3913" s="8">
        <v>41507</v>
      </c>
      <c r="C3913" s="6">
        <f ca="1">IF(OR($C$7="",$B3913&gt;NOW()),"",IF(INDEX(Data!$A:$G,MATCH($B3913,Data!$A:$A,0),MATCH($C$7,Data!$4:$4,0))="","",INDEX(Data!$A:$G,MATCH($B3913,Data!$A:$A,0),MATCH($C$7,Data!$4:$4,0))))</f>
        <v>81.099999999999994</v>
      </c>
      <c r="D3913" s="148">
        <f t="shared" ca="1" si="126"/>
        <v>0</v>
      </c>
      <c r="E3913" s="148">
        <f t="shared" ca="1" si="127"/>
        <v>16.099999999999994</v>
      </c>
    </row>
    <row r="3914" spans="2:5" x14ac:dyDescent="0.25">
      <c r="B3914" s="8">
        <v>41508</v>
      </c>
      <c r="C3914" s="6">
        <f ca="1">IF(OR($C$7="",$B3914&gt;NOW()),"",IF(INDEX(Data!$A:$G,MATCH($B3914,Data!$A:$A,0),MATCH($C$7,Data!$4:$4,0))="","",INDEX(Data!$A:$G,MATCH($B3914,Data!$A:$A,0),MATCH($C$7,Data!$4:$4,0))))</f>
        <v>77.5</v>
      </c>
      <c r="D3914" s="148">
        <f t="shared" ca="1" si="126"/>
        <v>0</v>
      </c>
      <c r="E3914" s="148">
        <f t="shared" ca="1" si="127"/>
        <v>12.5</v>
      </c>
    </row>
    <row r="3915" spans="2:5" x14ac:dyDescent="0.25">
      <c r="B3915" s="8">
        <v>41509</v>
      </c>
      <c r="C3915" s="6">
        <f ca="1">IF(OR($C$7="",$B3915&gt;NOW()),"",IF(INDEX(Data!$A:$G,MATCH($B3915,Data!$A:$A,0),MATCH($C$7,Data!$4:$4,0))="","",INDEX(Data!$A:$G,MATCH($B3915,Data!$A:$A,0),MATCH($C$7,Data!$4:$4,0))))</f>
        <v>76.2</v>
      </c>
      <c r="D3915" s="148">
        <f t="shared" ca="1" si="126"/>
        <v>0</v>
      </c>
      <c r="E3915" s="148">
        <f t="shared" ca="1" si="127"/>
        <v>11.200000000000003</v>
      </c>
    </row>
    <row r="3916" spans="2:5" x14ac:dyDescent="0.25">
      <c r="B3916" s="8">
        <v>41510</v>
      </c>
      <c r="C3916" s="6">
        <f ca="1">IF(OR($C$7="",$B3916&gt;NOW()),"",IF(INDEX(Data!$A:$G,MATCH($B3916,Data!$A:$A,0),MATCH($C$7,Data!$4:$4,0))="","",INDEX(Data!$A:$G,MATCH($B3916,Data!$A:$A,0),MATCH($C$7,Data!$4:$4,0))))</f>
        <v>71.5</v>
      </c>
      <c r="D3916" s="148">
        <f t="shared" ca="1" si="126"/>
        <v>0</v>
      </c>
      <c r="E3916" s="148">
        <f t="shared" ca="1" si="127"/>
        <v>6.5</v>
      </c>
    </row>
    <row r="3917" spans="2:5" x14ac:dyDescent="0.25">
      <c r="B3917" s="8">
        <v>41511</v>
      </c>
      <c r="C3917" s="6">
        <f ca="1">IF(OR($C$7="",$B3917&gt;NOW()),"",IF(INDEX(Data!$A:$G,MATCH($B3917,Data!$A:$A,0),MATCH($C$7,Data!$4:$4,0))="","",INDEX(Data!$A:$G,MATCH($B3917,Data!$A:$A,0),MATCH($C$7,Data!$4:$4,0))))</f>
        <v>73.8</v>
      </c>
      <c r="D3917" s="148">
        <f t="shared" ca="1" si="126"/>
        <v>0</v>
      </c>
      <c r="E3917" s="148">
        <f t="shared" ca="1" si="127"/>
        <v>8.7999999999999972</v>
      </c>
    </row>
    <row r="3918" spans="2:5" x14ac:dyDescent="0.25">
      <c r="B3918" s="8">
        <v>41512</v>
      </c>
      <c r="C3918" s="6">
        <f ca="1">IF(OR($C$7="",$B3918&gt;NOW()),"",IF(INDEX(Data!$A:$G,MATCH($B3918,Data!$A:$A,0),MATCH($C$7,Data!$4:$4,0))="","",INDEX(Data!$A:$G,MATCH($B3918,Data!$A:$A,0),MATCH($C$7,Data!$4:$4,0))))</f>
        <v>75.3</v>
      </c>
      <c r="D3918" s="148">
        <f t="shared" ca="1" si="126"/>
        <v>0</v>
      </c>
      <c r="E3918" s="148">
        <f t="shared" ca="1" si="127"/>
        <v>10.299999999999997</v>
      </c>
    </row>
    <row r="3919" spans="2:5" x14ac:dyDescent="0.25">
      <c r="B3919" s="8">
        <v>41513</v>
      </c>
      <c r="C3919" s="6">
        <f ca="1">IF(OR($C$7="",$B3919&gt;NOW()),"",IF(INDEX(Data!$A:$G,MATCH($B3919,Data!$A:$A,0),MATCH($C$7,Data!$4:$4,0))="","",INDEX(Data!$A:$G,MATCH($B3919,Data!$A:$A,0),MATCH($C$7,Data!$4:$4,0))))</f>
        <v>78.3</v>
      </c>
      <c r="D3919" s="148">
        <f t="shared" ca="1" si="126"/>
        <v>0</v>
      </c>
      <c r="E3919" s="148">
        <f t="shared" ca="1" si="127"/>
        <v>13.299999999999997</v>
      </c>
    </row>
    <row r="3920" spans="2:5" x14ac:dyDescent="0.25">
      <c r="B3920" s="8">
        <v>41514</v>
      </c>
      <c r="C3920" s="6">
        <f ca="1">IF(OR($C$7="",$B3920&gt;NOW()),"",IF(INDEX(Data!$A:$G,MATCH($B3920,Data!$A:$A,0),MATCH($C$7,Data!$4:$4,0))="","",INDEX(Data!$A:$G,MATCH($B3920,Data!$A:$A,0),MATCH($C$7,Data!$4:$4,0))))</f>
        <v>78</v>
      </c>
      <c r="D3920" s="148">
        <f t="shared" ca="1" si="126"/>
        <v>0</v>
      </c>
      <c r="E3920" s="148">
        <f t="shared" ca="1" si="127"/>
        <v>13</v>
      </c>
    </row>
    <row r="3921" spans="2:5" x14ac:dyDescent="0.25">
      <c r="B3921" s="8">
        <v>41515</v>
      </c>
      <c r="C3921" s="6">
        <f ca="1">IF(OR($C$7="",$B3921&gt;NOW()),"",IF(INDEX(Data!$A:$G,MATCH($B3921,Data!$A:$A,0),MATCH($C$7,Data!$4:$4,0))="","",INDEX(Data!$A:$G,MATCH($B3921,Data!$A:$A,0),MATCH($C$7,Data!$4:$4,0))))</f>
        <v>74.599999999999994</v>
      </c>
      <c r="D3921" s="148">
        <f t="shared" ca="1" si="126"/>
        <v>0</v>
      </c>
      <c r="E3921" s="148">
        <f t="shared" ca="1" si="127"/>
        <v>9.5999999999999943</v>
      </c>
    </row>
    <row r="3922" spans="2:5" x14ac:dyDescent="0.25">
      <c r="B3922" s="8">
        <v>41516</v>
      </c>
      <c r="C3922" s="6">
        <f ca="1">IF(OR($C$7="",$B3922&gt;NOW()),"",IF(INDEX(Data!$A:$G,MATCH($B3922,Data!$A:$A,0),MATCH($C$7,Data!$4:$4,0))="","",INDEX(Data!$A:$G,MATCH($B3922,Data!$A:$A,0),MATCH($C$7,Data!$4:$4,0))))</f>
        <v>75.400000000000006</v>
      </c>
      <c r="D3922" s="148">
        <f t="shared" ca="1" si="126"/>
        <v>0</v>
      </c>
      <c r="E3922" s="148">
        <f t="shared" ca="1" si="127"/>
        <v>10.400000000000006</v>
      </c>
    </row>
    <row r="3923" spans="2:5" x14ac:dyDescent="0.25">
      <c r="B3923" s="8">
        <v>41517</v>
      </c>
      <c r="C3923" s="6">
        <f ca="1">IF(OR($C$7="",$B3923&gt;NOW()),"",IF(INDEX(Data!$A:$G,MATCH($B3923,Data!$A:$A,0),MATCH($C$7,Data!$4:$4,0))="","",INDEX(Data!$A:$G,MATCH($B3923,Data!$A:$A,0),MATCH($C$7,Data!$4:$4,0))))</f>
        <v>78.5</v>
      </c>
      <c r="D3923" s="148">
        <f t="shared" ca="1" si="126"/>
        <v>0</v>
      </c>
      <c r="E3923" s="148">
        <f t="shared" ca="1" si="127"/>
        <v>13.5</v>
      </c>
    </row>
    <row r="3924" spans="2:5" x14ac:dyDescent="0.25">
      <c r="B3924" s="8">
        <v>41518</v>
      </c>
      <c r="C3924" s="6">
        <f ca="1">IF(OR($C$7="",$B3924&gt;NOW()),"",IF(INDEX(Data!$A:$G,MATCH($B3924,Data!$A:$A,0),MATCH($C$7,Data!$4:$4,0))="","",INDEX(Data!$A:$G,MATCH($B3924,Data!$A:$A,0),MATCH($C$7,Data!$4:$4,0))))</f>
        <v>79.599999999999994</v>
      </c>
      <c r="D3924" s="148">
        <f t="shared" ca="1" si="126"/>
        <v>0</v>
      </c>
      <c r="E3924" s="148">
        <f t="shared" ca="1" si="127"/>
        <v>14.599999999999994</v>
      </c>
    </row>
    <row r="3925" spans="2:5" x14ac:dyDescent="0.25">
      <c r="B3925" s="8">
        <v>41519</v>
      </c>
      <c r="C3925" s="6">
        <f ca="1">IF(OR($C$7="",$B3925&gt;NOW()),"",IF(INDEX(Data!$A:$G,MATCH($B3925,Data!$A:$A,0),MATCH($C$7,Data!$4:$4,0))="","",INDEX(Data!$A:$G,MATCH($B3925,Data!$A:$A,0),MATCH($C$7,Data!$4:$4,0))))</f>
        <v>76.900000000000006</v>
      </c>
      <c r="D3925" s="148">
        <f t="shared" ca="1" si="126"/>
        <v>0</v>
      </c>
      <c r="E3925" s="148">
        <f t="shared" ca="1" si="127"/>
        <v>11.900000000000006</v>
      </c>
    </row>
    <row r="3926" spans="2:5" x14ac:dyDescent="0.25">
      <c r="B3926" s="8">
        <v>41520</v>
      </c>
      <c r="C3926" s="6">
        <f ca="1">IF(OR($C$7="",$B3926&gt;NOW()),"",IF(INDEX(Data!$A:$G,MATCH($B3926,Data!$A:$A,0),MATCH($C$7,Data!$4:$4,0))="","",INDEX(Data!$A:$G,MATCH($B3926,Data!$A:$A,0),MATCH($C$7,Data!$4:$4,0))))</f>
        <v>76.2</v>
      </c>
      <c r="D3926" s="148">
        <f t="shared" ca="1" si="126"/>
        <v>0</v>
      </c>
      <c r="E3926" s="148">
        <f t="shared" ca="1" si="127"/>
        <v>11.200000000000003</v>
      </c>
    </row>
    <row r="3927" spans="2:5" x14ac:dyDescent="0.25">
      <c r="B3927" s="8">
        <v>41521</v>
      </c>
      <c r="C3927" s="6">
        <f ca="1">IF(OR($C$7="",$B3927&gt;NOW()),"",IF(INDEX(Data!$A:$G,MATCH($B3927,Data!$A:$A,0),MATCH($C$7,Data!$4:$4,0))="","",INDEX(Data!$A:$G,MATCH($B3927,Data!$A:$A,0),MATCH($C$7,Data!$4:$4,0))))</f>
        <v>73.3</v>
      </c>
      <c r="D3927" s="148">
        <f t="shared" ca="1" si="126"/>
        <v>0</v>
      </c>
      <c r="E3927" s="148">
        <f t="shared" ca="1" si="127"/>
        <v>8.2999999999999972</v>
      </c>
    </row>
    <row r="3928" spans="2:5" x14ac:dyDescent="0.25">
      <c r="B3928" s="8">
        <v>41522</v>
      </c>
      <c r="C3928" s="6">
        <f ca="1">IF(OR($C$7="",$B3928&gt;NOW()),"",IF(INDEX(Data!$A:$G,MATCH($B3928,Data!$A:$A,0),MATCH($C$7,Data!$4:$4,0))="","",INDEX(Data!$A:$G,MATCH($B3928,Data!$A:$A,0),MATCH($C$7,Data!$4:$4,0))))</f>
        <v>74.3</v>
      </c>
      <c r="D3928" s="148">
        <f t="shared" ca="1" si="126"/>
        <v>0</v>
      </c>
      <c r="E3928" s="148">
        <f t="shared" ca="1" si="127"/>
        <v>9.2999999999999972</v>
      </c>
    </row>
    <row r="3929" spans="2:5" x14ac:dyDescent="0.25">
      <c r="B3929" s="8">
        <v>41523</v>
      </c>
      <c r="C3929" s="6">
        <f ca="1">IF(OR($C$7="",$B3929&gt;NOW()),"",IF(INDEX(Data!$A:$G,MATCH($B3929,Data!$A:$A,0),MATCH($C$7,Data!$4:$4,0))="","",INDEX(Data!$A:$G,MATCH($B3929,Data!$A:$A,0),MATCH($C$7,Data!$4:$4,0))))</f>
        <v>64.8</v>
      </c>
      <c r="D3929" s="148">
        <f t="shared" ca="1" si="126"/>
        <v>0.20000000000000284</v>
      </c>
      <c r="E3929" s="148">
        <f t="shared" ca="1" si="127"/>
        <v>0</v>
      </c>
    </row>
    <row r="3930" spans="2:5" x14ac:dyDescent="0.25">
      <c r="B3930" s="8">
        <v>41524</v>
      </c>
      <c r="C3930" s="6">
        <f ca="1">IF(OR($C$7="",$B3930&gt;NOW()),"",IF(INDEX(Data!$A:$G,MATCH($B3930,Data!$A:$A,0),MATCH($C$7,Data!$4:$4,0))="","",INDEX(Data!$A:$G,MATCH($B3930,Data!$A:$A,0),MATCH($C$7,Data!$4:$4,0))))</f>
        <v>68.3</v>
      </c>
      <c r="D3930" s="148">
        <f t="shared" ca="1" si="126"/>
        <v>0</v>
      </c>
      <c r="E3930" s="148">
        <f t="shared" ca="1" si="127"/>
        <v>3.2999999999999972</v>
      </c>
    </row>
    <row r="3931" spans="2:5" x14ac:dyDescent="0.25">
      <c r="B3931" s="8">
        <v>41525</v>
      </c>
      <c r="C3931" s="6">
        <f ca="1">IF(OR($C$7="",$B3931&gt;NOW()),"",IF(INDEX(Data!$A:$G,MATCH($B3931,Data!$A:$A,0),MATCH($C$7,Data!$4:$4,0))="","",INDEX(Data!$A:$G,MATCH($B3931,Data!$A:$A,0),MATCH($C$7,Data!$4:$4,0))))</f>
        <v>73.900000000000006</v>
      </c>
      <c r="D3931" s="148">
        <f t="shared" ca="1" si="126"/>
        <v>0</v>
      </c>
      <c r="E3931" s="148">
        <f t="shared" ca="1" si="127"/>
        <v>8.9000000000000057</v>
      </c>
    </row>
    <row r="3932" spans="2:5" x14ac:dyDescent="0.25">
      <c r="B3932" s="8">
        <v>41526</v>
      </c>
      <c r="C3932" s="6">
        <f ca="1">IF(OR($C$7="",$B3932&gt;NOW()),"",IF(INDEX(Data!$A:$G,MATCH($B3932,Data!$A:$A,0),MATCH($C$7,Data!$4:$4,0))="","",INDEX(Data!$A:$G,MATCH($B3932,Data!$A:$A,0),MATCH($C$7,Data!$4:$4,0))))</f>
        <v>65.900000000000006</v>
      </c>
      <c r="D3932" s="148">
        <f t="shared" ca="1" si="126"/>
        <v>0</v>
      </c>
      <c r="E3932" s="148">
        <f t="shared" ca="1" si="127"/>
        <v>0.90000000000000568</v>
      </c>
    </row>
    <row r="3933" spans="2:5" x14ac:dyDescent="0.25">
      <c r="B3933" s="8">
        <v>41527</v>
      </c>
      <c r="C3933" s="6">
        <f ca="1">IF(OR($C$7="",$B3933&gt;NOW()),"",IF(INDEX(Data!$A:$G,MATCH($B3933,Data!$A:$A,0),MATCH($C$7,Data!$4:$4,0))="","",INDEX(Data!$A:$G,MATCH($B3933,Data!$A:$A,0),MATCH($C$7,Data!$4:$4,0))))</f>
        <v>74.8</v>
      </c>
      <c r="D3933" s="148">
        <f t="shared" ref="D3933:D3996" ca="1" si="128">IF($C3933="","",IF($C3933&gt;$D$26,0,$D$26-$C3933))</f>
        <v>0</v>
      </c>
      <c r="E3933" s="148">
        <f t="shared" ref="E3933:E3996" ca="1" si="129">IF($C3933="","",IF($C3933&lt;$E$26,0,$C3933-$E$26))</f>
        <v>9.7999999999999972</v>
      </c>
    </row>
    <row r="3934" spans="2:5" x14ac:dyDescent="0.25">
      <c r="B3934" s="8">
        <v>41528</v>
      </c>
      <c r="C3934" s="6">
        <f ca="1">IF(OR($C$7="",$B3934&gt;NOW()),"",IF(INDEX(Data!$A:$G,MATCH($B3934,Data!$A:$A,0),MATCH($C$7,Data!$4:$4,0))="","",INDEX(Data!$A:$G,MATCH($B3934,Data!$A:$A,0),MATCH($C$7,Data!$4:$4,0))))</f>
        <v>83.6</v>
      </c>
      <c r="D3934" s="148">
        <f t="shared" ca="1" si="128"/>
        <v>0</v>
      </c>
      <c r="E3934" s="148">
        <f t="shared" ca="1" si="129"/>
        <v>18.599999999999994</v>
      </c>
    </row>
    <row r="3935" spans="2:5" x14ac:dyDescent="0.25">
      <c r="B3935" s="8">
        <v>41529</v>
      </c>
      <c r="C3935" s="6">
        <f ca="1">IF(OR($C$7="",$B3935&gt;NOW()),"",IF(INDEX(Data!$A:$G,MATCH($B3935,Data!$A:$A,0),MATCH($C$7,Data!$4:$4,0))="","",INDEX(Data!$A:$G,MATCH($B3935,Data!$A:$A,0),MATCH($C$7,Data!$4:$4,0))))</f>
        <v>80.599999999999994</v>
      </c>
      <c r="D3935" s="148">
        <f t="shared" ca="1" si="128"/>
        <v>0</v>
      </c>
      <c r="E3935" s="148">
        <f t="shared" ca="1" si="129"/>
        <v>15.599999999999994</v>
      </c>
    </row>
    <row r="3936" spans="2:5" x14ac:dyDescent="0.25">
      <c r="B3936" s="8">
        <v>41530</v>
      </c>
      <c r="C3936" s="6">
        <f ca="1">IF(OR($C$7="",$B3936&gt;NOW()),"",IF(INDEX(Data!$A:$G,MATCH($B3936,Data!$A:$A,0),MATCH($C$7,Data!$4:$4,0))="","",INDEX(Data!$A:$G,MATCH($B3936,Data!$A:$A,0),MATCH($C$7,Data!$4:$4,0))))</f>
        <v>71.3</v>
      </c>
      <c r="D3936" s="148">
        <f t="shared" ca="1" si="128"/>
        <v>0</v>
      </c>
      <c r="E3936" s="148">
        <f t="shared" ca="1" si="129"/>
        <v>6.2999999999999972</v>
      </c>
    </row>
    <row r="3937" spans="2:5" x14ac:dyDescent="0.25">
      <c r="B3937" s="8">
        <v>41531</v>
      </c>
      <c r="C3937" s="6">
        <f ca="1">IF(OR($C$7="",$B3937&gt;NOW()),"",IF(INDEX(Data!$A:$G,MATCH($B3937,Data!$A:$A,0),MATCH($C$7,Data!$4:$4,0))="","",INDEX(Data!$A:$G,MATCH($B3937,Data!$A:$A,0),MATCH($C$7,Data!$4:$4,0))))</f>
        <v>61.6</v>
      </c>
      <c r="D3937" s="148">
        <f t="shared" ca="1" si="128"/>
        <v>3.3999999999999986</v>
      </c>
      <c r="E3937" s="148">
        <f t="shared" ca="1" si="129"/>
        <v>0</v>
      </c>
    </row>
    <row r="3938" spans="2:5" x14ac:dyDescent="0.25">
      <c r="B3938" s="8">
        <v>41532</v>
      </c>
      <c r="C3938" s="6">
        <f ca="1">IF(OR($C$7="",$B3938&gt;NOW()),"",IF(INDEX(Data!$A:$G,MATCH($B3938,Data!$A:$A,0),MATCH($C$7,Data!$4:$4,0))="","",INDEX(Data!$A:$G,MATCH($B3938,Data!$A:$A,0),MATCH($C$7,Data!$4:$4,0))))</f>
        <v>61.5</v>
      </c>
      <c r="D3938" s="148">
        <f t="shared" ca="1" si="128"/>
        <v>3.5</v>
      </c>
      <c r="E3938" s="148">
        <f t="shared" ca="1" si="129"/>
        <v>0</v>
      </c>
    </row>
    <row r="3939" spans="2:5" x14ac:dyDescent="0.25">
      <c r="B3939" s="8">
        <v>41533</v>
      </c>
      <c r="C3939" s="6">
        <f ca="1">IF(OR($C$7="",$B3939&gt;NOW()),"",IF(INDEX(Data!$A:$G,MATCH($B3939,Data!$A:$A,0),MATCH($C$7,Data!$4:$4,0))="","",INDEX(Data!$A:$G,MATCH($B3939,Data!$A:$A,0),MATCH($C$7,Data!$4:$4,0))))</f>
        <v>65.8</v>
      </c>
      <c r="D3939" s="148">
        <f t="shared" ca="1" si="128"/>
        <v>0</v>
      </c>
      <c r="E3939" s="148">
        <f t="shared" ca="1" si="129"/>
        <v>0.79999999999999716</v>
      </c>
    </row>
    <row r="3940" spans="2:5" x14ac:dyDescent="0.25">
      <c r="B3940" s="8">
        <v>41534</v>
      </c>
      <c r="C3940" s="6">
        <f ca="1">IF(OR($C$7="",$B3940&gt;NOW()),"",IF(INDEX(Data!$A:$G,MATCH($B3940,Data!$A:$A,0),MATCH($C$7,Data!$4:$4,0))="","",INDEX(Data!$A:$G,MATCH($B3940,Data!$A:$A,0),MATCH($C$7,Data!$4:$4,0))))</f>
        <v>58.2</v>
      </c>
      <c r="D3940" s="148">
        <f t="shared" ca="1" si="128"/>
        <v>6.7999999999999972</v>
      </c>
      <c r="E3940" s="148">
        <f t="shared" ca="1" si="129"/>
        <v>0</v>
      </c>
    </row>
    <row r="3941" spans="2:5" x14ac:dyDescent="0.25">
      <c r="B3941" s="8">
        <v>41535</v>
      </c>
      <c r="C3941" s="6">
        <f ca="1">IF(OR($C$7="",$B3941&gt;NOW()),"",IF(INDEX(Data!$A:$G,MATCH($B3941,Data!$A:$A,0),MATCH($C$7,Data!$4:$4,0))="","",INDEX(Data!$A:$G,MATCH($B3941,Data!$A:$A,0),MATCH($C$7,Data!$4:$4,0))))</f>
        <v>61.8</v>
      </c>
      <c r="D3941" s="148">
        <f t="shared" ca="1" si="128"/>
        <v>3.2000000000000028</v>
      </c>
      <c r="E3941" s="148">
        <f t="shared" ca="1" si="129"/>
        <v>0</v>
      </c>
    </row>
    <row r="3942" spans="2:5" x14ac:dyDescent="0.25">
      <c r="B3942" s="8">
        <v>41536</v>
      </c>
      <c r="C3942" s="6">
        <f ca="1">IF(OR($C$7="",$B3942&gt;NOW()),"",IF(INDEX(Data!$A:$G,MATCH($B3942,Data!$A:$A,0),MATCH($C$7,Data!$4:$4,0))="","",INDEX(Data!$A:$G,MATCH($B3942,Data!$A:$A,0),MATCH($C$7,Data!$4:$4,0))))</f>
        <v>65</v>
      </c>
      <c r="D3942" s="148">
        <f t="shared" ca="1" si="128"/>
        <v>0</v>
      </c>
      <c r="E3942" s="148">
        <f t="shared" ca="1" si="129"/>
        <v>0</v>
      </c>
    </row>
    <row r="3943" spans="2:5" x14ac:dyDescent="0.25">
      <c r="B3943" s="8">
        <v>41537</v>
      </c>
      <c r="C3943" s="6">
        <f ca="1">IF(OR($C$7="",$B3943&gt;NOW()),"",IF(INDEX(Data!$A:$G,MATCH($B3943,Data!$A:$A,0),MATCH($C$7,Data!$4:$4,0))="","",INDEX(Data!$A:$G,MATCH($B3943,Data!$A:$A,0),MATCH($C$7,Data!$4:$4,0))))</f>
        <v>68.099999999999994</v>
      </c>
      <c r="D3943" s="148">
        <f t="shared" ca="1" si="128"/>
        <v>0</v>
      </c>
      <c r="E3943" s="148">
        <f t="shared" ca="1" si="129"/>
        <v>3.0999999999999943</v>
      </c>
    </row>
    <row r="3944" spans="2:5" x14ac:dyDescent="0.25">
      <c r="B3944" s="8">
        <v>41538</v>
      </c>
      <c r="C3944" s="6">
        <f ca="1">IF(OR($C$7="",$B3944&gt;NOW()),"",IF(INDEX(Data!$A:$G,MATCH($B3944,Data!$A:$A,0),MATCH($C$7,Data!$4:$4,0))="","",INDEX(Data!$A:$G,MATCH($B3944,Data!$A:$A,0),MATCH($C$7,Data!$4:$4,0))))</f>
        <v>67.400000000000006</v>
      </c>
      <c r="D3944" s="148">
        <f t="shared" ca="1" si="128"/>
        <v>0</v>
      </c>
      <c r="E3944" s="148">
        <f t="shared" ca="1" si="129"/>
        <v>2.4000000000000057</v>
      </c>
    </row>
    <row r="3945" spans="2:5" x14ac:dyDescent="0.25">
      <c r="B3945" s="8">
        <v>41539</v>
      </c>
      <c r="C3945" s="6">
        <f ca="1">IF(OR($C$7="",$B3945&gt;NOW()),"",IF(INDEX(Data!$A:$G,MATCH($B3945,Data!$A:$A,0),MATCH($C$7,Data!$4:$4,0))="","",INDEX(Data!$A:$G,MATCH($B3945,Data!$A:$A,0),MATCH($C$7,Data!$4:$4,0))))</f>
        <v>66.3</v>
      </c>
      <c r="D3945" s="148">
        <f t="shared" ca="1" si="128"/>
        <v>0</v>
      </c>
      <c r="E3945" s="148">
        <f t="shared" ca="1" si="129"/>
        <v>1.2999999999999972</v>
      </c>
    </row>
    <row r="3946" spans="2:5" x14ac:dyDescent="0.25">
      <c r="B3946" s="8">
        <v>41540</v>
      </c>
      <c r="C3946" s="6">
        <f ca="1">IF(OR($C$7="",$B3946&gt;NOW()),"",IF(INDEX(Data!$A:$G,MATCH($B3946,Data!$A:$A,0),MATCH($C$7,Data!$4:$4,0))="","",INDEX(Data!$A:$G,MATCH($B3946,Data!$A:$A,0),MATCH($C$7,Data!$4:$4,0))))</f>
        <v>58.5</v>
      </c>
      <c r="D3946" s="148">
        <f t="shared" ca="1" si="128"/>
        <v>6.5</v>
      </c>
      <c r="E3946" s="148">
        <f t="shared" ca="1" si="129"/>
        <v>0</v>
      </c>
    </row>
    <row r="3947" spans="2:5" x14ac:dyDescent="0.25">
      <c r="B3947" s="8">
        <v>41541</v>
      </c>
      <c r="C3947" s="6">
        <f ca="1">IF(OR($C$7="",$B3947&gt;NOW()),"",IF(INDEX(Data!$A:$G,MATCH($B3947,Data!$A:$A,0),MATCH($C$7,Data!$4:$4,0))="","",INDEX(Data!$A:$G,MATCH($B3947,Data!$A:$A,0),MATCH($C$7,Data!$4:$4,0))))</f>
        <v>59.1</v>
      </c>
      <c r="D3947" s="148">
        <f t="shared" ca="1" si="128"/>
        <v>5.8999999999999986</v>
      </c>
      <c r="E3947" s="148">
        <f t="shared" ca="1" si="129"/>
        <v>0</v>
      </c>
    </row>
    <row r="3948" spans="2:5" x14ac:dyDescent="0.25">
      <c r="B3948" s="8">
        <v>41542</v>
      </c>
      <c r="C3948" s="6">
        <f ca="1">IF(OR($C$7="",$B3948&gt;NOW()),"",IF(INDEX(Data!$A:$G,MATCH($B3948,Data!$A:$A,0),MATCH($C$7,Data!$4:$4,0))="","",INDEX(Data!$A:$G,MATCH($B3948,Data!$A:$A,0),MATCH($C$7,Data!$4:$4,0))))</f>
        <v>64.099999999999994</v>
      </c>
      <c r="D3948" s="148">
        <f t="shared" ca="1" si="128"/>
        <v>0.90000000000000568</v>
      </c>
      <c r="E3948" s="148">
        <f t="shared" ca="1" si="129"/>
        <v>0</v>
      </c>
    </row>
    <row r="3949" spans="2:5" x14ac:dyDescent="0.25">
      <c r="B3949" s="8">
        <v>41543</v>
      </c>
      <c r="C3949" s="6">
        <f ca="1">IF(OR($C$7="",$B3949&gt;NOW()),"",IF(INDEX(Data!$A:$G,MATCH($B3949,Data!$A:$A,0),MATCH($C$7,Data!$4:$4,0))="","",INDEX(Data!$A:$G,MATCH($B3949,Data!$A:$A,0),MATCH($C$7,Data!$4:$4,0))))</f>
        <v>63.9</v>
      </c>
      <c r="D3949" s="148">
        <f t="shared" ca="1" si="128"/>
        <v>1.1000000000000014</v>
      </c>
      <c r="E3949" s="148">
        <f t="shared" ca="1" si="129"/>
        <v>0</v>
      </c>
    </row>
    <row r="3950" spans="2:5" x14ac:dyDescent="0.25">
      <c r="B3950" s="8">
        <v>41544</v>
      </c>
      <c r="C3950" s="6">
        <f ca="1">IF(OR($C$7="",$B3950&gt;NOW()),"",IF(INDEX(Data!$A:$G,MATCH($B3950,Data!$A:$A,0),MATCH($C$7,Data!$4:$4,0))="","",INDEX(Data!$A:$G,MATCH($B3950,Data!$A:$A,0),MATCH($C$7,Data!$4:$4,0))))</f>
        <v>61.5</v>
      </c>
      <c r="D3950" s="148">
        <f t="shared" ca="1" si="128"/>
        <v>3.5</v>
      </c>
      <c r="E3950" s="148">
        <f t="shared" ca="1" si="129"/>
        <v>0</v>
      </c>
    </row>
    <row r="3951" spans="2:5" x14ac:dyDescent="0.25">
      <c r="B3951" s="8">
        <v>41545</v>
      </c>
      <c r="C3951" s="6">
        <f ca="1">IF(OR($C$7="",$B3951&gt;NOW()),"",IF(INDEX(Data!$A:$G,MATCH($B3951,Data!$A:$A,0),MATCH($C$7,Data!$4:$4,0))="","",INDEX(Data!$A:$G,MATCH($B3951,Data!$A:$A,0),MATCH($C$7,Data!$4:$4,0))))</f>
        <v>64.400000000000006</v>
      </c>
      <c r="D3951" s="148">
        <f t="shared" ca="1" si="128"/>
        <v>0.59999999999999432</v>
      </c>
      <c r="E3951" s="148">
        <f t="shared" ca="1" si="129"/>
        <v>0</v>
      </c>
    </row>
    <row r="3952" spans="2:5" x14ac:dyDescent="0.25">
      <c r="B3952" s="8">
        <v>41546</v>
      </c>
      <c r="C3952" s="6">
        <f ca="1">IF(OR($C$7="",$B3952&gt;NOW()),"",IF(INDEX(Data!$A:$G,MATCH($B3952,Data!$A:$A,0),MATCH($C$7,Data!$4:$4,0))="","",INDEX(Data!$A:$G,MATCH($B3952,Data!$A:$A,0),MATCH($C$7,Data!$4:$4,0))))</f>
        <v>64.599999999999994</v>
      </c>
      <c r="D3952" s="148">
        <f t="shared" ca="1" si="128"/>
        <v>0.40000000000000568</v>
      </c>
      <c r="E3952" s="148">
        <f t="shared" ca="1" si="129"/>
        <v>0</v>
      </c>
    </row>
    <row r="3953" spans="2:5" x14ac:dyDescent="0.25">
      <c r="B3953" s="8">
        <v>41547</v>
      </c>
      <c r="C3953" s="6">
        <f ca="1">IF(OR($C$7="",$B3953&gt;NOW()),"",IF(INDEX(Data!$A:$G,MATCH($B3953,Data!$A:$A,0),MATCH($C$7,Data!$4:$4,0))="","",INDEX(Data!$A:$G,MATCH($B3953,Data!$A:$A,0),MATCH($C$7,Data!$4:$4,0))))</f>
        <v>63.9</v>
      </c>
      <c r="D3953" s="148">
        <f t="shared" ca="1" si="128"/>
        <v>1.1000000000000014</v>
      </c>
      <c r="E3953" s="148">
        <f t="shared" ca="1" si="129"/>
        <v>0</v>
      </c>
    </row>
    <row r="3954" spans="2:5" x14ac:dyDescent="0.25">
      <c r="B3954" s="8">
        <v>41548</v>
      </c>
      <c r="C3954" s="6">
        <f ca="1">IF(OR($C$7="",$B3954&gt;NOW()),"",IF(INDEX(Data!$A:$G,MATCH($B3954,Data!$A:$A,0),MATCH($C$7,Data!$4:$4,0))="","",INDEX(Data!$A:$G,MATCH($B3954,Data!$A:$A,0),MATCH($C$7,Data!$4:$4,0))))</f>
        <v>68.900000000000006</v>
      </c>
      <c r="D3954" s="148">
        <f t="shared" ca="1" si="128"/>
        <v>0</v>
      </c>
      <c r="E3954" s="148">
        <f t="shared" ca="1" si="129"/>
        <v>3.9000000000000057</v>
      </c>
    </row>
    <row r="3955" spans="2:5" x14ac:dyDescent="0.25">
      <c r="B3955" s="8">
        <v>41549</v>
      </c>
      <c r="C3955" s="6">
        <f ca="1">IF(OR($C$7="",$B3955&gt;NOW()),"",IF(INDEX(Data!$A:$G,MATCH($B3955,Data!$A:$A,0),MATCH($C$7,Data!$4:$4,0))="","",INDEX(Data!$A:$G,MATCH($B3955,Data!$A:$A,0),MATCH($C$7,Data!$4:$4,0))))</f>
        <v>73.900000000000006</v>
      </c>
      <c r="D3955" s="148">
        <f t="shared" ca="1" si="128"/>
        <v>0</v>
      </c>
      <c r="E3955" s="148">
        <f t="shared" ca="1" si="129"/>
        <v>8.9000000000000057</v>
      </c>
    </row>
    <row r="3956" spans="2:5" x14ac:dyDescent="0.25">
      <c r="B3956" s="8">
        <v>41550</v>
      </c>
      <c r="C3956" s="6">
        <f ca="1">IF(OR($C$7="",$B3956&gt;NOW()),"",IF(INDEX(Data!$A:$G,MATCH($B3956,Data!$A:$A,0),MATCH($C$7,Data!$4:$4,0))="","",INDEX(Data!$A:$G,MATCH($B3956,Data!$A:$A,0),MATCH($C$7,Data!$4:$4,0))))</f>
        <v>72.599999999999994</v>
      </c>
      <c r="D3956" s="148">
        <f t="shared" ca="1" si="128"/>
        <v>0</v>
      </c>
      <c r="E3956" s="148">
        <f t="shared" ca="1" si="129"/>
        <v>7.5999999999999943</v>
      </c>
    </row>
    <row r="3957" spans="2:5" x14ac:dyDescent="0.25">
      <c r="B3957" s="8">
        <v>41551</v>
      </c>
      <c r="C3957" s="6">
        <f ca="1">IF(OR($C$7="",$B3957&gt;NOW()),"",IF(INDEX(Data!$A:$G,MATCH($B3957,Data!$A:$A,0),MATCH($C$7,Data!$4:$4,0))="","",INDEX(Data!$A:$G,MATCH($B3957,Data!$A:$A,0),MATCH($C$7,Data!$4:$4,0))))</f>
        <v>74</v>
      </c>
      <c r="D3957" s="148">
        <f t="shared" ca="1" si="128"/>
        <v>0</v>
      </c>
      <c r="E3957" s="148">
        <f t="shared" ca="1" si="129"/>
        <v>9</v>
      </c>
    </row>
    <row r="3958" spans="2:5" x14ac:dyDescent="0.25">
      <c r="B3958" s="8">
        <v>41552</v>
      </c>
      <c r="C3958" s="6">
        <f ca="1">IF(OR($C$7="",$B3958&gt;NOW()),"",IF(INDEX(Data!$A:$G,MATCH($B3958,Data!$A:$A,0),MATCH($C$7,Data!$4:$4,0))="","",INDEX(Data!$A:$G,MATCH($B3958,Data!$A:$A,0),MATCH($C$7,Data!$4:$4,0))))</f>
        <v>68.3</v>
      </c>
      <c r="D3958" s="148">
        <f t="shared" ca="1" si="128"/>
        <v>0</v>
      </c>
      <c r="E3958" s="148">
        <f t="shared" ca="1" si="129"/>
        <v>3.2999999999999972</v>
      </c>
    </row>
    <row r="3959" spans="2:5" x14ac:dyDescent="0.25">
      <c r="B3959" s="8">
        <v>41553</v>
      </c>
      <c r="C3959" s="6">
        <f ca="1">IF(OR($C$7="",$B3959&gt;NOW()),"",IF(INDEX(Data!$A:$G,MATCH($B3959,Data!$A:$A,0),MATCH($C$7,Data!$4:$4,0))="","",INDEX(Data!$A:$G,MATCH($B3959,Data!$A:$A,0),MATCH($C$7,Data!$4:$4,0))))</f>
        <v>66.5</v>
      </c>
      <c r="D3959" s="148">
        <f t="shared" ca="1" si="128"/>
        <v>0</v>
      </c>
      <c r="E3959" s="148">
        <f t="shared" ca="1" si="129"/>
        <v>1.5</v>
      </c>
    </row>
    <row r="3960" spans="2:5" x14ac:dyDescent="0.25">
      <c r="B3960" s="8">
        <v>41554</v>
      </c>
      <c r="C3960" s="6">
        <f ca="1">IF(OR($C$7="",$B3960&gt;NOW()),"",IF(INDEX(Data!$A:$G,MATCH($B3960,Data!$A:$A,0),MATCH($C$7,Data!$4:$4,0))="","",INDEX(Data!$A:$G,MATCH($B3960,Data!$A:$A,0),MATCH($C$7,Data!$4:$4,0))))</f>
        <v>70.7</v>
      </c>
      <c r="D3960" s="148">
        <f t="shared" ca="1" si="128"/>
        <v>0</v>
      </c>
      <c r="E3960" s="148">
        <f t="shared" ca="1" si="129"/>
        <v>5.7000000000000028</v>
      </c>
    </row>
    <row r="3961" spans="2:5" x14ac:dyDescent="0.25">
      <c r="B3961" s="8">
        <v>41555</v>
      </c>
      <c r="C3961" s="6">
        <f ca="1">IF(OR($C$7="",$B3961&gt;NOW()),"",IF(INDEX(Data!$A:$G,MATCH($B3961,Data!$A:$A,0),MATCH($C$7,Data!$4:$4,0))="","",INDEX(Data!$A:$G,MATCH($B3961,Data!$A:$A,0),MATCH($C$7,Data!$4:$4,0))))</f>
        <v>61.6</v>
      </c>
      <c r="D3961" s="148">
        <f t="shared" ca="1" si="128"/>
        <v>3.3999999999999986</v>
      </c>
      <c r="E3961" s="148">
        <f t="shared" ca="1" si="129"/>
        <v>0</v>
      </c>
    </row>
    <row r="3962" spans="2:5" x14ac:dyDescent="0.25">
      <c r="B3962" s="8">
        <v>41556</v>
      </c>
      <c r="C3962" s="6">
        <f ca="1">IF(OR($C$7="",$B3962&gt;NOW()),"",IF(INDEX(Data!$A:$G,MATCH($B3962,Data!$A:$A,0),MATCH($C$7,Data!$4:$4,0))="","",INDEX(Data!$A:$G,MATCH($B3962,Data!$A:$A,0),MATCH($C$7,Data!$4:$4,0))))</f>
        <v>59.7</v>
      </c>
      <c r="D3962" s="148">
        <f t="shared" ca="1" si="128"/>
        <v>5.2999999999999972</v>
      </c>
      <c r="E3962" s="148">
        <f t="shared" ca="1" si="129"/>
        <v>0</v>
      </c>
    </row>
    <row r="3963" spans="2:5" x14ac:dyDescent="0.25">
      <c r="B3963" s="8">
        <v>41557</v>
      </c>
      <c r="C3963" s="6">
        <f ca="1">IF(OR($C$7="",$B3963&gt;NOW()),"",IF(INDEX(Data!$A:$G,MATCH($B3963,Data!$A:$A,0),MATCH($C$7,Data!$4:$4,0))="","",INDEX(Data!$A:$G,MATCH($B3963,Data!$A:$A,0),MATCH($C$7,Data!$4:$4,0))))</f>
        <v>59.1</v>
      </c>
      <c r="D3963" s="148">
        <f t="shared" ca="1" si="128"/>
        <v>5.8999999999999986</v>
      </c>
      <c r="E3963" s="148">
        <f t="shared" ca="1" si="129"/>
        <v>0</v>
      </c>
    </row>
    <row r="3964" spans="2:5" x14ac:dyDescent="0.25">
      <c r="B3964" s="8">
        <v>41558</v>
      </c>
      <c r="C3964" s="6">
        <f ca="1">IF(OR($C$7="",$B3964&gt;NOW()),"",IF(INDEX(Data!$A:$G,MATCH($B3964,Data!$A:$A,0),MATCH($C$7,Data!$4:$4,0))="","",INDEX(Data!$A:$G,MATCH($B3964,Data!$A:$A,0),MATCH($C$7,Data!$4:$4,0))))</f>
        <v>63.7</v>
      </c>
      <c r="D3964" s="148">
        <f t="shared" ca="1" si="128"/>
        <v>1.2999999999999972</v>
      </c>
      <c r="E3964" s="148">
        <f t="shared" ca="1" si="129"/>
        <v>0</v>
      </c>
    </row>
    <row r="3965" spans="2:5" x14ac:dyDescent="0.25">
      <c r="B3965" s="8">
        <v>41559</v>
      </c>
      <c r="C3965" s="6">
        <f ca="1">IF(OR($C$7="",$B3965&gt;NOW()),"",IF(INDEX(Data!$A:$G,MATCH($B3965,Data!$A:$A,0),MATCH($C$7,Data!$4:$4,0))="","",INDEX(Data!$A:$G,MATCH($B3965,Data!$A:$A,0),MATCH($C$7,Data!$4:$4,0))))</f>
        <v>65.7</v>
      </c>
      <c r="D3965" s="148">
        <f t="shared" ca="1" si="128"/>
        <v>0</v>
      </c>
      <c r="E3965" s="148">
        <f t="shared" ca="1" si="129"/>
        <v>0.70000000000000284</v>
      </c>
    </row>
    <row r="3966" spans="2:5" x14ac:dyDescent="0.25">
      <c r="B3966" s="8">
        <v>41560</v>
      </c>
      <c r="C3966" s="6">
        <f ca="1">IF(OR($C$7="",$B3966&gt;NOW()),"",IF(INDEX(Data!$A:$G,MATCH($B3966,Data!$A:$A,0),MATCH($C$7,Data!$4:$4,0))="","",INDEX(Data!$A:$G,MATCH($B3966,Data!$A:$A,0),MATCH($C$7,Data!$4:$4,0))))</f>
        <v>60.9</v>
      </c>
      <c r="D3966" s="148">
        <f t="shared" ca="1" si="128"/>
        <v>4.1000000000000014</v>
      </c>
      <c r="E3966" s="148">
        <f t="shared" ca="1" si="129"/>
        <v>0</v>
      </c>
    </row>
    <row r="3967" spans="2:5" x14ac:dyDescent="0.25">
      <c r="B3967" s="8">
        <v>41561</v>
      </c>
      <c r="C3967" s="6">
        <f ca="1">IF(OR($C$7="",$B3967&gt;NOW()),"",IF(INDEX(Data!$A:$G,MATCH($B3967,Data!$A:$A,0),MATCH($C$7,Data!$4:$4,0))="","",INDEX(Data!$A:$G,MATCH($B3967,Data!$A:$A,0),MATCH($C$7,Data!$4:$4,0))))</f>
        <v>58</v>
      </c>
      <c r="D3967" s="148">
        <f t="shared" ca="1" si="128"/>
        <v>7</v>
      </c>
      <c r="E3967" s="148">
        <f t="shared" ca="1" si="129"/>
        <v>0</v>
      </c>
    </row>
    <row r="3968" spans="2:5" x14ac:dyDescent="0.25">
      <c r="B3968" s="8">
        <v>41562</v>
      </c>
      <c r="C3968" s="6">
        <f ca="1">IF(OR($C$7="",$B3968&gt;NOW()),"",IF(INDEX(Data!$A:$G,MATCH($B3968,Data!$A:$A,0),MATCH($C$7,Data!$4:$4,0))="","",INDEX(Data!$A:$G,MATCH($B3968,Data!$A:$A,0),MATCH($C$7,Data!$4:$4,0))))</f>
        <v>60.4</v>
      </c>
      <c r="D3968" s="148">
        <f t="shared" ca="1" si="128"/>
        <v>4.6000000000000014</v>
      </c>
      <c r="E3968" s="148">
        <f t="shared" ca="1" si="129"/>
        <v>0</v>
      </c>
    </row>
    <row r="3969" spans="2:5" x14ac:dyDescent="0.25">
      <c r="B3969" s="8">
        <v>41563</v>
      </c>
      <c r="C3969" s="6">
        <f ca="1">IF(OR($C$7="",$B3969&gt;NOW()),"",IF(INDEX(Data!$A:$G,MATCH($B3969,Data!$A:$A,0),MATCH($C$7,Data!$4:$4,0))="","",INDEX(Data!$A:$G,MATCH($B3969,Data!$A:$A,0),MATCH($C$7,Data!$4:$4,0))))</f>
        <v>60.1</v>
      </c>
      <c r="D3969" s="148">
        <f t="shared" ca="1" si="128"/>
        <v>4.8999999999999986</v>
      </c>
      <c r="E3969" s="148">
        <f t="shared" ca="1" si="129"/>
        <v>0</v>
      </c>
    </row>
    <row r="3970" spans="2:5" x14ac:dyDescent="0.25">
      <c r="B3970" s="8">
        <v>41564</v>
      </c>
      <c r="C3970" s="6">
        <f ca="1">IF(OR($C$7="",$B3970&gt;NOW()),"",IF(INDEX(Data!$A:$G,MATCH($B3970,Data!$A:$A,0),MATCH($C$7,Data!$4:$4,0))="","",INDEX(Data!$A:$G,MATCH($B3970,Data!$A:$A,0),MATCH($C$7,Data!$4:$4,0))))</f>
        <v>64.7</v>
      </c>
      <c r="D3970" s="148">
        <f t="shared" ca="1" si="128"/>
        <v>0.29999999999999716</v>
      </c>
      <c r="E3970" s="148">
        <f t="shared" ca="1" si="129"/>
        <v>0</v>
      </c>
    </row>
    <row r="3971" spans="2:5" x14ac:dyDescent="0.25">
      <c r="B3971" s="8">
        <v>41565</v>
      </c>
      <c r="C3971" s="6">
        <f ca="1">IF(OR($C$7="",$B3971&gt;NOW()),"",IF(INDEX(Data!$A:$G,MATCH($B3971,Data!$A:$A,0),MATCH($C$7,Data!$4:$4,0))="","",INDEX(Data!$A:$G,MATCH($B3971,Data!$A:$A,0),MATCH($C$7,Data!$4:$4,0))))</f>
        <v>64.2</v>
      </c>
      <c r="D3971" s="148">
        <f t="shared" ca="1" si="128"/>
        <v>0.79999999999999716</v>
      </c>
      <c r="E3971" s="148">
        <f t="shared" ca="1" si="129"/>
        <v>0</v>
      </c>
    </row>
    <row r="3972" spans="2:5" x14ac:dyDescent="0.25">
      <c r="B3972" s="8">
        <v>41566</v>
      </c>
      <c r="C3972" s="6">
        <f ca="1">IF(OR($C$7="",$B3972&gt;NOW()),"",IF(INDEX(Data!$A:$G,MATCH($B3972,Data!$A:$A,0),MATCH($C$7,Data!$4:$4,0))="","",INDEX(Data!$A:$G,MATCH($B3972,Data!$A:$A,0),MATCH($C$7,Data!$4:$4,0))))</f>
        <v>59.4</v>
      </c>
      <c r="D3972" s="148">
        <f t="shared" ca="1" si="128"/>
        <v>5.6000000000000014</v>
      </c>
      <c r="E3972" s="148">
        <f t="shared" ca="1" si="129"/>
        <v>0</v>
      </c>
    </row>
    <row r="3973" spans="2:5" x14ac:dyDescent="0.25">
      <c r="B3973" s="8">
        <v>41567</v>
      </c>
      <c r="C3973" s="6">
        <f ca="1">IF(OR($C$7="",$B3973&gt;NOW()),"",IF(INDEX(Data!$A:$G,MATCH($B3973,Data!$A:$A,0),MATCH($C$7,Data!$4:$4,0))="","",INDEX(Data!$A:$G,MATCH($B3973,Data!$A:$A,0),MATCH($C$7,Data!$4:$4,0))))</f>
        <v>58.4</v>
      </c>
      <c r="D3973" s="148">
        <f t="shared" ca="1" si="128"/>
        <v>6.6000000000000014</v>
      </c>
      <c r="E3973" s="148">
        <f t="shared" ca="1" si="129"/>
        <v>0</v>
      </c>
    </row>
    <row r="3974" spans="2:5" x14ac:dyDescent="0.25">
      <c r="B3974" s="8">
        <v>41568</v>
      </c>
      <c r="C3974" s="6">
        <f ca="1">IF(OR($C$7="",$B3974&gt;NOW()),"",IF(INDEX(Data!$A:$G,MATCH($B3974,Data!$A:$A,0),MATCH($C$7,Data!$4:$4,0))="","",INDEX(Data!$A:$G,MATCH($B3974,Data!$A:$A,0),MATCH($C$7,Data!$4:$4,0))))</f>
        <v>59.3</v>
      </c>
      <c r="D3974" s="148">
        <f t="shared" ca="1" si="128"/>
        <v>5.7000000000000028</v>
      </c>
      <c r="E3974" s="148">
        <f t="shared" ca="1" si="129"/>
        <v>0</v>
      </c>
    </row>
    <row r="3975" spans="2:5" x14ac:dyDescent="0.25">
      <c r="B3975" s="8">
        <v>41569</v>
      </c>
      <c r="C3975" s="6">
        <f ca="1">IF(OR($C$7="",$B3975&gt;NOW()),"",IF(INDEX(Data!$A:$G,MATCH($B3975,Data!$A:$A,0),MATCH($C$7,Data!$4:$4,0))="","",INDEX(Data!$A:$G,MATCH($B3975,Data!$A:$A,0),MATCH($C$7,Data!$4:$4,0))))</f>
        <v>59.6</v>
      </c>
      <c r="D3975" s="148">
        <f t="shared" ca="1" si="128"/>
        <v>5.3999999999999986</v>
      </c>
      <c r="E3975" s="148">
        <f t="shared" ca="1" si="129"/>
        <v>0</v>
      </c>
    </row>
    <row r="3976" spans="2:5" x14ac:dyDescent="0.25">
      <c r="B3976" s="8">
        <v>41570</v>
      </c>
      <c r="C3976" s="6">
        <f ca="1">IF(OR($C$7="",$B3976&gt;NOW()),"",IF(INDEX(Data!$A:$G,MATCH($B3976,Data!$A:$A,0),MATCH($C$7,Data!$4:$4,0))="","",INDEX(Data!$A:$G,MATCH($B3976,Data!$A:$A,0),MATCH($C$7,Data!$4:$4,0))))</f>
        <v>52.8</v>
      </c>
      <c r="D3976" s="148">
        <f t="shared" ca="1" si="128"/>
        <v>12.200000000000003</v>
      </c>
      <c r="E3976" s="148">
        <f t="shared" ca="1" si="129"/>
        <v>0</v>
      </c>
    </row>
    <row r="3977" spans="2:5" x14ac:dyDescent="0.25">
      <c r="B3977" s="8">
        <v>41571</v>
      </c>
      <c r="C3977" s="6">
        <f ca="1">IF(OR($C$7="",$B3977&gt;NOW()),"",IF(INDEX(Data!$A:$G,MATCH($B3977,Data!$A:$A,0),MATCH($C$7,Data!$4:$4,0))="","",INDEX(Data!$A:$G,MATCH($B3977,Data!$A:$A,0),MATCH($C$7,Data!$4:$4,0))))</f>
        <v>48.4</v>
      </c>
      <c r="D3977" s="148">
        <f t="shared" ca="1" si="128"/>
        <v>16.600000000000001</v>
      </c>
      <c r="E3977" s="148">
        <f t="shared" ca="1" si="129"/>
        <v>0</v>
      </c>
    </row>
    <row r="3978" spans="2:5" x14ac:dyDescent="0.25">
      <c r="B3978" s="8">
        <v>41572</v>
      </c>
      <c r="C3978" s="6">
        <f ca="1">IF(OR($C$7="",$B3978&gt;NOW()),"",IF(INDEX(Data!$A:$G,MATCH($B3978,Data!$A:$A,0),MATCH($C$7,Data!$4:$4,0))="","",INDEX(Data!$A:$G,MATCH($B3978,Data!$A:$A,0),MATCH($C$7,Data!$4:$4,0))))</f>
        <v>47.4</v>
      </c>
      <c r="D3978" s="148">
        <f t="shared" ca="1" si="128"/>
        <v>17.600000000000001</v>
      </c>
      <c r="E3978" s="148">
        <f t="shared" ca="1" si="129"/>
        <v>0</v>
      </c>
    </row>
    <row r="3979" spans="2:5" x14ac:dyDescent="0.25">
      <c r="B3979" s="8">
        <v>41573</v>
      </c>
      <c r="C3979" s="6">
        <f ca="1">IF(OR($C$7="",$B3979&gt;NOW()),"",IF(INDEX(Data!$A:$G,MATCH($B3979,Data!$A:$A,0),MATCH($C$7,Data!$4:$4,0))="","",INDEX(Data!$A:$G,MATCH($B3979,Data!$A:$A,0),MATCH($C$7,Data!$4:$4,0))))</f>
        <v>49.5</v>
      </c>
      <c r="D3979" s="148">
        <f t="shared" ca="1" si="128"/>
        <v>15.5</v>
      </c>
      <c r="E3979" s="148">
        <f t="shared" ca="1" si="129"/>
        <v>0</v>
      </c>
    </row>
    <row r="3980" spans="2:5" x14ac:dyDescent="0.25">
      <c r="B3980" s="8">
        <v>41574</v>
      </c>
      <c r="C3980" s="6">
        <f ca="1">IF(OR($C$7="",$B3980&gt;NOW()),"",IF(INDEX(Data!$A:$G,MATCH($B3980,Data!$A:$A,0),MATCH($C$7,Data!$4:$4,0))="","",INDEX(Data!$A:$G,MATCH($B3980,Data!$A:$A,0),MATCH($C$7,Data!$4:$4,0))))</f>
        <v>53</v>
      </c>
      <c r="D3980" s="148">
        <f t="shared" ca="1" si="128"/>
        <v>12</v>
      </c>
      <c r="E3980" s="148">
        <f t="shared" ca="1" si="129"/>
        <v>0</v>
      </c>
    </row>
    <row r="3981" spans="2:5" x14ac:dyDescent="0.25">
      <c r="B3981" s="8">
        <v>41575</v>
      </c>
      <c r="C3981" s="6">
        <f ca="1">IF(OR($C$7="",$B3981&gt;NOW()),"",IF(INDEX(Data!$A:$G,MATCH($B3981,Data!$A:$A,0),MATCH($C$7,Data!$4:$4,0))="","",INDEX(Data!$A:$G,MATCH($B3981,Data!$A:$A,0),MATCH($C$7,Data!$4:$4,0))))</f>
        <v>53</v>
      </c>
      <c r="D3981" s="148">
        <f t="shared" ca="1" si="128"/>
        <v>12</v>
      </c>
      <c r="E3981" s="148">
        <f t="shared" ca="1" si="129"/>
        <v>0</v>
      </c>
    </row>
    <row r="3982" spans="2:5" x14ac:dyDescent="0.25">
      <c r="B3982" s="8">
        <v>41576</v>
      </c>
      <c r="C3982" s="6">
        <f ca="1">IF(OR($C$7="",$B3982&gt;NOW()),"",IF(INDEX(Data!$A:$G,MATCH($B3982,Data!$A:$A,0),MATCH($C$7,Data!$4:$4,0))="","",INDEX(Data!$A:$G,MATCH($B3982,Data!$A:$A,0),MATCH($C$7,Data!$4:$4,0))))</f>
        <v>50.5</v>
      </c>
      <c r="D3982" s="148">
        <f t="shared" ca="1" si="128"/>
        <v>14.5</v>
      </c>
      <c r="E3982" s="148">
        <f t="shared" ca="1" si="129"/>
        <v>0</v>
      </c>
    </row>
    <row r="3983" spans="2:5" x14ac:dyDescent="0.25">
      <c r="B3983" s="8">
        <v>41577</v>
      </c>
      <c r="C3983" s="6">
        <f ca="1">IF(OR($C$7="",$B3983&gt;NOW()),"",IF(INDEX(Data!$A:$G,MATCH($B3983,Data!$A:$A,0),MATCH($C$7,Data!$4:$4,0))="","",INDEX(Data!$A:$G,MATCH($B3983,Data!$A:$A,0),MATCH($C$7,Data!$4:$4,0))))</f>
        <v>52.9</v>
      </c>
      <c r="D3983" s="148">
        <f t="shared" ca="1" si="128"/>
        <v>12.100000000000001</v>
      </c>
      <c r="E3983" s="148">
        <f t="shared" ca="1" si="129"/>
        <v>0</v>
      </c>
    </row>
    <row r="3984" spans="2:5" x14ac:dyDescent="0.25">
      <c r="B3984" s="8">
        <v>41578</v>
      </c>
      <c r="C3984" s="6">
        <f ca="1">IF(OR($C$7="",$B3984&gt;NOW()),"",IF(INDEX(Data!$A:$G,MATCH($B3984,Data!$A:$A,0),MATCH($C$7,Data!$4:$4,0))="","",INDEX(Data!$A:$G,MATCH($B3984,Data!$A:$A,0),MATCH($C$7,Data!$4:$4,0))))</f>
        <v>59.3</v>
      </c>
      <c r="D3984" s="148">
        <f t="shared" ca="1" si="128"/>
        <v>5.7000000000000028</v>
      </c>
      <c r="E3984" s="148">
        <f t="shared" ca="1" si="129"/>
        <v>0</v>
      </c>
    </row>
    <row r="3985" spans="2:5" x14ac:dyDescent="0.25">
      <c r="B3985" s="8">
        <v>41579</v>
      </c>
      <c r="C3985" s="6">
        <f ca="1">IF(OR($C$7="",$B3985&gt;NOW()),"",IF(INDEX(Data!$A:$G,MATCH($B3985,Data!$A:$A,0),MATCH($C$7,Data!$4:$4,0))="","",INDEX(Data!$A:$G,MATCH($B3985,Data!$A:$A,0),MATCH($C$7,Data!$4:$4,0))))</f>
        <v>65.900000000000006</v>
      </c>
      <c r="D3985" s="148">
        <f t="shared" ca="1" si="128"/>
        <v>0</v>
      </c>
      <c r="E3985" s="148">
        <f t="shared" ca="1" si="129"/>
        <v>0.90000000000000568</v>
      </c>
    </row>
    <row r="3986" spans="2:5" x14ac:dyDescent="0.25">
      <c r="B3986" s="8">
        <v>41580</v>
      </c>
      <c r="C3986" s="6">
        <f ca="1">IF(OR($C$7="",$B3986&gt;NOW()),"",IF(INDEX(Data!$A:$G,MATCH($B3986,Data!$A:$A,0),MATCH($C$7,Data!$4:$4,0))="","",INDEX(Data!$A:$G,MATCH($B3986,Data!$A:$A,0),MATCH($C$7,Data!$4:$4,0))))</f>
        <v>61.5</v>
      </c>
      <c r="D3986" s="148">
        <f t="shared" ca="1" si="128"/>
        <v>3.5</v>
      </c>
      <c r="E3986" s="148">
        <f t="shared" ca="1" si="129"/>
        <v>0</v>
      </c>
    </row>
    <row r="3987" spans="2:5" x14ac:dyDescent="0.25">
      <c r="B3987" s="8">
        <v>41581</v>
      </c>
      <c r="C3987" s="6">
        <f ca="1">IF(OR($C$7="",$B3987&gt;NOW()),"",IF(INDEX(Data!$A:$G,MATCH($B3987,Data!$A:$A,0),MATCH($C$7,Data!$4:$4,0))="","",INDEX(Data!$A:$G,MATCH($B3987,Data!$A:$A,0),MATCH($C$7,Data!$4:$4,0))))</f>
        <v>50.9</v>
      </c>
      <c r="D3987" s="148">
        <f t="shared" ca="1" si="128"/>
        <v>14.100000000000001</v>
      </c>
      <c r="E3987" s="148">
        <f t="shared" ca="1" si="129"/>
        <v>0</v>
      </c>
    </row>
    <row r="3988" spans="2:5" x14ac:dyDescent="0.25">
      <c r="B3988" s="8">
        <v>41582</v>
      </c>
      <c r="C3988" s="6">
        <f ca="1">IF(OR($C$7="",$B3988&gt;NOW()),"",IF(INDEX(Data!$A:$G,MATCH($B3988,Data!$A:$A,0),MATCH($C$7,Data!$4:$4,0))="","",INDEX(Data!$A:$G,MATCH($B3988,Data!$A:$A,0),MATCH($C$7,Data!$4:$4,0))))</f>
        <v>39.5</v>
      </c>
      <c r="D3988" s="148">
        <f t="shared" ca="1" si="128"/>
        <v>25.5</v>
      </c>
      <c r="E3988" s="148">
        <f t="shared" ca="1" si="129"/>
        <v>0</v>
      </c>
    </row>
    <row r="3989" spans="2:5" x14ac:dyDescent="0.25">
      <c r="B3989" s="8">
        <v>41583</v>
      </c>
      <c r="C3989" s="6">
        <f ca="1">IF(OR($C$7="",$B3989&gt;NOW()),"",IF(INDEX(Data!$A:$G,MATCH($B3989,Data!$A:$A,0),MATCH($C$7,Data!$4:$4,0))="","",INDEX(Data!$A:$G,MATCH($B3989,Data!$A:$A,0),MATCH($C$7,Data!$4:$4,0))))</f>
        <v>46.8</v>
      </c>
      <c r="D3989" s="148">
        <f t="shared" ca="1" si="128"/>
        <v>18.200000000000003</v>
      </c>
      <c r="E3989" s="148">
        <f t="shared" ca="1" si="129"/>
        <v>0</v>
      </c>
    </row>
    <row r="3990" spans="2:5" x14ac:dyDescent="0.25">
      <c r="B3990" s="8">
        <v>41584</v>
      </c>
      <c r="C3990" s="6">
        <f ca="1">IF(OR($C$7="",$B3990&gt;NOW()),"",IF(INDEX(Data!$A:$G,MATCH($B3990,Data!$A:$A,0),MATCH($C$7,Data!$4:$4,0))="","",INDEX(Data!$A:$G,MATCH($B3990,Data!$A:$A,0),MATCH($C$7,Data!$4:$4,0))))</f>
        <v>53.2</v>
      </c>
      <c r="D3990" s="148">
        <f t="shared" ca="1" si="128"/>
        <v>11.799999999999997</v>
      </c>
      <c r="E3990" s="148">
        <f t="shared" ca="1" si="129"/>
        <v>0</v>
      </c>
    </row>
    <row r="3991" spans="2:5" x14ac:dyDescent="0.25">
      <c r="B3991" s="8">
        <v>41585</v>
      </c>
      <c r="C3991" s="6">
        <f ca="1">IF(OR($C$7="",$B3991&gt;NOW()),"",IF(INDEX(Data!$A:$G,MATCH($B3991,Data!$A:$A,0),MATCH($C$7,Data!$4:$4,0))="","",INDEX(Data!$A:$G,MATCH($B3991,Data!$A:$A,0),MATCH($C$7,Data!$4:$4,0))))</f>
        <v>58.3</v>
      </c>
      <c r="D3991" s="148">
        <f t="shared" ca="1" si="128"/>
        <v>6.7000000000000028</v>
      </c>
      <c r="E3991" s="148">
        <f t="shared" ca="1" si="129"/>
        <v>0</v>
      </c>
    </row>
    <row r="3992" spans="2:5" x14ac:dyDescent="0.25">
      <c r="B3992" s="8">
        <v>41586</v>
      </c>
      <c r="C3992" s="6">
        <f ca="1">IF(OR($C$7="",$B3992&gt;NOW()),"",IF(INDEX(Data!$A:$G,MATCH($B3992,Data!$A:$A,0),MATCH($C$7,Data!$4:$4,0))="","",INDEX(Data!$A:$G,MATCH($B3992,Data!$A:$A,0),MATCH($C$7,Data!$4:$4,0))))</f>
        <v>46</v>
      </c>
      <c r="D3992" s="148">
        <f t="shared" ca="1" si="128"/>
        <v>19</v>
      </c>
      <c r="E3992" s="148">
        <f t="shared" ca="1" si="129"/>
        <v>0</v>
      </c>
    </row>
    <row r="3993" spans="2:5" x14ac:dyDescent="0.25">
      <c r="B3993" s="8">
        <v>41587</v>
      </c>
      <c r="C3993" s="6">
        <f ca="1">IF(OR($C$7="",$B3993&gt;NOW()),"",IF(INDEX(Data!$A:$G,MATCH($B3993,Data!$A:$A,0),MATCH($C$7,Data!$4:$4,0))="","",INDEX(Data!$A:$G,MATCH($B3993,Data!$A:$A,0),MATCH($C$7,Data!$4:$4,0))))</f>
        <v>44.3</v>
      </c>
      <c r="D3993" s="148">
        <f t="shared" ca="1" si="128"/>
        <v>20.700000000000003</v>
      </c>
      <c r="E3993" s="148">
        <f t="shared" ca="1" si="129"/>
        <v>0</v>
      </c>
    </row>
    <row r="3994" spans="2:5" x14ac:dyDescent="0.25">
      <c r="B3994" s="8">
        <v>41588</v>
      </c>
      <c r="C3994" s="6">
        <f ca="1">IF(OR($C$7="",$B3994&gt;NOW()),"",IF(INDEX(Data!$A:$G,MATCH($B3994,Data!$A:$A,0),MATCH($C$7,Data!$4:$4,0))="","",INDEX(Data!$A:$G,MATCH($B3994,Data!$A:$A,0),MATCH($C$7,Data!$4:$4,0))))</f>
        <v>50.1</v>
      </c>
      <c r="D3994" s="148">
        <f t="shared" ca="1" si="128"/>
        <v>14.899999999999999</v>
      </c>
      <c r="E3994" s="148">
        <f t="shared" ca="1" si="129"/>
        <v>0</v>
      </c>
    </row>
    <row r="3995" spans="2:5" x14ac:dyDescent="0.25">
      <c r="B3995" s="8">
        <v>41589</v>
      </c>
      <c r="C3995" s="6">
        <f ca="1">IF(OR($C$7="",$B3995&gt;NOW()),"",IF(INDEX(Data!$A:$G,MATCH($B3995,Data!$A:$A,0),MATCH($C$7,Data!$4:$4,0))="","",INDEX(Data!$A:$G,MATCH($B3995,Data!$A:$A,0),MATCH($C$7,Data!$4:$4,0))))</f>
        <v>48.6</v>
      </c>
      <c r="D3995" s="148">
        <f t="shared" ca="1" si="128"/>
        <v>16.399999999999999</v>
      </c>
      <c r="E3995" s="148">
        <f t="shared" ca="1" si="129"/>
        <v>0</v>
      </c>
    </row>
    <row r="3996" spans="2:5" x14ac:dyDescent="0.25">
      <c r="B3996" s="8">
        <v>41590</v>
      </c>
      <c r="C3996" s="6">
        <f ca="1">IF(OR($C$7="",$B3996&gt;NOW()),"",IF(INDEX(Data!$A:$G,MATCH($B3996,Data!$A:$A,0),MATCH($C$7,Data!$4:$4,0))="","",INDEX(Data!$A:$G,MATCH($B3996,Data!$A:$A,0),MATCH($C$7,Data!$4:$4,0))))</f>
        <v>43.9</v>
      </c>
      <c r="D3996" s="148">
        <f t="shared" ca="1" si="128"/>
        <v>21.1</v>
      </c>
      <c r="E3996" s="148">
        <f t="shared" ca="1" si="129"/>
        <v>0</v>
      </c>
    </row>
    <row r="3997" spans="2:5" x14ac:dyDescent="0.25">
      <c r="B3997" s="8">
        <v>41591</v>
      </c>
      <c r="C3997" s="6">
        <f ca="1">IF(OR($C$7="",$B3997&gt;NOW()),"",IF(INDEX(Data!$A:$G,MATCH($B3997,Data!$A:$A,0),MATCH($C$7,Data!$4:$4,0))="","",INDEX(Data!$A:$G,MATCH($B3997,Data!$A:$A,0),MATCH($C$7,Data!$4:$4,0))))</f>
        <v>34</v>
      </c>
      <c r="D3997" s="148">
        <f t="shared" ref="D3997:D4060" ca="1" si="130">IF($C3997="","",IF($C3997&gt;$D$26,0,$D$26-$C3997))</f>
        <v>31</v>
      </c>
      <c r="E3997" s="148">
        <f t="shared" ref="E3997:E4060" ca="1" si="131">IF($C3997="","",IF($C3997&lt;$E$26,0,$C3997-$E$26))</f>
        <v>0</v>
      </c>
    </row>
    <row r="3998" spans="2:5" x14ac:dyDescent="0.25">
      <c r="B3998" s="8">
        <v>41592</v>
      </c>
      <c r="C3998" s="6">
        <f ca="1">IF(OR($C$7="",$B3998&gt;NOW()),"",IF(INDEX(Data!$A:$G,MATCH($B3998,Data!$A:$A,0),MATCH($C$7,Data!$4:$4,0))="","",INDEX(Data!$A:$G,MATCH($B3998,Data!$A:$A,0),MATCH($C$7,Data!$4:$4,0))))</f>
        <v>41</v>
      </c>
      <c r="D3998" s="148">
        <f t="shared" ca="1" si="130"/>
        <v>24</v>
      </c>
      <c r="E3998" s="148">
        <f t="shared" ca="1" si="131"/>
        <v>0</v>
      </c>
    </row>
    <row r="3999" spans="2:5" x14ac:dyDescent="0.25">
      <c r="B3999" s="8">
        <v>41593</v>
      </c>
      <c r="C3999" s="6">
        <f ca="1">IF(OR($C$7="",$B3999&gt;NOW()),"",IF(INDEX(Data!$A:$G,MATCH($B3999,Data!$A:$A,0),MATCH($C$7,Data!$4:$4,0))="","",INDEX(Data!$A:$G,MATCH($B3999,Data!$A:$A,0),MATCH($C$7,Data!$4:$4,0))))</f>
        <v>49.1</v>
      </c>
      <c r="D3999" s="148">
        <f t="shared" ca="1" si="130"/>
        <v>15.899999999999999</v>
      </c>
      <c r="E3999" s="148">
        <f t="shared" ca="1" si="131"/>
        <v>0</v>
      </c>
    </row>
    <row r="4000" spans="2:5" x14ac:dyDescent="0.25">
      <c r="B4000" s="8">
        <v>41594</v>
      </c>
      <c r="C4000" s="6">
        <f ca="1">IF(OR($C$7="",$B4000&gt;NOW()),"",IF(INDEX(Data!$A:$G,MATCH($B4000,Data!$A:$A,0),MATCH($C$7,Data!$4:$4,0))="","",INDEX(Data!$A:$G,MATCH($B4000,Data!$A:$A,0),MATCH($C$7,Data!$4:$4,0))))</f>
        <v>51.9</v>
      </c>
      <c r="D4000" s="148">
        <f t="shared" ca="1" si="130"/>
        <v>13.100000000000001</v>
      </c>
      <c r="E4000" s="148">
        <f t="shared" ca="1" si="131"/>
        <v>0</v>
      </c>
    </row>
    <row r="4001" spans="2:5" x14ac:dyDescent="0.25">
      <c r="B4001" s="8">
        <v>41595</v>
      </c>
      <c r="C4001" s="6">
        <f ca="1">IF(OR($C$7="",$B4001&gt;NOW()),"",IF(INDEX(Data!$A:$G,MATCH($B4001,Data!$A:$A,0),MATCH($C$7,Data!$4:$4,0))="","",INDEX(Data!$A:$G,MATCH($B4001,Data!$A:$A,0),MATCH($C$7,Data!$4:$4,0))))</f>
        <v>52.6</v>
      </c>
      <c r="D4001" s="148">
        <f t="shared" ca="1" si="130"/>
        <v>12.399999999999999</v>
      </c>
      <c r="E4001" s="148">
        <f t="shared" ca="1" si="131"/>
        <v>0</v>
      </c>
    </row>
    <row r="4002" spans="2:5" x14ac:dyDescent="0.25">
      <c r="B4002" s="8">
        <v>41596</v>
      </c>
      <c r="C4002" s="6">
        <f ca="1">IF(OR($C$7="",$B4002&gt;NOW()),"",IF(INDEX(Data!$A:$G,MATCH($B4002,Data!$A:$A,0),MATCH($C$7,Data!$4:$4,0))="","",INDEX(Data!$A:$G,MATCH($B4002,Data!$A:$A,0),MATCH($C$7,Data!$4:$4,0))))</f>
        <v>60.3</v>
      </c>
      <c r="D4002" s="148">
        <f t="shared" ca="1" si="130"/>
        <v>4.7000000000000028</v>
      </c>
      <c r="E4002" s="148">
        <f t="shared" ca="1" si="131"/>
        <v>0</v>
      </c>
    </row>
    <row r="4003" spans="2:5" x14ac:dyDescent="0.25">
      <c r="B4003" s="8">
        <v>41597</v>
      </c>
      <c r="C4003" s="6">
        <f ca="1">IF(OR($C$7="",$B4003&gt;NOW()),"",IF(INDEX(Data!$A:$G,MATCH($B4003,Data!$A:$A,0),MATCH($C$7,Data!$4:$4,0))="","",INDEX(Data!$A:$G,MATCH($B4003,Data!$A:$A,0),MATCH($C$7,Data!$4:$4,0))))</f>
        <v>48.3</v>
      </c>
      <c r="D4003" s="148">
        <f t="shared" ca="1" si="130"/>
        <v>16.700000000000003</v>
      </c>
      <c r="E4003" s="148">
        <f t="shared" ca="1" si="131"/>
        <v>0</v>
      </c>
    </row>
    <row r="4004" spans="2:5" x14ac:dyDescent="0.25">
      <c r="B4004" s="8">
        <v>41598</v>
      </c>
      <c r="C4004" s="6">
        <f ca="1">IF(OR($C$7="",$B4004&gt;NOW()),"",IF(INDEX(Data!$A:$G,MATCH($B4004,Data!$A:$A,0),MATCH($C$7,Data!$4:$4,0))="","",INDEX(Data!$A:$G,MATCH($B4004,Data!$A:$A,0),MATCH($C$7,Data!$4:$4,0))))</f>
        <v>38</v>
      </c>
      <c r="D4004" s="148">
        <f t="shared" ca="1" si="130"/>
        <v>27</v>
      </c>
      <c r="E4004" s="148">
        <f t="shared" ca="1" si="131"/>
        <v>0</v>
      </c>
    </row>
    <row r="4005" spans="2:5" x14ac:dyDescent="0.25">
      <c r="B4005" s="8">
        <v>41599</v>
      </c>
      <c r="C4005" s="6">
        <f ca="1">IF(OR($C$7="",$B4005&gt;NOW()),"",IF(INDEX(Data!$A:$G,MATCH($B4005,Data!$A:$A,0),MATCH($C$7,Data!$4:$4,0))="","",INDEX(Data!$A:$G,MATCH($B4005,Data!$A:$A,0),MATCH($C$7,Data!$4:$4,0))))</f>
        <v>41.6</v>
      </c>
      <c r="D4005" s="148">
        <f t="shared" ca="1" si="130"/>
        <v>23.4</v>
      </c>
      <c r="E4005" s="148">
        <f t="shared" ca="1" si="131"/>
        <v>0</v>
      </c>
    </row>
    <row r="4006" spans="2:5" x14ac:dyDescent="0.25">
      <c r="B4006" s="8">
        <v>41600</v>
      </c>
      <c r="C4006" s="6">
        <f ca="1">IF(OR($C$7="",$B4006&gt;NOW()),"",IF(INDEX(Data!$A:$G,MATCH($B4006,Data!$A:$A,0),MATCH($C$7,Data!$4:$4,0))="","",INDEX(Data!$A:$G,MATCH($B4006,Data!$A:$A,0),MATCH($C$7,Data!$4:$4,0))))</f>
        <v>52.4</v>
      </c>
      <c r="D4006" s="148">
        <f t="shared" ca="1" si="130"/>
        <v>12.600000000000001</v>
      </c>
      <c r="E4006" s="148">
        <f t="shared" ca="1" si="131"/>
        <v>0</v>
      </c>
    </row>
    <row r="4007" spans="2:5" x14ac:dyDescent="0.25">
      <c r="B4007" s="8">
        <v>41601</v>
      </c>
      <c r="C4007" s="6">
        <f ca="1">IF(OR($C$7="",$B4007&gt;NOW()),"",IF(INDEX(Data!$A:$G,MATCH($B4007,Data!$A:$A,0),MATCH($C$7,Data!$4:$4,0))="","",INDEX(Data!$A:$G,MATCH($B4007,Data!$A:$A,0),MATCH($C$7,Data!$4:$4,0))))</f>
        <v>47.4</v>
      </c>
      <c r="D4007" s="148">
        <f t="shared" ca="1" si="130"/>
        <v>17.600000000000001</v>
      </c>
      <c r="E4007" s="148">
        <f t="shared" ca="1" si="131"/>
        <v>0</v>
      </c>
    </row>
    <row r="4008" spans="2:5" x14ac:dyDescent="0.25">
      <c r="B4008" s="8">
        <v>41602</v>
      </c>
      <c r="C4008" s="6">
        <f ca="1">IF(OR($C$7="",$B4008&gt;NOW()),"",IF(INDEX(Data!$A:$G,MATCH($B4008,Data!$A:$A,0),MATCH($C$7,Data!$4:$4,0))="","",INDEX(Data!$A:$G,MATCH($B4008,Data!$A:$A,0),MATCH($C$7,Data!$4:$4,0))))</f>
        <v>29.4</v>
      </c>
      <c r="D4008" s="148">
        <f t="shared" ca="1" si="130"/>
        <v>35.6</v>
      </c>
      <c r="E4008" s="148">
        <f t="shared" ca="1" si="131"/>
        <v>0</v>
      </c>
    </row>
    <row r="4009" spans="2:5" x14ac:dyDescent="0.25">
      <c r="B4009" s="8">
        <v>41603</v>
      </c>
      <c r="C4009" s="6">
        <f ca="1">IF(OR($C$7="",$B4009&gt;NOW()),"",IF(INDEX(Data!$A:$G,MATCH($B4009,Data!$A:$A,0),MATCH($C$7,Data!$4:$4,0))="","",INDEX(Data!$A:$G,MATCH($B4009,Data!$A:$A,0),MATCH($C$7,Data!$4:$4,0))))</f>
        <v>27.9</v>
      </c>
      <c r="D4009" s="148">
        <f t="shared" ca="1" si="130"/>
        <v>37.1</v>
      </c>
      <c r="E4009" s="148">
        <f t="shared" ca="1" si="131"/>
        <v>0</v>
      </c>
    </row>
    <row r="4010" spans="2:5" x14ac:dyDescent="0.25">
      <c r="B4010" s="8">
        <v>41604</v>
      </c>
      <c r="C4010" s="6">
        <f ca="1">IF(OR($C$7="",$B4010&gt;NOW()),"",IF(INDEX(Data!$A:$G,MATCH($B4010,Data!$A:$A,0),MATCH($C$7,Data!$4:$4,0))="","",INDEX(Data!$A:$G,MATCH($B4010,Data!$A:$A,0),MATCH($C$7,Data!$4:$4,0))))</f>
        <v>36</v>
      </c>
      <c r="D4010" s="148">
        <f t="shared" ca="1" si="130"/>
        <v>29</v>
      </c>
      <c r="E4010" s="148">
        <f t="shared" ca="1" si="131"/>
        <v>0</v>
      </c>
    </row>
    <row r="4011" spans="2:5" x14ac:dyDescent="0.25">
      <c r="B4011" s="8">
        <v>41605</v>
      </c>
      <c r="C4011" s="6">
        <f ca="1">IF(OR($C$7="",$B4011&gt;NOW()),"",IF(INDEX(Data!$A:$G,MATCH($B4011,Data!$A:$A,0),MATCH($C$7,Data!$4:$4,0))="","",INDEX(Data!$A:$G,MATCH($B4011,Data!$A:$A,0),MATCH($C$7,Data!$4:$4,0))))</f>
        <v>48</v>
      </c>
      <c r="D4011" s="148">
        <f t="shared" ca="1" si="130"/>
        <v>17</v>
      </c>
      <c r="E4011" s="148">
        <f t="shared" ca="1" si="131"/>
        <v>0</v>
      </c>
    </row>
    <row r="4012" spans="2:5" x14ac:dyDescent="0.25">
      <c r="B4012" s="8">
        <v>41606</v>
      </c>
      <c r="C4012" s="6">
        <f ca="1">IF(OR($C$7="",$B4012&gt;NOW()),"",IF(INDEX(Data!$A:$G,MATCH($B4012,Data!$A:$A,0),MATCH($C$7,Data!$4:$4,0))="","",INDEX(Data!$A:$G,MATCH($B4012,Data!$A:$A,0),MATCH($C$7,Data!$4:$4,0))))</f>
        <v>34.1</v>
      </c>
      <c r="D4012" s="148">
        <f t="shared" ca="1" si="130"/>
        <v>30.9</v>
      </c>
      <c r="E4012" s="148">
        <f t="shared" ca="1" si="131"/>
        <v>0</v>
      </c>
    </row>
    <row r="4013" spans="2:5" x14ac:dyDescent="0.25">
      <c r="B4013" s="8">
        <v>41607</v>
      </c>
      <c r="C4013" s="6">
        <f ca="1">IF(OR($C$7="",$B4013&gt;NOW()),"",IF(INDEX(Data!$A:$G,MATCH($B4013,Data!$A:$A,0),MATCH($C$7,Data!$4:$4,0))="","",INDEX(Data!$A:$G,MATCH($B4013,Data!$A:$A,0),MATCH($C$7,Data!$4:$4,0))))</f>
        <v>34.1</v>
      </c>
      <c r="D4013" s="148">
        <f t="shared" ca="1" si="130"/>
        <v>30.9</v>
      </c>
      <c r="E4013" s="148">
        <f t="shared" ca="1" si="131"/>
        <v>0</v>
      </c>
    </row>
    <row r="4014" spans="2:5" x14ac:dyDescent="0.25">
      <c r="B4014" s="8">
        <v>41608</v>
      </c>
      <c r="C4014" s="6">
        <f ca="1">IF(OR($C$7="",$B4014&gt;NOW()),"",IF(INDEX(Data!$A:$G,MATCH($B4014,Data!$A:$A,0),MATCH($C$7,Data!$4:$4,0))="","",INDEX(Data!$A:$G,MATCH($B4014,Data!$A:$A,0),MATCH($C$7,Data!$4:$4,0))))</f>
        <v>31.3</v>
      </c>
      <c r="D4014" s="148">
        <f t="shared" ca="1" si="130"/>
        <v>33.700000000000003</v>
      </c>
      <c r="E4014" s="148">
        <f t="shared" ca="1" si="131"/>
        <v>0</v>
      </c>
    </row>
    <row r="4015" spans="2:5" x14ac:dyDescent="0.25">
      <c r="B4015" s="8">
        <v>41609</v>
      </c>
      <c r="C4015" s="6">
        <f ca="1">IF(OR($C$7="",$B4015&gt;NOW()),"",IF(INDEX(Data!$A:$G,MATCH($B4015,Data!$A:$A,0),MATCH($C$7,Data!$4:$4,0))="","",INDEX(Data!$A:$G,MATCH($B4015,Data!$A:$A,0),MATCH($C$7,Data!$4:$4,0))))</f>
        <v>41.1</v>
      </c>
      <c r="D4015" s="148">
        <f t="shared" ca="1" si="130"/>
        <v>23.9</v>
      </c>
      <c r="E4015" s="148">
        <f t="shared" ca="1" si="131"/>
        <v>0</v>
      </c>
    </row>
    <row r="4016" spans="2:5" x14ac:dyDescent="0.25">
      <c r="B4016" s="8">
        <v>41610</v>
      </c>
      <c r="C4016" s="6">
        <f ca="1">IF(OR($C$7="",$B4016&gt;NOW()),"",IF(INDEX(Data!$A:$G,MATCH($B4016,Data!$A:$A,0),MATCH($C$7,Data!$4:$4,0))="","",INDEX(Data!$A:$G,MATCH($B4016,Data!$A:$A,0),MATCH($C$7,Data!$4:$4,0))))</f>
        <v>44.2</v>
      </c>
      <c r="D4016" s="148">
        <f t="shared" ca="1" si="130"/>
        <v>20.799999999999997</v>
      </c>
      <c r="E4016" s="148">
        <f t="shared" ca="1" si="131"/>
        <v>0</v>
      </c>
    </row>
    <row r="4017" spans="2:5" x14ac:dyDescent="0.25">
      <c r="B4017" s="8">
        <v>41611</v>
      </c>
      <c r="C4017" s="6">
        <f ca="1">IF(OR($C$7="",$B4017&gt;NOW()),"",IF(INDEX(Data!$A:$G,MATCH($B4017,Data!$A:$A,0),MATCH($C$7,Data!$4:$4,0))="","",INDEX(Data!$A:$G,MATCH($B4017,Data!$A:$A,0),MATCH($C$7,Data!$4:$4,0))))</f>
        <v>44</v>
      </c>
      <c r="D4017" s="148">
        <f t="shared" ca="1" si="130"/>
        <v>21</v>
      </c>
      <c r="E4017" s="148">
        <f t="shared" ca="1" si="131"/>
        <v>0</v>
      </c>
    </row>
    <row r="4018" spans="2:5" x14ac:dyDescent="0.25">
      <c r="B4018" s="8">
        <v>41612</v>
      </c>
      <c r="C4018" s="6">
        <f ca="1">IF(OR($C$7="",$B4018&gt;NOW()),"",IF(INDEX(Data!$A:$G,MATCH($B4018,Data!$A:$A,0),MATCH($C$7,Data!$4:$4,0))="","",INDEX(Data!$A:$G,MATCH($B4018,Data!$A:$A,0),MATCH($C$7,Data!$4:$4,0))))</f>
        <v>43.8</v>
      </c>
      <c r="D4018" s="148">
        <f t="shared" ca="1" si="130"/>
        <v>21.200000000000003</v>
      </c>
      <c r="E4018" s="148">
        <f t="shared" ca="1" si="131"/>
        <v>0</v>
      </c>
    </row>
    <row r="4019" spans="2:5" x14ac:dyDescent="0.25">
      <c r="B4019" s="8">
        <v>41613</v>
      </c>
      <c r="C4019" s="6">
        <f ca="1">IF(OR($C$7="",$B4019&gt;NOW()),"",IF(INDEX(Data!$A:$G,MATCH($B4019,Data!$A:$A,0),MATCH($C$7,Data!$4:$4,0))="","",INDEX(Data!$A:$G,MATCH($B4019,Data!$A:$A,0),MATCH($C$7,Data!$4:$4,0))))</f>
        <v>48.6</v>
      </c>
      <c r="D4019" s="148">
        <f t="shared" ca="1" si="130"/>
        <v>16.399999999999999</v>
      </c>
      <c r="E4019" s="148">
        <f t="shared" ca="1" si="131"/>
        <v>0</v>
      </c>
    </row>
    <row r="4020" spans="2:5" x14ac:dyDescent="0.25">
      <c r="B4020" s="8">
        <v>41614</v>
      </c>
      <c r="C4020" s="6">
        <f ca="1">IF(OR($C$7="",$B4020&gt;NOW()),"",IF(INDEX(Data!$A:$G,MATCH($B4020,Data!$A:$A,0),MATCH($C$7,Data!$4:$4,0))="","",INDEX(Data!$A:$G,MATCH($B4020,Data!$A:$A,0),MATCH($C$7,Data!$4:$4,0))))</f>
        <v>50.5</v>
      </c>
      <c r="D4020" s="148">
        <f t="shared" ca="1" si="130"/>
        <v>14.5</v>
      </c>
      <c r="E4020" s="148">
        <f t="shared" ca="1" si="131"/>
        <v>0</v>
      </c>
    </row>
    <row r="4021" spans="2:5" x14ac:dyDescent="0.25">
      <c r="B4021" s="8">
        <v>41615</v>
      </c>
      <c r="C4021" s="6">
        <f ca="1">IF(OR($C$7="",$B4021&gt;NOW()),"",IF(INDEX(Data!$A:$G,MATCH($B4021,Data!$A:$A,0),MATCH($C$7,Data!$4:$4,0))="","",INDEX(Data!$A:$G,MATCH($B4021,Data!$A:$A,0),MATCH($C$7,Data!$4:$4,0))))</f>
        <v>38.200000000000003</v>
      </c>
      <c r="D4021" s="148">
        <f t="shared" ca="1" si="130"/>
        <v>26.799999999999997</v>
      </c>
      <c r="E4021" s="148">
        <f t="shared" ca="1" si="131"/>
        <v>0</v>
      </c>
    </row>
    <row r="4022" spans="2:5" x14ac:dyDescent="0.25">
      <c r="B4022" s="8">
        <v>41616</v>
      </c>
      <c r="C4022" s="6">
        <f ca="1">IF(OR($C$7="",$B4022&gt;NOW()),"",IF(INDEX(Data!$A:$G,MATCH($B4022,Data!$A:$A,0),MATCH($C$7,Data!$4:$4,0))="","",INDEX(Data!$A:$G,MATCH($B4022,Data!$A:$A,0),MATCH($C$7,Data!$4:$4,0))))</f>
        <v>32.1</v>
      </c>
      <c r="D4022" s="148">
        <f t="shared" ca="1" si="130"/>
        <v>32.9</v>
      </c>
      <c r="E4022" s="148">
        <f t="shared" ca="1" si="131"/>
        <v>0</v>
      </c>
    </row>
    <row r="4023" spans="2:5" x14ac:dyDescent="0.25">
      <c r="B4023" s="8">
        <v>41617</v>
      </c>
      <c r="C4023" s="6">
        <f ca="1">IF(OR($C$7="",$B4023&gt;NOW()),"",IF(INDEX(Data!$A:$G,MATCH($B4023,Data!$A:$A,0),MATCH($C$7,Data!$4:$4,0))="","",INDEX(Data!$A:$G,MATCH($B4023,Data!$A:$A,0),MATCH($C$7,Data!$4:$4,0))))</f>
        <v>34.5</v>
      </c>
      <c r="D4023" s="148">
        <f t="shared" ca="1" si="130"/>
        <v>30.5</v>
      </c>
      <c r="E4023" s="148">
        <f t="shared" ca="1" si="131"/>
        <v>0</v>
      </c>
    </row>
    <row r="4024" spans="2:5" x14ac:dyDescent="0.25">
      <c r="B4024" s="8">
        <v>41618</v>
      </c>
      <c r="C4024" s="6">
        <f ca="1">IF(OR($C$7="",$B4024&gt;NOW()),"",IF(INDEX(Data!$A:$G,MATCH($B4024,Data!$A:$A,0),MATCH($C$7,Data!$4:$4,0))="","",INDEX(Data!$A:$G,MATCH($B4024,Data!$A:$A,0),MATCH($C$7,Data!$4:$4,0))))</f>
        <v>36</v>
      </c>
      <c r="D4024" s="148">
        <f t="shared" ca="1" si="130"/>
        <v>29</v>
      </c>
      <c r="E4024" s="148">
        <f t="shared" ca="1" si="131"/>
        <v>0</v>
      </c>
    </row>
    <row r="4025" spans="2:5" x14ac:dyDescent="0.25">
      <c r="B4025" s="8">
        <v>41619</v>
      </c>
      <c r="C4025" s="6">
        <f ca="1">IF(OR($C$7="",$B4025&gt;NOW()),"",IF(INDEX(Data!$A:$G,MATCH($B4025,Data!$A:$A,0),MATCH($C$7,Data!$4:$4,0))="","",INDEX(Data!$A:$G,MATCH($B4025,Data!$A:$A,0),MATCH($C$7,Data!$4:$4,0))))</f>
        <v>30.7</v>
      </c>
      <c r="D4025" s="148">
        <f t="shared" ca="1" si="130"/>
        <v>34.299999999999997</v>
      </c>
      <c r="E4025" s="148">
        <f t="shared" ca="1" si="131"/>
        <v>0</v>
      </c>
    </row>
    <row r="4026" spans="2:5" x14ac:dyDescent="0.25">
      <c r="B4026" s="8">
        <v>41620</v>
      </c>
      <c r="C4026" s="6">
        <f ca="1">IF(OR($C$7="",$B4026&gt;NOW()),"",IF(INDEX(Data!$A:$G,MATCH($B4026,Data!$A:$A,0),MATCH($C$7,Data!$4:$4,0))="","",INDEX(Data!$A:$G,MATCH($B4026,Data!$A:$A,0),MATCH($C$7,Data!$4:$4,0))))</f>
        <v>27.6</v>
      </c>
      <c r="D4026" s="148">
        <f t="shared" ca="1" si="130"/>
        <v>37.4</v>
      </c>
      <c r="E4026" s="148">
        <f t="shared" ca="1" si="131"/>
        <v>0</v>
      </c>
    </row>
    <row r="4027" spans="2:5" x14ac:dyDescent="0.25">
      <c r="B4027" s="8">
        <v>41621</v>
      </c>
      <c r="C4027" s="6">
        <f ca="1">IF(OR($C$7="",$B4027&gt;NOW()),"",IF(INDEX(Data!$A:$G,MATCH($B4027,Data!$A:$A,0),MATCH($C$7,Data!$4:$4,0))="","",INDEX(Data!$A:$G,MATCH($B4027,Data!$A:$A,0),MATCH($C$7,Data!$4:$4,0))))</f>
        <v>28.2</v>
      </c>
      <c r="D4027" s="148">
        <f t="shared" ca="1" si="130"/>
        <v>36.799999999999997</v>
      </c>
      <c r="E4027" s="148">
        <f t="shared" ca="1" si="131"/>
        <v>0</v>
      </c>
    </row>
    <row r="4028" spans="2:5" x14ac:dyDescent="0.25">
      <c r="B4028" s="8">
        <v>41622</v>
      </c>
      <c r="C4028" s="6">
        <f ca="1">IF(OR($C$7="",$B4028&gt;NOW()),"",IF(INDEX(Data!$A:$G,MATCH($B4028,Data!$A:$A,0),MATCH($C$7,Data!$4:$4,0))="","",INDEX(Data!$A:$G,MATCH($B4028,Data!$A:$A,0),MATCH($C$7,Data!$4:$4,0))))</f>
        <v>28.6</v>
      </c>
      <c r="D4028" s="148">
        <f t="shared" ca="1" si="130"/>
        <v>36.4</v>
      </c>
      <c r="E4028" s="148">
        <f t="shared" ca="1" si="131"/>
        <v>0</v>
      </c>
    </row>
    <row r="4029" spans="2:5" x14ac:dyDescent="0.25">
      <c r="B4029" s="8">
        <v>41623</v>
      </c>
      <c r="C4029" s="6">
        <f ca="1">IF(OR($C$7="",$B4029&gt;NOW()),"",IF(INDEX(Data!$A:$G,MATCH($B4029,Data!$A:$A,0),MATCH($C$7,Data!$4:$4,0))="","",INDEX(Data!$A:$G,MATCH($B4029,Data!$A:$A,0),MATCH($C$7,Data!$4:$4,0))))</f>
        <v>33.700000000000003</v>
      </c>
      <c r="D4029" s="148">
        <f t="shared" ca="1" si="130"/>
        <v>31.299999999999997</v>
      </c>
      <c r="E4029" s="148">
        <f t="shared" ca="1" si="131"/>
        <v>0</v>
      </c>
    </row>
    <row r="4030" spans="2:5" x14ac:dyDescent="0.25">
      <c r="B4030" s="8">
        <v>41624</v>
      </c>
      <c r="C4030" s="6">
        <f ca="1">IF(OR($C$7="",$B4030&gt;NOW()),"",IF(INDEX(Data!$A:$G,MATCH($B4030,Data!$A:$A,0),MATCH($C$7,Data!$4:$4,0))="","",INDEX(Data!$A:$G,MATCH($B4030,Data!$A:$A,0),MATCH($C$7,Data!$4:$4,0))))</f>
        <v>31</v>
      </c>
      <c r="D4030" s="148">
        <f t="shared" ca="1" si="130"/>
        <v>34</v>
      </c>
      <c r="E4030" s="148">
        <f t="shared" ca="1" si="131"/>
        <v>0</v>
      </c>
    </row>
    <row r="4031" spans="2:5" x14ac:dyDescent="0.25">
      <c r="B4031" s="8">
        <v>41625</v>
      </c>
      <c r="C4031" s="6">
        <f ca="1">IF(OR($C$7="",$B4031&gt;NOW()),"",IF(INDEX(Data!$A:$G,MATCH($B4031,Data!$A:$A,0),MATCH($C$7,Data!$4:$4,0))="","",INDEX(Data!$A:$G,MATCH($B4031,Data!$A:$A,0),MATCH($C$7,Data!$4:$4,0))))</f>
        <v>27.2</v>
      </c>
      <c r="D4031" s="148">
        <f t="shared" ca="1" si="130"/>
        <v>37.799999999999997</v>
      </c>
      <c r="E4031" s="148">
        <f t="shared" ca="1" si="131"/>
        <v>0</v>
      </c>
    </row>
    <row r="4032" spans="2:5" x14ac:dyDescent="0.25">
      <c r="B4032" s="8">
        <v>41626</v>
      </c>
      <c r="C4032" s="6">
        <f ca="1">IF(OR($C$7="",$B4032&gt;NOW()),"",IF(INDEX(Data!$A:$G,MATCH($B4032,Data!$A:$A,0),MATCH($C$7,Data!$4:$4,0))="","",INDEX(Data!$A:$G,MATCH($B4032,Data!$A:$A,0),MATCH($C$7,Data!$4:$4,0))))</f>
        <v>28.6</v>
      </c>
      <c r="D4032" s="148">
        <f t="shared" ca="1" si="130"/>
        <v>36.4</v>
      </c>
      <c r="E4032" s="148">
        <f t="shared" ca="1" si="131"/>
        <v>0</v>
      </c>
    </row>
    <row r="4033" spans="2:5" x14ac:dyDescent="0.25">
      <c r="B4033" s="8">
        <v>41627</v>
      </c>
      <c r="C4033" s="6">
        <f ca="1">IF(OR($C$7="",$B4033&gt;NOW()),"",IF(INDEX(Data!$A:$G,MATCH($B4033,Data!$A:$A,0),MATCH($C$7,Data!$4:$4,0))="","",INDEX(Data!$A:$G,MATCH($B4033,Data!$A:$A,0),MATCH($C$7,Data!$4:$4,0))))</f>
        <v>36.6</v>
      </c>
      <c r="D4033" s="148">
        <f t="shared" ca="1" si="130"/>
        <v>28.4</v>
      </c>
      <c r="E4033" s="148">
        <f t="shared" ca="1" si="131"/>
        <v>0</v>
      </c>
    </row>
    <row r="4034" spans="2:5" x14ac:dyDescent="0.25">
      <c r="B4034" s="8">
        <v>41628</v>
      </c>
      <c r="C4034" s="6">
        <f ca="1">IF(OR($C$7="",$B4034&gt;NOW()),"",IF(INDEX(Data!$A:$G,MATCH($B4034,Data!$A:$A,0),MATCH($C$7,Data!$4:$4,0))="","",INDEX(Data!$A:$G,MATCH($B4034,Data!$A:$A,0),MATCH($C$7,Data!$4:$4,0))))</f>
        <v>45.2</v>
      </c>
      <c r="D4034" s="148">
        <f t="shared" ca="1" si="130"/>
        <v>19.799999999999997</v>
      </c>
      <c r="E4034" s="148">
        <f t="shared" ca="1" si="131"/>
        <v>0</v>
      </c>
    </row>
    <row r="4035" spans="2:5" x14ac:dyDescent="0.25">
      <c r="B4035" s="8">
        <v>41629</v>
      </c>
      <c r="C4035" s="6">
        <f ca="1">IF(OR($C$7="",$B4035&gt;NOW()),"",IF(INDEX(Data!$A:$G,MATCH($B4035,Data!$A:$A,0),MATCH($C$7,Data!$4:$4,0))="","",INDEX(Data!$A:$G,MATCH($B4035,Data!$A:$A,0),MATCH($C$7,Data!$4:$4,0))))</f>
        <v>53.6</v>
      </c>
      <c r="D4035" s="148">
        <f t="shared" ca="1" si="130"/>
        <v>11.399999999999999</v>
      </c>
      <c r="E4035" s="148">
        <f t="shared" ca="1" si="131"/>
        <v>0</v>
      </c>
    </row>
    <row r="4036" spans="2:5" x14ac:dyDescent="0.25">
      <c r="B4036" s="8">
        <v>41630</v>
      </c>
      <c r="C4036" s="6">
        <f ca="1">IF(OR($C$7="",$B4036&gt;NOW()),"",IF(INDEX(Data!$A:$G,MATCH($B4036,Data!$A:$A,0),MATCH($C$7,Data!$4:$4,0))="","",INDEX(Data!$A:$G,MATCH($B4036,Data!$A:$A,0),MATCH($C$7,Data!$4:$4,0))))</f>
        <v>58.4</v>
      </c>
      <c r="D4036" s="148">
        <f t="shared" ca="1" si="130"/>
        <v>6.6000000000000014</v>
      </c>
      <c r="E4036" s="148">
        <f t="shared" ca="1" si="131"/>
        <v>0</v>
      </c>
    </row>
    <row r="4037" spans="2:5" x14ac:dyDescent="0.25">
      <c r="B4037" s="8">
        <v>41631</v>
      </c>
      <c r="C4037" s="6">
        <f ca="1">IF(OR($C$7="",$B4037&gt;NOW()),"",IF(INDEX(Data!$A:$G,MATCH($B4037,Data!$A:$A,0),MATCH($C$7,Data!$4:$4,0))="","",INDEX(Data!$A:$G,MATCH($B4037,Data!$A:$A,0),MATCH($C$7,Data!$4:$4,0))))</f>
        <v>58.5</v>
      </c>
      <c r="D4037" s="148">
        <f t="shared" ca="1" si="130"/>
        <v>6.5</v>
      </c>
      <c r="E4037" s="148">
        <f t="shared" ca="1" si="131"/>
        <v>0</v>
      </c>
    </row>
    <row r="4038" spans="2:5" x14ac:dyDescent="0.25">
      <c r="B4038" s="8">
        <v>41632</v>
      </c>
      <c r="C4038" s="6">
        <f ca="1">IF(OR($C$7="",$B4038&gt;NOW()),"",IF(INDEX(Data!$A:$G,MATCH($B4038,Data!$A:$A,0),MATCH($C$7,Data!$4:$4,0))="","",INDEX(Data!$A:$G,MATCH($B4038,Data!$A:$A,0),MATCH($C$7,Data!$4:$4,0))))</f>
        <v>39.200000000000003</v>
      </c>
      <c r="D4038" s="148">
        <f t="shared" ca="1" si="130"/>
        <v>25.799999999999997</v>
      </c>
      <c r="E4038" s="148">
        <f t="shared" ca="1" si="131"/>
        <v>0</v>
      </c>
    </row>
    <row r="4039" spans="2:5" x14ac:dyDescent="0.25">
      <c r="B4039" s="8">
        <v>41633</v>
      </c>
      <c r="C4039" s="6">
        <f ca="1">IF(OR($C$7="",$B4039&gt;NOW()),"",IF(INDEX(Data!$A:$G,MATCH($B4039,Data!$A:$A,0),MATCH($C$7,Data!$4:$4,0))="","",INDEX(Data!$A:$G,MATCH($B4039,Data!$A:$A,0),MATCH($C$7,Data!$4:$4,0))))</f>
        <v>25.6</v>
      </c>
      <c r="D4039" s="148">
        <f t="shared" ca="1" si="130"/>
        <v>39.4</v>
      </c>
      <c r="E4039" s="148">
        <f t="shared" ca="1" si="131"/>
        <v>0</v>
      </c>
    </row>
    <row r="4040" spans="2:5" x14ac:dyDescent="0.25">
      <c r="B4040" s="8">
        <v>41634</v>
      </c>
      <c r="C4040" s="6">
        <f ca="1">IF(OR($C$7="",$B4040&gt;NOW()),"",IF(INDEX(Data!$A:$G,MATCH($B4040,Data!$A:$A,0),MATCH($C$7,Data!$4:$4,0))="","",INDEX(Data!$A:$G,MATCH($B4040,Data!$A:$A,0),MATCH($C$7,Data!$4:$4,0))))</f>
        <v>31.7</v>
      </c>
      <c r="D4040" s="148">
        <f t="shared" ca="1" si="130"/>
        <v>33.299999999999997</v>
      </c>
      <c r="E4040" s="148">
        <f t="shared" ca="1" si="131"/>
        <v>0</v>
      </c>
    </row>
    <row r="4041" spans="2:5" x14ac:dyDescent="0.25">
      <c r="B4041" s="8">
        <v>41635</v>
      </c>
      <c r="C4041" s="6">
        <f ca="1">IF(OR($C$7="",$B4041&gt;NOW()),"",IF(INDEX(Data!$A:$G,MATCH($B4041,Data!$A:$A,0),MATCH($C$7,Data!$4:$4,0))="","",INDEX(Data!$A:$G,MATCH($B4041,Data!$A:$A,0),MATCH($C$7,Data!$4:$4,0))))</f>
        <v>35.6</v>
      </c>
      <c r="D4041" s="148">
        <f t="shared" ca="1" si="130"/>
        <v>29.4</v>
      </c>
      <c r="E4041" s="148">
        <f t="shared" ca="1" si="131"/>
        <v>0</v>
      </c>
    </row>
    <row r="4042" spans="2:5" x14ac:dyDescent="0.25">
      <c r="B4042" s="8">
        <v>41636</v>
      </c>
      <c r="C4042" s="6">
        <f ca="1">IF(OR($C$7="",$B4042&gt;NOW()),"",IF(INDEX(Data!$A:$G,MATCH($B4042,Data!$A:$A,0),MATCH($C$7,Data!$4:$4,0))="","",INDEX(Data!$A:$G,MATCH($B4042,Data!$A:$A,0),MATCH($C$7,Data!$4:$4,0))))</f>
        <v>42.4</v>
      </c>
      <c r="D4042" s="148">
        <f t="shared" ca="1" si="130"/>
        <v>22.6</v>
      </c>
      <c r="E4042" s="148">
        <f t="shared" ca="1" si="131"/>
        <v>0</v>
      </c>
    </row>
    <row r="4043" spans="2:5" x14ac:dyDescent="0.25">
      <c r="B4043" s="8">
        <v>41637</v>
      </c>
      <c r="C4043" s="6">
        <f ca="1">IF(OR($C$7="",$B4043&gt;NOW()),"",IF(INDEX(Data!$A:$G,MATCH($B4043,Data!$A:$A,0),MATCH($C$7,Data!$4:$4,0))="","",INDEX(Data!$A:$G,MATCH($B4043,Data!$A:$A,0),MATCH($C$7,Data!$4:$4,0))))</f>
        <v>45.2</v>
      </c>
      <c r="D4043" s="148">
        <f t="shared" ca="1" si="130"/>
        <v>19.799999999999997</v>
      </c>
      <c r="E4043" s="148">
        <f t="shared" ca="1" si="131"/>
        <v>0</v>
      </c>
    </row>
    <row r="4044" spans="2:5" x14ac:dyDescent="0.25">
      <c r="B4044" s="8">
        <v>41638</v>
      </c>
      <c r="C4044" s="6">
        <f ca="1">IF(OR($C$7="",$B4044&gt;NOW()),"",IF(INDEX(Data!$A:$G,MATCH($B4044,Data!$A:$A,0),MATCH($C$7,Data!$4:$4,0))="","",INDEX(Data!$A:$G,MATCH($B4044,Data!$A:$A,0),MATCH($C$7,Data!$4:$4,0))))</f>
        <v>40.5</v>
      </c>
      <c r="D4044" s="148">
        <f t="shared" ca="1" si="130"/>
        <v>24.5</v>
      </c>
      <c r="E4044" s="148">
        <f t="shared" ca="1" si="131"/>
        <v>0</v>
      </c>
    </row>
    <row r="4045" spans="2:5" x14ac:dyDescent="0.25">
      <c r="B4045" s="8">
        <v>41639</v>
      </c>
      <c r="C4045" s="6">
        <f ca="1">IF(OR($C$7="",$B4045&gt;NOW()),"",IF(INDEX(Data!$A:$G,MATCH($B4045,Data!$A:$A,0),MATCH($C$7,Data!$4:$4,0))="","",INDEX(Data!$A:$G,MATCH($B4045,Data!$A:$A,0),MATCH($C$7,Data!$4:$4,0))))</f>
        <v>26</v>
      </c>
      <c r="D4045" s="148">
        <f t="shared" ca="1" si="130"/>
        <v>39</v>
      </c>
      <c r="E4045" s="148">
        <f t="shared" ca="1" si="131"/>
        <v>0</v>
      </c>
    </row>
    <row r="4046" spans="2:5" x14ac:dyDescent="0.25">
      <c r="B4046" s="8">
        <v>41640</v>
      </c>
      <c r="C4046" s="6">
        <f ca="1">IF(OR($C$7="",$B4046&gt;NOW()),"",IF(INDEX(Data!$A:$G,MATCH($B4046,Data!$A:$A,0),MATCH($C$7,Data!$4:$4,0))="","",INDEX(Data!$A:$G,MATCH($B4046,Data!$A:$A,0),MATCH($C$7,Data!$4:$4,0))))</f>
        <v>28.9</v>
      </c>
      <c r="D4046" s="148">
        <f t="shared" ca="1" si="130"/>
        <v>36.1</v>
      </c>
      <c r="E4046" s="148">
        <f t="shared" ca="1" si="131"/>
        <v>0</v>
      </c>
    </row>
    <row r="4047" spans="2:5" x14ac:dyDescent="0.25">
      <c r="B4047" s="8">
        <v>41641</v>
      </c>
      <c r="C4047" s="6">
        <f ca="1">IF(OR($C$7="",$B4047&gt;NOW()),"",IF(INDEX(Data!$A:$G,MATCH($B4047,Data!$A:$A,0),MATCH($C$7,Data!$4:$4,0))="","",INDEX(Data!$A:$G,MATCH($B4047,Data!$A:$A,0),MATCH($C$7,Data!$4:$4,0))))</f>
        <v>28.9</v>
      </c>
      <c r="D4047" s="148">
        <f t="shared" ca="1" si="130"/>
        <v>36.1</v>
      </c>
      <c r="E4047" s="148">
        <f t="shared" ca="1" si="131"/>
        <v>0</v>
      </c>
    </row>
    <row r="4048" spans="2:5" x14ac:dyDescent="0.25">
      <c r="B4048" s="8">
        <v>41642</v>
      </c>
      <c r="C4048" s="6">
        <f ca="1">IF(OR($C$7="",$B4048&gt;NOW()),"",IF(INDEX(Data!$A:$G,MATCH($B4048,Data!$A:$A,0),MATCH($C$7,Data!$4:$4,0))="","",INDEX(Data!$A:$G,MATCH($B4048,Data!$A:$A,0),MATCH($C$7,Data!$4:$4,0))))</f>
        <v>16.600000000000001</v>
      </c>
      <c r="D4048" s="148">
        <f t="shared" ca="1" si="130"/>
        <v>48.4</v>
      </c>
      <c r="E4048" s="148">
        <f t="shared" ca="1" si="131"/>
        <v>0</v>
      </c>
    </row>
    <row r="4049" spans="2:5" x14ac:dyDescent="0.25">
      <c r="B4049" s="8">
        <v>41643</v>
      </c>
      <c r="C4049" s="6">
        <f ca="1">IF(OR($C$7="",$B4049&gt;NOW()),"",IF(INDEX(Data!$A:$G,MATCH($B4049,Data!$A:$A,0),MATCH($C$7,Data!$4:$4,0))="","",INDEX(Data!$A:$G,MATCH($B4049,Data!$A:$A,0),MATCH($C$7,Data!$4:$4,0))))</f>
        <v>15.8</v>
      </c>
      <c r="D4049" s="148">
        <f t="shared" ca="1" si="130"/>
        <v>49.2</v>
      </c>
      <c r="E4049" s="148">
        <f t="shared" ca="1" si="131"/>
        <v>0</v>
      </c>
    </row>
    <row r="4050" spans="2:5" x14ac:dyDescent="0.25">
      <c r="B4050" s="8">
        <v>41644</v>
      </c>
      <c r="C4050" s="6">
        <f ca="1">IF(OR($C$7="",$B4050&gt;NOW()),"",IF(INDEX(Data!$A:$G,MATCH($B4050,Data!$A:$A,0),MATCH($C$7,Data!$4:$4,0))="","",INDEX(Data!$A:$G,MATCH($B4050,Data!$A:$A,0),MATCH($C$7,Data!$4:$4,0))))</f>
        <v>29.1</v>
      </c>
      <c r="D4050" s="148">
        <f t="shared" ca="1" si="130"/>
        <v>35.9</v>
      </c>
      <c r="E4050" s="148">
        <f t="shared" ca="1" si="131"/>
        <v>0</v>
      </c>
    </row>
    <row r="4051" spans="2:5" x14ac:dyDescent="0.25">
      <c r="B4051" s="8">
        <v>41645</v>
      </c>
      <c r="C4051" s="6">
        <f ca="1">IF(OR($C$7="",$B4051&gt;NOW()),"",IF(INDEX(Data!$A:$G,MATCH($B4051,Data!$A:$A,0),MATCH($C$7,Data!$4:$4,0))="","",INDEX(Data!$A:$G,MATCH($B4051,Data!$A:$A,0),MATCH($C$7,Data!$4:$4,0))))</f>
        <v>44.7</v>
      </c>
      <c r="D4051" s="148">
        <f t="shared" ca="1" si="130"/>
        <v>20.299999999999997</v>
      </c>
      <c r="E4051" s="148">
        <f t="shared" ca="1" si="131"/>
        <v>0</v>
      </c>
    </row>
    <row r="4052" spans="2:5" x14ac:dyDescent="0.25">
      <c r="B4052" s="8">
        <v>41646</v>
      </c>
      <c r="C4052" s="6">
        <f ca="1">IF(OR($C$7="",$B4052&gt;NOW()),"",IF(INDEX(Data!$A:$G,MATCH($B4052,Data!$A:$A,0),MATCH($C$7,Data!$4:$4,0))="","",INDEX(Data!$A:$G,MATCH($B4052,Data!$A:$A,0),MATCH($C$7,Data!$4:$4,0))))</f>
        <v>14</v>
      </c>
      <c r="D4052" s="148">
        <f t="shared" ca="1" si="130"/>
        <v>51</v>
      </c>
      <c r="E4052" s="148">
        <f t="shared" ca="1" si="131"/>
        <v>0</v>
      </c>
    </row>
    <row r="4053" spans="2:5" x14ac:dyDescent="0.25">
      <c r="B4053" s="8">
        <v>41647</v>
      </c>
      <c r="C4053" s="6">
        <f ca="1">IF(OR($C$7="",$B4053&gt;NOW()),"",IF(INDEX(Data!$A:$G,MATCH($B4053,Data!$A:$A,0),MATCH($C$7,Data!$4:$4,0))="","",INDEX(Data!$A:$G,MATCH($B4053,Data!$A:$A,0),MATCH($C$7,Data!$4:$4,0))))</f>
        <v>12.9</v>
      </c>
      <c r="D4053" s="148">
        <f t="shared" ca="1" si="130"/>
        <v>52.1</v>
      </c>
      <c r="E4053" s="148">
        <f t="shared" ca="1" si="131"/>
        <v>0</v>
      </c>
    </row>
    <row r="4054" spans="2:5" x14ac:dyDescent="0.25">
      <c r="B4054" s="8">
        <v>41648</v>
      </c>
      <c r="C4054" s="6">
        <f ca="1">IF(OR($C$7="",$B4054&gt;NOW()),"",IF(INDEX(Data!$A:$G,MATCH($B4054,Data!$A:$A,0),MATCH($C$7,Data!$4:$4,0))="","",INDEX(Data!$A:$G,MATCH($B4054,Data!$A:$A,0),MATCH($C$7,Data!$4:$4,0))))</f>
        <v>25.7</v>
      </c>
      <c r="D4054" s="148">
        <f t="shared" ca="1" si="130"/>
        <v>39.299999999999997</v>
      </c>
      <c r="E4054" s="148">
        <f t="shared" ca="1" si="131"/>
        <v>0</v>
      </c>
    </row>
    <row r="4055" spans="2:5" x14ac:dyDescent="0.25">
      <c r="B4055" s="8">
        <v>41649</v>
      </c>
      <c r="C4055" s="6">
        <f ca="1">IF(OR($C$7="",$B4055&gt;NOW()),"",IF(INDEX(Data!$A:$G,MATCH($B4055,Data!$A:$A,0),MATCH($C$7,Data!$4:$4,0))="","",INDEX(Data!$A:$G,MATCH($B4055,Data!$A:$A,0),MATCH($C$7,Data!$4:$4,0))))</f>
        <v>30.2</v>
      </c>
      <c r="D4055" s="148">
        <f t="shared" ca="1" si="130"/>
        <v>34.799999999999997</v>
      </c>
      <c r="E4055" s="148">
        <f t="shared" ca="1" si="131"/>
        <v>0</v>
      </c>
    </row>
    <row r="4056" spans="2:5" x14ac:dyDescent="0.25">
      <c r="B4056" s="8">
        <v>41650</v>
      </c>
      <c r="C4056" s="6">
        <f ca="1">IF(OR($C$7="",$B4056&gt;NOW()),"",IF(INDEX(Data!$A:$G,MATCH($B4056,Data!$A:$A,0),MATCH($C$7,Data!$4:$4,0))="","",INDEX(Data!$A:$G,MATCH($B4056,Data!$A:$A,0),MATCH($C$7,Data!$4:$4,0))))</f>
        <v>43.7</v>
      </c>
      <c r="D4056" s="148">
        <f t="shared" ca="1" si="130"/>
        <v>21.299999999999997</v>
      </c>
      <c r="E4056" s="148">
        <f t="shared" ca="1" si="131"/>
        <v>0</v>
      </c>
    </row>
    <row r="4057" spans="2:5" x14ac:dyDescent="0.25">
      <c r="B4057" s="8">
        <v>41651</v>
      </c>
      <c r="C4057" s="6">
        <f ca="1">IF(OR($C$7="",$B4057&gt;NOW()),"",IF(INDEX(Data!$A:$G,MATCH($B4057,Data!$A:$A,0),MATCH($C$7,Data!$4:$4,0))="","",INDEX(Data!$A:$G,MATCH($B4057,Data!$A:$A,0),MATCH($C$7,Data!$4:$4,0))))</f>
        <v>47.6</v>
      </c>
      <c r="D4057" s="148">
        <f t="shared" ca="1" si="130"/>
        <v>17.399999999999999</v>
      </c>
      <c r="E4057" s="148">
        <f t="shared" ca="1" si="131"/>
        <v>0</v>
      </c>
    </row>
    <row r="4058" spans="2:5" x14ac:dyDescent="0.25">
      <c r="B4058" s="8">
        <v>41652</v>
      </c>
      <c r="C4058" s="6">
        <f ca="1">IF(OR($C$7="",$B4058&gt;NOW()),"",IF(INDEX(Data!$A:$G,MATCH($B4058,Data!$A:$A,0),MATCH($C$7,Data!$4:$4,0))="","",INDEX(Data!$A:$G,MATCH($B4058,Data!$A:$A,0),MATCH($C$7,Data!$4:$4,0))))</f>
        <v>41.8</v>
      </c>
      <c r="D4058" s="148">
        <f t="shared" ca="1" si="130"/>
        <v>23.200000000000003</v>
      </c>
      <c r="E4058" s="148">
        <f t="shared" ca="1" si="131"/>
        <v>0</v>
      </c>
    </row>
    <row r="4059" spans="2:5" x14ac:dyDescent="0.25">
      <c r="B4059" s="8">
        <v>41653</v>
      </c>
      <c r="C4059" s="6">
        <f ca="1">IF(OR($C$7="",$B4059&gt;NOW()),"",IF(INDEX(Data!$A:$G,MATCH($B4059,Data!$A:$A,0),MATCH($C$7,Data!$4:$4,0))="","",INDEX(Data!$A:$G,MATCH($B4059,Data!$A:$A,0),MATCH($C$7,Data!$4:$4,0))))</f>
        <v>45.8</v>
      </c>
      <c r="D4059" s="148">
        <f t="shared" ca="1" si="130"/>
        <v>19.200000000000003</v>
      </c>
      <c r="E4059" s="148">
        <f t="shared" ca="1" si="131"/>
        <v>0</v>
      </c>
    </row>
    <row r="4060" spans="2:5" x14ac:dyDescent="0.25">
      <c r="B4060" s="8">
        <v>41654</v>
      </c>
      <c r="C4060" s="6">
        <f ca="1">IF(OR($C$7="",$B4060&gt;NOW()),"",IF(INDEX(Data!$A:$G,MATCH($B4060,Data!$A:$A,0),MATCH($C$7,Data!$4:$4,0))="","",INDEX(Data!$A:$G,MATCH($B4060,Data!$A:$A,0),MATCH($C$7,Data!$4:$4,0))))</f>
        <v>42.4</v>
      </c>
      <c r="D4060" s="148">
        <f t="shared" ca="1" si="130"/>
        <v>22.6</v>
      </c>
      <c r="E4060" s="148">
        <f t="shared" ca="1" si="131"/>
        <v>0</v>
      </c>
    </row>
    <row r="4061" spans="2:5" x14ac:dyDescent="0.25">
      <c r="B4061" s="8">
        <v>41655</v>
      </c>
      <c r="C4061" s="6">
        <f ca="1">IF(OR($C$7="",$B4061&gt;NOW()),"",IF(INDEX(Data!$A:$G,MATCH($B4061,Data!$A:$A,0),MATCH($C$7,Data!$4:$4,0))="","",INDEX(Data!$A:$G,MATCH($B4061,Data!$A:$A,0),MATCH($C$7,Data!$4:$4,0))))</f>
        <v>39.1</v>
      </c>
      <c r="D4061" s="148">
        <f t="shared" ref="D4061:D4124" ca="1" si="132">IF($C4061="","",IF($C4061&gt;$D$26,0,$D$26-$C4061))</f>
        <v>25.9</v>
      </c>
      <c r="E4061" s="148">
        <f t="shared" ref="E4061:E4124" ca="1" si="133">IF($C4061="","",IF($C4061&lt;$E$26,0,$C4061-$E$26))</f>
        <v>0</v>
      </c>
    </row>
    <row r="4062" spans="2:5" x14ac:dyDescent="0.25">
      <c r="B4062" s="8">
        <v>41656</v>
      </c>
      <c r="C4062" s="6">
        <f ca="1">IF(OR($C$7="",$B4062&gt;NOW()),"",IF(INDEX(Data!$A:$G,MATCH($B4062,Data!$A:$A,0),MATCH($C$7,Data!$4:$4,0))="","",INDEX(Data!$A:$G,MATCH($B4062,Data!$A:$A,0),MATCH($C$7,Data!$4:$4,0))))</f>
        <v>38.299999999999997</v>
      </c>
      <c r="D4062" s="148">
        <f t="shared" ca="1" si="132"/>
        <v>26.700000000000003</v>
      </c>
      <c r="E4062" s="148">
        <f t="shared" ca="1" si="133"/>
        <v>0</v>
      </c>
    </row>
    <row r="4063" spans="2:5" x14ac:dyDescent="0.25">
      <c r="B4063" s="8">
        <v>41657</v>
      </c>
      <c r="C4063" s="6">
        <f ca="1">IF(OR($C$7="",$B4063&gt;NOW()),"",IF(INDEX(Data!$A:$G,MATCH($B4063,Data!$A:$A,0),MATCH($C$7,Data!$4:$4,0))="","",INDEX(Data!$A:$G,MATCH($B4063,Data!$A:$A,0),MATCH($C$7,Data!$4:$4,0))))</f>
        <v>37.5</v>
      </c>
      <c r="D4063" s="148">
        <f t="shared" ca="1" si="132"/>
        <v>27.5</v>
      </c>
      <c r="E4063" s="148">
        <f t="shared" ca="1" si="133"/>
        <v>0</v>
      </c>
    </row>
    <row r="4064" spans="2:5" x14ac:dyDescent="0.25">
      <c r="B4064" s="8">
        <v>41658</v>
      </c>
      <c r="C4064" s="6">
        <f ca="1">IF(OR($C$7="",$B4064&gt;NOW()),"",IF(INDEX(Data!$A:$G,MATCH($B4064,Data!$A:$A,0),MATCH($C$7,Data!$4:$4,0))="","",INDEX(Data!$A:$G,MATCH($B4064,Data!$A:$A,0),MATCH($C$7,Data!$4:$4,0))))</f>
        <v>29.8</v>
      </c>
      <c r="D4064" s="148">
        <f t="shared" ca="1" si="132"/>
        <v>35.200000000000003</v>
      </c>
      <c r="E4064" s="148">
        <f t="shared" ca="1" si="133"/>
        <v>0</v>
      </c>
    </row>
    <row r="4065" spans="2:5" x14ac:dyDescent="0.25">
      <c r="B4065" s="8">
        <v>41659</v>
      </c>
      <c r="C4065" s="6">
        <f ca="1">IF(OR($C$7="",$B4065&gt;NOW()),"",IF(INDEX(Data!$A:$G,MATCH($B4065,Data!$A:$A,0),MATCH($C$7,Data!$4:$4,0))="","",INDEX(Data!$A:$G,MATCH($B4065,Data!$A:$A,0),MATCH($C$7,Data!$4:$4,0))))</f>
        <v>39.6</v>
      </c>
      <c r="D4065" s="148">
        <f t="shared" ca="1" si="132"/>
        <v>25.4</v>
      </c>
      <c r="E4065" s="148">
        <f t="shared" ca="1" si="133"/>
        <v>0</v>
      </c>
    </row>
    <row r="4066" spans="2:5" x14ac:dyDescent="0.25">
      <c r="B4066" s="8">
        <v>41660</v>
      </c>
      <c r="C4066" s="6">
        <f ca="1">IF(OR($C$7="",$B4066&gt;NOW()),"",IF(INDEX(Data!$A:$G,MATCH($B4066,Data!$A:$A,0),MATCH($C$7,Data!$4:$4,0))="","",INDEX(Data!$A:$G,MATCH($B4066,Data!$A:$A,0),MATCH($C$7,Data!$4:$4,0))))</f>
        <v>25.7</v>
      </c>
      <c r="D4066" s="148">
        <f t="shared" ca="1" si="132"/>
        <v>39.299999999999997</v>
      </c>
      <c r="E4066" s="148">
        <f t="shared" ca="1" si="133"/>
        <v>0</v>
      </c>
    </row>
    <row r="4067" spans="2:5" x14ac:dyDescent="0.25">
      <c r="B4067" s="8">
        <v>41661</v>
      </c>
      <c r="C4067" s="6">
        <f ca="1">IF(OR($C$7="",$B4067&gt;NOW()),"",IF(INDEX(Data!$A:$G,MATCH($B4067,Data!$A:$A,0),MATCH($C$7,Data!$4:$4,0))="","",INDEX(Data!$A:$G,MATCH($B4067,Data!$A:$A,0),MATCH($C$7,Data!$4:$4,0))))</f>
        <v>12.6</v>
      </c>
      <c r="D4067" s="148">
        <f t="shared" ca="1" si="132"/>
        <v>52.4</v>
      </c>
      <c r="E4067" s="148">
        <f t="shared" ca="1" si="133"/>
        <v>0</v>
      </c>
    </row>
    <row r="4068" spans="2:5" x14ac:dyDescent="0.25">
      <c r="B4068" s="8">
        <v>41662</v>
      </c>
      <c r="C4068" s="6">
        <f ca="1">IF(OR($C$7="",$B4068&gt;NOW()),"",IF(INDEX(Data!$A:$G,MATCH($B4068,Data!$A:$A,0),MATCH($C$7,Data!$4:$4,0))="","",INDEX(Data!$A:$G,MATCH($B4068,Data!$A:$A,0),MATCH($C$7,Data!$4:$4,0))))</f>
        <v>13.5</v>
      </c>
      <c r="D4068" s="148">
        <f t="shared" ca="1" si="132"/>
        <v>51.5</v>
      </c>
      <c r="E4068" s="148">
        <f t="shared" ca="1" si="133"/>
        <v>0</v>
      </c>
    </row>
    <row r="4069" spans="2:5" x14ac:dyDescent="0.25">
      <c r="B4069" s="8">
        <v>41663</v>
      </c>
      <c r="C4069" s="6">
        <f ca="1">IF(OR($C$7="",$B4069&gt;NOW()),"",IF(INDEX(Data!$A:$G,MATCH($B4069,Data!$A:$A,0),MATCH($C$7,Data!$4:$4,0))="","",INDEX(Data!$A:$G,MATCH($B4069,Data!$A:$A,0),MATCH($C$7,Data!$4:$4,0))))</f>
        <v>15.7</v>
      </c>
      <c r="D4069" s="148">
        <f t="shared" ca="1" si="132"/>
        <v>49.3</v>
      </c>
      <c r="E4069" s="148">
        <f t="shared" ca="1" si="133"/>
        <v>0</v>
      </c>
    </row>
    <row r="4070" spans="2:5" x14ac:dyDescent="0.25">
      <c r="B4070" s="8">
        <v>41664</v>
      </c>
      <c r="C4070" s="6">
        <f ca="1">IF(OR($C$7="",$B4070&gt;NOW()),"",IF(INDEX(Data!$A:$G,MATCH($B4070,Data!$A:$A,0),MATCH($C$7,Data!$4:$4,0))="","",INDEX(Data!$A:$G,MATCH($B4070,Data!$A:$A,0),MATCH($C$7,Data!$4:$4,0))))</f>
        <v>22</v>
      </c>
      <c r="D4070" s="148">
        <f t="shared" ca="1" si="132"/>
        <v>43</v>
      </c>
      <c r="E4070" s="148">
        <f t="shared" ca="1" si="133"/>
        <v>0</v>
      </c>
    </row>
    <row r="4071" spans="2:5" x14ac:dyDescent="0.25">
      <c r="B4071" s="8">
        <v>41665</v>
      </c>
      <c r="C4071" s="6">
        <f ca="1">IF(OR($C$7="",$B4071&gt;NOW()),"",IF(INDEX(Data!$A:$G,MATCH($B4071,Data!$A:$A,0),MATCH($C$7,Data!$4:$4,0))="","",INDEX(Data!$A:$G,MATCH($B4071,Data!$A:$A,0),MATCH($C$7,Data!$4:$4,0))))</f>
        <v>21.9</v>
      </c>
      <c r="D4071" s="148">
        <f t="shared" ca="1" si="132"/>
        <v>43.1</v>
      </c>
      <c r="E4071" s="148">
        <f t="shared" ca="1" si="133"/>
        <v>0</v>
      </c>
    </row>
    <row r="4072" spans="2:5" x14ac:dyDescent="0.25">
      <c r="B4072" s="8">
        <v>41666</v>
      </c>
      <c r="C4072" s="6">
        <f ca="1">IF(OR($C$7="",$B4072&gt;NOW()),"",IF(INDEX(Data!$A:$G,MATCH($B4072,Data!$A:$A,0),MATCH($C$7,Data!$4:$4,0))="","",INDEX(Data!$A:$G,MATCH($B4072,Data!$A:$A,0),MATCH($C$7,Data!$4:$4,0))))</f>
        <v>33.700000000000003</v>
      </c>
      <c r="D4072" s="148">
        <f t="shared" ca="1" si="132"/>
        <v>31.299999999999997</v>
      </c>
      <c r="E4072" s="148">
        <f t="shared" ca="1" si="133"/>
        <v>0</v>
      </c>
    </row>
    <row r="4073" spans="2:5" x14ac:dyDescent="0.25">
      <c r="B4073" s="8">
        <v>41667</v>
      </c>
      <c r="C4073" s="6">
        <f ca="1">IF(OR($C$7="",$B4073&gt;NOW()),"",IF(INDEX(Data!$A:$G,MATCH($B4073,Data!$A:$A,0),MATCH($C$7,Data!$4:$4,0))="","",INDEX(Data!$A:$G,MATCH($B4073,Data!$A:$A,0),MATCH($C$7,Data!$4:$4,0))))</f>
        <v>18.5</v>
      </c>
      <c r="D4073" s="148">
        <f t="shared" ca="1" si="132"/>
        <v>46.5</v>
      </c>
      <c r="E4073" s="148">
        <f t="shared" ca="1" si="133"/>
        <v>0</v>
      </c>
    </row>
    <row r="4074" spans="2:5" x14ac:dyDescent="0.25">
      <c r="B4074" s="8">
        <v>41668</v>
      </c>
      <c r="C4074" s="6">
        <f ca="1">IF(OR($C$7="",$B4074&gt;NOW()),"",IF(INDEX(Data!$A:$G,MATCH($B4074,Data!$A:$A,0),MATCH($C$7,Data!$4:$4,0))="","",INDEX(Data!$A:$G,MATCH($B4074,Data!$A:$A,0),MATCH($C$7,Data!$4:$4,0))))</f>
        <v>18.2</v>
      </c>
      <c r="D4074" s="148">
        <f t="shared" ca="1" si="132"/>
        <v>46.8</v>
      </c>
      <c r="E4074" s="148">
        <f t="shared" ca="1" si="133"/>
        <v>0</v>
      </c>
    </row>
    <row r="4075" spans="2:5" x14ac:dyDescent="0.25">
      <c r="B4075" s="8">
        <v>41669</v>
      </c>
      <c r="C4075" s="6">
        <f ca="1">IF(OR($C$7="",$B4075&gt;NOW()),"",IF(INDEX(Data!$A:$G,MATCH($B4075,Data!$A:$A,0),MATCH($C$7,Data!$4:$4,0))="","",INDEX(Data!$A:$G,MATCH($B4075,Data!$A:$A,0),MATCH($C$7,Data!$4:$4,0))))</f>
        <v>21.6</v>
      </c>
      <c r="D4075" s="148">
        <f t="shared" ca="1" si="132"/>
        <v>43.4</v>
      </c>
      <c r="E4075" s="148">
        <f t="shared" ca="1" si="133"/>
        <v>0</v>
      </c>
    </row>
    <row r="4076" spans="2:5" x14ac:dyDescent="0.25">
      <c r="B4076" s="8">
        <v>41670</v>
      </c>
      <c r="C4076" s="6">
        <f ca="1">IF(OR($C$7="",$B4076&gt;NOW()),"",IF(INDEX(Data!$A:$G,MATCH($B4076,Data!$A:$A,0),MATCH($C$7,Data!$4:$4,0))="","",INDEX(Data!$A:$G,MATCH($B4076,Data!$A:$A,0),MATCH($C$7,Data!$4:$4,0))))</f>
        <v>30.5</v>
      </c>
      <c r="D4076" s="148">
        <f t="shared" ca="1" si="132"/>
        <v>34.5</v>
      </c>
      <c r="E4076" s="148">
        <f t="shared" ca="1" si="133"/>
        <v>0</v>
      </c>
    </row>
    <row r="4077" spans="2:5" x14ac:dyDescent="0.25">
      <c r="B4077" s="8">
        <v>41671</v>
      </c>
      <c r="C4077" s="6">
        <f ca="1">IF(OR($C$7="",$B4077&gt;NOW()),"",IF(INDEX(Data!$A:$G,MATCH($B4077,Data!$A:$A,0),MATCH($C$7,Data!$4:$4,0))="","",INDEX(Data!$A:$G,MATCH($B4077,Data!$A:$A,0),MATCH($C$7,Data!$4:$4,0))))</f>
        <v>38.200000000000003</v>
      </c>
      <c r="D4077" s="148">
        <f t="shared" ca="1" si="132"/>
        <v>26.799999999999997</v>
      </c>
      <c r="E4077" s="148">
        <f t="shared" ca="1" si="133"/>
        <v>0</v>
      </c>
    </row>
    <row r="4078" spans="2:5" x14ac:dyDescent="0.25">
      <c r="B4078" s="8">
        <v>41672</v>
      </c>
      <c r="C4078" s="6">
        <f ca="1">IF(OR($C$7="",$B4078&gt;NOW()),"",IF(INDEX(Data!$A:$G,MATCH($B4078,Data!$A:$A,0),MATCH($C$7,Data!$4:$4,0))="","",INDEX(Data!$A:$G,MATCH($B4078,Data!$A:$A,0),MATCH($C$7,Data!$4:$4,0))))</f>
        <v>40.299999999999997</v>
      </c>
      <c r="D4078" s="148">
        <f t="shared" ca="1" si="132"/>
        <v>24.700000000000003</v>
      </c>
      <c r="E4078" s="148">
        <f t="shared" ca="1" si="133"/>
        <v>0</v>
      </c>
    </row>
    <row r="4079" spans="2:5" x14ac:dyDescent="0.25">
      <c r="B4079" s="8">
        <v>41673</v>
      </c>
      <c r="C4079" s="6">
        <f ca="1">IF(OR($C$7="",$B4079&gt;NOW()),"",IF(INDEX(Data!$A:$G,MATCH($B4079,Data!$A:$A,0),MATCH($C$7,Data!$4:$4,0))="","",INDEX(Data!$A:$G,MATCH($B4079,Data!$A:$A,0),MATCH($C$7,Data!$4:$4,0))))</f>
        <v>35.6</v>
      </c>
      <c r="D4079" s="148">
        <f t="shared" ca="1" si="132"/>
        <v>29.4</v>
      </c>
      <c r="E4079" s="148">
        <f t="shared" ca="1" si="133"/>
        <v>0</v>
      </c>
    </row>
    <row r="4080" spans="2:5" x14ac:dyDescent="0.25">
      <c r="B4080" s="8">
        <v>41674</v>
      </c>
      <c r="C4080" s="6">
        <f ca="1">IF(OR($C$7="",$B4080&gt;NOW()),"",IF(INDEX(Data!$A:$G,MATCH($B4080,Data!$A:$A,0),MATCH($C$7,Data!$4:$4,0))="","",INDEX(Data!$A:$G,MATCH($B4080,Data!$A:$A,0),MATCH($C$7,Data!$4:$4,0))))</f>
        <v>29.6</v>
      </c>
      <c r="D4080" s="148">
        <f t="shared" ca="1" si="132"/>
        <v>35.4</v>
      </c>
      <c r="E4080" s="148">
        <f t="shared" ca="1" si="133"/>
        <v>0</v>
      </c>
    </row>
    <row r="4081" spans="2:5" x14ac:dyDescent="0.25">
      <c r="B4081" s="8">
        <v>41675</v>
      </c>
      <c r="C4081" s="6">
        <f ca="1">IF(OR($C$7="",$B4081&gt;NOW()),"",IF(INDEX(Data!$A:$G,MATCH($B4081,Data!$A:$A,0),MATCH($C$7,Data!$4:$4,0))="","",INDEX(Data!$A:$G,MATCH($B4081,Data!$A:$A,0),MATCH($C$7,Data!$4:$4,0))))</f>
        <v>31.5</v>
      </c>
      <c r="D4081" s="148">
        <f t="shared" ca="1" si="132"/>
        <v>33.5</v>
      </c>
      <c r="E4081" s="148">
        <f t="shared" ca="1" si="133"/>
        <v>0</v>
      </c>
    </row>
    <row r="4082" spans="2:5" x14ac:dyDescent="0.25">
      <c r="B4082" s="8">
        <v>41676</v>
      </c>
      <c r="C4082" s="6">
        <f ca="1">IF(OR($C$7="",$B4082&gt;NOW()),"",IF(INDEX(Data!$A:$G,MATCH($B4082,Data!$A:$A,0),MATCH($C$7,Data!$4:$4,0))="","",INDEX(Data!$A:$G,MATCH($B4082,Data!$A:$A,0),MATCH($C$7,Data!$4:$4,0))))</f>
        <v>28.4</v>
      </c>
      <c r="D4082" s="148">
        <f t="shared" ca="1" si="132"/>
        <v>36.6</v>
      </c>
      <c r="E4082" s="148">
        <f t="shared" ca="1" si="133"/>
        <v>0</v>
      </c>
    </row>
    <row r="4083" spans="2:5" x14ac:dyDescent="0.25">
      <c r="B4083" s="8">
        <v>41677</v>
      </c>
      <c r="C4083" s="6">
        <f ca="1">IF(OR($C$7="",$B4083&gt;NOW()),"",IF(INDEX(Data!$A:$G,MATCH($B4083,Data!$A:$A,0),MATCH($C$7,Data!$4:$4,0))="","",INDEX(Data!$A:$G,MATCH($B4083,Data!$A:$A,0),MATCH($C$7,Data!$4:$4,0))))</f>
        <v>28.5</v>
      </c>
      <c r="D4083" s="148">
        <f t="shared" ca="1" si="132"/>
        <v>36.5</v>
      </c>
      <c r="E4083" s="148">
        <f t="shared" ca="1" si="133"/>
        <v>0</v>
      </c>
    </row>
    <row r="4084" spans="2:5" x14ac:dyDescent="0.25">
      <c r="B4084" s="8">
        <v>41678</v>
      </c>
      <c r="C4084" s="6">
        <f ca="1">IF(OR($C$7="",$B4084&gt;NOW()),"",IF(INDEX(Data!$A:$G,MATCH($B4084,Data!$A:$A,0),MATCH($C$7,Data!$4:$4,0))="","",INDEX(Data!$A:$G,MATCH($B4084,Data!$A:$A,0),MATCH($C$7,Data!$4:$4,0))))</f>
        <v>26.8</v>
      </c>
      <c r="D4084" s="148">
        <f t="shared" ca="1" si="132"/>
        <v>38.200000000000003</v>
      </c>
      <c r="E4084" s="148">
        <f t="shared" ca="1" si="133"/>
        <v>0</v>
      </c>
    </row>
    <row r="4085" spans="2:5" x14ac:dyDescent="0.25">
      <c r="B4085" s="8">
        <v>41679</v>
      </c>
      <c r="C4085" s="6">
        <f ca="1">IF(OR($C$7="",$B4085&gt;NOW()),"",IF(INDEX(Data!$A:$G,MATCH($B4085,Data!$A:$A,0),MATCH($C$7,Data!$4:$4,0))="","",INDEX(Data!$A:$G,MATCH($B4085,Data!$A:$A,0),MATCH($C$7,Data!$4:$4,0))))</f>
        <v>26.1</v>
      </c>
      <c r="D4085" s="148">
        <f t="shared" ca="1" si="132"/>
        <v>38.9</v>
      </c>
      <c r="E4085" s="148">
        <f t="shared" ca="1" si="133"/>
        <v>0</v>
      </c>
    </row>
    <row r="4086" spans="2:5" x14ac:dyDescent="0.25">
      <c r="B4086" s="8">
        <v>41680</v>
      </c>
      <c r="C4086" s="6">
        <f ca="1">IF(OR($C$7="",$B4086&gt;NOW()),"",IF(INDEX(Data!$A:$G,MATCH($B4086,Data!$A:$A,0),MATCH($C$7,Data!$4:$4,0))="","",INDEX(Data!$A:$G,MATCH($B4086,Data!$A:$A,0),MATCH($C$7,Data!$4:$4,0))))</f>
        <v>25.9</v>
      </c>
      <c r="D4086" s="148">
        <f t="shared" ca="1" si="132"/>
        <v>39.1</v>
      </c>
      <c r="E4086" s="148">
        <f t="shared" ca="1" si="133"/>
        <v>0</v>
      </c>
    </row>
    <row r="4087" spans="2:5" x14ac:dyDescent="0.25">
      <c r="B4087" s="8">
        <v>41681</v>
      </c>
      <c r="C4087" s="6">
        <f ca="1">IF(OR($C$7="",$B4087&gt;NOW()),"",IF(INDEX(Data!$A:$G,MATCH($B4087,Data!$A:$A,0),MATCH($C$7,Data!$4:$4,0))="","",INDEX(Data!$A:$G,MATCH($B4087,Data!$A:$A,0),MATCH($C$7,Data!$4:$4,0))))</f>
        <v>22.6</v>
      </c>
      <c r="D4087" s="148">
        <f t="shared" ca="1" si="132"/>
        <v>42.4</v>
      </c>
      <c r="E4087" s="148">
        <f t="shared" ca="1" si="133"/>
        <v>0</v>
      </c>
    </row>
    <row r="4088" spans="2:5" x14ac:dyDescent="0.25">
      <c r="B4088" s="8">
        <v>41682</v>
      </c>
      <c r="C4088" s="6">
        <f ca="1">IF(OR($C$7="",$B4088&gt;NOW()),"",IF(INDEX(Data!$A:$G,MATCH($B4088,Data!$A:$A,0),MATCH($C$7,Data!$4:$4,0))="","",INDEX(Data!$A:$G,MATCH($B4088,Data!$A:$A,0),MATCH($C$7,Data!$4:$4,0))))</f>
        <v>19</v>
      </c>
      <c r="D4088" s="148">
        <f t="shared" ca="1" si="132"/>
        <v>46</v>
      </c>
      <c r="E4088" s="148">
        <f t="shared" ca="1" si="133"/>
        <v>0</v>
      </c>
    </row>
    <row r="4089" spans="2:5" x14ac:dyDescent="0.25">
      <c r="B4089" s="8">
        <v>41683</v>
      </c>
      <c r="C4089" s="6">
        <f ca="1">IF(OR($C$7="",$B4089&gt;NOW()),"",IF(INDEX(Data!$A:$G,MATCH($B4089,Data!$A:$A,0),MATCH($C$7,Data!$4:$4,0))="","",INDEX(Data!$A:$G,MATCH($B4089,Data!$A:$A,0),MATCH($C$7,Data!$4:$4,0))))</f>
        <v>28.7</v>
      </c>
      <c r="D4089" s="148">
        <f t="shared" ca="1" si="132"/>
        <v>36.299999999999997</v>
      </c>
      <c r="E4089" s="148">
        <f t="shared" ca="1" si="133"/>
        <v>0</v>
      </c>
    </row>
    <row r="4090" spans="2:5" x14ac:dyDescent="0.25">
      <c r="B4090" s="8">
        <v>41684</v>
      </c>
      <c r="C4090" s="6">
        <f ca="1">IF(OR($C$7="",$B4090&gt;NOW()),"",IF(INDEX(Data!$A:$G,MATCH($B4090,Data!$A:$A,0),MATCH($C$7,Data!$4:$4,0))="","",INDEX(Data!$A:$G,MATCH($B4090,Data!$A:$A,0),MATCH($C$7,Data!$4:$4,0))))</f>
        <v>35.4</v>
      </c>
      <c r="D4090" s="148">
        <f t="shared" ca="1" si="132"/>
        <v>29.6</v>
      </c>
      <c r="E4090" s="148">
        <f t="shared" ca="1" si="133"/>
        <v>0</v>
      </c>
    </row>
    <row r="4091" spans="2:5" x14ac:dyDescent="0.25">
      <c r="B4091" s="8">
        <v>41685</v>
      </c>
      <c r="C4091" s="6">
        <f ca="1">IF(OR($C$7="",$B4091&gt;NOW()),"",IF(INDEX(Data!$A:$G,MATCH($B4091,Data!$A:$A,0),MATCH($C$7,Data!$4:$4,0))="","",INDEX(Data!$A:$G,MATCH($B4091,Data!$A:$A,0),MATCH($C$7,Data!$4:$4,0))))</f>
        <v>34.5</v>
      </c>
      <c r="D4091" s="148">
        <f t="shared" ca="1" si="132"/>
        <v>30.5</v>
      </c>
      <c r="E4091" s="148">
        <f t="shared" ca="1" si="133"/>
        <v>0</v>
      </c>
    </row>
    <row r="4092" spans="2:5" x14ac:dyDescent="0.25">
      <c r="B4092" s="8">
        <v>41686</v>
      </c>
      <c r="C4092" s="6">
        <f ca="1">IF(OR($C$7="",$B4092&gt;NOW()),"",IF(INDEX(Data!$A:$G,MATCH($B4092,Data!$A:$A,0),MATCH($C$7,Data!$4:$4,0))="","",INDEX(Data!$A:$G,MATCH($B4092,Data!$A:$A,0),MATCH($C$7,Data!$4:$4,0))))</f>
        <v>27.2</v>
      </c>
      <c r="D4092" s="148">
        <f t="shared" ca="1" si="132"/>
        <v>37.799999999999997</v>
      </c>
      <c r="E4092" s="148">
        <f t="shared" ca="1" si="133"/>
        <v>0</v>
      </c>
    </row>
    <row r="4093" spans="2:5" x14ac:dyDescent="0.25">
      <c r="B4093" s="8">
        <v>41687</v>
      </c>
      <c r="C4093" s="6">
        <f ca="1">IF(OR($C$7="",$B4093&gt;NOW()),"",IF(INDEX(Data!$A:$G,MATCH($B4093,Data!$A:$A,0),MATCH($C$7,Data!$4:$4,0))="","",INDEX(Data!$A:$G,MATCH($B4093,Data!$A:$A,0),MATCH($C$7,Data!$4:$4,0))))</f>
        <v>24.4</v>
      </c>
      <c r="D4093" s="148">
        <f t="shared" ca="1" si="132"/>
        <v>40.6</v>
      </c>
      <c r="E4093" s="148">
        <f t="shared" ca="1" si="133"/>
        <v>0</v>
      </c>
    </row>
    <row r="4094" spans="2:5" x14ac:dyDescent="0.25">
      <c r="B4094" s="8">
        <v>41688</v>
      </c>
      <c r="C4094" s="6">
        <f ca="1">IF(OR($C$7="",$B4094&gt;NOW()),"",IF(INDEX(Data!$A:$G,MATCH($B4094,Data!$A:$A,0),MATCH($C$7,Data!$4:$4,0))="","",INDEX(Data!$A:$G,MATCH($B4094,Data!$A:$A,0),MATCH($C$7,Data!$4:$4,0))))</f>
        <v>30.6</v>
      </c>
      <c r="D4094" s="148">
        <f t="shared" ca="1" si="132"/>
        <v>34.4</v>
      </c>
      <c r="E4094" s="148">
        <f t="shared" ca="1" si="133"/>
        <v>0</v>
      </c>
    </row>
    <row r="4095" spans="2:5" x14ac:dyDescent="0.25">
      <c r="B4095" s="8">
        <v>41689</v>
      </c>
      <c r="C4095" s="6">
        <f ca="1">IF(OR($C$7="",$B4095&gt;NOW()),"",IF(INDEX(Data!$A:$G,MATCH($B4095,Data!$A:$A,0),MATCH($C$7,Data!$4:$4,0))="","",INDEX(Data!$A:$G,MATCH($B4095,Data!$A:$A,0),MATCH($C$7,Data!$4:$4,0))))</f>
        <v>36.4</v>
      </c>
      <c r="D4095" s="148">
        <f t="shared" ca="1" si="132"/>
        <v>28.6</v>
      </c>
      <c r="E4095" s="148">
        <f t="shared" ca="1" si="133"/>
        <v>0</v>
      </c>
    </row>
    <row r="4096" spans="2:5" x14ac:dyDescent="0.25">
      <c r="B4096" s="8">
        <v>41690</v>
      </c>
      <c r="C4096" s="6">
        <f ca="1">IF(OR($C$7="",$B4096&gt;NOW()),"",IF(INDEX(Data!$A:$G,MATCH($B4096,Data!$A:$A,0),MATCH($C$7,Data!$4:$4,0))="","",INDEX(Data!$A:$G,MATCH($B4096,Data!$A:$A,0),MATCH($C$7,Data!$4:$4,0))))</f>
        <v>42.5</v>
      </c>
      <c r="D4096" s="148">
        <f t="shared" ca="1" si="132"/>
        <v>22.5</v>
      </c>
      <c r="E4096" s="148">
        <f t="shared" ca="1" si="133"/>
        <v>0</v>
      </c>
    </row>
    <row r="4097" spans="2:5" x14ac:dyDescent="0.25">
      <c r="B4097" s="8">
        <v>41691</v>
      </c>
      <c r="C4097" s="6">
        <f ca="1">IF(OR($C$7="",$B4097&gt;NOW()),"",IF(INDEX(Data!$A:$G,MATCH($B4097,Data!$A:$A,0),MATCH($C$7,Data!$4:$4,0))="","",INDEX(Data!$A:$G,MATCH($B4097,Data!$A:$A,0),MATCH($C$7,Data!$4:$4,0))))</f>
        <v>37.1</v>
      </c>
      <c r="D4097" s="148">
        <f t="shared" ca="1" si="132"/>
        <v>27.9</v>
      </c>
      <c r="E4097" s="148">
        <f t="shared" ca="1" si="133"/>
        <v>0</v>
      </c>
    </row>
    <row r="4098" spans="2:5" x14ac:dyDescent="0.25">
      <c r="B4098" s="8">
        <v>41692</v>
      </c>
      <c r="C4098" s="6">
        <f ca="1">IF(OR($C$7="",$B4098&gt;NOW()),"",IF(INDEX(Data!$A:$G,MATCH($B4098,Data!$A:$A,0),MATCH($C$7,Data!$4:$4,0))="","",INDEX(Data!$A:$G,MATCH($B4098,Data!$A:$A,0),MATCH($C$7,Data!$4:$4,0))))</f>
        <v>45.5</v>
      </c>
      <c r="D4098" s="148">
        <f t="shared" ca="1" si="132"/>
        <v>19.5</v>
      </c>
      <c r="E4098" s="148">
        <f t="shared" ca="1" si="133"/>
        <v>0</v>
      </c>
    </row>
    <row r="4099" spans="2:5" x14ac:dyDescent="0.25">
      <c r="B4099" s="8">
        <v>41693</v>
      </c>
      <c r="C4099" s="6">
        <f ca="1">IF(OR($C$7="",$B4099&gt;NOW()),"",IF(INDEX(Data!$A:$G,MATCH($B4099,Data!$A:$A,0),MATCH($C$7,Data!$4:$4,0))="","",INDEX(Data!$A:$G,MATCH($B4099,Data!$A:$A,0),MATCH($C$7,Data!$4:$4,0))))</f>
        <v>48</v>
      </c>
      <c r="D4099" s="148">
        <f t="shared" ca="1" si="132"/>
        <v>17</v>
      </c>
      <c r="E4099" s="148">
        <f t="shared" ca="1" si="133"/>
        <v>0</v>
      </c>
    </row>
    <row r="4100" spans="2:5" x14ac:dyDescent="0.25">
      <c r="B4100" s="8">
        <v>41694</v>
      </c>
      <c r="C4100" s="6">
        <f ca="1">IF(OR($C$7="",$B4100&gt;NOW()),"",IF(INDEX(Data!$A:$G,MATCH($B4100,Data!$A:$A,0),MATCH($C$7,Data!$4:$4,0))="","",INDEX(Data!$A:$G,MATCH($B4100,Data!$A:$A,0),MATCH($C$7,Data!$4:$4,0))))</f>
        <v>40</v>
      </c>
      <c r="D4100" s="148">
        <f t="shared" ca="1" si="132"/>
        <v>25</v>
      </c>
      <c r="E4100" s="148">
        <f t="shared" ca="1" si="133"/>
        <v>0</v>
      </c>
    </row>
    <row r="4101" spans="2:5" x14ac:dyDescent="0.25">
      <c r="B4101" s="8">
        <v>41695</v>
      </c>
      <c r="C4101" s="6">
        <f ca="1">IF(OR($C$7="",$B4101&gt;NOW()),"",IF(INDEX(Data!$A:$G,MATCH($B4101,Data!$A:$A,0),MATCH($C$7,Data!$4:$4,0))="","",INDEX(Data!$A:$G,MATCH($B4101,Data!$A:$A,0),MATCH($C$7,Data!$4:$4,0))))</f>
        <v>28.7</v>
      </c>
      <c r="D4101" s="148">
        <f t="shared" ca="1" si="132"/>
        <v>36.299999999999997</v>
      </c>
      <c r="E4101" s="148">
        <f t="shared" ca="1" si="133"/>
        <v>0</v>
      </c>
    </row>
    <row r="4102" spans="2:5" x14ac:dyDescent="0.25">
      <c r="B4102" s="8">
        <v>41696</v>
      </c>
      <c r="C4102" s="6">
        <f ca="1">IF(OR($C$7="",$B4102&gt;NOW()),"",IF(INDEX(Data!$A:$G,MATCH($B4102,Data!$A:$A,0),MATCH($C$7,Data!$4:$4,0))="","",INDEX(Data!$A:$G,MATCH($B4102,Data!$A:$A,0),MATCH($C$7,Data!$4:$4,0))))</f>
        <v>28</v>
      </c>
      <c r="D4102" s="148">
        <f t="shared" ca="1" si="132"/>
        <v>37</v>
      </c>
      <c r="E4102" s="148">
        <f t="shared" ca="1" si="133"/>
        <v>0</v>
      </c>
    </row>
    <row r="4103" spans="2:5" x14ac:dyDescent="0.25">
      <c r="B4103" s="8">
        <v>41697</v>
      </c>
      <c r="C4103" s="6">
        <f ca="1">IF(OR($C$7="",$B4103&gt;NOW()),"",IF(INDEX(Data!$A:$G,MATCH($B4103,Data!$A:$A,0),MATCH($C$7,Data!$4:$4,0))="","",INDEX(Data!$A:$G,MATCH($B4103,Data!$A:$A,0),MATCH($C$7,Data!$4:$4,0))))</f>
        <v>24.7</v>
      </c>
      <c r="D4103" s="148">
        <f t="shared" ca="1" si="132"/>
        <v>40.299999999999997</v>
      </c>
      <c r="E4103" s="148">
        <f t="shared" ca="1" si="133"/>
        <v>0</v>
      </c>
    </row>
    <row r="4104" spans="2:5" x14ac:dyDescent="0.25">
      <c r="B4104" s="8">
        <v>41698</v>
      </c>
      <c r="C4104" s="6">
        <f ca="1">IF(OR($C$7="",$B4104&gt;NOW()),"",IF(INDEX(Data!$A:$G,MATCH($B4104,Data!$A:$A,0),MATCH($C$7,Data!$4:$4,0))="","",INDEX(Data!$A:$G,MATCH($B4104,Data!$A:$A,0),MATCH($C$7,Data!$4:$4,0))))</f>
        <v>17.3</v>
      </c>
      <c r="D4104" s="148">
        <f t="shared" ca="1" si="132"/>
        <v>47.7</v>
      </c>
      <c r="E4104" s="148">
        <f t="shared" ca="1" si="133"/>
        <v>0</v>
      </c>
    </row>
    <row r="4105" spans="2:5" x14ac:dyDescent="0.25">
      <c r="B4105" s="8">
        <v>41699</v>
      </c>
      <c r="C4105" s="6">
        <f ca="1">IF(OR($C$7="",$B4105&gt;NOW()),"",IF(INDEX(Data!$A:$G,MATCH($B4105,Data!$A:$A,0),MATCH($C$7,Data!$4:$4,0))="","",INDEX(Data!$A:$G,MATCH($B4105,Data!$A:$A,0),MATCH($C$7,Data!$4:$4,0))))</f>
        <v>26.6</v>
      </c>
      <c r="D4105" s="148">
        <f t="shared" ca="1" si="132"/>
        <v>38.4</v>
      </c>
      <c r="E4105" s="148">
        <f t="shared" ca="1" si="133"/>
        <v>0</v>
      </c>
    </row>
    <row r="4106" spans="2:5" x14ac:dyDescent="0.25">
      <c r="B4106" s="8">
        <v>41700</v>
      </c>
      <c r="C4106" s="6">
        <f ca="1">IF(OR($C$7="",$B4106&gt;NOW()),"",IF(INDEX(Data!$A:$G,MATCH($B4106,Data!$A:$A,0),MATCH($C$7,Data!$4:$4,0))="","",INDEX(Data!$A:$G,MATCH($B4106,Data!$A:$A,0),MATCH($C$7,Data!$4:$4,0))))</f>
        <v>36.6</v>
      </c>
      <c r="D4106" s="148">
        <f t="shared" ca="1" si="132"/>
        <v>28.4</v>
      </c>
      <c r="E4106" s="148">
        <f t="shared" ca="1" si="133"/>
        <v>0</v>
      </c>
    </row>
    <row r="4107" spans="2:5" x14ac:dyDescent="0.25">
      <c r="B4107" s="8">
        <v>41701</v>
      </c>
      <c r="C4107" s="6">
        <f ca="1">IF(OR($C$7="",$B4107&gt;NOW()),"",IF(INDEX(Data!$A:$G,MATCH($B4107,Data!$A:$A,0),MATCH($C$7,Data!$4:$4,0))="","",INDEX(Data!$A:$G,MATCH($B4107,Data!$A:$A,0),MATCH($C$7,Data!$4:$4,0))))</f>
        <v>25.9</v>
      </c>
      <c r="D4107" s="148">
        <f t="shared" ca="1" si="132"/>
        <v>39.1</v>
      </c>
      <c r="E4107" s="148">
        <f t="shared" ca="1" si="133"/>
        <v>0</v>
      </c>
    </row>
    <row r="4108" spans="2:5" x14ac:dyDescent="0.25">
      <c r="B4108" s="8">
        <v>41702</v>
      </c>
      <c r="C4108" s="6">
        <f ca="1">IF(OR($C$7="",$B4108&gt;NOW()),"",IF(INDEX(Data!$A:$G,MATCH($B4108,Data!$A:$A,0),MATCH($C$7,Data!$4:$4,0))="","",INDEX(Data!$A:$G,MATCH($B4108,Data!$A:$A,0),MATCH($C$7,Data!$4:$4,0))))</f>
        <v>20.3</v>
      </c>
      <c r="D4108" s="148">
        <f t="shared" ca="1" si="132"/>
        <v>44.7</v>
      </c>
      <c r="E4108" s="148">
        <f t="shared" ca="1" si="133"/>
        <v>0</v>
      </c>
    </row>
    <row r="4109" spans="2:5" x14ac:dyDescent="0.25">
      <c r="B4109" s="8">
        <v>41703</v>
      </c>
      <c r="C4109" s="6">
        <f ca="1">IF(OR($C$7="",$B4109&gt;NOW()),"",IF(INDEX(Data!$A:$G,MATCH($B4109,Data!$A:$A,0),MATCH($C$7,Data!$4:$4,0))="","",INDEX(Data!$A:$G,MATCH($B4109,Data!$A:$A,0),MATCH($C$7,Data!$4:$4,0))))</f>
        <v>30.6</v>
      </c>
      <c r="D4109" s="148">
        <f t="shared" ca="1" si="132"/>
        <v>34.4</v>
      </c>
      <c r="E4109" s="148">
        <f t="shared" ca="1" si="133"/>
        <v>0</v>
      </c>
    </row>
    <row r="4110" spans="2:5" x14ac:dyDescent="0.25">
      <c r="B4110" s="8">
        <v>41704</v>
      </c>
      <c r="C4110" s="6">
        <f ca="1">IF(OR($C$7="",$B4110&gt;NOW()),"",IF(INDEX(Data!$A:$G,MATCH($B4110,Data!$A:$A,0),MATCH($C$7,Data!$4:$4,0))="","",INDEX(Data!$A:$G,MATCH($B4110,Data!$A:$A,0),MATCH($C$7,Data!$4:$4,0))))</f>
        <v>24.2</v>
      </c>
      <c r="D4110" s="148">
        <f t="shared" ca="1" si="132"/>
        <v>40.799999999999997</v>
      </c>
      <c r="E4110" s="148">
        <f t="shared" ca="1" si="133"/>
        <v>0</v>
      </c>
    </row>
    <row r="4111" spans="2:5" x14ac:dyDescent="0.25">
      <c r="B4111" s="8">
        <v>41705</v>
      </c>
      <c r="C4111" s="6">
        <f ca="1">IF(OR($C$7="",$B4111&gt;NOW()),"",IF(INDEX(Data!$A:$G,MATCH($B4111,Data!$A:$A,0),MATCH($C$7,Data!$4:$4,0))="","",INDEX(Data!$A:$G,MATCH($B4111,Data!$A:$A,0),MATCH($C$7,Data!$4:$4,0))))</f>
        <v>29.2</v>
      </c>
      <c r="D4111" s="148">
        <f t="shared" ca="1" si="132"/>
        <v>35.799999999999997</v>
      </c>
      <c r="E4111" s="148">
        <f t="shared" ca="1" si="133"/>
        <v>0</v>
      </c>
    </row>
    <row r="4112" spans="2:5" x14ac:dyDescent="0.25">
      <c r="B4112" s="8">
        <v>41706</v>
      </c>
      <c r="C4112" s="6">
        <f ca="1">IF(OR($C$7="",$B4112&gt;NOW()),"",IF(INDEX(Data!$A:$G,MATCH($B4112,Data!$A:$A,0),MATCH($C$7,Data!$4:$4,0))="","",INDEX(Data!$A:$G,MATCH($B4112,Data!$A:$A,0),MATCH($C$7,Data!$4:$4,0))))</f>
        <v>41.6</v>
      </c>
      <c r="D4112" s="148">
        <f t="shared" ca="1" si="132"/>
        <v>23.4</v>
      </c>
      <c r="E4112" s="148">
        <f t="shared" ca="1" si="133"/>
        <v>0</v>
      </c>
    </row>
    <row r="4113" spans="2:5" x14ac:dyDescent="0.25">
      <c r="B4113" s="8">
        <v>41707</v>
      </c>
      <c r="C4113" s="6">
        <f ca="1">IF(OR($C$7="",$B4113&gt;NOW()),"",IF(INDEX(Data!$A:$G,MATCH($B4113,Data!$A:$A,0),MATCH($C$7,Data!$4:$4,0))="","",INDEX(Data!$A:$G,MATCH($B4113,Data!$A:$A,0),MATCH($C$7,Data!$4:$4,0))))</f>
        <v>41.4</v>
      </c>
      <c r="D4113" s="148">
        <f t="shared" ca="1" si="132"/>
        <v>23.6</v>
      </c>
      <c r="E4113" s="148">
        <f t="shared" ca="1" si="133"/>
        <v>0</v>
      </c>
    </row>
    <row r="4114" spans="2:5" x14ac:dyDescent="0.25">
      <c r="B4114" s="8">
        <v>41708</v>
      </c>
      <c r="C4114" s="6">
        <f ca="1">IF(OR($C$7="",$B4114&gt;NOW()),"",IF(INDEX(Data!$A:$G,MATCH($B4114,Data!$A:$A,0),MATCH($C$7,Data!$4:$4,0))="","",INDEX(Data!$A:$G,MATCH($B4114,Data!$A:$A,0),MATCH($C$7,Data!$4:$4,0))))</f>
        <v>41.9</v>
      </c>
      <c r="D4114" s="148">
        <f t="shared" ca="1" si="132"/>
        <v>23.1</v>
      </c>
      <c r="E4114" s="148">
        <f t="shared" ca="1" si="133"/>
        <v>0</v>
      </c>
    </row>
    <row r="4115" spans="2:5" x14ac:dyDescent="0.25">
      <c r="B4115" s="8">
        <v>41709</v>
      </c>
      <c r="C4115" s="6">
        <f ca="1">IF(OR($C$7="",$B4115&gt;NOW()),"",IF(INDEX(Data!$A:$G,MATCH($B4115,Data!$A:$A,0),MATCH($C$7,Data!$4:$4,0))="","",INDEX(Data!$A:$G,MATCH($B4115,Data!$A:$A,0),MATCH($C$7,Data!$4:$4,0))))</f>
        <v>52.3</v>
      </c>
      <c r="D4115" s="148">
        <f t="shared" ca="1" si="132"/>
        <v>12.700000000000003</v>
      </c>
      <c r="E4115" s="148">
        <f t="shared" ca="1" si="133"/>
        <v>0</v>
      </c>
    </row>
    <row r="4116" spans="2:5" x14ac:dyDescent="0.25">
      <c r="B4116" s="8">
        <v>41710</v>
      </c>
      <c r="C4116" s="6">
        <f ca="1">IF(OR($C$7="",$B4116&gt;NOW()),"",IF(INDEX(Data!$A:$G,MATCH($B4116,Data!$A:$A,0),MATCH($C$7,Data!$4:$4,0))="","",INDEX(Data!$A:$G,MATCH($B4116,Data!$A:$A,0),MATCH($C$7,Data!$4:$4,0))))</f>
        <v>48.1</v>
      </c>
      <c r="D4116" s="148">
        <f t="shared" ca="1" si="132"/>
        <v>16.899999999999999</v>
      </c>
      <c r="E4116" s="148">
        <f t="shared" ca="1" si="133"/>
        <v>0</v>
      </c>
    </row>
    <row r="4117" spans="2:5" x14ac:dyDescent="0.25">
      <c r="B4117" s="8">
        <v>41711</v>
      </c>
      <c r="C4117" s="6">
        <f ca="1">IF(OR($C$7="",$B4117&gt;NOW()),"",IF(INDEX(Data!$A:$G,MATCH($B4117,Data!$A:$A,0),MATCH($C$7,Data!$4:$4,0))="","",INDEX(Data!$A:$G,MATCH($B4117,Data!$A:$A,0),MATCH($C$7,Data!$4:$4,0))))</f>
        <v>28.8</v>
      </c>
      <c r="D4117" s="148">
        <f t="shared" ca="1" si="132"/>
        <v>36.200000000000003</v>
      </c>
      <c r="E4117" s="148">
        <f t="shared" ca="1" si="133"/>
        <v>0</v>
      </c>
    </row>
    <row r="4118" spans="2:5" x14ac:dyDescent="0.25">
      <c r="B4118" s="8">
        <v>41712</v>
      </c>
      <c r="C4118" s="6">
        <f ca="1">IF(OR($C$7="",$B4118&gt;NOW()),"",IF(INDEX(Data!$A:$G,MATCH($B4118,Data!$A:$A,0),MATCH($C$7,Data!$4:$4,0))="","",INDEX(Data!$A:$G,MATCH($B4118,Data!$A:$A,0),MATCH($C$7,Data!$4:$4,0))))</f>
        <v>29.7</v>
      </c>
      <c r="D4118" s="148">
        <f t="shared" ca="1" si="132"/>
        <v>35.299999999999997</v>
      </c>
      <c r="E4118" s="148">
        <f t="shared" ca="1" si="133"/>
        <v>0</v>
      </c>
    </row>
    <row r="4119" spans="2:5" x14ac:dyDescent="0.25">
      <c r="B4119" s="8">
        <v>41713</v>
      </c>
      <c r="C4119" s="6">
        <f ca="1">IF(OR($C$7="",$B4119&gt;NOW()),"",IF(INDEX(Data!$A:$G,MATCH($B4119,Data!$A:$A,0),MATCH($C$7,Data!$4:$4,0))="","",INDEX(Data!$A:$G,MATCH($B4119,Data!$A:$A,0),MATCH($C$7,Data!$4:$4,0))))</f>
        <v>47.9</v>
      </c>
      <c r="D4119" s="148">
        <f t="shared" ca="1" si="132"/>
        <v>17.100000000000001</v>
      </c>
      <c r="E4119" s="148">
        <f t="shared" ca="1" si="133"/>
        <v>0</v>
      </c>
    </row>
    <row r="4120" spans="2:5" x14ac:dyDescent="0.25">
      <c r="B4120" s="8">
        <v>41714</v>
      </c>
      <c r="C4120" s="6">
        <f ca="1">IF(OR($C$7="",$B4120&gt;NOW()),"",IF(INDEX(Data!$A:$G,MATCH($B4120,Data!$A:$A,0),MATCH($C$7,Data!$4:$4,0))="","",INDEX(Data!$A:$G,MATCH($B4120,Data!$A:$A,0),MATCH($C$7,Data!$4:$4,0))))</f>
        <v>37.700000000000003</v>
      </c>
      <c r="D4120" s="148">
        <f t="shared" ca="1" si="132"/>
        <v>27.299999999999997</v>
      </c>
      <c r="E4120" s="148">
        <f t="shared" ca="1" si="133"/>
        <v>0</v>
      </c>
    </row>
    <row r="4121" spans="2:5" x14ac:dyDescent="0.25">
      <c r="B4121" s="8">
        <v>41715</v>
      </c>
      <c r="C4121" s="6">
        <f ca="1">IF(OR($C$7="",$B4121&gt;NOW()),"",IF(INDEX(Data!$A:$G,MATCH($B4121,Data!$A:$A,0),MATCH($C$7,Data!$4:$4,0))="","",INDEX(Data!$A:$G,MATCH($B4121,Data!$A:$A,0),MATCH($C$7,Data!$4:$4,0))))</f>
        <v>28.3</v>
      </c>
      <c r="D4121" s="148">
        <f t="shared" ca="1" si="132"/>
        <v>36.700000000000003</v>
      </c>
      <c r="E4121" s="148">
        <f t="shared" ca="1" si="133"/>
        <v>0</v>
      </c>
    </row>
    <row r="4122" spans="2:5" x14ac:dyDescent="0.25">
      <c r="B4122" s="8">
        <v>41716</v>
      </c>
      <c r="C4122" s="6">
        <f ca="1">IF(OR($C$7="",$B4122&gt;NOW()),"",IF(INDEX(Data!$A:$G,MATCH($B4122,Data!$A:$A,0),MATCH($C$7,Data!$4:$4,0))="","",INDEX(Data!$A:$G,MATCH($B4122,Data!$A:$A,0),MATCH($C$7,Data!$4:$4,0))))</f>
        <v>32.1</v>
      </c>
      <c r="D4122" s="148">
        <f t="shared" ca="1" si="132"/>
        <v>32.9</v>
      </c>
      <c r="E4122" s="148">
        <f t="shared" ca="1" si="133"/>
        <v>0</v>
      </c>
    </row>
    <row r="4123" spans="2:5" x14ac:dyDescent="0.25">
      <c r="B4123" s="8">
        <v>41717</v>
      </c>
      <c r="C4123" s="6">
        <f ca="1">IF(OR($C$7="",$B4123&gt;NOW()),"",IF(INDEX(Data!$A:$G,MATCH($B4123,Data!$A:$A,0),MATCH($C$7,Data!$4:$4,0))="","",INDEX(Data!$A:$G,MATCH($B4123,Data!$A:$A,0),MATCH($C$7,Data!$4:$4,0))))</f>
        <v>35.799999999999997</v>
      </c>
      <c r="D4123" s="148">
        <f t="shared" ca="1" si="132"/>
        <v>29.200000000000003</v>
      </c>
      <c r="E4123" s="148">
        <f t="shared" ca="1" si="133"/>
        <v>0</v>
      </c>
    </row>
    <row r="4124" spans="2:5" x14ac:dyDescent="0.25">
      <c r="B4124" s="8">
        <v>41718</v>
      </c>
      <c r="C4124" s="6">
        <f ca="1">IF(OR($C$7="",$B4124&gt;NOW()),"",IF(INDEX(Data!$A:$G,MATCH($B4124,Data!$A:$A,0),MATCH($C$7,Data!$4:$4,0))="","",INDEX(Data!$A:$G,MATCH($B4124,Data!$A:$A,0),MATCH($C$7,Data!$4:$4,0))))</f>
        <v>45.3</v>
      </c>
      <c r="D4124" s="148">
        <f t="shared" ca="1" si="132"/>
        <v>19.700000000000003</v>
      </c>
      <c r="E4124" s="148">
        <f t="shared" ca="1" si="133"/>
        <v>0</v>
      </c>
    </row>
    <row r="4125" spans="2:5" x14ac:dyDescent="0.25">
      <c r="B4125" s="8">
        <v>41719</v>
      </c>
      <c r="C4125" s="6">
        <f ca="1">IF(OR($C$7="",$B4125&gt;NOW()),"",IF(INDEX(Data!$A:$G,MATCH($B4125,Data!$A:$A,0),MATCH($C$7,Data!$4:$4,0))="","",INDEX(Data!$A:$G,MATCH($B4125,Data!$A:$A,0),MATCH($C$7,Data!$4:$4,0))))</f>
        <v>43.7</v>
      </c>
      <c r="D4125" s="148">
        <f t="shared" ref="D4125:D4188" ca="1" si="134">IF($C4125="","",IF($C4125&gt;$D$26,0,$D$26-$C4125))</f>
        <v>21.299999999999997</v>
      </c>
      <c r="E4125" s="148">
        <f t="shared" ref="E4125:E4188" ca="1" si="135">IF($C4125="","",IF($C4125&lt;$E$26,0,$C4125-$E$26))</f>
        <v>0</v>
      </c>
    </row>
    <row r="4126" spans="2:5" x14ac:dyDescent="0.25">
      <c r="B4126" s="8">
        <v>41720</v>
      </c>
      <c r="C4126" s="6">
        <f ca="1">IF(OR($C$7="",$B4126&gt;NOW()),"",IF(INDEX(Data!$A:$G,MATCH($B4126,Data!$A:$A,0),MATCH($C$7,Data!$4:$4,0))="","",INDEX(Data!$A:$G,MATCH($B4126,Data!$A:$A,0),MATCH($C$7,Data!$4:$4,0))))</f>
        <v>48.4</v>
      </c>
      <c r="D4126" s="148">
        <f t="shared" ca="1" si="134"/>
        <v>16.600000000000001</v>
      </c>
      <c r="E4126" s="148">
        <f t="shared" ca="1" si="135"/>
        <v>0</v>
      </c>
    </row>
    <row r="4127" spans="2:5" x14ac:dyDescent="0.25">
      <c r="B4127" s="8">
        <v>41721</v>
      </c>
      <c r="C4127" s="6">
        <f ca="1">IF(OR($C$7="",$B4127&gt;NOW()),"",IF(INDEX(Data!$A:$G,MATCH($B4127,Data!$A:$A,0),MATCH($C$7,Data!$4:$4,0))="","",INDEX(Data!$A:$G,MATCH($B4127,Data!$A:$A,0),MATCH($C$7,Data!$4:$4,0))))</f>
        <v>41.5</v>
      </c>
      <c r="D4127" s="148">
        <f t="shared" ca="1" si="134"/>
        <v>23.5</v>
      </c>
      <c r="E4127" s="148">
        <f t="shared" ca="1" si="135"/>
        <v>0</v>
      </c>
    </row>
    <row r="4128" spans="2:5" x14ac:dyDescent="0.25">
      <c r="B4128" s="8">
        <v>41722</v>
      </c>
      <c r="C4128" s="6">
        <f ca="1">IF(OR($C$7="",$B4128&gt;NOW()),"",IF(INDEX(Data!$A:$G,MATCH($B4128,Data!$A:$A,0),MATCH($C$7,Data!$4:$4,0))="","",INDEX(Data!$A:$G,MATCH($B4128,Data!$A:$A,0),MATCH($C$7,Data!$4:$4,0))))</f>
        <v>28.1</v>
      </c>
      <c r="D4128" s="148">
        <f t="shared" ca="1" si="134"/>
        <v>36.9</v>
      </c>
      <c r="E4128" s="148">
        <f t="shared" ca="1" si="135"/>
        <v>0</v>
      </c>
    </row>
    <row r="4129" spans="2:5" x14ac:dyDescent="0.25">
      <c r="B4129" s="8">
        <v>41723</v>
      </c>
      <c r="C4129" s="6">
        <f ca="1">IF(OR($C$7="",$B4129&gt;NOW()),"",IF(INDEX(Data!$A:$G,MATCH($B4129,Data!$A:$A,0),MATCH($C$7,Data!$4:$4,0))="","",INDEX(Data!$A:$G,MATCH($B4129,Data!$A:$A,0),MATCH($C$7,Data!$4:$4,0))))</f>
        <v>31.6</v>
      </c>
      <c r="D4129" s="148">
        <f t="shared" ca="1" si="134"/>
        <v>33.4</v>
      </c>
      <c r="E4129" s="148">
        <f t="shared" ca="1" si="135"/>
        <v>0</v>
      </c>
    </row>
    <row r="4130" spans="2:5" x14ac:dyDescent="0.25">
      <c r="B4130" s="8">
        <v>41724</v>
      </c>
      <c r="C4130" s="6">
        <f ca="1">IF(OR($C$7="",$B4130&gt;NOW()),"",IF(INDEX(Data!$A:$G,MATCH($B4130,Data!$A:$A,0),MATCH($C$7,Data!$4:$4,0))="","",INDEX(Data!$A:$G,MATCH($B4130,Data!$A:$A,0),MATCH($C$7,Data!$4:$4,0))))</f>
        <v>33.4</v>
      </c>
      <c r="D4130" s="148">
        <f t="shared" ca="1" si="134"/>
        <v>31.6</v>
      </c>
      <c r="E4130" s="148">
        <f t="shared" ca="1" si="135"/>
        <v>0</v>
      </c>
    </row>
    <row r="4131" spans="2:5" x14ac:dyDescent="0.25">
      <c r="B4131" s="8">
        <v>41725</v>
      </c>
      <c r="C4131" s="6">
        <f ca="1">IF(OR($C$7="",$B4131&gt;NOW()),"",IF(INDEX(Data!$A:$G,MATCH($B4131,Data!$A:$A,0),MATCH($C$7,Data!$4:$4,0))="","",INDEX(Data!$A:$G,MATCH($B4131,Data!$A:$A,0),MATCH($C$7,Data!$4:$4,0))))</f>
        <v>30.1</v>
      </c>
      <c r="D4131" s="148">
        <f t="shared" ca="1" si="134"/>
        <v>34.9</v>
      </c>
      <c r="E4131" s="148">
        <f t="shared" ca="1" si="135"/>
        <v>0</v>
      </c>
    </row>
    <row r="4132" spans="2:5" x14ac:dyDescent="0.25">
      <c r="B4132" s="8">
        <v>41726</v>
      </c>
      <c r="C4132" s="6">
        <f ca="1">IF(OR($C$7="",$B4132&gt;NOW()),"",IF(INDEX(Data!$A:$G,MATCH($B4132,Data!$A:$A,0),MATCH($C$7,Data!$4:$4,0))="","",INDEX(Data!$A:$G,MATCH($B4132,Data!$A:$A,0),MATCH($C$7,Data!$4:$4,0))))</f>
        <v>44.9</v>
      </c>
      <c r="D4132" s="148">
        <f t="shared" ca="1" si="134"/>
        <v>20.100000000000001</v>
      </c>
      <c r="E4132" s="148">
        <f t="shared" ca="1" si="135"/>
        <v>0</v>
      </c>
    </row>
    <row r="4133" spans="2:5" x14ac:dyDescent="0.25">
      <c r="B4133" s="8">
        <v>41727</v>
      </c>
      <c r="C4133" s="6">
        <f ca="1">IF(OR($C$7="",$B4133&gt;NOW()),"",IF(INDEX(Data!$A:$G,MATCH($B4133,Data!$A:$A,0),MATCH($C$7,Data!$4:$4,0))="","",INDEX(Data!$A:$G,MATCH($B4133,Data!$A:$A,0),MATCH($C$7,Data!$4:$4,0))))</f>
        <v>48.3</v>
      </c>
      <c r="D4133" s="148">
        <f t="shared" ca="1" si="134"/>
        <v>16.700000000000003</v>
      </c>
      <c r="E4133" s="148">
        <f t="shared" ca="1" si="135"/>
        <v>0</v>
      </c>
    </row>
    <row r="4134" spans="2:5" x14ac:dyDescent="0.25">
      <c r="B4134" s="8">
        <v>41728</v>
      </c>
      <c r="C4134" s="6">
        <f ca="1">IF(OR($C$7="",$B4134&gt;NOW()),"",IF(INDEX(Data!$A:$G,MATCH($B4134,Data!$A:$A,0),MATCH($C$7,Data!$4:$4,0))="","",INDEX(Data!$A:$G,MATCH($B4134,Data!$A:$A,0),MATCH($C$7,Data!$4:$4,0))))</f>
        <v>44.1</v>
      </c>
      <c r="D4134" s="148">
        <f t="shared" ca="1" si="134"/>
        <v>20.9</v>
      </c>
      <c r="E4134" s="148">
        <f t="shared" ca="1" si="135"/>
        <v>0</v>
      </c>
    </row>
    <row r="4135" spans="2:5" x14ac:dyDescent="0.25">
      <c r="B4135" s="8">
        <v>41729</v>
      </c>
      <c r="C4135" s="6">
        <f ca="1">IF(OR($C$7="",$B4135&gt;NOW()),"",IF(INDEX(Data!$A:$G,MATCH($B4135,Data!$A:$A,0),MATCH($C$7,Data!$4:$4,0))="","",INDEX(Data!$A:$G,MATCH($B4135,Data!$A:$A,0),MATCH($C$7,Data!$4:$4,0))))</f>
        <v>42.1</v>
      </c>
      <c r="D4135" s="148">
        <f t="shared" ca="1" si="134"/>
        <v>22.9</v>
      </c>
      <c r="E4135" s="148">
        <f t="shared" ca="1" si="135"/>
        <v>0</v>
      </c>
    </row>
    <row r="4136" spans="2:5" x14ac:dyDescent="0.25">
      <c r="B4136" s="8">
        <v>41730</v>
      </c>
      <c r="C4136" s="6">
        <f ca="1">IF(OR($C$7="",$B4136&gt;NOW()),"",IF(INDEX(Data!$A:$G,MATCH($B4136,Data!$A:$A,0),MATCH($C$7,Data!$4:$4,0))="","",INDEX(Data!$A:$G,MATCH($B4136,Data!$A:$A,0),MATCH($C$7,Data!$4:$4,0))))</f>
        <v>45.9</v>
      </c>
      <c r="D4136" s="148">
        <f t="shared" ca="1" si="134"/>
        <v>19.100000000000001</v>
      </c>
      <c r="E4136" s="148">
        <f t="shared" ca="1" si="135"/>
        <v>0</v>
      </c>
    </row>
    <row r="4137" spans="2:5" x14ac:dyDescent="0.25">
      <c r="B4137" s="8">
        <v>41731</v>
      </c>
      <c r="C4137" s="6">
        <f ca="1">IF(OR($C$7="",$B4137&gt;NOW()),"",IF(INDEX(Data!$A:$G,MATCH($B4137,Data!$A:$A,0),MATCH($C$7,Data!$4:$4,0))="","",INDEX(Data!$A:$G,MATCH($B4137,Data!$A:$A,0),MATCH($C$7,Data!$4:$4,0))))</f>
        <v>45.6</v>
      </c>
      <c r="D4137" s="148">
        <f t="shared" ca="1" si="134"/>
        <v>19.399999999999999</v>
      </c>
      <c r="E4137" s="148">
        <f t="shared" ca="1" si="135"/>
        <v>0</v>
      </c>
    </row>
    <row r="4138" spans="2:5" x14ac:dyDescent="0.25">
      <c r="B4138" s="8">
        <v>41732</v>
      </c>
      <c r="C4138" s="6">
        <f ca="1">IF(OR($C$7="",$B4138&gt;NOW()),"",IF(INDEX(Data!$A:$G,MATCH($B4138,Data!$A:$A,0),MATCH($C$7,Data!$4:$4,0))="","",INDEX(Data!$A:$G,MATCH($B4138,Data!$A:$A,0),MATCH($C$7,Data!$4:$4,0))))</f>
        <v>50.7</v>
      </c>
      <c r="D4138" s="148">
        <f t="shared" ca="1" si="134"/>
        <v>14.299999999999997</v>
      </c>
      <c r="E4138" s="148">
        <f t="shared" ca="1" si="135"/>
        <v>0</v>
      </c>
    </row>
    <row r="4139" spans="2:5" x14ac:dyDescent="0.25">
      <c r="B4139" s="8">
        <v>41733</v>
      </c>
      <c r="C4139" s="6">
        <f ca="1">IF(OR($C$7="",$B4139&gt;NOW()),"",IF(INDEX(Data!$A:$G,MATCH($B4139,Data!$A:$A,0),MATCH($C$7,Data!$4:$4,0))="","",INDEX(Data!$A:$G,MATCH($B4139,Data!$A:$A,0),MATCH($C$7,Data!$4:$4,0))))</f>
        <v>44.7</v>
      </c>
      <c r="D4139" s="148">
        <f t="shared" ca="1" si="134"/>
        <v>20.299999999999997</v>
      </c>
      <c r="E4139" s="148">
        <f t="shared" ca="1" si="135"/>
        <v>0</v>
      </c>
    </row>
    <row r="4140" spans="2:5" x14ac:dyDescent="0.25">
      <c r="B4140" s="8">
        <v>41734</v>
      </c>
      <c r="C4140" s="6">
        <f ca="1">IF(OR($C$7="",$B4140&gt;NOW()),"",IF(INDEX(Data!$A:$G,MATCH($B4140,Data!$A:$A,0),MATCH($C$7,Data!$4:$4,0))="","",INDEX(Data!$A:$G,MATCH($B4140,Data!$A:$A,0),MATCH($C$7,Data!$4:$4,0))))</f>
        <v>45.3</v>
      </c>
      <c r="D4140" s="148">
        <f t="shared" ca="1" si="134"/>
        <v>19.700000000000003</v>
      </c>
      <c r="E4140" s="148">
        <f t="shared" ca="1" si="135"/>
        <v>0</v>
      </c>
    </row>
    <row r="4141" spans="2:5" x14ac:dyDescent="0.25">
      <c r="B4141" s="8">
        <v>41735</v>
      </c>
      <c r="C4141" s="6">
        <f ca="1">IF(OR($C$7="",$B4141&gt;NOW()),"",IF(INDEX(Data!$A:$G,MATCH($B4141,Data!$A:$A,0),MATCH($C$7,Data!$4:$4,0))="","",INDEX(Data!$A:$G,MATCH($B4141,Data!$A:$A,0),MATCH($C$7,Data!$4:$4,0))))</f>
        <v>44.9</v>
      </c>
      <c r="D4141" s="148">
        <f t="shared" ca="1" si="134"/>
        <v>20.100000000000001</v>
      </c>
      <c r="E4141" s="148">
        <f t="shared" ca="1" si="135"/>
        <v>0</v>
      </c>
    </row>
    <row r="4142" spans="2:5" x14ac:dyDescent="0.25">
      <c r="B4142" s="8">
        <v>41736</v>
      </c>
      <c r="C4142" s="6">
        <f ca="1">IF(OR($C$7="",$B4142&gt;NOW()),"",IF(INDEX(Data!$A:$G,MATCH($B4142,Data!$A:$A,0),MATCH($C$7,Data!$4:$4,0))="","",INDEX(Data!$A:$G,MATCH($B4142,Data!$A:$A,0),MATCH($C$7,Data!$4:$4,0))))</f>
        <v>46.1</v>
      </c>
      <c r="D4142" s="148">
        <f t="shared" ca="1" si="134"/>
        <v>18.899999999999999</v>
      </c>
      <c r="E4142" s="148">
        <f t="shared" ca="1" si="135"/>
        <v>0</v>
      </c>
    </row>
    <row r="4143" spans="2:5" x14ac:dyDescent="0.25">
      <c r="B4143" s="8">
        <v>41737</v>
      </c>
      <c r="C4143" s="6">
        <f ca="1">IF(OR($C$7="",$B4143&gt;NOW()),"",IF(INDEX(Data!$A:$G,MATCH($B4143,Data!$A:$A,0),MATCH($C$7,Data!$4:$4,0))="","",INDEX(Data!$A:$G,MATCH($B4143,Data!$A:$A,0),MATCH($C$7,Data!$4:$4,0))))</f>
        <v>51</v>
      </c>
      <c r="D4143" s="148">
        <f t="shared" ca="1" si="134"/>
        <v>14</v>
      </c>
      <c r="E4143" s="148">
        <f t="shared" ca="1" si="135"/>
        <v>0</v>
      </c>
    </row>
    <row r="4144" spans="2:5" x14ac:dyDescent="0.25">
      <c r="B4144" s="8">
        <v>41738</v>
      </c>
      <c r="C4144" s="6">
        <f ca="1">IF(OR($C$7="",$B4144&gt;NOW()),"",IF(INDEX(Data!$A:$G,MATCH($B4144,Data!$A:$A,0),MATCH($C$7,Data!$4:$4,0))="","",INDEX(Data!$A:$G,MATCH($B4144,Data!$A:$A,0),MATCH($C$7,Data!$4:$4,0))))</f>
        <v>51.4</v>
      </c>
      <c r="D4144" s="148">
        <f t="shared" ca="1" si="134"/>
        <v>13.600000000000001</v>
      </c>
      <c r="E4144" s="148">
        <f t="shared" ca="1" si="135"/>
        <v>0</v>
      </c>
    </row>
    <row r="4145" spans="2:5" x14ac:dyDescent="0.25">
      <c r="B4145" s="8">
        <v>41739</v>
      </c>
      <c r="C4145" s="6">
        <f ca="1">IF(OR($C$7="",$B4145&gt;NOW()),"",IF(INDEX(Data!$A:$G,MATCH($B4145,Data!$A:$A,0),MATCH($C$7,Data!$4:$4,0))="","",INDEX(Data!$A:$G,MATCH($B4145,Data!$A:$A,0),MATCH($C$7,Data!$4:$4,0))))</f>
        <v>49.8</v>
      </c>
      <c r="D4145" s="148">
        <f t="shared" ca="1" si="134"/>
        <v>15.200000000000003</v>
      </c>
      <c r="E4145" s="148">
        <f t="shared" ca="1" si="135"/>
        <v>0</v>
      </c>
    </row>
    <row r="4146" spans="2:5" x14ac:dyDescent="0.25">
      <c r="B4146" s="8">
        <v>41740</v>
      </c>
      <c r="C4146" s="6">
        <f ca="1">IF(OR($C$7="",$B4146&gt;NOW()),"",IF(INDEX(Data!$A:$G,MATCH($B4146,Data!$A:$A,0),MATCH($C$7,Data!$4:$4,0))="","",INDEX(Data!$A:$G,MATCH($B4146,Data!$A:$A,0),MATCH($C$7,Data!$4:$4,0))))</f>
        <v>59.2</v>
      </c>
      <c r="D4146" s="148">
        <f t="shared" ca="1" si="134"/>
        <v>5.7999999999999972</v>
      </c>
      <c r="E4146" s="148">
        <f t="shared" ca="1" si="135"/>
        <v>0</v>
      </c>
    </row>
    <row r="4147" spans="2:5" x14ac:dyDescent="0.25">
      <c r="B4147" s="8">
        <v>41741</v>
      </c>
      <c r="C4147" s="6">
        <f ca="1">IF(OR($C$7="",$B4147&gt;NOW()),"",IF(INDEX(Data!$A:$G,MATCH($B4147,Data!$A:$A,0),MATCH($C$7,Data!$4:$4,0))="","",INDEX(Data!$A:$G,MATCH($B4147,Data!$A:$A,0),MATCH($C$7,Data!$4:$4,0))))</f>
        <v>58.8</v>
      </c>
      <c r="D4147" s="148">
        <f t="shared" ca="1" si="134"/>
        <v>6.2000000000000028</v>
      </c>
      <c r="E4147" s="148">
        <f t="shared" ca="1" si="135"/>
        <v>0</v>
      </c>
    </row>
    <row r="4148" spans="2:5" x14ac:dyDescent="0.25">
      <c r="B4148" s="8">
        <v>41742</v>
      </c>
      <c r="C4148" s="6">
        <f ca="1">IF(OR($C$7="",$B4148&gt;NOW()),"",IF(INDEX(Data!$A:$G,MATCH($B4148,Data!$A:$A,0),MATCH($C$7,Data!$4:$4,0))="","",INDEX(Data!$A:$G,MATCH($B4148,Data!$A:$A,0),MATCH($C$7,Data!$4:$4,0))))</f>
        <v>59.8</v>
      </c>
      <c r="D4148" s="148">
        <f t="shared" ca="1" si="134"/>
        <v>5.2000000000000028</v>
      </c>
      <c r="E4148" s="148">
        <f t="shared" ca="1" si="135"/>
        <v>0</v>
      </c>
    </row>
    <row r="4149" spans="2:5" x14ac:dyDescent="0.25">
      <c r="B4149" s="8">
        <v>41743</v>
      </c>
      <c r="C4149" s="6">
        <f ca="1">IF(OR($C$7="",$B4149&gt;NOW()),"",IF(INDEX(Data!$A:$G,MATCH($B4149,Data!$A:$A,0),MATCH($C$7,Data!$4:$4,0))="","",INDEX(Data!$A:$G,MATCH($B4149,Data!$A:$A,0),MATCH($C$7,Data!$4:$4,0))))</f>
        <v>61.7</v>
      </c>
      <c r="D4149" s="148">
        <f t="shared" ca="1" si="134"/>
        <v>3.2999999999999972</v>
      </c>
      <c r="E4149" s="148">
        <f t="shared" ca="1" si="135"/>
        <v>0</v>
      </c>
    </row>
    <row r="4150" spans="2:5" x14ac:dyDescent="0.25">
      <c r="B4150" s="8">
        <v>41744</v>
      </c>
      <c r="C4150" s="6">
        <f ca="1">IF(OR($C$7="",$B4150&gt;NOW()),"",IF(INDEX(Data!$A:$G,MATCH($B4150,Data!$A:$A,0),MATCH($C$7,Data!$4:$4,0))="","",INDEX(Data!$A:$G,MATCH($B4150,Data!$A:$A,0),MATCH($C$7,Data!$4:$4,0))))</f>
        <v>56.9</v>
      </c>
      <c r="D4150" s="148">
        <f t="shared" ca="1" si="134"/>
        <v>8.1000000000000014</v>
      </c>
      <c r="E4150" s="148">
        <f t="shared" ca="1" si="135"/>
        <v>0</v>
      </c>
    </row>
    <row r="4151" spans="2:5" x14ac:dyDescent="0.25">
      <c r="B4151" s="8">
        <v>41745</v>
      </c>
      <c r="C4151" s="6">
        <f ca="1">IF(OR($C$7="",$B4151&gt;NOW()),"",IF(INDEX(Data!$A:$G,MATCH($B4151,Data!$A:$A,0),MATCH($C$7,Data!$4:$4,0))="","",INDEX(Data!$A:$G,MATCH($B4151,Data!$A:$A,0),MATCH($C$7,Data!$4:$4,0))))</f>
        <v>38.9</v>
      </c>
      <c r="D4151" s="148">
        <f t="shared" ca="1" si="134"/>
        <v>26.1</v>
      </c>
      <c r="E4151" s="148">
        <f t="shared" ca="1" si="135"/>
        <v>0</v>
      </c>
    </row>
    <row r="4152" spans="2:5" x14ac:dyDescent="0.25">
      <c r="B4152" s="8">
        <v>41746</v>
      </c>
      <c r="C4152" s="6">
        <f ca="1">IF(OR($C$7="",$B4152&gt;NOW()),"",IF(INDEX(Data!$A:$G,MATCH($B4152,Data!$A:$A,0),MATCH($C$7,Data!$4:$4,0))="","",INDEX(Data!$A:$G,MATCH($B4152,Data!$A:$A,0),MATCH($C$7,Data!$4:$4,0))))</f>
        <v>41.1</v>
      </c>
      <c r="D4152" s="148">
        <f t="shared" ca="1" si="134"/>
        <v>23.9</v>
      </c>
      <c r="E4152" s="148">
        <f t="shared" ca="1" si="135"/>
        <v>0</v>
      </c>
    </row>
    <row r="4153" spans="2:5" x14ac:dyDescent="0.25">
      <c r="B4153" s="8">
        <v>41747</v>
      </c>
      <c r="C4153" s="6">
        <f ca="1">IF(OR($C$7="",$B4153&gt;NOW()),"",IF(INDEX(Data!$A:$G,MATCH($B4153,Data!$A:$A,0),MATCH($C$7,Data!$4:$4,0))="","",INDEX(Data!$A:$G,MATCH($B4153,Data!$A:$A,0),MATCH($C$7,Data!$4:$4,0))))</f>
        <v>39.9</v>
      </c>
      <c r="D4153" s="148">
        <f t="shared" ca="1" si="134"/>
        <v>25.1</v>
      </c>
      <c r="E4153" s="148">
        <f t="shared" ca="1" si="135"/>
        <v>0</v>
      </c>
    </row>
    <row r="4154" spans="2:5" x14ac:dyDescent="0.25">
      <c r="B4154" s="8">
        <v>41748</v>
      </c>
      <c r="C4154" s="6">
        <f ca="1">IF(OR($C$7="",$B4154&gt;NOW()),"",IF(INDEX(Data!$A:$G,MATCH($B4154,Data!$A:$A,0),MATCH($C$7,Data!$4:$4,0))="","",INDEX(Data!$A:$G,MATCH($B4154,Data!$A:$A,0),MATCH($C$7,Data!$4:$4,0))))</f>
        <v>50.6</v>
      </c>
      <c r="D4154" s="148">
        <f t="shared" ca="1" si="134"/>
        <v>14.399999999999999</v>
      </c>
      <c r="E4154" s="148">
        <f t="shared" ca="1" si="135"/>
        <v>0</v>
      </c>
    </row>
    <row r="4155" spans="2:5" x14ac:dyDescent="0.25">
      <c r="B4155" s="8">
        <v>41749</v>
      </c>
      <c r="C4155" s="6">
        <f ca="1">IF(OR($C$7="",$B4155&gt;NOW()),"",IF(INDEX(Data!$A:$G,MATCH($B4155,Data!$A:$A,0),MATCH($C$7,Data!$4:$4,0))="","",INDEX(Data!$A:$G,MATCH($B4155,Data!$A:$A,0),MATCH($C$7,Data!$4:$4,0))))</f>
        <v>51.6</v>
      </c>
      <c r="D4155" s="148">
        <f t="shared" ca="1" si="134"/>
        <v>13.399999999999999</v>
      </c>
      <c r="E4155" s="148">
        <f t="shared" ca="1" si="135"/>
        <v>0</v>
      </c>
    </row>
    <row r="4156" spans="2:5" x14ac:dyDescent="0.25">
      <c r="B4156" s="8">
        <v>41750</v>
      </c>
      <c r="C4156" s="6">
        <f ca="1">IF(OR($C$7="",$B4156&gt;NOW()),"",IF(INDEX(Data!$A:$G,MATCH($B4156,Data!$A:$A,0),MATCH($C$7,Data!$4:$4,0))="","",INDEX(Data!$A:$G,MATCH($B4156,Data!$A:$A,0),MATCH($C$7,Data!$4:$4,0))))</f>
        <v>49.9</v>
      </c>
      <c r="D4156" s="148">
        <f t="shared" ca="1" si="134"/>
        <v>15.100000000000001</v>
      </c>
      <c r="E4156" s="148">
        <f t="shared" ca="1" si="135"/>
        <v>0</v>
      </c>
    </row>
    <row r="4157" spans="2:5" x14ac:dyDescent="0.25">
      <c r="B4157" s="8">
        <v>41751</v>
      </c>
      <c r="C4157" s="6">
        <f ca="1">IF(OR($C$7="",$B4157&gt;NOW()),"",IF(INDEX(Data!$A:$G,MATCH($B4157,Data!$A:$A,0),MATCH($C$7,Data!$4:$4,0))="","",INDEX(Data!$A:$G,MATCH($B4157,Data!$A:$A,0),MATCH($C$7,Data!$4:$4,0))))</f>
        <v>56.4</v>
      </c>
      <c r="D4157" s="148">
        <f t="shared" ca="1" si="134"/>
        <v>8.6000000000000014</v>
      </c>
      <c r="E4157" s="148">
        <f t="shared" ca="1" si="135"/>
        <v>0</v>
      </c>
    </row>
    <row r="4158" spans="2:5" x14ac:dyDescent="0.25">
      <c r="B4158" s="8">
        <v>41752</v>
      </c>
      <c r="C4158" s="6">
        <f ca="1">IF(OR($C$7="",$B4158&gt;NOW()),"",IF(INDEX(Data!$A:$G,MATCH($B4158,Data!$A:$A,0),MATCH($C$7,Data!$4:$4,0))="","",INDEX(Data!$A:$G,MATCH($B4158,Data!$A:$A,0),MATCH($C$7,Data!$4:$4,0))))</f>
        <v>55.6</v>
      </c>
      <c r="D4158" s="148">
        <f t="shared" ca="1" si="134"/>
        <v>9.3999999999999986</v>
      </c>
      <c r="E4158" s="148">
        <f t="shared" ca="1" si="135"/>
        <v>0</v>
      </c>
    </row>
    <row r="4159" spans="2:5" x14ac:dyDescent="0.25">
      <c r="B4159" s="8">
        <v>41753</v>
      </c>
      <c r="C4159" s="6">
        <f ca="1">IF(OR($C$7="",$B4159&gt;NOW()),"",IF(INDEX(Data!$A:$G,MATCH($B4159,Data!$A:$A,0),MATCH($C$7,Data!$4:$4,0))="","",INDEX(Data!$A:$G,MATCH($B4159,Data!$A:$A,0),MATCH($C$7,Data!$4:$4,0))))</f>
        <v>49.4</v>
      </c>
      <c r="D4159" s="148">
        <f t="shared" ca="1" si="134"/>
        <v>15.600000000000001</v>
      </c>
      <c r="E4159" s="148">
        <f t="shared" ca="1" si="135"/>
        <v>0</v>
      </c>
    </row>
    <row r="4160" spans="2:5" x14ac:dyDescent="0.25">
      <c r="B4160" s="8">
        <v>41754</v>
      </c>
      <c r="C4160" s="6">
        <f ca="1">IF(OR($C$7="",$B4160&gt;NOW()),"",IF(INDEX(Data!$A:$G,MATCH($B4160,Data!$A:$A,0),MATCH($C$7,Data!$4:$4,0))="","",INDEX(Data!$A:$G,MATCH($B4160,Data!$A:$A,0),MATCH($C$7,Data!$4:$4,0))))</f>
        <v>52.3</v>
      </c>
      <c r="D4160" s="148">
        <f t="shared" ca="1" si="134"/>
        <v>12.700000000000003</v>
      </c>
      <c r="E4160" s="148">
        <f t="shared" ca="1" si="135"/>
        <v>0</v>
      </c>
    </row>
    <row r="4161" spans="2:5" x14ac:dyDescent="0.25">
      <c r="B4161" s="8">
        <v>41755</v>
      </c>
      <c r="C4161" s="6">
        <f ca="1">IF(OR($C$7="",$B4161&gt;NOW()),"",IF(INDEX(Data!$A:$G,MATCH($B4161,Data!$A:$A,0),MATCH($C$7,Data!$4:$4,0))="","",INDEX(Data!$A:$G,MATCH($B4161,Data!$A:$A,0),MATCH($C$7,Data!$4:$4,0))))</f>
        <v>52</v>
      </c>
      <c r="D4161" s="148">
        <f t="shared" ca="1" si="134"/>
        <v>13</v>
      </c>
      <c r="E4161" s="148">
        <f t="shared" ca="1" si="135"/>
        <v>0</v>
      </c>
    </row>
    <row r="4162" spans="2:5" x14ac:dyDescent="0.25">
      <c r="B4162" s="8">
        <v>41756</v>
      </c>
      <c r="C4162" s="6">
        <f ca="1">IF(OR($C$7="",$B4162&gt;NOW()),"",IF(INDEX(Data!$A:$G,MATCH($B4162,Data!$A:$A,0),MATCH($C$7,Data!$4:$4,0))="","",INDEX(Data!$A:$G,MATCH($B4162,Data!$A:$A,0),MATCH($C$7,Data!$4:$4,0))))</f>
        <v>51.3</v>
      </c>
      <c r="D4162" s="148">
        <f t="shared" ca="1" si="134"/>
        <v>13.700000000000003</v>
      </c>
      <c r="E4162" s="148">
        <f t="shared" ca="1" si="135"/>
        <v>0</v>
      </c>
    </row>
    <row r="4163" spans="2:5" x14ac:dyDescent="0.25">
      <c r="B4163" s="8">
        <v>41757</v>
      </c>
      <c r="C4163" s="6">
        <f ca="1">IF(OR($C$7="",$B4163&gt;NOW()),"",IF(INDEX(Data!$A:$G,MATCH($B4163,Data!$A:$A,0),MATCH($C$7,Data!$4:$4,0))="","",INDEX(Data!$A:$G,MATCH($B4163,Data!$A:$A,0),MATCH($C$7,Data!$4:$4,0))))</f>
        <v>53.7</v>
      </c>
      <c r="D4163" s="148">
        <f t="shared" ca="1" si="134"/>
        <v>11.299999999999997</v>
      </c>
      <c r="E4163" s="148">
        <f t="shared" ca="1" si="135"/>
        <v>0</v>
      </c>
    </row>
    <row r="4164" spans="2:5" x14ac:dyDescent="0.25">
      <c r="B4164" s="8">
        <v>41758</v>
      </c>
      <c r="C4164" s="6">
        <f ca="1">IF(OR($C$7="",$B4164&gt;NOW()),"",IF(INDEX(Data!$A:$G,MATCH($B4164,Data!$A:$A,0),MATCH($C$7,Data!$4:$4,0))="","",INDEX(Data!$A:$G,MATCH($B4164,Data!$A:$A,0),MATCH($C$7,Data!$4:$4,0))))</f>
        <v>49.9</v>
      </c>
      <c r="D4164" s="148">
        <f t="shared" ca="1" si="134"/>
        <v>15.100000000000001</v>
      </c>
      <c r="E4164" s="148">
        <f t="shared" ca="1" si="135"/>
        <v>0</v>
      </c>
    </row>
    <row r="4165" spans="2:5" x14ac:dyDescent="0.25">
      <c r="B4165" s="8">
        <v>41759</v>
      </c>
      <c r="C4165" s="6">
        <f ca="1">IF(OR($C$7="",$B4165&gt;NOW()),"",IF(INDEX(Data!$A:$G,MATCH($B4165,Data!$A:$A,0),MATCH($C$7,Data!$4:$4,0))="","",INDEX(Data!$A:$G,MATCH($B4165,Data!$A:$A,0),MATCH($C$7,Data!$4:$4,0))))</f>
        <v>44.5</v>
      </c>
      <c r="D4165" s="148">
        <f t="shared" ca="1" si="134"/>
        <v>20.5</v>
      </c>
      <c r="E4165" s="148">
        <f t="shared" ca="1" si="135"/>
        <v>0</v>
      </c>
    </row>
    <row r="4166" spans="2:5" x14ac:dyDescent="0.25">
      <c r="B4166" s="8">
        <v>41760</v>
      </c>
      <c r="C4166" s="6">
        <f ca="1">IF(OR($C$7="",$B4166&gt;NOW()),"",IF(INDEX(Data!$A:$G,MATCH($B4166,Data!$A:$A,0),MATCH($C$7,Data!$4:$4,0))="","",INDEX(Data!$A:$G,MATCH($B4166,Data!$A:$A,0),MATCH($C$7,Data!$4:$4,0))))</f>
        <v>59.3</v>
      </c>
      <c r="D4166" s="148">
        <f t="shared" ca="1" si="134"/>
        <v>5.7000000000000028</v>
      </c>
      <c r="E4166" s="148">
        <f t="shared" ca="1" si="135"/>
        <v>0</v>
      </c>
    </row>
    <row r="4167" spans="2:5" x14ac:dyDescent="0.25">
      <c r="B4167" s="8">
        <v>41761</v>
      </c>
      <c r="C4167" s="6">
        <f ca="1">IF(OR($C$7="",$B4167&gt;NOW()),"",IF(INDEX(Data!$A:$G,MATCH($B4167,Data!$A:$A,0),MATCH($C$7,Data!$4:$4,0))="","",INDEX(Data!$A:$G,MATCH($B4167,Data!$A:$A,0),MATCH($C$7,Data!$4:$4,0))))</f>
        <v>62.8</v>
      </c>
      <c r="D4167" s="148">
        <f t="shared" ca="1" si="134"/>
        <v>2.2000000000000028</v>
      </c>
      <c r="E4167" s="148">
        <f t="shared" ca="1" si="135"/>
        <v>0</v>
      </c>
    </row>
    <row r="4168" spans="2:5" x14ac:dyDescent="0.25">
      <c r="B4168" s="8">
        <v>41762</v>
      </c>
      <c r="C4168" s="6">
        <f ca="1">IF(OR($C$7="",$B4168&gt;NOW()),"",IF(INDEX(Data!$A:$G,MATCH($B4168,Data!$A:$A,0),MATCH($C$7,Data!$4:$4,0))="","",INDEX(Data!$A:$G,MATCH($B4168,Data!$A:$A,0),MATCH($C$7,Data!$4:$4,0))))</f>
        <v>61.7</v>
      </c>
      <c r="D4168" s="148">
        <f t="shared" ca="1" si="134"/>
        <v>3.2999999999999972</v>
      </c>
      <c r="E4168" s="148">
        <f t="shared" ca="1" si="135"/>
        <v>0</v>
      </c>
    </row>
    <row r="4169" spans="2:5" x14ac:dyDescent="0.25">
      <c r="B4169" s="8">
        <v>41763</v>
      </c>
      <c r="C4169" s="6">
        <f ca="1">IF(OR($C$7="",$B4169&gt;NOW()),"",IF(INDEX(Data!$A:$G,MATCH($B4169,Data!$A:$A,0),MATCH($C$7,Data!$4:$4,0))="","",INDEX(Data!$A:$G,MATCH($B4169,Data!$A:$A,0),MATCH($C$7,Data!$4:$4,0))))</f>
        <v>58.7</v>
      </c>
      <c r="D4169" s="148">
        <f t="shared" ca="1" si="134"/>
        <v>6.2999999999999972</v>
      </c>
      <c r="E4169" s="148">
        <f t="shared" ca="1" si="135"/>
        <v>0</v>
      </c>
    </row>
    <row r="4170" spans="2:5" x14ac:dyDescent="0.25">
      <c r="B4170" s="8">
        <v>41764</v>
      </c>
      <c r="C4170" s="6">
        <f ca="1">IF(OR($C$7="",$B4170&gt;NOW()),"",IF(INDEX(Data!$A:$G,MATCH($B4170,Data!$A:$A,0),MATCH($C$7,Data!$4:$4,0))="","",INDEX(Data!$A:$G,MATCH($B4170,Data!$A:$A,0),MATCH($C$7,Data!$4:$4,0))))</f>
        <v>57.5</v>
      </c>
      <c r="D4170" s="148">
        <f t="shared" ca="1" si="134"/>
        <v>7.5</v>
      </c>
      <c r="E4170" s="148">
        <f t="shared" ca="1" si="135"/>
        <v>0</v>
      </c>
    </row>
    <row r="4171" spans="2:5" x14ac:dyDescent="0.25">
      <c r="B4171" s="8">
        <v>41765</v>
      </c>
      <c r="C4171" s="6">
        <f ca="1">IF(OR($C$7="",$B4171&gt;NOW()),"",IF(INDEX(Data!$A:$G,MATCH($B4171,Data!$A:$A,0),MATCH($C$7,Data!$4:$4,0))="","",INDEX(Data!$A:$G,MATCH($B4171,Data!$A:$A,0),MATCH($C$7,Data!$4:$4,0))))</f>
        <v>59.2</v>
      </c>
      <c r="D4171" s="148">
        <f t="shared" ca="1" si="134"/>
        <v>5.7999999999999972</v>
      </c>
      <c r="E4171" s="148">
        <f t="shared" ca="1" si="135"/>
        <v>0</v>
      </c>
    </row>
    <row r="4172" spans="2:5" x14ac:dyDescent="0.25">
      <c r="B4172" s="8">
        <v>41766</v>
      </c>
      <c r="C4172" s="6">
        <f ca="1">IF(OR($C$7="",$B4172&gt;NOW()),"",IF(INDEX(Data!$A:$G,MATCH($B4172,Data!$A:$A,0),MATCH($C$7,Data!$4:$4,0))="","",INDEX(Data!$A:$G,MATCH($B4172,Data!$A:$A,0),MATCH($C$7,Data!$4:$4,0))))</f>
        <v>59</v>
      </c>
      <c r="D4172" s="148">
        <f t="shared" ca="1" si="134"/>
        <v>6</v>
      </c>
      <c r="E4172" s="148">
        <f t="shared" ca="1" si="135"/>
        <v>0</v>
      </c>
    </row>
    <row r="4173" spans="2:5" x14ac:dyDescent="0.25">
      <c r="B4173" s="8">
        <v>41767</v>
      </c>
      <c r="C4173" s="6">
        <f ca="1">IF(OR($C$7="",$B4173&gt;NOW()),"",IF(INDEX(Data!$A:$G,MATCH($B4173,Data!$A:$A,0),MATCH($C$7,Data!$4:$4,0))="","",INDEX(Data!$A:$G,MATCH($B4173,Data!$A:$A,0),MATCH($C$7,Data!$4:$4,0))))</f>
        <v>55.6</v>
      </c>
      <c r="D4173" s="148">
        <f t="shared" ca="1" si="134"/>
        <v>9.3999999999999986</v>
      </c>
      <c r="E4173" s="148">
        <f t="shared" ca="1" si="135"/>
        <v>0</v>
      </c>
    </row>
    <row r="4174" spans="2:5" x14ac:dyDescent="0.25">
      <c r="B4174" s="8">
        <v>41768</v>
      </c>
      <c r="C4174" s="6">
        <f ca="1">IF(OR($C$7="",$B4174&gt;NOW()),"",IF(INDEX(Data!$A:$G,MATCH($B4174,Data!$A:$A,0),MATCH($C$7,Data!$4:$4,0))="","",INDEX(Data!$A:$G,MATCH($B4174,Data!$A:$A,0),MATCH($C$7,Data!$4:$4,0))))</f>
        <v>54.9</v>
      </c>
      <c r="D4174" s="148">
        <f t="shared" ca="1" si="134"/>
        <v>10.100000000000001</v>
      </c>
      <c r="E4174" s="148">
        <f t="shared" ca="1" si="135"/>
        <v>0</v>
      </c>
    </row>
    <row r="4175" spans="2:5" x14ac:dyDescent="0.25">
      <c r="B4175" s="8">
        <v>41769</v>
      </c>
      <c r="C4175" s="6">
        <f ca="1">IF(OR($C$7="",$B4175&gt;NOW()),"",IF(INDEX(Data!$A:$G,MATCH($B4175,Data!$A:$A,0),MATCH($C$7,Data!$4:$4,0))="","",INDEX(Data!$A:$G,MATCH($B4175,Data!$A:$A,0),MATCH($C$7,Data!$4:$4,0))))</f>
        <v>65.400000000000006</v>
      </c>
      <c r="D4175" s="148">
        <f t="shared" ca="1" si="134"/>
        <v>0</v>
      </c>
      <c r="E4175" s="148">
        <f t="shared" ca="1" si="135"/>
        <v>0.40000000000000568</v>
      </c>
    </row>
    <row r="4176" spans="2:5" x14ac:dyDescent="0.25">
      <c r="B4176" s="8">
        <v>41770</v>
      </c>
      <c r="C4176" s="6">
        <f ca="1">IF(OR($C$7="",$B4176&gt;NOW()),"",IF(INDEX(Data!$A:$G,MATCH($B4176,Data!$A:$A,0),MATCH($C$7,Data!$4:$4,0))="","",INDEX(Data!$A:$G,MATCH($B4176,Data!$A:$A,0),MATCH($C$7,Data!$4:$4,0))))</f>
        <v>69.3</v>
      </c>
      <c r="D4176" s="148">
        <f t="shared" ca="1" si="134"/>
        <v>0</v>
      </c>
      <c r="E4176" s="148">
        <f t="shared" ca="1" si="135"/>
        <v>4.2999999999999972</v>
      </c>
    </row>
    <row r="4177" spans="2:5" x14ac:dyDescent="0.25">
      <c r="B4177" s="8">
        <v>41771</v>
      </c>
      <c r="C4177" s="6">
        <f ca="1">IF(OR($C$7="",$B4177&gt;NOW()),"",IF(INDEX(Data!$A:$G,MATCH($B4177,Data!$A:$A,0),MATCH($C$7,Data!$4:$4,0))="","",INDEX(Data!$A:$G,MATCH($B4177,Data!$A:$A,0),MATCH($C$7,Data!$4:$4,0))))</f>
        <v>73.2</v>
      </c>
      <c r="D4177" s="148">
        <f t="shared" ca="1" si="134"/>
        <v>0</v>
      </c>
      <c r="E4177" s="148">
        <f t="shared" ca="1" si="135"/>
        <v>8.2000000000000028</v>
      </c>
    </row>
    <row r="4178" spans="2:5" x14ac:dyDescent="0.25">
      <c r="B4178" s="8">
        <v>41772</v>
      </c>
      <c r="C4178" s="6">
        <f ca="1">IF(OR($C$7="",$B4178&gt;NOW()),"",IF(INDEX(Data!$A:$G,MATCH($B4178,Data!$A:$A,0),MATCH($C$7,Data!$4:$4,0))="","",INDEX(Data!$A:$G,MATCH($B4178,Data!$A:$A,0),MATCH($C$7,Data!$4:$4,0))))</f>
        <v>65.8</v>
      </c>
      <c r="D4178" s="148">
        <f t="shared" ca="1" si="134"/>
        <v>0</v>
      </c>
      <c r="E4178" s="148">
        <f t="shared" ca="1" si="135"/>
        <v>0.79999999999999716</v>
      </c>
    </row>
    <row r="4179" spans="2:5" x14ac:dyDescent="0.25">
      <c r="B4179" s="8">
        <v>41773</v>
      </c>
      <c r="C4179" s="6">
        <f ca="1">IF(OR($C$7="",$B4179&gt;NOW()),"",IF(INDEX(Data!$A:$G,MATCH($B4179,Data!$A:$A,0),MATCH($C$7,Data!$4:$4,0))="","",INDEX(Data!$A:$G,MATCH($B4179,Data!$A:$A,0),MATCH($C$7,Data!$4:$4,0))))</f>
        <v>56.5</v>
      </c>
      <c r="D4179" s="148">
        <f t="shared" ca="1" si="134"/>
        <v>8.5</v>
      </c>
      <c r="E4179" s="148">
        <f t="shared" ca="1" si="135"/>
        <v>0</v>
      </c>
    </row>
    <row r="4180" spans="2:5" x14ac:dyDescent="0.25">
      <c r="B4180" s="8">
        <v>41774</v>
      </c>
      <c r="C4180" s="6">
        <f ca="1">IF(OR($C$7="",$B4180&gt;NOW()),"",IF(INDEX(Data!$A:$G,MATCH($B4180,Data!$A:$A,0),MATCH($C$7,Data!$4:$4,0))="","",INDEX(Data!$A:$G,MATCH($B4180,Data!$A:$A,0),MATCH($C$7,Data!$4:$4,0))))</f>
        <v>60.7</v>
      </c>
      <c r="D4180" s="148">
        <f t="shared" ca="1" si="134"/>
        <v>4.2999999999999972</v>
      </c>
      <c r="E4180" s="148">
        <f t="shared" ca="1" si="135"/>
        <v>0</v>
      </c>
    </row>
    <row r="4181" spans="2:5" x14ac:dyDescent="0.25">
      <c r="B4181" s="8">
        <v>41775</v>
      </c>
      <c r="C4181" s="6">
        <f ca="1">IF(OR($C$7="",$B4181&gt;NOW()),"",IF(INDEX(Data!$A:$G,MATCH($B4181,Data!$A:$A,0),MATCH($C$7,Data!$4:$4,0))="","",INDEX(Data!$A:$G,MATCH($B4181,Data!$A:$A,0),MATCH($C$7,Data!$4:$4,0))))</f>
        <v>67.2</v>
      </c>
      <c r="D4181" s="148">
        <f t="shared" ca="1" si="134"/>
        <v>0</v>
      </c>
      <c r="E4181" s="148">
        <f t="shared" ca="1" si="135"/>
        <v>2.2000000000000028</v>
      </c>
    </row>
    <row r="4182" spans="2:5" x14ac:dyDescent="0.25">
      <c r="B4182" s="8">
        <v>41776</v>
      </c>
      <c r="C4182" s="6">
        <f ca="1">IF(OR($C$7="",$B4182&gt;NOW()),"",IF(INDEX(Data!$A:$G,MATCH($B4182,Data!$A:$A,0),MATCH($C$7,Data!$4:$4,0))="","",INDEX(Data!$A:$G,MATCH($B4182,Data!$A:$A,0),MATCH($C$7,Data!$4:$4,0))))</f>
        <v>62.2</v>
      </c>
      <c r="D4182" s="148">
        <f t="shared" ca="1" si="134"/>
        <v>2.7999999999999972</v>
      </c>
      <c r="E4182" s="148">
        <f t="shared" ca="1" si="135"/>
        <v>0</v>
      </c>
    </row>
    <row r="4183" spans="2:5" x14ac:dyDescent="0.25">
      <c r="B4183" s="8">
        <v>41777</v>
      </c>
      <c r="C4183" s="6">
        <f ca="1">IF(OR($C$7="",$B4183&gt;NOW()),"",IF(INDEX(Data!$A:$G,MATCH($B4183,Data!$A:$A,0),MATCH($C$7,Data!$4:$4,0))="","",INDEX(Data!$A:$G,MATCH($B4183,Data!$A:$A,0),MATCH($C$7,Data!$4:$4,0))))</f>
        <v>60.4</v>
      </c>
      <c r="D4183" s="148">
        <f t="shared" ca="1" si="134"/>
        <v>4.6000000000000014</v>
      </c>
      <c r="E4183" s="148">
        <f t="shared" ca="1" si="135"/>
        <v>0</v>
      </c>
    </row>
    <row r="4184" spans="2:5" x14ac:dyDescent="0.25">
      <c r="B4184" s="8">
        <v>41778</v>
      </c>
      <c r="C4184" s="6">
        <f ca="1">IF(OR($C$7="",$B4184&gt;NOW()),"",IF(INDEX(Data!$A:$G,MATCH($B4184,Data!$A:$A,0),MATCH($C$7,Data!$4:$4,0))="","",INDEX(Data!$A:$G,MATCH($B4184,Data!$A:$A,0),MATCH($C$7,Data!$4:$4,0))))</f>
        <v>60.4</v>
      </c>
      <c r="D4184" s="148">
        <f t="shared" ca="1" si="134"/>
        <v>4.6000000000000014</v>
      </c>
      <c r="E4184" s="148">
        <f t="shared" ca="1" si="135"/>
        <v>0</v>
      </c>
    </row>
    <row r="4185" spans="2:5" x14ac:dyDescent="0.25">
      <c r="B4185" s="8">
        <v>41779</v>
      </c>
      <c r="C4185" s="6">
        <f ca="1">IF(OR($C$7="",$B4185&gt;NOW()),"",IF(INDEX(Data!$A:$G,MATCH($B4185,Data!$A:$A,0),MATCH($C$7,Data!$4:$4,0))="","",INDEX(Data!$A:$G,MATCH($B4185,Data!$A:$A,0),MATCH($C$7,Data!$4:$4,0))))</f>
        <v>65.5</v>
      </c>
      <c r="D4185" s="148">
        <f t="shared" ca="1" si="134"/>
        <v>0</v>
      </c>
      <c r="E4185" s="148">
        <f t="shared" ca="1" si="135"/>
        <v>0.5</v>
      </c>
    </row>
    <row r="4186" spans="2:5" x14ac:dyDescent="0.25">
      <c r="B4186" s="8">
        <v>41780</v>
      </c>
      <c r="C4186" s="6">
        <f ca="1">IF(OR($C$7="",$B4186&gt;NOW()),"",IF(INDEX(Data!$A:$G,MATCH($B4186,Data!$A:$A,0),MATCH($C$7,Data!$4:$4,0))="","",INDEX(Data!$A:$G,MATCH($B4186,Data!$A:$A,0),MATCH($C$7,Data!$4:$4,0))))</f>
        <v>69.7</v>
      </c>
      <c r="D4186" s="148">
        <f t="shared" ca="1" si="134"/>
        <v>0</v>
      </c>
      <c r="E4186" s="148">
        <f t="shared" ca="1" si="135"/>
        <v>4.7000000000000028</v>
      </c>
    </row>
    <row r="4187" spans="2:5" x14ac:dyDescent="0.25">
      <c r="B4187" s="8">
        <v>41781</v>
      </c>
      <c r="C4187" s="6">
        <f ca="1">IF(OR($C$7="",$B4187&gt;NOW()),"",IF(INDEX(Data!$A:$G,MATCH($B4187,Data!$A:$A,0),MATCH($C$7,Data!$4:$4,0))="","",INDEX(Data!$A:$G,MATCH($B4187,Data!$A:$A,0),MATCH($C$7,Data!$4:$4,0))))</f>
        <v>62.9</v>
      </c>
      <c r="D4187" s="148">
        <f t="shared" ca="1" si="134"/>
        <v>2.1000000000000014</v>
      </c>
      <c r="E4187" s="148">
        <f t="shared" ca="1" si="135"/>
        <v>0</v>
      </c>
    </row>
    <row r="4188" spans="2:5" x14ac:dyDescent="0.25">
      <c r="B4188" s="8">
        <v>41782</v>
      </c>
      <c r="C4188" s="6">
        <f ca="1">IF(OR($C$7="",$B4188&gt;NOW()),"",IF(INDEX(Data!$A:$G,MATCH($B4188,Data!$A:$A,0),MATCH($C$7,Data!$4:$4,0))="","",INDEX(Data!$A:$G,MATCH($B4188,Data!$A:$A,0),MATCH($C$7,Data!$4:$4,0))))</f>
        <v>60.3</v>
      </c>
      <c r="D4188" s="148">
        <f t="shared" ca="1" si="134"/>
        <v>4.7000000000000028</v>
      </c>
      <c r="E4188" s="148">
        <f t="shared" ca="1" si="135"/>
        <v>0</v>
      </c>
    </row>
    <row r="4189" spans="2:5" x14ac:dyDescent="0.25">
      <c r="B4189" s="8">
        <v>41783</v>
      </c>
      <c r="C4189" s="6">
        <f ca="1">IF(OR($C$7="",$B4189&gt;NOW()),"",IF(INDEX(Data!$A:$G,MATCH($B4189,Data!$A:$A,0),MATCH($C$7,Data!$4:$4,0))="","",INDEX(Data!$A:$G,MATCH($B4189,Data!$A:$A,0),MATCH($C$7,Data!$4:$4,0))))</f>
        <v>60.2</v>
      </c>
      <c r="D4189" s="148">
        <f t="shared" ref="D4189:D4252" ca="1" si="136">IF($C4189="","",IF($C4189&gt;$D$26,0,$D$26-$C4189))</f>
        <v>4.7999999999999972</v>
      </c>
      <c r="E4189" s="148">
        <f t="shared" ref="E4189:E4252" ca="1" si="137">IF($C4189="","",IF($C4189&lt;$E$26,0,$C4189-$E$26))</f>
        <v>0</v>
      </c>
    </row>
    <row r="4190" spans="2:5" x14ac:dyDescent="0.25">
      <c r="B4190" s="8">
        <v>41784</v>
      </c>
      <c r="C4190" s="6">
        <f ca="1">IF(OR($C$7="",$B4190&gt;NOW()),"",IF(INDEX(Data!$A:$G,MATCH($B4190,Data!$A:$A,0),MATCH($C$7,Data!$4:$4,0))="","",INDEX(Data!$A:$G,MATCH($B4190,Data!$A:$A,0),MATCH($C$7,Data!$4:$4,0))))</f>
        <v>65.5</v>
      </c>
      <c r="D4190" s="148">
        <f t="shared" ca="1" si="136"/>
        <v>0</v>
      </c>
      <c r="E4190" s="148">
        <f t="shared" ca="1" si="137"/>
        <v>0.5</v>
      </c>
    </row>
    <row r="4191" spans="2:5" x14ac:dyDescent="0.25">
      <c r="B4191" s="8">
        <v>41785</v>
      </c>
      <c r="C4191" s="6">
        <f ca="1">IF(OR($C$7="",$B4191&gt;NOW()),"",IF(INDEX(Data!$A:$G,MATCH($B4191,Data!$A:$A,0),MATCH($C$7,Data!$4:$4,0))="","",INDEX(Data!$A:$G,MATCH($B4191,Data!$A:$A,0),MATCH($C$7,Data!$4:$4,0))))</f>
        <v>75.2</v>
      </c>
      <c r="D4191" s="148">
        <f t="shared" ca="1" si="136"/>
        <v>0</v>
      </c>
      <c r="E4191" s="148">
        <f t="shared" ca="1" si="137"/>
        <v>10.200000000000003</v>
      </c>
    </row>
    <row r="4192" spans="2:5" x14ac:dyDescent="0.25">
      <c r="B4192" s="8">
        <v>41786</v>
      </c>
      <c r="C4192" s="6">
        <f ca="1">IF(OR($C$7="",$B4192&gt;NOW()),"",IF(INDEX(Data!$A:$G,MATCH($B4192,Data!$A:$A,0),MATCH($C$7,Data!$4:$4,0))="","",INDEX(Data!$A:$G,MATCH($B4192,Data!$A:$A,0),MATCH($C$7,Data!$4:$4,0))))</f>
        <v>79.5</v>
      </c>
      <c r="D4192" s="148">
        <f t="shared" ca="1" si="136"/>
        <v>0</v>
      </c>
      <c r="E4192" s="148">
        <f t="shared" ca="1" si="137"/>
        <v>14.5</v>
      </c>
    </row>
    <row r="4193" spans="2:5" x14ac:dyDescent="0.25">
      <c r="B4193" s="8">
        <v>41787</v>
      </c>
      <c r="C4193" s="6">
        <f ca="1">IF(OR($C$7="",$B4193&gt;NOW()),"",IF(INDEX(Data!$A:$G,MATCH($B4193,Data!$A:$A,0),MATCH($C$7,Data!$4:$4,0))="","",INDEX(Data!$A:$G,MATCH($B4193,Data!$A:$A,0),MATCH($C$7,Data!$4:$4,0))))</f>
        <v>61.3</v>
      </c>
      <c r="D4193" s="148">
        <f t="shared" ca="1" si="136"/>
        <v>3.7000000000000028</v>
      </c>
      <c r="E4193" s="148">
        <f t="shared" ca="1" si="137"/>
        <v>0</v>
      </c>
    </row>
    <row r="4194" spans="2:5" x14ac:dyDescent="0.25">
      <c r="B4194" s="8">
        <v>41788</v>
      </c>
      <c r="C4194" s="6">
        <f ca="1">IF(OR($C$7="",$B4194&gt;NOW()),"",IF(INDEX(Data!$A:$G,MATCH($B4194,Data!$A:$A,0),MATCH($C$7,Data!$4:$4,0))="","",INDEX(Data!$A:$G,MATCH($B4194,Data!$A:$A,0),MATCH($C$7,Data!$4:$4,0))))</f>
        <v>55.6</v>
      </c>
      <c r="D4194" s="148">
        <f t="shared" ca="1" si="136"/>
        <v>9.3999999999999986</v>
      </c>
      <c r="E4194" s="148">
        <f t="shared" ca="1" si="137"/>
        <v>0</v>
      </c>
    </row>
    <row r="4195" spans="2:5" x14ac:dyDescent="0.25">
      <c r="B4195" s="8">
        <v>41789</v>
      </c>
      <c r="C4195" s="6">
        <f ca="1">IF(OR($C$7="",$B4195&gt;NOW()),"",IF(INDEX(Data!$A:$G,MATCH($B4195,Data!$A:$A,0),MATCH($C$7,Data!$4:$4,0))="","",INDEX(Data!$A:$G,MATCH($B4195,Data!$A:$A,0),MATCH($C$7,Data!$4:$4,0))))</f>
        <v>63.2</v>
      </c>
      <c r="D4195" s="148">
        <f t="shared" ca="1" si="136"/>
        <v>1.7999999999999972</v>
      </c>
      <c r="E4195" s="148">
        <f t="shared" ca="1" si="137"/>
        <v>0</v>
      </c>
    </row>
    <row r="4196" spans="2:5" x14ac:dyDescent="0.25">
      <c r="B4196" s="8">
        <v>41790</v>
      </c>
      <c r="C4196" s="6">
        <f ca="1">IF(OR($C$7="",$B4196&gt;NOW()),"",IF(INDEX(Data!$A:$G,MATCH($B4196,Data!$A:$A,0),MATCH($C$7,Data!$4:$4,0))="","",INDEX(Data!$A:$G,MATCH($B4196,Data!$A:$A,0),MATCH($C$7,Data!$4:$4,0))))</f>
        <v>64</v>
      </c>
      <c r="D4196" s="148">
        <f t="shared" ca="1" si="136"/>
        <v>1</v>
      </c>
      <c r="E4196" s="148">
        <f t="shared" ca="1" si="137"/>
        <v>0</v>
      </c>
    </row>
    <row r="4197" spans="2:5" x14ac:dyDescent="0.25">
      <c r="B4197" s="8">
        <v>41791</v>
      </c>
      <c r="C4197" s="6">
        <f ca="1">IF(OR($C$7="",$B4197&gt;NOW()),"",IF(INDEX(Data!$A:$G,MATCH($B4197,Data!$A:$A,0),MATCH($C$7,Data!$4:$4,0))="","",INDEX(Data!$A:$G,MATCH($B4197,Data!$A:$A,0),MATCH($C$7,Data!$4:$4,0))))</f>
        <v>65.099999999999994</v>
      </c>
      <c r="D4197" s="148">
        <f t="shared" ca="1" si="136"/>
        <v>0</v>
      </c>
      <c r="E4197" s="148">
        <f t="shared" ca="1" si="137"/>
        <v>9.9999999999994316E-2</v>
      </c>
    </row>
    <row r="4198" spans="2:5" x14ac:dyDescent="0.25">
      <c r="B4198" s="8">
        <v>41792</v>
      </c>
      <c r="C4198" s="6">
        <f ca="1">IF(OR($C$7="",$B4198&gt;NOW()),"",IF(INDEX(Data!$A:$G,MATCH($B4198,Data!$A:$A,0),MATCH($C$7,Data!$4:$4,0))="","",INDEX(Data!$A:$G,MATCH($B4198,Data!$A:$A,0),MATCH($C$7,Data!$4:$4,0))))</f>
        <v>69.7</v>
      </c>
      <c r="D4198" s="148">
        <f t="shared" ca="1" si="136"/>
        <v>0</v>
      </c>
      <c r="E4198" s="148">
        <f t="shared" ca="1" si="137"/>
        <v>4.7000000000000028</v>
      </c>
    </row>
    <row r="4199" spans="2:5" x14ac:dyDescent="0.25">
      <c r="B4199" s="8">
        <v>41793</v>
      </c>
      <c r="C4199" s="6">
        <f ca="1">IF(OR($C$7="",$B4199&gt;NOW()),"",IF(INDEX(Data!$A:$G,MATCH($B4199,Data!$A:$A,0),MATCH($C$7,Data!$4:$4,0))="","",INDEX(Data!$A:$G,MATCH($B4199,Data!$A:$A,0),MATCH($C$7,Data!$4:$4,0))))</f>
        <v>75.7</v>
      </c>
      <c r="D4199" s="148">
        <f t="shared" ca="1" si="136"/>
        <v>0</v>
      </c>
      <c r="E4199" s="148">
        <f t="shared" ca="1" si="137"/>
        <v>10.700000000000003</v>
      </c>
    </row>
    <row r="4200" spans="2:5" x14ac:dyDescent="0.25">
      <c r="B4200" s="8">
        <v>41794</v>
      </c>
      <c r="C4200" s="6">
        <f ca="1">IF(OR($C$7="",$B4200&gt;NOW()),"",IF(INDEX(Data!$A:$G,MATCH($B4200,Data!$A:$A,0),MATCH($C$7,Data!$4:$4,0))="","",INDEX(Data!$A:$G,MATCH($B4200,Data!$A:$A,0),MATCH($C$7,Data!$4:$4,0))))</f>
        <v>69.5</v>
      </c>
      <c r="D4200" s="148">
        <f t="shared" ca="1" si="136"/>
        <v>0</v>
      </c>
      <c r="E4200" s="148">
        <f t="shared" ca="1" si="137"/>
        <v>4.5</v>
      </c>
    </row>
    <row r="4201" spans="2:5" x14ac:dyDescent="0.25">
      <c r="B4201" s="8">
        <v>41795</v>
      </c>
      <c r="C4201" s="6">
        <f ca="1">IF(OR($C$7="",$B4201&gt;NOW()),"",IF(INDEX(Data!$A:$G,MATCH($B4201,Data!$A:$A,0),MATCH($C$7,Data!$4:$4,0))="","",INDEX(Data!$A:$G,MATCH($B4201,Data!$A:$A,0),MATCH($C$7,Data!$4:$4,0))))</f>
        <v>67</v>
      </c>
      <c r="D4201" s="148">
        <f t="shared" ca="1" si="136"/>
        <v>0</v>
      </c>
      <c r="E4201" s="148">
        <f t="shared" ca="1" si="137"/>
        <v>2</v>
      </c>
    </row>
    <row r="4202" spans="2:5" x14ac:dyDescent="0.25">
      <c r="B4202" s="8">
        <v>41796</v>
      </c>
      <c r="C4202" s="6">
        <f ca="1">IF(OR($C$7="",$B4202&gt;NOW()),"",IF(INDEX(Data!$A:$G,MATCH($B4202,Data!$A:$A,0),MATCH($C$7,Data!$4:$4,0))="","",INDEX(Data!$A:$G,MATCH($B4202,Data!$A:$A,0),MATCH($C$7,Data!$4:$4,0))))</f>
        <v>67.8</v>
      </c>
      <c r="D4202" s="148">
        <f t="shared" ca="1" si="136"/>
        <v>0</v>
      </c>
      <c r="E4202" s="148">
        <f t="shared" ca="1" si="137"/>
        <v>2.7999999999999972</v>
      </c>
    </row>
    <row r="4203" spans="2:5" x14ac:dyDescent="0.25">
      <c r="B4203" s="8">
        <v>41797</v>
      </c>
      <c r="C4203" s="6">
        <f ca="1">IF(OR($C$7="",$B4203&gt;NOW()),"",IF(INDEX(Data!$A:$G,MATCH($B4203,Data!$A:$A,0),MATCH($C$7,Data!$4:$4,0))="","",INDEX(Data!$A:$G,MATCH($B4203,Data!$A:$A,0),MATCH($C$7,Data!$4:$4,0))))</f>
        <v>71.5</v>
      </c>
      <c r="D4203" s="148">
        <f t="shared" ca="1" si="136"/>
        <v>0</v>
      </c>
      <c r="E4203" s="148">
        <f t="shared" ca="1" si="137"/>
        <v>6.5</v>
      </c>
    </row>
    <row r="4204" spans="2:5" x14ac:dyDescent="0.25">
      <c r="B4204" s="8">
        <v>41798</v>
      </c>
      <c r="C4204" s="6">
        <f ca="1">IF(OR($C$7="",$B4204&gt;NOW()),"",IF(INDEX(Data!$A:$G,MATCH($B4204,Data!$A:$A,0),MATCH($C$7,Data!$4:$4,0))="","",INDEX(Data!$A:$G,MATCH($B4204,Data!$A:$A,0),MATCH($C$7,Data!$4:$4,0))))</f>
        <v>76.400000000000006</v>
      </c>
      <c r="D4204" s="148">
        <f t="shared" ca="1" si="136"/>
        <v>0</v>
      </c>
      <c r="E4204" s="148">
        <f t="shared" ca="1" si="137"/>
        <v>11.400000000000006</v>
      </c>
    </row>
    <row r="4205" spans="2:5" x14ac:dyDescent="0.25">
      <c r="B4205" s="8">
        <v>41799</v>
      </c>
      <c r="C4205" s="6">
        <f ca="1">IF(OR($C$7="",$B4205&gt;NOW()),"",IF(INDEX(Data!$A:$G,MATCH($B4205,Data!$A:$A,0),MATCH($C$7,Data!$4:$4,0))="","",INDEX(Data!$A:$G,MATCH($B4205,Data!$A:$A,0),MATCH($C$7,Data!$4:$4,0))))</f>
        <v>68</v>
      </c>
      <c r="D4205" s="148">
        <f t="shared" ca="1" si="136"/>
        <v>0</v>
      </c>
      <c r="E4205" s="148">
        <f t="shared" ca="1" si="137"/>
        <v>3</v>
      </c>
    </row>
    <row r="4206" spans="2:5" x14ac:dyDescent="0.25">
      <c r="B4206" s="8">
        <v>41800</v>
      </c>
      <c r="C4206" s="6">
        <f ca="1">IF(OR($C$7="",$B4206&gt;NOW()),"",IF(INDEX(Data!$A:$G,MATCH($B4206,Data!$A:$A,0),MATCH($C$7,Data!$4:$4,0))="","",INDEX(Data!$A:$G,MATCH($B4206,Data!$A:$A,0),MATCH($C$7,Data!$4:$4,0))))</f>
        <v>66.900000000000006</v>
      </c>
      <c r="D4206" s="148">
        <f t="shared" ca="1" si="136"/>
        <v>0</v>
      </c>
      <c r="E4206" s="148">
        <f t="shared" ca="1" si="137"/>
        <v>1.9000000000000057</v>
      </c>
    </row>
    <row r="4207" spans="2:5" x14ac:dyDescent="0.25">
      <c r="B4207" s="8">
        <v>41801</v>
      </c>
      <c r="C4207" s="6">
        <f ca="1">IF(OR($C$7="",$B4207&gt;NOW()),"",IF(INDEX(Data!$A:$G,MATCH($B4207,Data!$A:$A,0),MATCH($C$7,Data!$4:$4,0))="","",INDEX(Data!$A:$G,MATCH($B4207,Data!$A:$A,0),MATCH($C$7,Data!$4:$4,0))))</f>
        <v>65.599999999999994</v>
      </c>
      <c r="D4207" s="148">
        <f t="shared" ca="1" si="136"/>
        <v>0</v>
      </c>
      <c r="E4207" s="148">
        <f t="shared" ca="1" si="137"/>
        <v>0.59999999999999432</v>
      </c>
    </row>
    <row r="4208" spans="2:5" x14ac:dyDescent="0.25">
      <c r="B4208" s="8">
        <v>41802</v>
      </c>
      <c r="C4208" s="6">
        <f ca="1">IF(OR($C$7="",$B4208&gt;NOW()),"",IF(INDEX(Data!$A:$G,MATCH($B4208,Data!$A:$A,0),MATCH($C$7,Data!$4:$4,0))="","",INDEX(Data!$A:$G,MATCH($B4208,Data!$A:$A,0),MATCH($C$7,Data!$4:$4,0))))</f>
        <v>63.6</v>
      </c>
      <c r="D4208" s="148">
        <f t="shared" ca="1" si="136"/>
        <v>1.3999999999999986</v>
      </c>
      <c r="E4208" s="148">
        <f t="shared" ca="1" si="137"/>
        <v>0</v>
      </c>
    </row>
    <row r="4209" spans="2:5" x14ac:dyDescent="0.25">
      <c r="B4209" s="8">
        <v>41803</v>
      </c>
      <c r="C4209" s="6">
        <f ca="1">IF(OR($C$7="",$B4209&gt;NOW()),"",IF(INDEX(Data!$A:$G,MATCH($B4209,Data!$A:$A,0),MATCH($C$7,Data!$4:$4,0))="","",INDEX(Data!$A:$G,MATCH($B4209,Data!$A:$A,0),MATCH($C$7,Data!$4:$4,0))))</f>
        <v>65.7</v>
      </c>
      <c r="D4209" s="148">
        <f t="shared" ca="1" si="136"/>
        <v>0</v>
      </c>
      <c r="E4209" s="148">
        <f t="shared" ca="1" si="137"/>
        <v>0.70000000000000284</v>
      </c>
    </row>
    <row r="4210" spans="2:5" x14ac:dyDescent="0.25">
      <c r="B4210" s="8">
        <v>41804</v>
      </c>
      <c r="C4210" s="6">
        <f ca="1">IF(OR($C$7="",$B4210&gt;NOW()),"",IF(INDEX(Data!$A:$G,MATCH($B4210,Data!$A:$A,0),MATCH($C$7,Data!$4:$4,0))="","",INDEX(Data!$A:$G,MATCH($B4210,Data!$A:$A,0),MATCH($C$7,Data!$4:$4,0))))</f>
        <v>69.599999999999994</v>
      </c>
      <c r="D4210" s="148">
        <f t="shared" ca="1" si="136"/>
        <v>0</v>
      </c>
      <c r="E4210" s="148">
        <f t="shared" ca="1" si="137"/>
        <v>4.5999999999999943</v>
      </c>
    </row>
    <row r="4211" spans="2:5" x14ac:dyDescent="0.25">
      <c r="B4211" s="8">
        <v>41805</v>
      </c>
      <c r="C4211" s="6">
        <f ca="1">IF(OR($C$7="",$B4211&gt;NOW()),"",IF(INDEX(Data!$A:$G,MATCH($B4211,Data!$A:$A,0),MATCH($C$7,Data!$4:$4,0))="","",INDEX(Data!$A:$G,MATCH($B4211,Data!$A:$A,0),MATCH($C$7,Data!$4:$4,0))))</f>
        <v>67.599999999999994</v>
      </c>
      <c r="D4211" s="148">
        <f t="shared" ca="1" si="136"/>
        <v>0</v>
      </c>
      <c r="E4211" s="148">
        <f t="shared" ca="1" si="137"/>
        <v>2.5999999999999943</v>
      </c>
    </row>
    <row r="4212" spans="2:5" x14ac:dyDescent="0.25">
      <c r="B4212" s="8">
        <v>41806</v>
      </c>
      <c r="C4212" s="6">
        <f ca="1">IF(OR($C$7="",$B4212&gt;NOW()),"",IF(INDEX(Data!$A:$G,MATCH($B4212,Data!$A:$A,0),MATCH($C$7,Data!$4:$4,0))="","",INDEX(Data!$A:$G,MATCH($B4212,Data!$A:$A,0),MATCH($C$7,Data!$4:$4,0))))</f>
        <v>72</v>
      </c>
      <c r="D4212" s="148">
        <f t="shared" ca="1" si="136"/>
        <v>0</v>
      </c>
      <c r="E4212" s="148">
        <f t="shared" ca="1" si="137"/>
        <v>7</v>
      </c>
    </row>
    <row r="4213" spans="2:5" x14ac:dyDescent="0.25">
      <c r="B4213" s="8">
        <v>41807</v>
      </c>
      <c r="C4213" s="6">
        <f ca="1">IF(OR($C$7="",$B4213&gt;NOW()),"",IF(INDEX(Data!$A:$G,MATCH($B4213,Data!$A:$A,0),MATCH($C$7,Data!$4:$4,0))="","",INDEX(Data!$A:$G,MATCH($B4213,Data!$A:$A,0),MATCH($C$7,Data!$4:$4,0))))</f>
        <v>76.7</v>
      </c>
      <c r="D4213" s="148">
        <f t="shared" ca="1" si="136"/>
        <v>0</v>
      </c>
      <c r="E4213" s="148">
        <f t="shared" ca="1" si="137"/>
        <v>11.700000000000003</v>
      </c>
    </row>
    <row r="4214" spans="2:5" x14ac:dyDescent="0.25">
      <c r="B4214" s="8">
        <v>41808</v>
      </c>
      <c r="C4214" s="6">
        <f ca="1">IF(OR($C$7="",$B4214&gt;NOW()),"",IF(INDEX(Data!$A:$G,MATCH($B4214,Data!$A:$A,0),MATCH($C$7,Data!$4:$4,0))="","",INDEX(Data!$A:$G,MATCH($B4214,Data!$A:$A,0),MATCH($C$7,Data!$4:$4,0))))</f>
        <v>83.2</v>
      </c>
      <c r="D4214" s="148">
        <f t="shared" ca="1" si="136"/>
        <v>0</v>
      </c>
      <c r="E4214" s="148">
        <f t="shared" ca="1" si="137"/>
        <v>18.200000000000003</v>
      </c>
    </row>
    <row r="4215" spans="2:5" x14ac:dyDescent="0.25">
      <c r="B4215" s="8">
        <v>41809</v>
      </c>
      <c r="C4215" s="6">
        <f ca="1">IF(OR($C$7="",$B4215&gt;NOW()),"",IF(INDEX(Data!$A:$G,MATCH($B4215,Data!$A:$A,0),MATCH($C$7,Data!$4:$4,0))="","",INDEX(Data!$A:$G,MATCH($B4215,Data!$A:$A,0),MATCH($C$7,Data!$4:$4,0))))</f>
        <v>74.8</v>
      </c>
      <c r="D4215" s="148">
        <f t="shared" ca="1" si="136"/>
        <v>0</v>
      </c>
      <c r="E4215" s="148">
        <f t="shared" ca="1" si="137"/>
        <v>9.7999999999999972</v>
      </c>
    </row>
    <row r="4216" spans="2:5" x14ac:dyDescent="0.25">
      <c r="B4216" s="8">
        <v>41810</v>
      </c>
      <c r="C4216" s="6">
        <f ca="1">IF(OR($C$7="",$B4216&gt;NOW()),"",IF(INDEX(Data!$A:$G,MATCH($B4216,Data!$A:$A,0),MATCH($C$7,Data!$4:$4,0))="","",INDEX(Data!$A:$G,MATCH($B4216,Data!$A:$A,0),MATCH($C$7,Data!$4:$4,0))))</f>
        <v>73.3</v>
      </c>
      <c r="D4216" s="148">
        <f t="shared" ca="1" si="136"/>
        <v>0</v>
      </c>
      <c r="E4216" s="148">
        <f t="shared" ca="1" si="137"/>
        <v>8.2999999999999972</v>
      </c>
    </row>
    <row r="4217" spans="2:5" x14ac:dyDescent="0.25">
      <c r="B4217" s="8">
        <v>41811</v>
      </c>
      <c r="C4217" s="6">
        <f ca="1">IF(OR($C$7="",$B4217&gt;NOW()),"",IF(INDEX(Data!$A:$G,MATCH($B4217,Data!$A:$A,0),MATCH($C$7,Data!$4:$4,0))="","",INDEX(Data!$A:$G,MATCH($B4217,Data!$A:$A,0),MATCH($C$7,Data!$4:$4,0))))</f>
        <v>70</v>
      </c>
      <c r="D4217" s="148">
        <f t="shared" ca="1" si="136"/>
        <v>0</v>
      </c>
      <c r="E4217" s="148">
        <f t="shared" ca="1" si="137"/>
        <v>5</v>
      </c>
    </row>
    <row r="4218" spans="2:5" x14ac:dyDescent="0.25">
      <c r="B4218" s="8">
        <v>41812</v>
      </c>
      <c r="C4218" s="6">
        <f ca="1">IF(OR($C$7="",$B4218&gt;NOW()),"",IF(INDEX(Data!$A:$G,MATCH($B4218,Data!$A:$A,0),MATCH($C$7,Data!$4:$4,0))="","",INDEX(Data!$A:$G,MATCH($B4218,Data!$A:$A,0),MATCH($C$7,Data!$4:$4,0))))</f>
        <v>70.099999999999994</v>
      </c>
      <c r="D4218" s="148">
        <f t="shared" ca="1" si="136"/>
        <v>0</v>
      </c>
      <c r="E4218" s="148">
        <f t="shared" ca="1" si="137"/>
        <v>5.0999999999999943</v>
      </c>
    </row>
    <row r="4219" spans="2:5" x14ac:dyDescent="0.25">
      <c r="B4219" s="8">
        <v>41813</v>
      </c>
      <c r="C4219" s="6">
        <f ca="1">IF(OR($C$7="",$B4219&gt;NOW()),"",IF(INDEX(Data!$A:$G,MATCH($B4219,Data!$A:$A,0),MATCH($C$7,Data!$4:$4,0))="","",INDEX(Data!$A:$G,MATCH($B4219,Data!$A:$A,0),MATCH($C$7,Data!$4:$4,0))))</f>
        <v>73.2</v>
      </c>
      <c r="D4219" s="148">
        <f t="shared" ca="1" si="136"/>
        <v>0</v>
      </c>
      <c r="E4219" s="148">
        <f t="shared" ca="1" si="137"/>
        <v>8.2000000000000028</v>
      </c>
    </row>
    <row r="4220" spans="2:5" x14ac:dyDescent="0.25">
      <c r="B4220" s="8">
        <v>41814</v>
      </c>
      <c r="C4220" s="6">
        <f ca="1">IF(OR($C$7="",$B4220&gt;NOW()),"",IF(INDEX(Data!$A:$G,MATCH($B4220,Data!$A:$A,0),MATCH($C$7,Data!$4:$4,0))="","",INDEX(Data!$A:$G,MATCH($B4220,Data!$A:$A,0),MATCH($C$7,Data!$4:$4,0))))</f>
        <v>73.5</v>
      </c>
      <c r="D4220" s="148">
        <f t="shared" ca="1" si="136"/>
        <v>0</v>
      </c>
      <c r="E4220" s="148">
        <f t="shared" ca="1" si="137"/>
        <v>8.5</v>
      </c>
    </row>
    <row r="4221" spans="2:5" x14ac:dyDescent="0.25">
      <c r="B4221" s="8">
        <v>41815</v>
      </c>
      <c r="C4221" s="6">
        <f ca="1">IF(OR($C$7="",$B4221&gt;NOW()),"",IF(INDEX(Data!$A:$G,MATCH($B4221,Data!$A:$A,0),MATCH($C$7,Data!$4:$4,0))="","",INDEX(Data!$A:$G,MATCH($B4221,Data!$A:$A,0),MATCH($C$7,Data!$4:$4,0))))</f>
        <v>75.400000000000006</v>
      </c>
      <c r="D4221" s="148">
        <f t="shared" ca="1" si="136"/>
        <v>0</v>
      </c>
      <c r="E4221" s="148">
        <f t="shared" ca="1" si="137"/>
        <v>10.400000000000006</v>
      </c>
    </row>
    <row r="4222" spans="2:5" x14ac:dyDescent="0.25">
      <c r="B4222" s="8">
        <v>41816</v>
      </c>
      <c r="C4222" s="6">
        <f ca="1">IF(OR($C$7="",$B4222&gt;NOW()),"",IF(INDEX(Data!$A:$G,MATCH($B4222,Data!$A:$A,0),MATCH($C$7,Data!$4:$4,0))="","",INDEX(Data!$A:$G,MATCH($B4222,Data!$A:$A,0),MATCH($C$7,Data!$4:$4,0))))</f>
        <v>77.5</v>
      </c>
      <c r="D4222" s="148">
        <f t="shared" ca="1" si="136"/>
        <v>0</v>
      </c>
      <c r="E4222" s="148">
        <f t="shared" ca="1" si="137"/>
        <v>12.5</v>
      </c>
    </row>
    <row r="4223" spans="2:5" x14ac:dyDescent="0.25">
      <c r="B4223" s="8">
        <v>41817</v>
      </c>
      <c r="C4223" s="6">
        <f ca="1">IF(OR($C$7="",$B4223&gt;NOW()),"",IF(INDEX(Data!$A:$G,MATCH($B4223,Data!$A:$A,0),MATCH($C$7,Data!$4:$4,0))="","",INDEX(Data!$A:$G,MATCH($B4223,Data!$A:$A,0),MATCH($C$7,Data!$4:$4,0))))</f>
        <v>74.5</v>
      </c>
      <c r="D4223" s="148">
        <f t="shared" ca="1" si="136"/>
        <v>0</v>
      </c>
      <c r="E4223" s="148">
        <f t="shared" ca="1" si="137"/>
        <v>9.5</v>
      </c>
    </row>
    <row r="4224" spans="2:5" x14ac:dyDescent="0.25">
      <c r="B4224" s="8">
        <v>41818</v>
      </c>
      <c r="C4224" s="6">
        <f ca="1">IF(OR($C$7="",$B4224&gt;NOW()),"",IF(INDEX(Data!$A:$G,MATCH($B4224,Data!$A:$A,0),MATCH($C$7,Data!$4:$4,0))="","",INDEX(Data!$A:$G,MATCH($B4224,Data!$A:$A,0),MATCH($C$7,Data!$4:$4,0))))</f>
        <v>75.599999999999994</v>
      </c>
      <c r="D4224" s="148">
        <f t="shared" ca="1" si="136"/>
        <v>0</v>
      </c>
      <c r="E4224" s="148">
        <f t="shared" ca="1" si="137"/>
        <v>10.599999999999994</v>
      </c>
    </row>
    <row r="4225" spans="2:5" x14ac:dyDescent="0.25">
      <c r="B4225" s="8">
        <v>41819</v>
      </c>
      <c r="C4225" s="6">
        <f ca="1">IF(OR($C$7="",$B4225&gt;NOW()),"",IF(INDEX(Data!$A:$G,MATCH($B4225,Data!$A:$A,0),MATCH($C$7,Data!$4:$4,0))="","",INDEX(Data!$A:$G,MATCH($B4225,Data!$A:$A,0),MATCH($C$7,Data!$4:$4,0))))</f>
        <v>74.900000000000006</v>
      </c>
      <c r="D4225" s="148">
        <f t="shared" ca="1" si="136"/>
        <v>0</v>
      </c>
      <c r="E4225" s="148">
        <f t="shared" ca="1" si="137"/>
        <v>9.9000000000000057</v>
      </c>
    </row>
    <row r="4226" spans="2:5" x14ac:dyDescent="0.25">
      <c r="B4226" s="8">
        <v>41820</v>
      </c>
      <c r="C4226" s="6">
        <f ca="1">IF(OR($C$7="",$B4226&gt;NOW()),"",IF(INDEX(Data!$A:$G,MATCH($B4226,Data!$A:$A,0),MATCH($C$7,Data!$4:$4,0))="","",INDEX(Data!$A:$G,MATCH($B4226,Data!$A:$A,0),MATCH($C$7,Data!$4:$4,0))))</f>
        <v>75.8</v>
      </c>
      <c r="D4226" s="148">
        <f t="shared" ca="1" si="136"/>
        <v>0</v>
      </c>
      <c r="E4226" s="148">
        <f t="shared" ca="1" si="137"/>
        <v>10.799999999999997</v>
      </c>
    </row>
    <row r="4227" spans="2:5" x14ac:dyDescent="0.25">
      <c r="B4227" s="8">
        <v>41821</v>
      </c>
      <c r="C4227" s="6">
        <f ca="1">IF(OR($C$7="",$B4227&gt;NOW()),"",IF(INDEX(Data!$A:$G,MATCH($B4227,Data!$A:$A,0),MATCH($C$7,Data!$4:$4,0))="","",INDEX(Data!$A:$G,MATCH($B4227,Data!$A:$A,0),MATCH($C$7,Data!$4:$4,0))))</f>
        <v>79</v>
      </c>
      <c r="D4227" s="148">
        <f t="shared" ca="1" si="136"/>
        <v>0</v>
      </c>
      <c r="E4227" s="148">
        <f t="shared" ca="1" si="137"/>
        <v>14</v>
      </c>
    </row>
    <row r="4228" spans="2:5" x14ac:dyDescent="0.25">
      <c r="B4228" s="8">
        <v>41822</v>
      </c>
      <c r="C4228" s="6">
        <f ca="1">IF(OR($C$7="",$B4228&gt;NOW()),"",IF(INDEX(Data!$A:$G,MATCH($B4228,Data!$A:$A,0),MATCH($C$7,Data!$4:$4,0))="","",INDEX(Data!$A:$G,MATCH($B4228,Data!$A:$A,0),MATCH($C$7,Data!$4:$4,0))))</f>
        <v>81.7</v>
      </c>
      <c r="D4228" s="148">
        <f t="shared" ca="1" si="136"/>
        <v>0</v>
      </c>
      <c r="E4228" s="148">
        <f t="shared" ca="1" si="137"/>
        <v>16.700000000000003</v>
      </c>
    </row>
    <row r="4229" spans="2:5" x14ac:dyDescent="0.25">
      <c r="B4229" s="8">
        <v>41823</v>
      </c>
      <c r="C4229" s="6">
        <f ca="1">IF(OR($C$7="",$B4229&gt;NOW()),"",IF(INDEX(Data!$A:$G,MATCH($B4229,Data!$A:$A,0),MATCH($C$7,Data!$4:$4,0))="","",INDEX(Data!$A:$G,MATCH($B4229,Data!$A:$A,0),MATCH($C$7,Data!$4:$4,0))))</f>
        <v>78.900000000000006</v>
      </c>
      <c r="D4229" s="148">
        <f t="shared" ca="1" si="136"/>
        <v>0</v>
      </c>
      <c r="E4229" s="148">
        <f t="shared" ca="1" si="137"/>
        <v>13.900000000000006</v>
      </c>
    </row>
    <row r="4230" spans="2:5" x14ac:dyDescent="0.25">
      <c r="B4230" s="8">
        <v>41824</v>
      </c>
      <c r="C4230" s="6">
        <f ca="1">IF(OR($C$7="",$B4230&gt;NOW()),"",IF(INDEX(Data!$A:$G,MATCH($B4230,Data!$A:$A,0),MATCH($C$7,Data!$4:$4,0))="","",INDEX(Data!$A:$G,MATCH($B4230,Data!$A:$A,0),MATCH($C$7,Data!$4:$4,0))))</f>
        <v>71.099999999999994</v>
      </c>
      <c r="D4230" s="148">
        <f t="shared" ca="1" si="136"/>
        <v>0</v>
      </c>
      <c r="E4230" s="148">
        <f t="shared" ca="1" si="137"/>
        <v>6.0999999999999943</v>
      </c>
    </row>
    <row r="4231" spans="2:5" x14ac:dyDescent="0.25">
      <c r="B4231" s="8">
        <v>41825</v>
      </c>
      <c r="C4231" s="6">
        <f ca="1">IF(OR($C$7="",$B4231&gt;NOW()),"",IF(INDEX(Data!$A:$G,MATCH($B4231,Data!$A:$A,0),MATCH($C$7,Data!$4:$4,0))="","",INDEX(Data!$A:$G,MATCH($B4231,Data!$A:$A,0),MATCH($C$7,Data!$4:$4,0))))</f>
        <v>71.8</v>
      </c>
      <c r="D4231" s="148">
        <f t="shared" ca="1" si="136"/>
        <v>0</v>
      </c>
      <c r="E4231" s="148">
        <f t="shared" ca="1" si="137"/>
        <v>6.7999999999999972</v>
      </c>
    </row>
    <row r="4232" spans="2:5" x14ac:dyDescent="0.25">
      <c r="B4232" s="8">
        <v>41826</v>
      </c>
      <c r="C4232" s="6">
        <f ca="1">IF(OR($C$7="",$B4232&gt;NOW()),"",IF(INDEX(Data!$A:$G,MATCH($B4232,Data!$A:$A,0),MATCH($C$7,Data!$4:$4,0))="","",INDEX(Data!$A:$G,MATCH($B4232,Data!$A:$A,0),MATCH($C$7,Data!$4:$4,0))))</f>
        <v>78.2</v>
      </c>
      <c r="D4232" s="148">
        <f t="shared" ca="1" si="136"/>
        <v>0</v>
      </c>
      <c r="E4232" s="148">
        <f t="shared" ca="1" si="137"/>
        <v>13.200000000000003</v>
      </c>
    </row>
    <row r="4233" spans="2:5" x14ac:dyDescent="0.25">
      <c r="B4233" s="8">
        <v>41827</v>
      </c>
      <c r="C4233" s="6">
        <f ca="1">IF(OR($C$7="",$B4233&gt;NOW()),"",IF(INDEX(Data!$A:$G,MATCH($B4233,Data!$A:$A,0),MATCH($C$7,Data!$4:$4,0))="","",INDEX(Data!$A:$G,MATCH($B4233,Data!$A:$A,0),MATCH($C$7,Data!$4:$4,0))))</f>
        <v>81.3</v>
      </c>
      <c r="D4233" s="148">
        <f t="shared" ca="1" si="136"/>
        <v>0</v>
      </c>
      <c r="E4233" s="148">
        <f t="shared" ca="1" si="137"/>
        <v>16.299999999999997</v>
      </c>
    </row>
    <row r="4234" spans="2:5" x14ac:dyDescent="0.25">
      <c r="B4234" s="8">
        <v>41828</v>
      </c>
      <c r="C4234" s="6">
        <f ca="1">IF(OR($C$7="",$B4234&gt;NOW()),"",IF(INDEX(Data!$A:$G,MATCH($B4234,Data!$A:$A,0),MATCH($C$7,Data!$4:$4,0))="","",INDEX(Data!$A:$G,MATCH($B4234,Data!$A:$A,0),MATCH($C$7,Data!$4:$4,0))))</f>
        <v>83.8</v>
      </c>
      <c r="D4234" s="148">
        <f t="shared" ca="1" si="136"/>
        <v>0</v>
      </c>
      <c r="E4234" s="148">
        <f t="shared" ca="1" si="137"/>
        <v>18.799999999999997</v>
      </c>
    </row>
    <row r="4235" spans="2:5" x14ac:dyDescent="0.25">
      <c r="B4235" s="8">
        <v>41829</v>
      </c>
      <c r="C4235" s="6">
        <f ca="1">IF(OR($C$7="",$B4235&gt;NOW()),"",IF(INDEX(Data!$A:$G,MATCH($B4235,Data!$A:$A,0),MATCH($C$7,Data!$4:$4,0))="","",INDEX(Data!$A:$G,MATCH($B4235,Data!$A:$A,0),MATCH($C$7,Data!$4:$4,0))))</f>
        <v>79.5</v>
      </c>
      <c r="D4235" s="148">
        <f t="shared" ca="1" si="136"/>
        <v>0</v>
      </c>
      <c r="E4235" s="148">
        <f t="shared" ca="1" si="137"/>
        <v>14.5</v>
      </c>
    </row>
    <row r="4236" spans="2:5" x14ac:dyDescent="0.25">
      <c r="B4236" s="8">
        <v>41830</v>
      </c>
      <c r="C4236" s="6">
        <f ca="1">IF(OR($C$7="",$B4236&gt;NOW()),"",IF(INDEX(Data!$A:$G,MATCH($B4236,Data!$A:$A,0),MATCH($C$7,Data!$4:$4,0))="","",INDEX(Data!$A:$G,MATCH($B4236,Data!$A:$A,0),MATCH($C$7,Data!$4:$4,0))))</f>
        <v>76.3</v>
      </c>
      <c r="D4236" s="148">
        <f t="shared" ca="1" si="136"/>
        <v>0</v>
      </c>
      <c r="E4236" s="148">
        <f t="shared" ca="1" si="137"/>
        <v>11.299999999999997</v>
      </c>
    </row>
    <row r="4237" spans="2:5" x14ac:dyDescent="0.25">
      <c r="B4237" s="8">
        <v>41831</v>
      </c>
      <c r="C4237" s="6">
        <f ca="1">IF(OR($C$7="",$B4237&gt;NOW()),"",IF(INDEX(Data!$A:$G,MATCH($B4237,Data!$A:$A,0),MATCH($C$7,Data!$4:$4,0))="","",INDEX(Data!$A:$G,MATCH($B4237,Data!$A:$A,0),MATCH($C$7,Data!$4:$4,0))))</f>
        <v>76.900000000000006</v>
      </c>
      <c r="D4237" s="148">
        <f t="shared" ca="1" si="136"/>
        <v>0</v>
      </c>
      <c r="E4237" s="148">
        <f t="shared" ca="1" si="137"/>
        <v>11.900000000000006</v>
      </c>
    </row>
    <row r="4238" spans="2:5" x14ac:dyDescent="0.25">
      <c r="B4238" s="8">
        <v>41832</v>
      </c>
      <c r="C4238" s="6">
        <f ca="1">IF(OR($C$7="",$B4238&gt;NOW()),"",IF(INDEX(Data!$A:$G,MATCH($B4238,Data!$A:$A,0),MATCH($C$7,Data!$4:$4,0))="","",INDEX(Data!$A:$G,MATCH($B4238,Data!$A:$A,0),MATCH($C$7,Data!$4:$4,0))))</f>
        <v>77</v>
      </c>
      <c r="D4238" s="148">
        <f t="shared" ca="1" si="136"/>
        <v>0</v>
      </c>
      <c r="E4238" s="148">
        <f t="shared" ca="1" si="137"/>
        <v>12</v>
      </c>
    </row>
    <row r="4239" spans="2:5" x14ac:dyDescent="0.25">
      <c r="B4239" s="8">
        <v>41833</v>
      </c>
      <c r="C4239" s="6">
        <f ca="1">IF(OR($C$7="",$B4239&gt;NOW()),"",IF(INDEX(Data!$A:$G,MATCH($B4239,Data!$A:$A,0),MATCH($C$7,Data!$4:$4,0))="","",INDEX(Data!$A:$G,MATCH($B4239,Data!$A:$A,0),MATCH($C$7,Data!$4:$4,0))))</f>
        <v>75.3</v>
      </c>
      <c r="D4239" s="148">
        <f t="shared" ca="1" si="136"/>
        <v>0</v>
      </c>
      <c r="E4239" s="148">
        <f t="shared" ca="1" si="137"/>
        <v>10.299999999999997</v>
      </c>
    </row>
    <row r="4240" spans="2:5" x14ac:dyDescent="0.25">
      <c r="B4240" s="8">
        <v>41834</v>
      </c>
      <c r="C4240" s="6">
        <f ca="1">IF(OR($C$7="",$B4240&gt;NOW()),"",IF(INDEX(Data!$A:$G,MATCH($B4240,Data!$A:$A,0),MATCH($C$7,Data!$4:$4,0))="","",INDEX(Data!$A:$G,MATCH($B4240,Data!$A:$A,0),MATCH($C$7,Data!$4:$4,0))))</f>
        <v>77.2</v>
      </c>
      <c r="D4240" s="148">
        <f t="shared" ca="1" si="136"/>
        <v>0</v>
      </c>
      <c r="E4240" s="148">
        <f t="shared" ca="1" si="137"/>
        <v>12.200000000000003</v>
      </c>
    </row>
    <row r="4241" spans="2:5" x14ac:dyDescent="0.25">
      <c r="B4241" s="8">
        <v>41835</v>
      </c>
      <c r="C4241" s="6">
        <f ca="1">IF(OR($C$7="",$B4241&gt;NOW()),"",IF(INDEX(Data!$A:$G,MATCH($B4241,Data!$A:$A,0),MATCH($C$7,Data!$4:$4,0))="","",INDEX(Data!$A:$G,MATCH($B4241,Data!$A:$A,0),MATCH($C$7,Data!$4:$4,0))))</f>
        <v>76.3</v>
      </c>
      <c r="D4241" s="148">
        <f t="shared" ca="1" si="136"/>
        <v>0</v>
      </c>
      <c r="E4241" s="148">
        <f t="shared" ca="1" si="137"/>
        <v>11.299999999999997</v>
      </c>
    </row>
    <row r="4242" spans="2:5" x14ac:dyDescent="0.25">
      <c r="B4242" s="8">
        <v>41836</v>
      </c>
      <c r="C4242" s="6">
        <f ca="1">IF(OR($C$7="",$B4242&gt;NOW()),"",IF(INDEX(Data!$A:$G,MATCH($B4242,Data!$A:$A,0),MATCH($C$7,Data!$4:$4,0))="","",INDEX(Data!$A:$G,MATCH($B4242,Data!$A:$A,0),MATCH($C$7,Data!$4:$4,0))))</f>
        <v>73.8</v>
      </c>
      <c r="D4242" s="148">
        <f t="shared" ca="1" si="136"/>
        <v>0</v>
      </c>
      <c r="E4242" s="148">
        <f t="shared" ca="1" si="137"/>
        <v>8.7999999999999972</v>
      </c>
    </row>
    <row r="4243" spans="2:5" x14ac:dyDescent="0.25">
      <c r="B4243" s="8">
        <v>41837</v>
      </c>
      <c r="C4243" s="6">
        <f ca="1">IF(OR($C$7="",$B4243&gt;NOW()),"",IF(INDEX(Data!$A:$G,MATCH($B4243,Data!$A:$A,0),MATCH($C$7,Data!$4:$4,0))="","",INDEX(Data!$A:$G,MATCH($B4243,Data!$A:$A,0),MATCH($C$7,Data!$4:$4,0))))</f>
        <v>75</v>
      </c>
      <c r="D4243" s="148">
        <f t="shared" ca="1" si="136"/>
        <v>0</v>
      </c>
      <c r="E4243" s="148">
        <f t="shared" ca="1" si="137"/>
        <v>10</v>
      </c>
    </row>
    <row r="4244" spans="2:5" x14ac:dyDescent="0.25">
      <c r="B4244" s="8">
        <v>41838</v>
      </c>
      <c r="C4244" s="6">
        <f ca="1">IF(OR($C$7="",$B4244&gt;NOW()),"",IF(INDEX(Data!$A:$G,MATCH($B4244,Data!$A:$A,0),MATCH($C$7,Data!$4:$4,0))="","",INDEX(Data!$A:$G,MATCH($B4244,Data!$A:$A,0),MATCH($C$7,Data!$4:$4,0))))</f>
        <v>74.599999999999994</v>
      </c>
      <c r="D4244" s="148">
        <f t="shared" ca="1" si="136"/>
        <v>0</v>
      </c>
      <c r="E4244" s="148">
        <f t="shared" ca="1" si="137"/>
        <v>9.5999999999999943</v>
      </c>
    </row>
    <row r="4245" spans="2:5" x14ac:dyDescent="0.25">
      <c r="B4245" s="8">
        <v>41839</v>
      </c>
      <c r="C4245" s="6">
        <f ca="1">IF(OR($C$7="",$B4245&gt;NOW()),"",IF(INDEX(Data!$A:$G,MATCH($B4245,Data!$A:$A,0),MATCH($C$7,Data!$4:$4,0))="","",INDEX(Data!$A:$G,MATCH($B4245,Data!$A:$A,0),MATCH($C$7,Data!$4:$4,0))))</f>
        <v>73.099999999999994</v>
      </c>
      <c r="D4245" s="148">
        <f t="shared" ca="1" si="136"/>
        <v>0</v>
      </c>
      <c r="E4245" s="148">
        <f t="shared" ca="1" si="137"/>
        <v>8.0999999999999943</v>
      </c>
    </row>
    <row r="4246" spans="2:5" x14ac:dyDescent="0.25">
      <c r="B4246" s="8">
        <v>41840</v>
      </c>
      <c r="C4246" s="6">
        <f ca="1">IF(OR($C$7="",$B4246&gt;NOW()),"",IF(INDEX(Data!$A:$G,MATCH($B4246,Data!$A:$A,0),MATCH($C$7,Data!$4:$4,0))="","",INDEX(Data!$A:$G,MATCH($B4246,Data!$A:$A,0),MATCH($C$7,Data!$4:$4,0))))</f>
        <v>71.2</v>
      </c>
      <c r="D4246" s="148">
        <f t="shared" ca="1" si="136"/>
        <v>0</v>
      </c>
      <c r="E4246" s="148">
        <f t="shared" ca="1" si="137"/>
        <v>6.2000000000000028</v>
      </c>
    </row>
    <row r="4247" spans="2:5" x14ac:dyDescent="0.25">
      <c r="B4247" s="8">
        <v>41841</v>
      </c>
      <c r="C4247" s="6">
        <f ca="1">IF(OR($C$7="",$B4247&gt;NOW()),"",IF(INDEX(Data!$A:$G,MATCH($B4247,Data!$A:$A,0),MATCH($C$7,Data!$4:$4,0))="","",INDEX(Data!$A:$G,MATCH($B4247,Data!$A:$A,0),MATCH($C$7,Data!$4:$4,0))))</f>
        <v>74</v>
      </c>
      <c r="D4247" s="148">
        <f t="shared" ca="1" si="136"/>
        <v>0</v>
      </c>
      <c r="E4247" s="148">
        <f t="shared" ca="1" si="137"/>
        <v>9</v>
      </c>
    </row>
    <row r="4248" spans="2:5" x14ac:dyDescent="0.25">
      <c r="B4248" s="8">
        <v>41842</v>
      </c>
      <c r="C4248" s="6">
        <f ca="1">IF(OR($C$7="",$B4248&gt;NOW()),"",IF(INDEX(Data!$A:$G,MATCH($B4248,Data!$A:$A,0),MATCH($C$7,Data!$4:$4,0))="","",INDEX(Data!$A:$G,MATCH($B4248,Data!$A:$A,0),MATCH($C$7,Data!$4:$4,0))))</f>
        <v>78.099999999999994</v>
      </c>
      <c r="D4248" s="148">
        <f t="shared" ca="1" si="136"/>
        <v>0</v>
      </c>
      <c r="E4248" s="148">
        <f t="shared" ca="1" si="137"/>
        <v>13.099999999999994</v>
      </c>
    </row>
    <row r="4249" spans="2:5" x14ac:dyDescent="0.25">
      <c r="B4249" s="8">
        <v>41843</v>
      </c>
      <c r="C4249" s="6">
        <f ca="1">IF(OR($C$7="",$B4249&gt;NOW()),"",IF(INDEX(Data!$A:$G,MATCH($B4249,Data!$A:$A,0),MATCH($C$7,Data!$4:$4,0))="","",INDEX(Data!$A:$G,MATCH($B4249,Data!$A:$A,0),MATCH($C$7,Data!$4:$4,0))))</f>
        <v>80.2</v>
      </c>
      <c r="D4249" s="148">
        <f t="shared" ca="1" si="136"/>
        <v>0</v>
      </c>
      <c r="E4249" s="148">
        <f t="shared" ca="1" si="137"/>
        <v>15.200000000000003</v>
      </c>
    </row>
    <row r="4250" spans="2:5" x14ac:dyDescent="0.25">
      <c r="B4250" s="8">
        <v>41844</v>
      </c>
      <c r="C4250" s="6">
        <f ca="1">IF(OR($C$7="",$B4250&gt;NOW()),"",IF(INDEX(Data!$A:$G,MATCH($B4250,Data!$A:$A,0),MATCH($C$7,Data!$4:$4,0))="","",INDEX(Data!$A:$G,MATCH($B4250,Data!$A:$A,0),MATCH($C$7,Data!$4:$4,0))))</f>
        <v>76.8</v>
      </c>
      <c r="D4250" s="148">
        <f t="shared" ca="1" si="136"/>
        <v>0</v>
      </c>
      <c r="E4250" s="148">
        <f t="shared" ca="1" si="137"/>
        <v>11.799999999999997</v>
      </c>
    </row>
    <row r="4251" spans="2:5" x14ac:dyDescent="0.25">
      <c r="B4251" s="8">
        <v>41845</v>
      </c>
      <c r="C4251" s="6">
        <f ca="1">IF(OR($C$7="",$B4251&gt;NOW()),"",IF(INDEX(Data!$A:$G,MATCH($B4251,Data!$A:$A,0),MATCH($C$7,Data!$4:$4,0))="","",INDEX(Data!$A:$G,MATCH($B4251,Data!$A:$A,0),MATCH($C$7,Data!$4:$4,0))))</f>
        <v>74.599999999999994</v>
      </c>
      <c r="D4251" s="148">
        <f t="shared" ca="1" si="136"/>
        <v>0</v>
      </c>
      <c r="E4251" s="148">
        <f t="shared" ca="1" si="137"/>
        <v>9.5999999999999943</v>
      </c>
    </row>
    <row r="4252" spans="2:5" x14ac:dyDescent="0.25">
      <c r="B4252" s="8">
        <v>41846</v>
      </c>
      <c r="C4252" s="6">
        <f ca="1">IF(OR($C$7="",$B4252&gt;NOW()),"",IF(INDEX(Data!$A:$G,MATCH($B4252,Data!$A:$A,0),MATCH($C$7,Data!$4:$4,0))="","",INDEX(Data!$A:$G,MATCH($B4252,Data!$A:$A,0),MATCH($C$7,Data!$4:$4,0))))</f>
        <v>75.7</v>
      </c>
      <c r="D4252" s="148">
        <f t="shared" ca="1" si="136"/>
        <v>0</v>
      </c>
      <c r="E4252" s="148">
        <f t="shared" ca="1" si="137"/>
        <v>10.700000000000003</v>
      </c>
    </row>
    <row r="4253" spans="2:5" x14ac:dyDescent="0.25">
      <c r="B4253" s="8">
        <v>41847</v>
      </c>
      <c r="C4253" s="6">
        <f ca="1">IF(OR($C$7="",$B4253&gt;NOW()),"",IF(INDEX(Data!$A:$G,MATCH($B4253,Data!$A:$A,0),MATCH($C$7,Data!$4:$4,0))="","",INDEX(Data!$A:$G,MATCH($B4253,Data!$A:$A,0),MATCH($C$7,Data!$4:$4,0))))</f>
        <v>77.5</v>
      </c>
      <c r="D4253" s="148">
        <f t="shared" ref="D4253:D4316" ca="1" si="138">IF($C4253="","",IF($C4253&gt;$D$26,0,$D$26-$C4253))</f>
        <v>0</v>
      </c>
      <c r="E4253" s="148">
        <f t="shared" ref="E4253:E4316" ca="1" si="139">IF($C4253="","",IF($C4253&lt;$E$26,0,$C4253-$E$26))</f>
        <v>12.5</v>
      </c>
    </row>
    <row r="4254" spans="2:5" x14ac:dyDescent="0.25">
      <c r="B4254" s="8">
        <v>41848</v>
      </c>
      <c r="C4254" s="6">
        <f ca="1">IF(OR($C$7="",$B4254&gt;NOW()),"",IF(INDEX(Data!$A:$G,MATCH($B4254,Data!$A:$A,0),MATCH($C$7,Data!$4:$4,0))="","",INDEX(Data!$A:$G,MATCH($B4254,Data!$A:$A,0),MATCH($C$7,Data!$4:$4,0))))</f>
        <v>78.2</v>
      </c>
      <c r="D4254" s="148">
        <f t="shared" ca="1" si="138"/>
        <v>0</v>
      </c>
      <c r="E4254" s="148">
        <f t="shared" ca="1" si="139"/>
        <v>13.200000000000003</v>
      </c>
    </row>
    <row r="4255" spans="2:5" x14ac:dyDescent="0.25">
      <c r="B4255" s="8">
        <v>41849</v>
      </c>
      <c r="C4255" s="6">
        <f ca="1">IF(OR($C$7="",$B4255&gt;NOW()),"",IF(INDEX(Data!$A:$G,MATCH($B4255,Data!$A:$A,0),MATCH($C$7,Data!$4:$4,0))="","",INDEX(Data!$A:$G,MATCH($B4255,Data!$A:$A,0),MATCH($C$7,Data!$4:$4,0))))</f>
        <v>70.599999999999994</v>
      </c>
      <c r="D4255" s="148">
        <f t="shared" ca="1" si="138"/>
        <v>0</v>
      </c>
      <c r="E4255" s="148">
        <f t="shared" ca="1" si="139"/>
        <v>5.5999999999999943</v>
      </c>
    </row>
    <row r="4256" spans="2:5" x14ac:dyDescent="0.25">
      <c r="B4256" s="8">
        <v>41850</v>
      </c>
      <c r="C4256" s="6">
        <f ca="1">IF(OR($C$7="",$B4256&gt;NOW()),"",IF(INDEX(Data!$A:$G,MATCH($B4256,Data!$A:$A,0),MATCH($C$7,Data!$4:$4,0))="","",INDEX(Data!$A:$G,MATCH($B4256,Data!$A:$A,0),MATCH($C$7,Data!$4:$4,0))))</f>
        <v>72.5</v>
      </c>
      <c r="D4256" s="148">
        <f t="shared" ca="1" si="138"/>
        <v>0</v>
      </c>
      <c r="E4256" s="148">
        <f t="shared" ca="1" si="139"/>
        <v>7.5</v>
      </c>
    </row>
    <row r="4257" spans="2:5" x14ac:dyDescent="0.25">
      <c r="B4257" s="8">
        <v>41851</v>
      </c>
      <c r="C4257" s="6">
        <f ca="1">IF(OR($C$7="",$B4257&gt;NOW()),"",IF(INDEX(Data!$A:$G,MATCH($B4257,Data!$A:$A,0),MATCH($C$7,Data!$4:$4,0))="","",INDEX(Data!$A:$G,MATCH($B4257,Data!$A:$A,0),MATCH($C$7,Data!$4:$4,0))))</f>
        <v>75.099999999999994</v>
      </c>
      <c r="D4257" s="148">
        <f t="shared" ca="1" si="138"/>
        <v>0</v>
      </c>
      <c r="E4257" s="148">
        <f t="shared" ca="1" si="139"/>
        <v>10.099999999999994</v>
      </c>
    </row>
    <row r="4258" spans="2:5" x14ac:dyDescent="0.25">
      <c r="B4258" s="8">
        <v>41852</v>
      </c>
      <c r="C4258" s="6">
        <f ca="1">IF(OR($C$7="",$B4258&gt;NOW()),"",IF(INDEX(Data!$A:$G,MATCH($B4258,Data!$A:$A,0),MATCH($C$7,Data!$4:$4,0))="","",INDEX(Data!$A:$G,MATCH($B4258,Data!$A:$A,0),MATCH($C$7,Data!$4:$4,0))))</f>
        <v>76.7</v>
      </c>
      <c r="D4258" s="148">
        <f t="shared" ca="1" si="138"/>
        <v>0</v>
      </c>
      <c r="E4258" s="148">
        <f t="shared" ca="1" si="139"/>
        <v>11.700000000000003</v>
      </c>
    </row>
    <row r="4259" spans="2:5" x14ac:dyDescent="0.25">
      <c r="B4259" s="8">
        <v>41853</v>
      </c>
      <c r="C4259" s="6">
        <f ca="1">IF(OR($C$7="",$B4259&gt;NOW()),"",IF(INDEX(Data!$A:$G,MATCH($B4259,Data!$A:$A,0),MATCH($C$7,Data!$4:$4,0))="","",INDEX(Data!$A:$G,MATCH($B4259,Data!$A:$A,0),MATCH($C$7,Data!$4:$4,0))))</f>
        <v>71.099999999999994</v>
      </c>
      <c r="D4259" s="148">
        <f t="shared" ca="1" si="138"/>
        <v>0</v>
      </c>
      <c r="E4259" s="148">
        <f t="shared" ca="1" si="139"/>
        <v>6.0999999999999943</v>
      </c>
    </row>
    <row r="4260" spans="2:5" x14ac:dyDescent="0.25">
      <c r="B4260" s="8">
        <v>41854</v>
      </c>
      <c r="C4260" s="6">
        <f ca="1">IF(OR($C$7="",$B4260&gt;NOW()),"",IF(INDEX(Data!$A:$G,MATCH($B4260,Data!$A:$A,0),MATCH($C$7,Data!$4:$4,0))="","",INDEX(Data!$A:$G,MATCH($B4260,Data!$A:$A,0),MATCH($C$7,Data!$4:$4,0))))</f>
        <v>69.599999999999994</v>
      </c>
      <c r="D4260" s="148">
        <f t="shared" ca="1" si="138"/>
        <v>0</v>
      </c>
      <c r="E4260" s="148">
        <f t="shared" ca="1" si="139"/>
        <v>4.5999999999999943</v>
      </c>
    </row>
    <row r="4261" spans="2:5" x14ac:dyDescent="0.25">
      <c r="B4261" s="8">
        <v>41855</v>
      </c>
      <c r="C4261" s="6">
        <f ca="1">IF(OR($C$7="",$B4261&gt;NOW()),"",IF(INDEX(Data!$A:$G,MATCH($B4261,Data!$A:$A,0),MATCH($C$7,Data!$4:$4,0))="","",INDEX(Data!$A:$G,MATCH($B4261,Data!$A:$A,0),MATCH($C$7,Data!$4:$4,0))))</f>
        <v>75.400000000000006</v>
      </c>
      <c r="D4261" s="148">
        <f t="shared" ca="1" si="138"/>
        <v>0</v>
      </c>
      <c r="E4261" s="148">
        <f t="shared" ca="1" si="139"/>
        <v>10.400000000000006</v>
      </c>
    </row>
    <row r="4262" spans="2:5" x14ac:dyDescent="0.25">
      <c r="B4262" s="8">
        <v>41856</v>
      </c>
      <c r="C4262" s="6">
        <f ca="1">IF(OR($C$7="",$B4262&gt;NOW()),"",IF(INDEX(Data!$A:$G,MATCH($B4262,Data!$A:$A,0),MATCH($C$7,Data!$4:$4,0))="","",INDEX(Data!$A:$G,MATCH($B4262,Data!$A:$A,0),MATCH($C$7,Data!$4:$4,0))))</f>
        <v>79.7</v>
      </c>
      <c r="D4262" s="148">
        <f t="shared" ca="1" si="138"/>
        <v>0</v>
      </c>
      <c r="E4262" s="148">
        <f t="shared" ca="1" si="139"/>
        <v>14.700000000000003</v>
      </c>
    </row>
    <row r="4263" spans="2:5" x14ac:dyDescent="0.25">
      <c r="B4263" s="8">
        <v>41857</v>
      </c>
      <c r="C4263" s="6">
        <f ca="1">IF(OR($C$7="",$B4263&gt;NOW()),"",IF(INDEX(Data!$A:$G,MATCH($B4263,Data!$A:$A,0),MATCH($C$7,Data!$4:$4,0))="","",INDEX(Data!$A:$G,MATCH($B4263,Data!$A:$A,0),MATCH($C$7,Data!$4:$4,0))))</f>
        <v>76.900000000000006</v>
      </c>
      <c r="D4263" s="148">
        <f t="shared" ca="1" si="138"/>
        <v>0</v>
      </c>
      <c r="E4263" s="148">
        <f t="shared" ca="1" si="139"/>
        <v>11.900000000000006</v>
      </c>
    </row>
    <row r="4264" spans="2:5" x14ac:dyDescent="0.25">
      <c r="B4264" s="8">
        <v>41858</v>
      </c>
      <c r="C4264" s="6">
        <f ca="1">IF(OR($C$7="",$B4264&gt;NOW()),"",IF(INDEX(Data!$A:$G,MATCH($B4264,Data!$A:$A,0),MATCH($C$7,Data!$4:$4,0))="","",INDEX(Data!$A:$G,MATCH($B4264,Data!$A:$A,0),MATCH($C$7,Data!$4:$4,0))))</f>
        <v>75.2</v>
      </c>
      <c r="D4264" s="148">
        <f t="shared" ca="1" si="138"/>
        <v>0</v>
      </c>
      <c r="E4264" s="148">
        <f t="shared" ca="1" si="139"/>
        <v>10.200000000000003</v>
      </c>
    </row>
    <row r="4265" spans="2:5" x14ac:dyDescent="0.25">
      <c r="B4265" s="8">
        <v>41859</v>
      </c>
      <c r="C4265" s="6">
        <f ca="1">IF(OR($C$7="",$B4265&gt;NOW()),"",IF(INDEX(Data!$A:$G,MATCH($B4265,Data!$A:$A,0),MATCH($C$7,Data!$4:$4,0))="","",INDEX(Data!$A:$G,MATCH($B4265,Data!$A:$A,0),MATCH($C$7,Data!$4:$4,0))))</f>
        <v>74</v>
      </c>
      <c r="D4265" s="148">
        <f t="shared" ca="1" si="138"/>
        <v>0</v>
      </c>
      <c r="E4265" s="148">
        <f t="shared" ca="1" si="139"/>
        <v>9</v>
      </c>
    </row>
    <row r="4266" spans="2:5" x14ac:dyDescent="0.25">
      <c r="B4266" s="8">
        <v>41860</v>
      </c>
      <c r="C4266" s="6">
        <f ca="1">IF(OR($C$7="",$B4266&gt;NOW()),"",IF(INDEX(Data!$A:$G,MATCH($B4266,Data!$A:$A,0),MATCH($C$7,Data!$4:$4,0))="","",INDEX(Data!$A:$G,MATCH($B4266,Data!$A:$A,0),MATCH($C$7,Data!$4:$4,0))))</f>
        <v>77.5</v>
      </c>
      <c r="D4266" s="148">
        <f t="shared" ca="1" si="138"/>
        <v>0</v>
      </c>
      <c r="E4266" s="148">
        <f t="shared" ca="1" si="139"/>
        <v>12.5</v>
      </c>
    </row>
    <row r="4267" spans="2:5" x14ac:dyDescent="0.25">
      <c r="B4267" s="8">
        <v>41861</v>
      </c>
      <c r="C4267" s="6">
        <f ca="1">IF(OR($C$7="",$B4267&gt;NOW()),"",IF(INDEX(Data!$A:$G,MATCH($B4267,Data!$A:$A,0),MATCH($C$7,Data!$4:$4,0))="","",INDEX(Data!$A:$G,MATCH($B4267,Data!$A:$A,0),MATCH($C$7,Data!$4:$4,0))))</f>
        <v>78.900000000000006</v>
      </c>
      <c r="D4267" s="148">
        <f t="shared" ca="1" si="138"/>
        <v>0</v>
      </c>
      <c r="E4267" s="148">
        <f t="shared" ca="1" si="139"/>
        <v>13.900000000000006</v>
      </c>
    </row>
    <row r="4268" spans="2:5" x14ac:dyDescent="0.25">
      <c r="B4268" s="8">
        <v>41862</v>
      </c>
      <c r="C4268" s="6">
        <f ca="1">IF(OR($C$7="",$B4268&gt;NOW()),"",IF(INDEX(Data!$A:$G,MATCH($B4268,Data!$A:$A,0),MATCH($C$7,Data!$4:$4,0))="","",INDEX(Data!$A:$G,MATCH($B4268,Data!$A:$A,0),MATCH($C$7,Data!$4:$4,0))))</f>
        <v>79.7</v>
      </c>
      <c r="D4268" s="148">
        <f t="shared" ca="1" si="138"/>
        <v>0</v>
      </c>
      <c r="E4268" s="148">
        <f t="shared" ca="1" si="139"/>
        <v>14.700000000000003</v>
      </c>
    </row>
    <row r="4269" spans="2:5" x14ac:dyDescent="0.25">
      <c r="B4269" s="8">
        <v>41863</v>
      </c>
      <c r="C4269" s="6">
        <f ca="1">IF(OR($C$7="",$B4269&gt;NOW()),"",IF(INDEX(Data!$A:$G,MATCH($B4269,Data!$A:$A,0),MATCH($C$7,Data!$4:$4,0))="","",INDEX(Data!$A:$G,MATCH($B4269,Data!$A:$A,0),MATCH($C$7,Data!$4:$4,0))))</f>
        <v>75.5</v>
      </c>
      <c r="D4269" s="148">
        <f t="shared" ca="1" si="138"/>
        <v>0</v>
      </c>
      <c r="E4269" s="148">
        <f t="shared" ca="1" si="139"/>
        <v>10.5</v>
      </c>
    </row>
    <row r="4270" spans="2:5" x14ac:dyDescent="0.25">
      <c r="B4270" s="8">
        <v>41864</v>
      </c>
      <c r="C4270" s="6">
        <f ca="1">IF(OR($C$7="",$B4270&gt;NOW()),"",IF(INDEX(Data!$A:$G,MATCH($B4270,Data!$A:$A,0),MATCH($C$7,Data!$4:$4,0))="","",INDEX(Data!$A:$G,MATCH($B4270,Data!$A:$A,0),MATCH($C$7,Data!$4:$4,0))))</f>
        <v>73.400000000000006</v>
      </c>
      <c r="D4270" s="148">
        <f t="shared" ca="1" si="138"/>
        <v>0</v>
      </c>
      <c r="E4270" s="148">
        <f t="shared" ca="1" si="139"/>
        <v>8.4000000000000057</v>
      </c>
    </row>
    <row r="4271" spans="2:5" x14ac:dyDescent="0.25">
      <c r="B4271" s="8">
        <v>41865</v>
      </c>
      <c r="C4271" s="6">
        <f ca="1">IF(OR($C$7="",$B4271&gt;NOW()),"",IF(INDEX(Data!$A:$G,MATCH($B4271,Data!$A:$A,0),MATCH($C$7,Data!$4:$4,0))="","",INDEX(Data!$A:$G,MATCH($B4271,Data!$A:$A,0),MATCH($C$7,Data!$4:$4,0))))</f>
        <v>72</v>
      </c>
      <c r="D4271" s="148">
        <f t="shared" ca="1" si="138"/>
        <v>0</v>
      </c>
      <c r="E4271" s="148">
        <f t="shared" ca="1" si="139"/>
        <v>7</v>
      </c>
    </row>
    <row r="4272" spans="2:5" x14ac:dyDescent="0.25">
      <c r="B4272" s="8">
        <v>41866</v>
      </c>
      <c r="C4272" s="6">
        <f ca="1">IF(OR($C$7="",$B4272&gt;NOW()),"",IF(INDEX(Data!$A:$G,MATCH($B4272,Data!$A:$A,0),MATCH($C$7,Data!$4:$4,0))="","",INDEX(Data!$A:$G,MATCH($B4272,Data!$A:$A,0),MATCH($C$7,Data!$4:$4,0))))</f>
        <v>69.599999999999994</v>
      </c>
      <c r="D4272" s="148">
        <f t="shared" ca="1" si="138"/>
        <v>0</v>
      </c>
      <c r="E4272" s="148">
        <f t="shared" ca="1" si="139"/>
        <v>4.5999999999999943</v>
      </c>
    </row>
    <row r="4273" spans="2:5" x14ac:dyDescent="0.25">
      <c r="B4273" s="8">
        <v>41867</v>
      </c>
      <c r="C4273" s="6">
        <f ca="1">IF(OR($C$7="",$B4273&gt;NOW()),"",IF(INDEX(Data!$A:$G,MATCH($B4273,Data!$A:$A,0),MATCH($C$7,Data!$4:$4,0))="","",INDEX(Data!$A:$G,MATCH($B4273,Data!$A:$A,0),MATCH($C$7,Data!$4:$4,0))))</f>
        <v>71.7</v>
      </c>
      <c r="D4273" s="148">
        <f t="shared" ca="1" si="138"/>
        <v>0</v>
      </c>
      <c r="E4273" s="148">
        <f t="shared" ca="1" si="139"/>
        <v>6.7000000000000028</v>
      </c>
    </row>
    <row r="4274" spans="2:5" x14ac:dyDescent="0.25">
      <c r="B4274" s="8">
        <v>41868</v>
      </c>
      <c r="C4274" s="6">
        <f ca="1">IF(OR($C$7="",$B4274&gt;NOW()),"",IF(INDEX(Data!$A:$G,MATCH($B4274,Data!$A:$A,0),MATCH($C$7,Data!$4:$4,0))="","",INDEX(Data!$A:$G,MATCH($B4274,Data!$A:$A,0),MATCH($C$7,Data!$4:$4,0))))</f>
        <v>74.7</v>
      </c>
      <c r="D4274" s="148">
        <f t="shared" ca="1" si="138"/>
        <v>0</v>
      </c>
      <c r="E4274" s="148">
        <f t="shared" ca="1" si="139"/>
        <v>9.7000000000000028</v>
      </c>
    </row>
    <row r="4275" spans="2:5" x14ac:dyDescent="0.25">
      <c r="B4275" s="8">
        <v>41869</v>
      </c>
      <c r="C4275" s="6">
        <f ca="1">IF(OR($C$7="",$B4275&gt;NOW()),"",IF(INDEX(Data!$A:$G,MATCH($B4275,Data!$A:$A,0),MATCH($C$7,Data!$4:$4,0))="","",INDEX(Data!$A:$G,MATCH($B4275,Data!$A:$A,0),MATCH($C$7,Data!$4:$4,0))))</f>
        <v>72.599999999999994</v>
      </c>
      <c r="D4275" s="148">
        <f t="shared" ca="1" si="138"/>
        <v>0</v>
      </c>
      <c r="E4275" s="148">
        <f t="shared" ca="1" si="139"/>
        <v>7.5999999999999943</v>
      </c>
    </row>
    <row r="4276" spans="2:5" x14ac:dyDescent="0.25">
      <c r="B4276" s="8">
        <v>41870</v>
      </c>
      <c r="C4276" s="6">
        <f ca="1">IF(OR($C$7="",$B4276&gt;NOW()),"",IF(INDEX(Data!$A:$G,MATCH($B4276,Data!$A:$A,0),MATCH($C$7,Data!$4:$4,0))="","",INDEX(Data!$A:$G,MATCH($B4276,Data!$A:$A,0),MATCH($C$7,Data!$4:$4,0))))</f>
        <v>72.5</v>
      </c>
      <c r="D4276" s="148">
        <f t="shared" ca="1" si="138"/>
        <v>0</v>
      </c>
      <c r="E4276" s="148">
        <f t="shared" ca="1" si="139"/>
        <v>7.5</v>
      </c>
    </row>
    <row r="4277" spans="2:5" x14ac:dyDescent="0.25">
      <c r="B4277" s="8">
        <v>41871</v>
      </c>
      <c r="C4277" s="6">
        <f ca="1">IF(OR($C$7="",$B4277&gt;NOW()),"",IF(INDEX(Data!$A:$G,MATCH($B4277,Data!$A:$A,0),MATCH($C$7,Data!$4:$4,0))="","",INDEX(Data!$A:$G,MATCH($B4277,Data!$A:$A,0),MATCH($C$7,Data!$4:$4,0))))</f>
        <v>75.400000000000006</v>
      </c>
      <c r="D4277" s="148">
        <f t="shared" ca="1" si="138"/>
        <v>0</v>
      </c>
      <c r="E4277" s="148">
        <f t="shared" ca="1" si="139"/>
        <v>10.400000000000006</v>
      </c>
    </row>
    <row r="4278" spans="2:5" x14ac:dyDescent="0.25">
      <c r="B4278" s="8">
        <v>41872</v>
      </c>
      <c r="C4278" s="6">
        <f ca="1">IF(OR($C$7="",$B4278&gt;NOW()),"",IF(INDEX(Data!$A:$G,MATCH($B4278,Data!$A:$A,0),MATCH($C$7,Data!$4:$4,0))="","",INDEX(Data!$A:$G,MATCH($B4278,Data!$A:$A,0),MATCH($C$7,Data!$4:$4,0))))</f>
        <v>75</v>
      </c>
      <c r="D4278" s="148">
        <f t="shared" ca="1" si="138"/>
        <v>0</v>
      </c>
      <c r="E4278" s="148">
        <f t="shared" ca="1" si="139"/>
        <v>10</v>
      </c>
    </row>
    <row r="4279" spans="2:5" x14ac:dyDescent="0.25">
      <c r="B4279" s="8">
        <v>41873</v>
      </c>
      <c r="C4279" s="6">
        <f ca="1">IF(OR($C$7="",$B4279&gt;NOW()),"",IF(INDEX(Data!$A:$G,MATCH($B4279,Data!$A:$A,0),MATCH($C$7,Data!$4:$4,0))="","",INDEX(Data!$A:$G,MATCH($B4279,Data!$A:$A,0),MATCH($C$7,Data!$4:$4,0))))</f>
        <v>71.2</v>
      </c>
      <c r="D4279" s="148">
        <f t="shared" ca="1" si="138"/>
        <v>0</v>
      </c>
      <c r="E4279" s="148">
        <f t="shared" ca="1" si="139"/>
        <v>6.2000000000000028</v>
      </c>
    </row>
    <row r="4280" spans="2:5" x14ac:dyDescent="0.25">
      <c r="B4280" s="8">
        <v>41874</v>
      </c>
      <c r="C4280" s="6">
        <f ca="1">IF(OR($C$7="",$B4280&gt;NOW()),"",IF(INDEX(Data!$A:$G,MATCH($B4280,Data!$A:$A,0),MATCH($C$7,Data!$4:$4,0))="","",INDEX(Data!$A:$G,MATCH($B4280,Data!$A:$A,0),MATCH($C$7,Data!$4:$4,0))))</f>
        <v>70.099999999999994</v>
      </c>
      <c r="D4280" s="148">
        <f t="shared" ca="1" si="138"/>
        <v>0</v>
      </c>
      <c r="E4280" s="148">
        <f t="shared" ca="1" si="139"/>
        <v>5.0999999999999943</v>
      </c>
    </row>
    <row r="4281" spans="2:5" x14ac:dyDescent="0.25">
      <c r="B4281" s="8">
        <v>41875</v>
      </c>
      <c r="C4281" s="6">
        <f ca="1">IF(OR($C$7="",$B4281&gt;NOW()),"",IF(INDEX(Data!$A:$G,MATCH($B4281,Data!$A:$A,0),MATCH($C$7,Data!$4:$4,0))="","",INDEX(Data!$A:$G,MATCH($B4281,Data!$A:$A,0),MATCH($C$7,Data!$4:$4,0))))</f>
        <v>72</v>
      </c>
      <c r="D4281" s="148">
        <f t="shared" ca="1" si="138"/>
        <v>0</v>
      </c>
      <c r="E4281" s="148">
        <f t="shared" ca="1" si="139"/>
        <v>7</v>
      </c>
    </row>
    <row r="4282" spans="2:5" x14ac:dyDescent="0.25">
      <c r="B4282" s="8">
        <v>41876</v>
      </c>
      <c r="C4282" s="6">
        <f ca="1">IF(OR($C$7="",$B4282&gt;NOW()),"",IF(INDEX(Data!$A:$G,MATCH($B4282,Data!$A:$A,0),MATCH($C$7,Data!$4:$4,0))="","",INDEX(Data!$A:$G,MATCH($B4282,Data!$A:$A,0),MATCH($C$7,Data!$4:$4,0))))</f>
        <v>75.400000000000006</v>
      </c>
      <c r="D4282" s="148">
        <f t="shared" ca="1" si="138"/>
        <v>0</v>
      </c>
      <c r="E4282" s="148">
        <f t="shared" ca="1" si="139"/>
        <v>10.400000000000006</v>
      </c>
    </row>
    <row r="4283" spans="2:5" x14ac:dyDescent="0.25">
      <c r="B4283" s="8">
        <v>41877</v>
      </c>
      <c r="C4283" s="6">
        <f ca="1">IF(OR($C$7="",$B4283&gt;NOW()),"",IF(INDEX(Data!$A:$G,MATCH($B4283,Data!$A:$A,0),MATCH($C$7,Data!$4:$4,0))="","",INDEX(Data!$A:$G,MATCH($B4283,Data!$A:$A,0),MATCH($C$7,Data!$4:$4,0))))</f>
        <v>79</v>
      </c>
      <c r="D4283" s="148">
        <f t="shared" ca="1" si="138"/>
        <v>0</v>
      </c>
      <c r="E4283" s="148">
        <f t="shared" ca="1" si="139"/>
        <v>14</v>
      </c>
    </row>
    <row r="4284" spans="2:5" x14ac:dyDescent="0.25">
      <c r="B4284" s="8">
        <v>41878</v>
      </c>
      <c r="C4284" s="6">
        <f ca="1">IF(OR($C$7="",$B4284&gt;NOW()),"",IF(INDEX(Data!$A:$G,MATCH($B4284,Data!$A:$A,0),MATCH($C$7,Data!$4:$4,0))="","",INDEX(Data!$A:$G,MATCH($B4284,Data!$A:$A,0),MATCH($C$7,Data!$4:$4,0))))</f>
        <v>79</v>
      </c>
      <c r="D4284" s="148">
        <f t="shared" ca="1" si="138"/>
        <v>0</v>
      </c>
      <c r="E4284" s="148">
        <f t="shared" ca="1" si="139"/>
        <v>14</v>
      </c>
    </row>
    <row r="4285" spans="2:5" x14ac:dyDescent="0.25">
      <c r="B4285" s="8">
        <v>41879</v>
      </c>
      <c r="C4285" s="6">
        <f ca="1">IF(OR($C$7="",$B4285&gt;NOW()),"",IF(INDEX(Data!$A:$G,MATCH($B4285,Data!$A:$A,0),MATCH($C$7,Data!$4:$4,0))="","",INDEX(Data!$A:$G,MATCH($B4285,Data!$A:$A,0),MATCH($C$7,Data!$4:$4,0))))</f>
        <v>76.5</v>
      </c>
      <c r="D4285" s="148">
        <f t="shared" ca="1" si="138"/>
        <v>0</v>
      </c>
      <c r="E4285" s="148">
        <f t="shared" ca="1" si="139"/>
        <v>11.5</v>
      </c>
    </row>
    <row r="4286" spans="2:5" x14ac:dyDescent="0.25">
      <c r="B4286" s="8">
        <v>41880</v>
      </c>
      <c r="C4286" s="6">
        <f ca="1">IF(OR($C$7="",$B4286&gt;NOW()),"",IF(INDEX(Data!$A:$G,MATCH($B4286,Data!$A:$A,0),MATCH($C$7,Data!$4:$4,0))="","",INDEX(Data!$A:$G,MATCH($B4286,Data!$A:$A,0),MATCH($C$7,Data!$4:$4,0))))</f>
        <v>70.3</v>
      </c>
      <c r="D4286" s="148">
        <f t="shared" ca="1" si="138"/>
        <v>0</v>
      </c>
      <c r="E4286" s="148">
        <f t="shared" ca="1" si="139"/>
        <v>5.2999999999999972</v>
      </c>
    </row>
    <row r="4287" spans="2:5" x14ac:dyDescent="0.25">
      <c r="B4287" s="8">
        <v>41881</v>
      </c>
      <c r="C4287" s="6">
        <f ca="1">IF(OR($C$7="",$B4287&gt;NOW()),"",IF(INDEX(Data!$A:$G,MATCH($B4287,Data!$A:$A,0),MATCH($C$7,Data!$4:$4,0))="","",INDEX(Data!$A:$G,MATCH($B4287,Data!$A:$A,0),MATCH($C$7,Data!$4:$4,0))))</f>
        <v>71.7</v>
      </c>
      <c r="D4287" s="148">
        <f t="shared" ca="1" si="138"/>
        <v>0</v>
      </c>
      <c r="E4287" s="148">
        <f t="shared" ca="1" si="139"/>
        <v>6.7000000000000028</v>
      </c>
    </row>
    <row r="4288" spans="2:5" x14ac:dyDescent="0.25">
      <c r="B4288" s="8">
        <v>41882</v>
      </c>
      <c r="C4288" s="6">
        <f ca="1">IF(OR($C$7="",$B4288&gt;NOW()),"",IF(INDEX(Data!$A:$G,MATCH($B4288,Data!$A:$A,0),MATCH($C$7,Data!$4:$4,0))="","",INDEX(Data!$A:$G,MATCH($B4288,Data!$A:$A,0),MATCH($C$7,Data!$4:$4,0))))</f>
        <v>77.400000000000006</v>
      </c>
      <c r="D4288" s="148">
        <f t="shared" ca="1" si="138"/>
        <v>0</v>
      </c>
      <c r="E4288" s="148">
        <f t="shared" ca="1" si="139"/>
        <v>12.400000000000006</v>
      </c>
    </row>
    <row r="4289" spans="2:5" x14ac:dyDescent="0.25">
      <c r="B4289" s="8">
        <v>41883</v>
      </c>
      <c r="C4289" s="6">
        <f ca="1">IF(OR($C$7="",$B4289&gt;NOW()),"",IF(INDEX(Data!$A:$G,MATCH($B4289,Data!$A:$A,0),MATCH($C$7,Data!$4:$4,0))="","",INDEX(Data!$A:$G,MATCH($B4289,Data!$A:$A,0),MATCH($C$7,Data!$4:$4,0))))</f>
        <v>80.3</v>
      </c>
      <c r="D4289" s="148">
        <f t="shared" ca="1" si="138"/>
        <v>0</v>
      </c>
      <c r="E4289" s="148">
        <f t="shared" ca="1" si="139"/>
        <v>15.299999999999997</v>
      </c>
    </row>
    <row r="4290" spans="2:5" x14ac:dyDescent="0.25">
      <c r="B4290" s="8">
        <v>41884</v>
      </c>
      <c r="C4290" s="6">
        <f ca="1">IF(OR($C$7="",$B4290&gt;NOW()),"",IF(INDEX(Data!$A:$G,MATCH($B4290,Data!$A:$A,0),MATCH($C$7,Data!$4:$4,0))="","",INDEX(Data!$A:$G,MATCH($B4290,Data!$A:$A,0),MATCH($C$7,Data!$4:$4,0))))</f>
        <v>84.3</v>
      </c>
      <c r="D4290" s="148">
        <f t="shared" ca="1" si="138"/>
        <v>0</v>
      </c>
      <c r="E4290" s="148">
        <f t="shared" ca="1" si="139"/>
        <v>19.299999999999997</v>
      </c>
    </row>
    <row r="4291" spans="2:5" x14ac:dyDescent="0.25">
      <c r="B4291" s="8">
        <v>41885</v>
      </c>
      <c r="C4291" s="6">
        <f ca="1">IF(OR($C$7="",$B4291&gt;NOW()),"",IF(INDEX(Data!$A:$G,MATCH($B4291,Data!$A:$A,0),MATCH($C$7,Data!$4:$4,0))="","",INDEX(Data!$A:$G,MATCH($B4291,Data!$A:$A,0),MATCH($C$7,Data!$4:$4,0))))</f>
        <v>80.2</v>
      </c>
      <c r="D4291" s="148">
        <f t="shared" ca="1" si="138"/>
        <v>0</v>
      </c>
      <c r="E4291" s="148">
        <f t="shared" ca="1" si="139"/>
        <v>15.200000000000003</v>
      </c>
    </row>
    <row r="4292" spans="2:5" x14ac:dyDescent="0.25">
      <c r="B4292" s="8">
        <v>41886</v>
      </c>
      <c r="C4292" s="6">
        <f ca="1">IF(OR($C$7="",$B4292&gt;NOW()),"",IF(INDEX(Data!$A:$G,MATCH($B4292,Data!$A:$A,0),MATCH($C$7,Data!$4:$4,0))="","",INDEX(Data!$A:$G,MATCH($B4292,Data!$A:$A,0),MATCH($C$7,Data!$4:$4,0))))</f>
        <v>78.5</v>
      </c>
      <c r="D4292" s="148">
        <f t="shared" ca="1" si="138"/>
        <v>0</v>
      </c>
      <c r="E4292" s="148">
        <f t="shared" ca="1" si="139"/>
        <v>13.5</v>
      </c>
    </row>
    <row r="4293" spans="2:5" x14ac:dyDescent="0.25">
      <c r="B4293" s="8">
        <v>41887</v>
      </c>
      <c r="C4293" s="6">
        <f ca="1">IF(OR($C$7="",$B4293&gt;NOW()),"",IF(INDEX(Data!$A:$G,MATCH($B4293,Data!$A:$A,0),MATCH($C$7,Data!$4:$4,0))="","",INDEX(Data!$A:$G,MATCH($B4293,Data!$A:$A,0),MATCH($C$7,Data!$4:$4,0))))</f>
        <v>78.3</v>
      </c>
      <c r="D4293" s="148">
        <f t="shared" ca="1" si="138"/>
        <v>0</v>
      </c>
      <c r="E4293" s="148">
        <f t="shared" ca="1" si="139"/>
        <v>13.299999999999997</v>
      </c>
    </row>
    <row r="4294" spans="2:5" x14ac:dyDescent="0.25">
      <c r="B4294" s="8">
        <v>41888</v>
      </c>
      <c r="C4294" s="6">
        <f ca="1">IF(OR($C$7="",$B4294&gt;NOW()),"",IF(INDEX(Data!$A:$G,MATCH($B4294,Data!$A:$A,0),MATCH($C$7,Data!$4:$4,0))="","",INDEX(Data!$A:$G,MATCH($B4294,Data!$A:$A,0),MATCH($C$7,Data!$4:$4,0))))</f>
        <v>80.8</v>
      </c>
      <c r="D4294" s="148">
        <f t="shared" ca="1" si="138"/>
        <v>0</v>
      </c>
      <c r="E4294" s="148">
        <f t="shared" ca="1" si="139"/>
        <v>15.799999999999997</v>
      </c>
    </row>
    <row r="4295" spans="2:5" x14ac:dyDescent="0.25">
      <c r="B4295" s="8">
        <v>41889</v>
      </c>
      <c r="C4295" s="6">
        <f ca="1">IF(OR($C$7="",$B4295&gt;NOW()),"",IF(INDEX(Data!$A:$G,MATCH($B4295,Data!$A:$A,0),MATCH($C$7,Data!$4:$4,0))="","",INDEX(Data!$A:$G,MATCH($B4295,Data!$A:$A,0),MATCH($C$7,Data!$4:$4,0))))</f>
        <v>73.099999999999994</v>
      </c>
      <c r="D4295" s="148">
        <f t="shared" ca="1" si="138"/>
        <v>0</v>
      </c>
      <c r="E4295" s="148">
        <f t="shared" ca="1" si="139"/>
        <v>8.0999999999999943</v>
      </c>
    </row>
    <row r="4296" spans="2:5" x14ac:dyDescent="0.25">
      <c r="B4296" s="8">
        <v>41890</v>
      </c>
      <c r="C4296" s="6">
        <f ca="1">IF(OR($C$7="",$B4296&gt;NOW()),"",IF(INDEX(Data!$A:$G,MATCH($B4296,Data!$A:$A,0),MATCH($C$7,Data!$4:$4,0))="","",INDEX(Data!$A:$G,MATCH($B4296,Data!$A:$A,0),MATCH($C$7,Data!$4:$4,0))))</f>
        <v>71</v>
      </c>
      <c r="D4296" s="148">
        <f t="shared" ca="1" si="138"/>
        <v>0</v>
      </c>
      <c r="E4296" s="148">
        <f t="shared" ca="1" si="139"/>
        <v>6</v>
      </c>
    </row>
    <row r="4297" spans="2:5" x14ac:dyDescent="0.25">
      <c r="B4297" s="8">
        <v>41891</v>
      </c>
      <c r="C4297" s="6">
        <f ca="1">IF(OR($C$7="",$B4297&gt;NOW()),"",IF(INDEX(Data!$A:$G,MATCH($B4297,Data!$A:$A,0),MATCH($C$7,Data!$4:$4,0))="","",INDEX(Data!$A:$G,MATCH($B4297,Data!$A:$A,0),MATCH($C$7,Data!$4:$4,0))))</f>
        <v>68.099999999999994</v>
      </c>
      <c r="D4297" s="148">
        <f t="shared" ca="1" si="138"/>
        <v>0</v>
      </c>
      <c r="E4297" s="148">
        <f t="shared" ca="1" si="139"/>
        <v>3.0999999999999943</v>
      </c>
    </row>
    <row r="4298" spans="2:5" x14ac:dyDescent="0.25">
      <c r="B4298" s="8">
        <v>41892</v>
      </c>
      <c r="C4298" s="6">
        <f ca="1">IF(OR($C$7="",$B4298&gt;NOW()),"",IF(INDEX(Data!$A:$G,MATCH($B4298,Data!$A:$A,0),MATCH($C$7,Data!$4:$4,0))="","",INDEX(Data!$A:$G,MATCH($B4298,Data!$A:$A,0),MATCH($C$7,Data!$4:$4,0))))</f>
        <v>68.5</v>
      </c>
      <c r="D4298" s="148">
        <f t="shared" ca="1" si="138"/>
        <v>0</v>
      </c>
      <c r="E4298" s="148">
        <f t="shared" ca="1" si="139"/>
        <v>3.5</v>
      </c>
    </row>
    <row r="4299" spans="2:5" x14ac:dyDescent="0.25">
      <c r="B4299" s="8">
        <v>41893</v>
      </c>
      <c r="C4299" s="6">
        <f ca="1">IF(OR($C$7="",$B4299&gt;NOW()),"",IF(INDEX(Data!$A:$G,MATCH($B4299,Data!$A:$A,0),MATCH($C$7,Data!$4:$4,0))="","",INDEX(Data!$A:$G,MATCH($B4299,Data!$A:$A,0),MATCH($C$7,Data!$4:$4,0))))</f>
        <v>73.8</v>
      </c>
      <c r="D4299" s="148">
        <f t="shared" ca="1" si="138"/>
        <v>0</v>
      </c>
      <c r="E4299" s="148">
        <f t="shared" ca="1" si="139"/>
        <v>8.7999999999999972</v>
      </c>
    </row>
    <row r="4300" spans="2:5" x14ac:dyDescent="0.25">
      <c r="B4300" s="8">
        <v>41894</v>
      </c>
      <c r="C4300" s="6">
        <f ca="1">IF(OR($C$7="",$B4300&gt;NOW()),"",IF(INDEX(Data!$A:$G,MATCH($B4300,Data!$A:$A,0),MATCH($C$7,Data!$4:$4,0))="","",INDEX(Data!$A:$G,MATCH($B4300,Data!$A:$A,0),MATCH($C$7,Data!$4:$4,0))))</f>
        <v>70.599999999999994</v>
      </c>
      <c r="D4300" s="148">
        <f t="shared" ca="1" si="138"/>
        <v>0</v>
      </c>
      <c r="E4300" s="148">
        <f t="shared" ca="1" si="139"/>
        <v>5.5999999999999943</v>
      </c>
    </row>
    <row r="4301" spans="2:5" x14ac:dyDescent="0.25">
      <c r="B4301" s="8">
        <v>41895</v>
      </c>
      <c r="C4301" s="6">
        <f ca="1">IF(OR($C$7="",$B4301&gt;NOW()),"",IF(INDEX(Data!$A:$G,MATCH($B4301,Data!$A:$A,0),MATCH($C$7,Data!$4:$4,0))="","",INDEX(Data!$A:$G,MATCH($B4301,Data!$A:$A,0),MATCH($C$7,Data!$4:$4,0))))</f>
        <v>65.099999999999994</v>
      </c>
      <c r="D4301" s="148">
        <f t="shared" ca="1" si="138"/>
        <v>0</v>
      </c>
      <c r="E4301" s="148">
        <f t="shared" ca="1" si="139"/>
        <v>9.9999999999994316E-2</v>
      </c>
    </row>
    <row r="4302" spans="2:5" x14ac:dyDescent="0.25">
      <c r="B4302" s="8">
        <v>41896</v>
      </c>
      <c r="C4302" s="6">
        <f ca="1">IF(OR($C$7="",$B4302&gt;NOW()),"",IF(INDEX(Data!$A:$G,MATCH($B4302,Data!$A:$A,0),MATCH($C$7,Data!$4:$4,0))="","",INDEX(Data!$A:$G,MATCH($B4302,Data!$A:$A,0),MATCH($C$7,Data!$4:$4,0))))</f>
        <v>62.1</v>
      </c>
      <c r="D4302" s="148">
        <f t="shared" ca="1" si="138"/>
        <v>2.8999999999999986</v>
      </c>
      <c r="E4302" s="148">
        <f t="shared" ca="1" si="139"/>
        <v>0</v>
      </c>
    </row>
    <row r="4303" spans="2:5" x14ac:dyDescent="0.25">
      <c r="B4303" s="8">
        <v>41897</v>
      </c>
      <c r="C4303" s="6">
        <f ca="1">IF(OR($C$7="",$B4303&gt;NOW()),"",IF(INDEX(Data!$A:$G,MATCH($B4303,Data!$A:$A,0),MATCH($C$7,Data!$4:$4,0))="","",INDEX(Data!$A:$G,MATCH($B4303,Data!$A:$A,0),MATCH($C$7,Data!$4:$4,0))))</f>
        <v>63.6</v>
      </c>
      <c r="D4303" s="148">
        <f t="shared" ca="1" si="138"/>
        <v>1.3999999999999986</v>
      </c>
      <c r="E4303" s="148">
        <f t="shared" ca="1" si="139"/>
        <v>0</v>
      </c>
    </row>
    <row r="4304" spans="2:5" x14ac:dyDescent="0.25">
      <c r="B4304" s="8">
        <v>41898</v>
      </c>
      <c r="C4304" s="6">
        <f ca="1">IF(OR($C$7="",$B4304&gt;NOW()),"",IF(INDEX(Data!$A:$G,MATCH($B4304,Data!$A:$A,0),MATCH($C$7,Data!$4:$4,0))="","",INDEX(Data!$A:$G,MATCH($B4304,Data!$A:$A,0),MATCH($C$7,Data!$4:$4,0))))</f>
        <v>63.9</v>
      </c>
      <c r="D4304" s="148">
        <f t="shared" ca="1" si="138"/>
        <v>1.1000000000000014</v>
      </c>
      <c r="E4304" s="148">
        <f t="shared" ca="1" si="139"/>
        <v>0</v>
      </c>
    </row>
    <row r="4305" spans="2:5" x14ac:dyDescent="0.25">
      <c r="B4305" s="8">
        <v>41899</v>
      </c>
      <c r="C4305" s="6">
        <f ca="1">IF(OR($C$7="",$B4305&gt;NOW()),"",IF(INDEX(Data!$A:$G,MATCH($B4305,Data!$A:$A,0),MATCH($C$7,Data!$4:$4,0))="","",INDEX(Data!$A:$G,MATCH($B4305,Data!$A:$A,0),MATCH($C$7,Data!$4:$4,0))))</f>
        <v>65.900000000000006</v>
      </c>
      <c r="D4305" s="148">
        <f t="shared" ca="1" si="138"/>
        <v>0</v>
      </c>
      <c r="E4305" s="148">
        <f t="shared" ca="1" si="139"/>
        <v>0.90000000000000568</v>
      </c>
    </row>
    <row r="4306" spans="2:5" x14ac:dyDescent="0.25">
      <c r="B4306" s="8">
        <v>41900</v>
      </c>
      <c r="C4306" s="6">
        <f ca="1">IF(OR($C$7="",$B4306&gt;NOW()),"",IF(INDEX(Data!$A:$G,MATCH($B4306,Data!$A:$A,0),MATCH($C$7,Data!$4:$4,0))="","",INDEX(Data!$A:$G,MATCH($B4306,Data!$A:$A,0),MATCH($C$7,Data!$4:$4,0))))</f>
        <v>67.599999999999994</v>
      </c>
      <c r="D4306" s="148">
        <f t="shared" ca="1" si="138"/>
        <v>0</v>
      </c>
      <c r="E4306" s="148">
        <f t="shared" ca="1" si="139"/>
        <v>2.5999999999999943</v>
      </c>
    </row>
    <row r="4307" spans="2:5" x14ac:dyDescent="0.25">
      <c r="B4307" s="8">
        <v>41901</v>
      </c>
      <c r="C4307" s="6">
        <f ca="1">IF(OR($C$7="",$B4307&gt;NOW()),"",IF(INDEX(Data!$A:$G,MATCH($B4307,Data!$A:$A,0),MATCH($C$7,Data!$4:$4,0))="","",INDEX(Data!$A:$G,MATCH($B4307,Data!$A:$A,0),MATCH($C$7,Data!$4:$4,0))))</f>
        <v>62.1</v>
      </c>
      <c r="D4307" s="148">
        <f t="shared" ca="1" si="138"/>
        <v>2.8999999999999986</v>
      </c>
      <c r="E4307" s="148">
        <f t="shared" ca="1" si="139"/>
        <v>0</v>
      </c>
    </row>
    <row r="4308" spans="2:5" x14ac:dyDescent="0.25">
      <c r="B4308" s="8">
        <v>41902</v>
      </c>
      <c r="C4308" s="6">
        <f ca="1">IF(OR($C$7="",$B4308&gt;NOW()),"",IF(INDEX(Data!$A:$G,MATCH($B4308,Data!$A:$A,0),MATCH($C$7,Data!$4:$4,0))="","",INDEX(Data!$A:$G,MATCH($B4308,Data!$A:$A,0),MATCH($C$7,Data!$4:$4,0))))</f>
        <v>65</v>
      </c>
      <c r="D4308" s="148">
        <f t="shared" ca="1" si="138"/>
        <v>0</v>
      </c>
      <c r="E4308" s="148">
        <f t="shared" ca="1" si="139"/>
        <v>0</v>
      </c>
    </row>
    <row r="4309" spans="2:5" x14ac:dyDescent="0.25">
      <c r="B4309" s="8">
        <v>41903</v>
      </c>
      <c r="C4309" s="6">
        <f ca="1">IF(OR($C$7="",$B4309&gt;NOW()),"",IF(INDEX(Data!$A:$G,MATCH($B4309,Data!$A:$A,0),MATCH($C$7,Data!$4:$4,0))="","",INDEX(Data!$A:$G,MATCH($B4309,Data!$A:$A,0),MATCH($C$7,Data!$4:$4,0))))</f>
        <v>70.400000000000006</v>
      </c>
      <c r="D4309" s="148">
        <f t="shared" ca="1" si="138"/>
        <v>0</v>
      </c>
      <c r="E4309" s="148">
        <f t="shared" ca="1" si="139"/>
        <v>5.4000000000000057</v>
      </c>
    </row>
    <row r="4310" spans="2:5" x14ac:dyDescent="0.25">
      <c r="B4310" s="8">
        <v>41904</v>
      </c>
      <c r="C4310" s="6">
        <f ca="1">IF(OR($C$7="",$B4310&gt;NOW()),"",IF(INDEX(Data!$A:$G,MATCH($B4310,Data!$A:$A,0),MATCH($C$7,Data!$4:$4,0))="","",INDEX(Data!$A:$G,MATCH($B4310,Data!$A:$A,0),MATCH($C$7,Data!$4:$4,0))))</f>
        <v>68.8</v>
      </c>
      <c r="D4310" s="148">
        <f t="shared" ca="1" si="138"/>
        <v>0</v>
      </c>
      <c r="E4310" s="148">
        <f t="shared" ca="1" si="139"/>
        <v>3.7999999999999972</v>
      </c>
    </row>
    <row r="4311" spans="2:5" x14ac:dyDescent="0.25">
      <c r="B4311" s="8">
        <v>41905</v>
      </c>
      <c r="C4311" s="6">
        <f ca="1">IF(OR($C$7="",$B4311&gt;NOW()),"",IF(INDEX(Data!$A:$G,MATCH($B4311,Data!$A:$A,0),MATCH($C$7,Data!$4:$4,0))="","",INDEX(Data!$A:$G,MATCH($B4311,Data!$A:$A,0),MATCH($C$7,Data!$4:$4,0))))</f>
        <v>60.9</v>
      </c>
      <c r="D4311" s="148">
        <f t="shared" ca="1" si="138"/>
        <v>4.1000000000000014</v>
      </c>
      <c r="E4311" s="148">
        <f t="shared" ca="1" si="139"/>
        <v>0</v>
      </c>
    </row>
    <row r="4312" spans="2:5" x14ac:dyDescent="0.25">
      <c r="B4312" s="8">
        <v>41906</v>
      </c>
      <c r="C4312" s="6">
        <f ca="1">IF(OR($C$7="",$B4312&gt;NOW()),"",IF(INDEX(Data!$A:$G,MATCH($B4312,Data!$A:$A,0),MATCH($C$7,Data!$4:$4,0))="","",INDEX(Data!$A:$G,MATCH($B4312,Data!$A:$A,0),MATCH($C$7,Data!$4:$4,0))))</f>
        <v>65</v>
      </c>
      <c r="D4312" s="148">
        <f t="shared" ca="1" si="138"/>
        <v>0</v>
      </c>
      <c r="E4312" s="148">
        <f t="shared" ca="1" si="139"/>
        <v>0</v>
      </c>
    </row>
    <row r="4313" spans="2:5" x14ac:dyDescent="0.25">
      <c r="B4313" s="8">
        <v>41907</v>
      </c>
      <c r="C4313" s="6">
        <f ca="1">IF(OR($C$7="",$B4313&gt;NOW()),"",IF(INDEX(Data!$A:$G,MATCH($B4313,Data!$A:$A,0),MATCH($C$7,Data!$4:$4,0))="","",INDEX(Data!$A:$G,MATCH($B4313,Data!$A:$A,0),MATCH($C$7,Data!$4:$4,0))))</f>
        <v>62.6</v>
      </c>
      <c r="D4313" s="148">
        <f t="shared" ca="1" si="138"/>
        <v>2.3999999999999986</v>
      </c>
      <c r="E4313" s="148">
        <f t="shared" ca="1" si="139"/>
        <v>0</v>
      </c>
    </row>
    <row r="4314" spans="2:5" x14ac:dyDescent="0.25">
      <c r="B4314" s="8">
        <v>41908</v>
      </c>
      <c r="C4314" s="6">
        <f ca="1">IF(OR($C$7="",$B4314&gt;NOW()),"",IF(INDEX(Data!$A:$G,MATCH($B4314,Data!$A:$A,0),MATCH($C$7,Data!$4:$4,0))="","",INDEX(Data!$A:$G,MATCH($B4314,Data!$A:$A,0),MATCH($C$7,Data!$4:$4,0))))</f>
        <v>66.400000000000006</v>
      </c>
      <c r="D4314" s="148">
        <f t="shared" ca="1" si="138"/>
        <v>0</v>
      </c>
      <c r="E4314" s="148">
        <f t="shared" ca="1" si="139"/>
        <v>1.4000000000000057</v>
      </c>
    </row>
    <row r="4315" spans="2:5" x14ac:dyDescent="0.25">
      <c r="B4315" s="8">
        <v>41909</v>
      </c>
      <c r="C4315" s="6">
        <f ca="1">IF(OR($C$7="",$B4315&gt;NOW()),"",IF(INDEX(Data!$A:$G,MATCH($B4315,Data!$A:$A,0),MATCH($C$7,Data!$4:$4,0))="","",INDEX(Data!$A:$G,MATCH($B4315,Data!$A:$A,0),MATCH($C$7,Data!$4:$4,0))))</f>
        <v>72.599999999999994</v>
      </c>
      <c r="D4315" s="148">
        <f t="shared" ca="1" si="138"/>
        <v>0</v>
      </c>
      <c r="E4315" s="148">
        <f t="shared" ca="1" si="139"/>
        <v>7.5999999999999943</v>
      </c>
    </row>
    <row r="4316" spans="2:5" x14ac:dyDescent="0.25">
      <c r="B4316" s="8">
        <v>41910</v>
      </c>
      <c r="C4316" s="6">
        <f ca="1">IF(OR($C$7="",$B4316&gt;NOW()),"",IF(INDEX(Data!$A:$G,MATCH($B4316,Data!$A:$A,0),MATCH($C$7,Data!$4:$4,0))="","",INDEX(Data!$A:$G,MATCH($B4316,Data!$A:$A,0),MATCH($C$7,Data!$4:$4,0))))</f>
        <v>73.400000000000006</v>
      </c>
      <c r="D4316" s="148">
        <f t="shared" ca="1" si="138"/>
        <v>0</v>
      </c>
      <c r="E4316" s="148">
        <f t="shared" ca="1" si="139"/>
        <v>8.4000000000000057</v>
      </c>
    </row>
    <row r="4317" spans="2:5" x14ac:dyDescent="0.25">
      <c r="B4317" s="8">
        <v>41911</v>
      </c>
      <c r="C4317" s="6">
        <f ca="1">IF(OR($C$7="",$B4317&gt;NOW()),"",IF(INDEX(Data!$A:$G,MATCH($B4317,Data!$A:$A,0),MATCH($C$7,Data!$4:$4,0))="","",INDEX(Data!$A:$G,MATCH($B4317,Data!$A:$A,0),MATCH($C$7,Data!$4:$4,0))))</f>
        <v>72.7</v>
      </c>
      <c r="D4317" s="148">
        <f t="shared" ref="D4317:D4380" ca="1" si="140">IF($C4317="","",IF($C4317&gt;$D$26,0,$D$26-$C4317))</f>
        <v>0</v>
      </c>
      <c r="E4317" s="148">
        <f t="shared" ref="E4317:E4380" ca="1" si="141">IF($C4317="","",IF($C4317&lt;$E$26,0,$C4317-$E$26))</f>
        <v>7.7000000000000028</v>
      </c>
    </row>
    <row r="4318" spans="2:5" x14ac:dyDescent="0.25">
      <c r="B4318" s="8">
        <v>41912</v>
      </c>
      <c r="C4318" s="6">
        <f ca="1">IF(OR($C$7="",$B4318&gt;NOW()),"",IF(INDEX(Data!$A:$G,MATCH($B4318,Data!$A:$A,0),MATCH($C$7,Data!$4:$4,0))="","",INDEX(Data!$A:$G,MATCH($B4318,Data!$A:$A,0),MATCH($C$7,Data!$4:$4,0))))</f>
        <v>69</v>
      </c>
      <c r="D4318" s="148">
        <f t="shared" ca="1" si="140"/>
        <v>0</v>
      </c>
      <c r="E4318" s="148">
        <f t="shared" ca="1" si="141"/>
        <v>4</v>
      </c>
    </row>
    <row r="4319" spans="2:5" x14ac:dyDescent="0.25">
      <c r="B4319" s="8">
        <v>41913</v>
      </c>
      <c r="C4319" s="6">
        <f ca="1">IF(OR($C$7="",$B4319&gt;NOW()),"",IF(INDEX(Data!$A:$G,MATCH($B4319,Data!$A:$A,0),MATCH($C$7,Data!$4:$4,0))="","",INDEX(Data!$A:$G,MATCH($B4319,Data!$A:$A,0),MATCH($C$7,Data!$4:$4,0))))</f>
        <v>63.3</v>
      </c>
      <c r="D4319" s="148">
        <f t="shared" ca="1" si="140"/>
        <v>1.7000000000000028</v>
      </c>
      <c r="E4319" s="148">
        <f t="shared" ca="1" si="141"/>
        <v>0</v>
      </c>
    </row>
    <row r="4320" spans="2:5" x14ac:dyDescent="0.25">
      <c r="B4320" s="8">
        <v>41914</v>
      </c>
      <c r="C4320" s="6">
        <f ca="1">IF(OR($C$7="",$B4320&gt;NOW()),"",IF(INDEX(Data!$A:$G,MATCH($B4320,Data!$A:$A,0),MATCH($C$7,Data!$4:$4,0))="","",INDEX(Data!$A:$G,MATCH($B4320,Data!$A:$A,0),MATCH($C$7,Data!$4:$4,0))))</f>
        <v>63.3</v>
      </c>
      <c r="D4320" s="148">
        <f t="shared" ca="1" si="140"/>
        <v>1.7000000000000028</v>
      </c>
      <c r="E4320" s="148">
        <f t="shared" ca="1" si="141"/>
        <v>0</v>
      </c>
    </row>
    <row r="4321" spans="2:5" x14ac:dyDescent="0.25">
      <c r="B4321" s="8">
        <v>41915</v>
      </c>
      <c r="C4321" s="6">
        <f ca="1">IF(OR($C$7="",$B4321&gt;NOW()),"",IF(INDEX(Data!$A:$G,MATCH($B4321,Data!$A:$A,0),MATCH($C$7,Data!$4:$4,0))="","",INDEX(Data!$A:$G,MATCH($B4321,Data!$A:$A,0),MATCH($C$7,Data!$4:$4,0))))</f>
        <v>62.4</v>
      </c>
      <c r="D4321" s="148">
        <f t="shared" ca="1" si="140"/>
        <v>2.6000000000000014</v>
      </c>
      <c r="E4321" s="148">
        <f t="shared" ca="1" si="141"/>
        <v>0</v>
      </c>
    </row>
    <row r="4322" spans="2:5" x14ac:dyDescent="0.25">
      <c r="B4322" s="8">
        <v>41916</v>
      </c>
      <c r="C4322" s="6">
        <f ca="1">IF(OR($C$7="",$B4322&gt;NOW()),"",IF(INDEX(Data!$A:$G,MATCH($B4322,Data!$A:$A,0),MATCH($C$7,Data!$4:$4,0))="","",INDEX(Data!$A:$G,MATCH($B4322,Data!$A:$A,0),MATCH($C$7,Data!$4:$4,0))))</f>
        <v>65</v>
      </c>
      <c r="D4322" s="148">
        <f t="shared" ca="1" si="140"/>
        <v>0</v>
      </c>
      <c r="E4322" s="148">
        <f t="shared" ca="1" si="141"/>
        <v>0</v>
      </c>
    </row>
    <row r="4323" spans="2:5" x14ac:dyDescent="0.25">
      <c r="B4323" s="8">
        <v>41917</v>
      </c>
      <c r="C4323" s="6">
        <f ca="1">IF(OR($C$7="",$B4323&gt;NOW()),"",IF(INDEX(Data!$A:$G,MATCH($B4323,Data!$A:$A,0),MATCH($C$7,Data!$4:$4,0))="","",INDEX(Data!$A:$G,MATCH($B4323,Data!$A:$A,0),MATCH($C$7,Data!$4:$4,0))))</f>
        <v>54.2</v>
      </c>
      <c r="D4323" s="148">
        <f t="shared" ca="1" si="140"/>
        <v>10.799999999999997</v>
      </c>
      <c r="E4323" s="148">
        <f t="shared" ca="1" si="141"/>
        <v>0</v>
      </c>
    </row>
    <row r="4324" spans="2:5" x14ac:dyDescent="0.25">
      <c r="B4324" s="8">
        <v>41918</v>
      </c>
      <c r="C4324" s="6">
        <f ca="1">IF(OR($C$7="",$B4324&gt;NOW()),"",IF(INDEX(Data!$A:$G,MATCH($B4324,Data!$A:$A,0),MATCH($C$7,Data!$4:$4,0))="","",INDEX(Data!$A:$G,MATCH($B4324,Data!$A:$A,0),MATCH($C$7,Data!$4:$4,0))))</f>
        <v>59.2</v>
      </c>
      <c r="D4324" s="148">
        <f t="shared" ca="1" si="140"/>
        <v>5.7999999999999972</v>
      </c>
      <c r="E4324" s="148">
        <f t="shared" ca="1" si="141"/>
        <v>0</v>
      </c>
    </row>
    <row r="4325" spans="2:5" x14ac:dyDescent="0.25">
      <c r="B4325" s="8">
        <v>41919</v>
      </c>
      <c r="C4325" s="6">
        <f ca="1">IF(OR($C$7="",$B4325&gt;NOW()),"",IF(INDEX(Data!$A:$G,MATCH($B4325,Data!$A:$A,0),MATCH($C$7,Data!$4:$4,0))="","",INDEX(Data!$A:$G,MATCH($B4325,Data!$A:$A,0),MATCH($C$7,Data!$4:$4,0))))</f>
        <v>67.099999999999994</v>
      </c>
      <c r="D4325" s="148">
        <f t="shared" ca="1" si="140"/>
        <v>0</v>
      </c>
      <c r="E4325" s="148">
        <f t="shared" ca="1" si="141"/>
        <v>2.0999999999999943</v>
      </c>
    </row>
    <row r="4326" spans="2:5" x14ac:dyDescent="0.25">
      <c r="B4326" s="8">
        <v>41920</v>
      </c>
      <c r="C4326" s="6">
        <f ca="1">IF(OR($C$7="",$B4326&gt;NOW()),"",IF(INDEX(Data!$A:$G,MATCH($B4326,Data!$A:$A,0),MATCH($C$7,Data!$4:$4,0))="","",INDEX(Data!$A:$G,MATCH($B4326,Data!$A:$A,0),MATCH($C$7,Data!$4:$4,0))))</f>
        <v>67.599999999999994</v>
      </c>
      <c r="D4326" s="148">
        <f t="shared" ca="1" si="140"/>
        <v>0</v>
      </c>
      <c r="E4326" s="148">
        <f t="shared" ca="1" si="141"/>
        <v>2.5999999999999943</v>
      </c>
    </row>
    <row r="4327" spans="2:5" x14ac:dyDescent="0.25">
      <c r="B4327" s="8">
        <v>41921</v>
      </c>
      <c r="C4327" s="6">
        <f ca="1">IF(OR($C$7="",$B4327&gt;NOW()),"",IF(INDEX(Data!$A:$G,MATCH($B4327,Data!$A:$A,0),MATCH($C$7,Data!$4:$4,0))="","",INDEX(Data!$A:$G,MATCH($B4327,Data!$A:$A,0),MATCH($C$7,Data!$4:$4,0))))</f>
        <v>64.2</v>
      </c>
      <c r="D4327" s="148">
        <f t="shared" ca="1" si="140"/>
        <v>0.79999999999999716</v>
      </c>
      <c r="E4327" s="148">
        <f t="shared" ca="1" si="141"/>
        <v>0</v>
      </c>
    </row>
    <row r="4328" spans="2:5" x14ac:dyDescent="0.25">
      <c r="B4328" s="8">
        <v>41922</v>
      </c>
      <c r="C4328" s="6">
        <f ca="1">IF(OR($C$7="",$B4328&gt;NOW()),"",IF(INDEX(Data!$A:$G,MATCH($B4328,Data!$A:$A,0),MATCH($C$7,Data!$4:$4,0))="","",INDEX(Data!$A:$G,MATCH($B4328,Data!$A:$A,0),MATCH($C$7,Data!$4:$4,0))))</f>
        <v>60.3</v>
      </c>
      <c r="D4328" s="148">
        <f t="shared" ca="1" si="140"/>
        <v>4.7000000000000028</v>
      </c>
      <c r="E4328" s="148">
        <f t="shared" ca="1" si="141"/>
        <v>0</v>
      </c>
    </row>
    <row r="4329" spans="2:5" x14ac:dyDescent="0.25">
      <c r="B4329" s="8">
        <v>41923</v>
      </c>
      <c r="C4329" s="6">
        <f ca="1">IF(OR($C$7="",$B4329&gt;NOW()),"",IF(INDEX(Data!$A:$G,MATCH($B4329,Data!$A:$A,0),MATCH($C$7,Data!$4:$4,0))="","",INDEX(Data!$A:$G,MATCH($B4329,Data!$A:$A,0),MATCH($C$7,Data!$4:$4,0))))</f>
        <v>56.2</v>
      </c>
      <c r="D4329" s="148">
        <f t="shared" ca="1" si="140"/>
        <v>8.7999999999999972</v>
      </c>
      <c r="E4329" s="148">
        <f t="shared" ca="1" si="141"/>
        <v>0</v>
      </c>
    </row>
    <row r="4330" spans="2:5" x14ac:dyDescent="0.25">
      <c r="B4330" s="8">
        <v>41924</v>
      </c>
      <c r="C4330" s="6">
        <f ca="1">IF(OR($C$7="",$B4330&gt;NOW()),"",IF(INDEX(Data!$A:$G,MATCH($B4330,Data!$A:$A,0),MATCH($C$7,Data!$4:$4,0))="","",INDEX(Data!$A:$G,MATCH($B4330,Data!$A:$A,0),MATCH($C$7,Data!$4:$4,0))))</f>
        <v>55.1</v>
      </c>
      <c r="D4330" s="148">
        <f t="shared" ca="1" si="140"/>
        <v>9.8999999999999986</v>
      </c>
      <c r="E4330" s="148">
        <f t="shared" ca="1" si="141"/>
        <v>0</v>
      </c>
    </row>
    <row r="4331" spans="2:5" x14ac:dyDescent="0.25">
      <c r="B4331" s="8">
        <v>41925</v>
      </c>
      <c r="C4331" s="6">
        <f ca="1">IF(OR($C$7="",$B4331&gt;NOW()),"",IF(INDEX(Data!$A:$G,MATCH($B4331,Data!$A:$A,0),MATCH($C$7,Data!$4:$4,0))="","",INDEX(Data!$A:$G,MATCH($B4331,Data!$A:$A,0),MATCH($C$7,Data!$4:$4,0))))</f>
        <v>58.8</v>
      </c>
      <c r="D4331" s="148">
        <f t="shared" ca="1" si="140"/>
        <v>6.2000000000000028</v>
      </c>
      <c r="E4331" s="148">
        <f t="shared" ca="1" si="141"/>
        <v>0</v>
      </c>
    </row>
    <row r="4332" spans="2:5" x14ac:dyDescent="0.25">
      <c r="B4332" s="8">
        <v>41926</v>
      </c>
      <c r="C4332" s="6">
        <f ca="1">IF(OR($C$7="",$B4332&gt;NOW()),"",IF(INDEX(Data!$A:$G,MATCH($B4332,Data!$A:$A,0),MATCH($C$7,Data!$4:$4,0))="","",INDEX(Data!$A:$G,MATCH($B4332,Data!$A:$A,0),MATCH($C$7,Data!$4:$4,0))))</f>
        <v>67.599999999999994</v>
      </c>
      <c r="D4332" s="148">
        <f t="shared" ca="1" si="140"/>
        <v>0</v>
      </c>
      <c r="E4332" s="148">
        <f t="shared" ca="1" si="141"/>
        <v>2.5999999999999943</v>
      </c>
    </row>
    <row r="4333" spans="2:5" x14ac:dyDescent="0.25">
      <c r="B4333" s="8">
        <v>41927</v>
      </c>
      <c r="C4333" s="6">
        <f ca="1">IF(OR($C$7="",$B4333&gt;NOW()),"",IF(INDEX(Data!$A:$G,MATCH($B4333,Data!$A:$A,0),MATCH($C$7,Data!$4:$4,0))="","",INDEX(Data!$A:$G,MATCH($B4333,Data!$A:$A,0),MATCH($C$7,Data!$4:$4,0))))</f>
        <v>71.900000000000006</v>
      </c>
      <c r="D4333" s="148">
        <f t="shared" ca="1" si="140"/>
        <v>0</v>
      </c>
      <c r="E4333" s="148">
        <f t="shared" ca="1" si="141"/>
        <v>6.9000000000000057</v>
      </c>
    </row>
    <row r="4334" spans="2:5" x14ac:dyDescent="0.25">
      <c r="B4334" s="8">
        <v>41928</v>
      </c>
      <c r="C4334" s="6">
        <f ca="1">IF(OR($C$7="",$B4334&gt;NOW()),"",IF(INDEX(Data!$A:$G,MATCH($B4334,Data!$A:$A,0),MATCH($C$7,Data!$4:$4,0))="","",INDEX(Data!$A:$G,MATCH($B4334,Data!$A:$A,0),MATCH($C$7,Data!$4:$4,0))))</f>
        <v>69.8</v>
      </c>
      <c r="D4334" s="148">
        <f t="shared" ca="1" si="140"/>
        <v>0</v>
      </c>
      <c r="E4334" s="148">
        <f t="shared" ca="1" si="141"/>
        <v>4.7999999999999972</v>
      </c>
    </row>
    <row r="4335" spans="2:5" x14ac:dyDescent="0.25">
      <c r="B4335" s="8">
        <v>41929</v>
      </c>
      <c r="C4335" s="6">
        <f ca="1">IF(OR($C$7="",$B4335&gt;NOW()),"",IF(INDEX(Data!$A:$G,MATCH($B4335,Data!$A:$A,0),MATCH($C$7,Data!$4:$4,0))="","",INDEX(Data!$A:$G,MATCH($B4335,Data!$A:$A,0),MATCH($C$7,Data!$4:$4,0))))</f>
        <v>65.8</v>
      </c>
      <c r="D4335" s="148">
        <f t="shared" ca="1" si="140"/>
        <v>0</v>
      </c>
      <c r="E4335" s="148">
        <f t="shared" ca="1" si="141"/>
        <v>0.79999999999999716</v>
      </c>
    </row>
    <row r="4336" spans="2:5" x14ac:dyDescent="0.25">
      <c r="B4336" s="8">
        <v>41930</v>
      </c>
      <c r="C4336" s="6">
        <f ca="1">IF(OR($C$7="",$B4336&gt;NOW()),"",IF(INDEX(Data!$A:$G,MATCH($B4336,Data!$A:$A,0),MATCH($C$7,Data!$4:$4,0))="","",INDEX(Data!$A:$G,MATCH($B4336,Data!$A:$A,0),MATCH($C$7,Data!$4:$4,0))))</f>
        <v>64.099999999999994</v>
      </c>
      <c r="D4336" s="148">
        <f t="shared" ca="1" si="140"/>
        <v>0.90000000000000568</v>
      </c>
      <c r="E4336" s="148">
        <f t="shared" ca="1" si="141"/>
        <v>0</v>
      </c>
    </row>
    <row r="4337" spans="2:5" x14ac:dyDescent="0.25">
      <c r="B4337" s="8">
        <v>41931</v>
      </c>
      <c r="C4337" s="6">
        <f ca="1">IF(OR($C$7="",$B4337&gt;NOW()),"",IF(INDEX(Data!$A:$G,MATCH($B4337,Data!$A:$A,0),MATCH($C$7,Data!$4:$4,0))="","",INDEX(Data!$A:$G,MATCH($B4337,Data!$A:$A,0),MATCH($C$7,Data!$4:$4,0))))</f>
        <v>54.5</v>
      </c>
      <c r="D4337" s="148">
        <f t="shared" ca="1" si="140"/>
        <v>10.5</v>
      </c>
      <c r="E4337" s="148">
        <f t="shared" ca="1" si="141"/>
        <v>0</v>
      </c>
    </row>
    <row r="4338" spans="2:5" x14ac:dyDescent="0.25">
      <c r="B4338" s="8">
        <v>41932</v>
      </c>
      <c r="C4338" s="6">
        <f ca="1">IF(OR($C$7="",$B4338&gt;NOW()),"",IF(INDEX(Data!$A:$G,MATCH($B4338,Data!$A:$A,0),MATCH($C$7,Data!$4:$4,0))="","",INDEX(Data!$A:$G,MATCH($B4338,Data!$A:$A,0),MATCH($C$7,Data!$4:$4,0))))</f>
        <v>49.8</v>
      </c>
      <c r="D4338" s="148">
        <f t="shared" ca="1" si="140"/>
        <v>15.200000000000003</v>
      </c>
      <c r="E4338" s="148">
        <f t="shared" ca="1" si="141"/>
        <v>0</v>
      </c>
    </row>
    <row r="4339" spans="2:5" x14ac:dyDescent="0.25">
      <c r="B4339" s="8">
        <v>41933</v>
      </c>
      <c r="C4339" s="6">
        <f ca="1">IF(OR($C$7="",$B4339&gt;NOW()),"",IF(INDEX(Data!$A:$G,MATCH($B4339,Data!$A:$A,0),MATCH($C$7,Data!$4:$4,0))="","",INDEX(Data!$A:$G,MATCH($B4339,Data!$A:$A,0),MATCH($C$7,Data!$4:$4,0))))</f>
        <v>60</v>
      </c>
      <c r="D4339" s="148">
        <f t="shared" ca="1" si="140"/>
        <v>5</v>
      </c>
      <c r="E4339" s="148">
        <f t="shared" ca="1" si="141"/>
        <v>0</v>
      </c>
    </row>
    <row r="4340" spans="2:5" x14ac:dyDescent="0.25">
      <c r="B4340" s="8">
        <v>41934</v>
      </c>
      <c r="C4340" s="6">
        <f ca="1">IF(OR($C$7="",$B4340&gt;NOW()),"",IF(INDEX(Data!$A:$G,MATCH($B4340,Data!$A:$A,0),MATCH($C$7,Data!$4:$4,0))="","",INDEX(Data!$A:$G,MATCH($B4340,Data!$A:$A,0),MATCH($C$7,Data!$4:$4,0))))</f>
        <v>57</v>
      </c>
      <c r="D4340" s="148">
        <f t="shared" ca="1" si="140"/>
        <v>8</v>
      </c>
      <c r="E4340" s="148">
        <f t="shared" ca="1" si="141"/>
        <v>0</v>
      </c>
    </row>
    <row r="4341" spans="2:5" x14ac:dyDescent="0.25">
      <c r="B4341" s="8">
        <v>41935</v>
      </c>
      <c r="C4341" s="6">
        <f ca="1">IF(OR($C$7="",$B4341&gt;NOW()),"",IF(INDEX(Data!$A:$G,MATCH($B4341,Data!$A:$A,0),MATCH($C$7,Data!$4:$4,0))="","",INDEX(Data!$A:$G,MATCH($B4341,Data!$A:$A,0),MATCH($C$7,Data!$4:$4,0))))</f>
        <v>52.2</v>
      </c>
      <c r="D4341" s="148">
        <f t="shared" ca="1" si="140"/>
        <v>12.799999999999997</v>
      </c>
      <c r="E4341" s="148">
        <f t="shared" ca="1" si="141"/>
        <v>0</v>
      </c>
    </row>
    <row r="4342" spans="2:5" x14ac:dyDescent="0.25">
      <c r="B4342" s="8">
        <v>41936</v>
      </c>
      <c r="C4342" s="6">
        <f ca="1">IF(OR($C$7="",$B4342&gt;NOW()),"",IF(INDEX(Data!$A:$G,MATCH($B4342,Data!$A:$A,0),MATCH($C$7,Data!$4:$4,0))="","",INDEX(Data!$A:$G,MATCH($B4342,Data!$A:$A,0),MATCH($C$7,Data!$4:$4,0))))</f>
        <v>54.7</v>
      </c>
      <c r="D4342" s="148">
        <f t="shared" ca="1" si="140"/>
        <v>10.299999999999997</v>
      </c>
      <c r="E4342" s="148">
        <f t="shared" ca="1" si="141"/>
        <v>0</v>
      </c>
    </row>
    <row r="4343" spans="2:5" x14ac:dyDescent="0.25">
      <c r="B4343" s="8">
        <v>41937</v>
      </c>
      <c r="C4343" s="6">
        <f ca="1">IF(OR($C$7="",$B4343&gt;NOW()),"",IF(INDEX(Data!$A:$G,MATCH($B4343,Data!$A:$A,0),MATCH($C$7,Data!$4:$4,0))="","",INDEX(Data!$A:$G,MATCH($B4343,Data!$A:$A,0),MATCH($C$7,Data!$4:$4,0))))</f>
        <v>58.7</v>
      </c>
      <c r="D4343" s="148">
        <f t="shared" ca="1" si="140"/>
        <v>6.2999999999999972</v>
      </c>
      <c r="E4343" s="148">
        <f t="shared" ca="1" si="141"/>
        <v>0</v>
      </c>
    </row>
    <row r="4344" spans="2:5" x14ac:dyDescent="0.25">
      <c r="B4344" s="8">
        <v>41938</v>
      </c>
      <c r="C4344" s="6">
        <f ca="1">IF(OR($C$7="",$B4344&gt;NOW()),"",IF(INDEX(Data!$A:$G,MATCH($B4344,Data!$A:$A,0),MATCH($C$7,Data!$4:$4,0))="","",INDEX(Data!$A:$G,MATCH($B4344,Data!$A:$A,0),MATCH($C$7,Data!$4:$4,0))))</f>
        <v>59.6</v>
      </c>
      <c r="D4344" s="148">
        <f t="shared" ca="1" si="140"/>
        <v>5.3999999999999986</v>
      </c>
      <c r="E4344" s="148">
        <f t="shared" ca="1" si="141"/>
        <v>0</v>
      </c>
    </row>
    <row r="4345" spans="2:5" x14ac:dyDescent="0.25">
      <c r="B4345" s="8">
        <v>41939</v>
      </c>
      <c r="C4345" s="6">
        <f ca="1">IF(OR($C$7="",$B4345&gt;NOW()),"",IF(INDEX(Data!$A:$G,MATCH($B4345,Data!$A:$A,0),MATCH($C$7,Data!$4:$4,0))="","",INDEX(Data!$A:$G,MATCH($B4345,Data!$A:$A,0),MATCH($C$7,Data!$4:$4,0))))</f>
        <v>57</v>
      </c>
      <c r="D4345" s="148">
        <f t="shared" ca="1" si="140"/>
        <v>8</v>
      </c>
      <c r="E4345" s="148">
        <f t="shared" ca="1" si="141"/>
        <v>0</v>
      </c>
    </row>
    <row r="4346" spans="2:5" x14ac:dyDescent="0.25">
      <c r="B4346" s="8">
        <v>41940</v>
      </c>
      <c r="C4346" s="6">
        <f ca="1">IF(OR($C$7="",$B4346&gt;NOW()),"",IF(INDEX(Data!$A:$G,MATCH($B4346,Data!$A:$A,0),MATCH($C$7,Data!$4:$4,0))="","",INDEX(Data!$A:$G,MATCH($B4346,Data!$A:$A,0),MATCH($C$7,Data!$4:$4,0))))</f>
        <v>60.4</v>
      </c>
      <c r="D4346" s="148">
        <f t="shared" ca="1" si="140"/>
        <v>4.6000000000000014</v>
      </c>
      <c r="E4346" s="148">
        <f t="shared" ca="1" si="141"/>
        <v>0</v>
      </c>
    </row>
    <row r="4347" spans="2:5" x14ac:dyDescent="0.25">
      <c r="B4347" s="8">
        <v>41941</v>
      </c>
      <c r="C4347" s="6">
        <f ca="1">IF(OR($C$7="",$B4347&gt;NOW()),"",IF(INDEX(Data!$A:$G,MATCH($B4347,Data!$A:$A,0),MATCH($C$7,Data!$4:$4,0))="","",INDEX(Data!$A:$G,MATCH($B4347,Data!$A:$A,0),MATCH($C$7,Data!$4:$4,0))))</f>
        <v>64.2</v>
      </c>
      <c r="D4347" s="148">
        <f t="shared" ca="1" si="140"/>
        <v>0.79999999999999716</v>
      </c>
      <c r="E4347" s="148">
        <f t="shared" ca="1" si="141"/>
        <v>0</v>
      </c>
    </row>
    <row r="4348" spans="2:5" x14ac:dyDescent="0.25">
      <c r="B4348" s="8">
        <v>41942</v>
      </c>
      <c r="C4348" s="6">
        <f ca="1">IF(OR($C$7="",$B4348&gt;NOW()),"",IF(INDEX(Data!$A:$G,MATCH($B4348,Data!$A:$A,0),MATCH($C$7,Data!$4:$4,0))="","",INDEX(Data!$A:$G,MATCH($B4348,Data!$A:$A,0),MATCH($C$7,Data!$4:$4,0))))</f>
        <v>54</v>
      </c>
      <c r="D4348" s="148">
        <f t="shared" ca="1" si="140"/>
        <v>11</v>
      </c>
      <c r="E4348" s="148">
        <f t="shared" ca="1" si="141"/>
        <v>0</v>
      </c>
    </row>
    <row r="4349" spans="2:5" x14ac:dyDescent="0.25">
      <c r="B4349" s="8">
        <v>41943</v>
      </c>
      <c r="C4349" s="6">
        <f ca="1">IF(OR($C$7="",$B4349&gt;NOW()),"",IF(INDEX(Data!$A:$G,MATCH($B4349,Data!$A:$A,0),MATCH($C$7,Data!$4:$4,0))="","",INDEX(Data!$A:$G,MATCH($B4349,Data!$A:$A,0),MATCH($C$7,Data!$4:$4,0))))</f>
        <v>49.9</v>
      </c>
      <c r="D4349" s="148">
        <f t="shared" ca="1" si="140"/>
        <v>15.100000000000001</v>
      </c>
      <c r="E4349" s="148">
        <f t="shared" ca="1" si="141"/>
        <v>0</v>
      </c>
    </row>
    <row r="4350" spans="2:5" x14ac:dyDescent="0.25">
      <c r="B4350" s="8">
        <v>41944</v>
      </c>
      <c r="C4350" s="6">
        <f ca="1">IF(OR($C$7="",$B4350&gt;NOW()),"",IF(INDEX(Data!$A:$G,MATCH($B4350,Data!$A:$A,0),MATCH($C$7,Data!$4:$4,0))="","",INDEX(Data!$A:$G,MATCH($B4350,Data!$A:$A,0),MATCH($C$7,Data!$4:$4,0))))</f>
        <v>48.1</v>
      </c>
      <c r="D4350" s="148">
        <f t="shared" ca="1" si="140"/>
        <v>16.899999999999999</v>
      </c>
      <c r="E4350" s="148">
        <f t="shared" ca="1" si="141"/>
        <v>0</v>
      </c>
    </row>
    <row r="4351" spans="2:5" x14ac:dyDescent="0.25">
      <c r="B4351" s="8">
        <v>41945</v>
      </c>
      <c r="C4351" s="6">
        <f ca="1">IF(OR($C$7="",$B4351&gt;NOW()),"",IF(INDEX(Data!$A:$G,MATCH($B4351,Data!$A:$A,0),MATCH($C$7,Data!$4:$4,0))="","",INDEX(Data!$A:$G,MATCH($B4351,Data!$A:$A,0),MATCH($C$7,Data!$4:$4,0))))</f>
        <v>44.6</v>
      </c>
      <c r="D4351" s="148">
        <f t="shared" ca="1" si="140"/>
        <v>20.399999999999999</v>
      </c>
      <c r="E4351" s="148">
        <f t="shared" ca="1" si="141"/>
        <v>0</v>
      </c>
    </row>
    <row r="4352" spans="2:5" x14ac:dyDescent="0.25">
      <c r="B4352" s="8">
        <v>41946</v>
      </c>
      <c r="C4352" s="6">
        <f ca="1">IF(OR($C$7="",$B4352&gt;NOW()),"",IF(INDEX(Data!$A:$G,MATCH($B4352,Data!$A:$A,0),MATCH($C$7,Data!$4:$4,0))="","",INDEX(Data!$A:$G,MATCH($B4352,Data!$A:$A,0),MATCH($C$7,Data!$4:$4,0))))</f>
        <v>48.1</v>
      </c>
      <c r="D4352" s="148">
        <f t="shared" ca="1" si="140"/>
        <v>16.899999999999999</v>
      </c>
      <c r="E4352" s="148">
        <f t="shared" ca="1" si="141"/>
        <v>0</v>
      </c>
    </row>
    <row r="4353" spans="2:5" x14ac:dyDescent="0.25">
      <c r="B4353" s="8">
        <v>41947</v>
      </c>
      <c r="C4353" s="6">
        <f ca="1">IF(OR($C$7="",$B4353&gt;NOW()),"",IF(INDEX(Data!$A:$G,MATCH($B4353,Data!$A:$A,0),MATCH($C$7,Data!$4:$4,0))="","",INDEX(Data!$A:$G,MATCH($B4353,Data!$A:$A,0),MATCH($C$7,Data!$4:$4,0))))</f>
        <v>60.2</v>
      </c>
      <c r="D4353" s="148">
        <f t="shared" ca="1" si="140"/>
        <v>4.7999999999999972</v>
      </c>
      <c r="E4353" s="148">
        <f t="shared" ca="1" si="141"/>
        <v>0</v>
      </c>
    </row>
    <row r="4354" spans="2:5" x14ac:dyDescent="0.25">
      <c r="B4354" s="8">
        <v>41948</v>
      </c>
      <c r="C4354" s="6">
        <f ca="1">IF(OR($C$7="",$B4354&gt;NOW()),"",IF(INDEX(Data!$A:$G,MATCH($B4354,Data!$A:$A,0),MATCH($C$7,Data!$4:$4,0))="","",INDEX(Data!$A:$G,MATCH($B4354,Data!$A:$A,0),MATCH($C$7,Data!$4:$4,0))))</f>
        <v>61.4</v>
      </c>
      <c r="D4354" s="148">
        <f t="shared" ca="1" si="140"/>
        <v>3.6000000000000014</v>
      </c>
      <c r="E4354" s="148">
        <f t="shared" ca="1" si="141"/>
        <v>0</v>
      </c>
    </row>
    <row r="4355" spans="2:5" x14ac:dyDescent="0.25">
      <c r="B4355" s="8">
        <v>41949</v>
      </c>
      <c r="C4355" s="6">
        <f ca="1">IF(OR($C$7="",$B4355&gt;NOW()),"",IF(INDEX(Data!$A:$G,MATCH($B4355,Data!$A:$A,0),MATCH($C$7,Data!$4:$4,0))="","",INDEX(Data!$A:$G,MATCH($B4355,Data!$A:$A,0),MATCH($C$7,Data!$4:$4,0))))</f>
        <v>52.7</v>
      </c>
      <c r="D4355" s="148">
        <f t="shared" ca="1" si="140"/>
        <v>12.299999999999997</v>
      </c>
      <c r="E4355" s="148">
        <f t="shared" ca="1" si="141"/>
        <v>0</v>
      </c>
    </row>
    <row r="4356" spans="2:5" x14ac:dyDescent="0.25">
      <c r="B4356" s="8">
        <v>41950</v>
      </c>
      <c r="C4356" s="6">
        <f ca="1">IF(OR($C$7="",$B4356&gt;NOW()),"",IF(INDEX(Data!$A:$G,MATCH($B4356,Data!$A:$A,0),MATCH($C$7,Data!$4:$4,0))="","",INDEX(Data!$A:$G,MATCH($B4356,Data!$A:$A,0),MATCH($C$7,Data!$4:$4,0))))</f>
        <v>49.6</v>
      </c>
      <c r="D4356" s="148">
        <f t="shared" ca="1" si="140"/>
        <v>15.399999999999999</v>
      </c>
      <c r="E4356" s="148">
        <f t="shared" ca="1" si="141"/>
        <v>0</v>
      </c>
    </row>
    <row r="4357" spans="2:5" x14ac:dyDescent="0.25">
      <c r="B4357" s="8">
        <v>41951</v>
      </c>
      <c r="C4357" s="6">
        <f ca="1">IF(OR($C$7="",$B4357&gt;NOW()),"",IF(INDEX(Data!$A:$G,MATCH($B4357,Data!$A:$A,0),MATCH($C$7,Data!$4:$4,0))="","",INDEX(Data!$A:$G,MATCH($B4357,Data!$A:$A,0),MATCH($C$7,Data!$4:$4,0))))</f>
        <v>42.4</v>
      </c>
      <c r="D4357" s="148">
        <f t="shared" ca="1" si="140"/>
        <v>22.6</v>
      </c>
      <c r="E4357" s="148">
        <f t="shared" ca="1" si="141"/>
        <v>0</v>
      </c>
    </row>
    <row r="4358" spans="2:5" x14ac:dyDescent="0.25">
      <c r="B4358" s="8">
        <v>41952</v>
      </c>
      <c r="C4358" s="6">
        <f ca="1">IF(OR($C$7="",$B4358&gt;NOW()),"",IF(INDEX(Data!$A:$G,MATCH($B4358,Data!$A:$A,0),MATCH($C$7,Data!$4:$4,0))="","",INDEX(Data!$A:$G,MATCH($B4358,Data!$A:$A,0),MATCH($C$7,Data!$4:$4,0))))</f>
        <v>49.9</v>
      </c>
      <c r="D4358" s="148">
        <f t="shared" ca="1" si="140"/>
        <v>15.100000000000001</v>
      </c>
      <c r="E4358" s="148">
        <f t="shared" ca="1" si="141"/>
        <v>0</v>
      </c>
    </row>
    <row r="4359" spans="2:5" x14ac:dyDescent="0.25">
      <c r="B4359" s="8">
        <v>41953</v>
      </c>
      <c r="C4359" s="6">
        <f ca="1">IF(OR($C$7="",$B4359&gt;NOW()),"",IF(INDEX(Data!$A:$G,MATCH($B4359,Data!$A:$A,0),MATCH($C$7,Data!$4:$4,0))="","",INDEX(Data!$A:$G,MATCH($B4359,Data!$A:$A,0),MATCH($C$7,Data!$4:$4,0))))</f>
        <v>51.8</v>
      </c>
      <c r="D4359" s="148">
        <f t="shared" ca="1" si="140"/>
        <v>13.200000000000003</v>
      </c>
      <c r="E4359" s="148">
        <f t="shared" ca="1" si="141"/>
        <v>0</v>
      </c>
    </row>
    <row r="4360" spans="2:5" x14ac:dyDescent="0.25">
      <c r="B4360" s="8">
        <v>41954</v>
      </c>
      <c r="C4360" s="6">
        <f ca="1">IF(OR($C$7="",$B4360&gt;NOW()),"",IF(INDEX(Data!$A:$G,MATCH($B4360,Data!$A:$A,0),MATCH($C$7,Data!$4:$4,0))="","",INDEX(Data!$A:$G,MATCH($B4360,Data!$A:$A,0),MATCH($C$7,Data!$4:$4,0))))</f>
        <v>54.9</v>
      </c>
      <c r="D4360" s="148">
        <f t="shared" ca="1" si="140"/>
        <v>10.100000000000001</v>
      </c>
      <c r="E4360" s="148">
        <f t="shared" ca="1" si="141"/>
        <v>0</v>
      </c>
    </row>
    <row r="4361" spans="2:5" x14ac:dyDescent="0.25">
      <c r="B4361" s="8">
        <v>41955</v>
      </c>
      <c r="C4361" s="6">
        <f ca="1">IF(OR($C$7="",$B4361&gt;NOW()),"",IF(INDEX(Data!$A:$G,MATCH($B4361,Data!$A:$A,0),MATCH($C$7,Data!$4:$4,0))="","",INDEX(Data!$A:$G,MATCH($B4361,Data!$A:$A,0),MATCH($C$7,Data!$4:$4,0))))</f>
        <v>58.7</v>
      </c>
      <c r="D4361" s="148">
        <f t="shared" ca="1" si="140"/>
        <v>6.2999999999999972</v>
      </c>
      <c r="E4361" s="148">
        <f t="shared" ca="1" si="141"/>
        <v>0</v>
      </c>
    </row>
    <row r="4362" spans="2:5" x14ac:dyDescent="0.25">
      <c r="B4362" s="8">
        <v>41956</v>
      </c>
      <c r="C4362" s="6">
        <f ca="1">IF(OR($C$7="",$B4362&gt;NOW()),"",IF(INDEX(Data!$A:$G,MATCH($B4362,Data!$A:$A,0),MATCH($C$7,Data!$4:$4,0))="","",INDEX(Data!$A:$G,MATCH($B4362,Data!$A:$A,0),MATCH($C$7,Data!$4:$4,0))))</f>
        <v>45.7</v>
      </c>
      <c r="D4362" s="148">
        <f t="shared" ca="1" si="140"/>
        <v>19.299999999999997</v>
      </c>
      <c r="E4362" s="148">
        <f t="shared" ca="1" si="141"/>
        <v>0</v>
      </c>
    </row>
    <row r="4363" spans="2:5" x14ac:dyDescent="0.25">
      <c r="B4363" s="8">
        <v>41957</v>
      </c>
      <c r="C4363" s="6">
        <f ca="1">IF(OR($C$7="",$B4363&gt;NOW()),"",IF(INDEX(Data!$A:$G,MATCH($B4363,Data!$A:$A,0),MATCH($C$7,Data!$4:$4,0))="","",INDEX(Data!$A:$G,MATCH($B4363,Data!$A:$A,0),MATCH($C$7,Data!$4:$4,0))))</f>
        <v>39.299999999999997</v>
      </c>
      <c r="D4363" s="148">
        <f t="shared" ca="1" si="140"/>
        <v>25.700000000000003</v>
      </c>
      <c r="E4363" s="148">
        <f t="shared" ca="1" si="141"/>
        <v>0</v>
      </c>
    </row>
    <row r="4364" spans="2:5" x14ac:dyDescent="0.25">
      <c r="B4364" s="8">
        <v>41958</v>
      </c>
      <c r="C4364" s="6">
        <f ca="1">IF(OR($C$7="",$B4364&gt;NOW()),"",IF(INDEX(Data!$A:$G,MATCH($B4364,Data!$A:$A,0),MATCH($C$7,Data!$4:$4,0))="","",INDEX(Data!$A:$G,MATCH($B4364,Data!$A:$A,0),MATCH($C$7,Data!$4:$4,0))))</f>
        <v>37.799999999999997</v>
      </c>
      <c r="D4364" s="148">
        <f t="shared" ca="1" si="140"/>
        <v>27.200000000000003</v>
      </c>
      <c r="E4364" s="148">
        <f t="shared" ca="1" si="141"/>
        <v>0</v>
      </c>
    </row>
    <row r="4365" spans="2:5" x14ac:dyDescent="0.25">
      <c r="B4365" s="8">
        <v>41959</v>
      </c>
      <c r="C4365" s="6">
        <f ca="1">IF(OR($C$7="",$B4365&gt;NOW()),"",IF(INDEX(Data!$A:$G,MATCH($B4365,Data!$A:$A,0),MATCH($C$7,Data!$4:$4,0))="","",INDEX(Data!$A:$G,MATCH($B4365,Data!$A:$A,0),MATCH($C$7,Data!$4:$4,0))))</f>
        <v>39.4</v>
      </c>
      <c r="D4365" s="148">
        <f t="shared" ca="1" si="140"/>
        <v>25.6</v>
      </c>
      <c r="E4365" s="148">
        <f t="shared" ca="1" si="141"/>
        <v>0</v>
      </c>
    </row>
    <row r="4366" spans="2:5" x14ac:dyDescent="0.25">
      <c r="B4366" s="8">
        <v>41960</v>
      </c>
      <c r="C4366" s="6">
        <f ca="1">IF(OR($C$7="",$B4366&gt;NOW()),"",IF(INDEX(Data!$A:$G,MATCH($B4366,Data!$A:$A,0),MATCH($C$7,Data!$4:$4,0))="","",INDEX(Data!$A:$G,MATCH($B4366,Data!$A:$A,0),MATCH($C$7,Data!$4:$4,0))))</f>
        <v>43.6</v>
      </c>
      <c r="D4366" s="148">
        <f t="shared" ca="1" si="140"/>
        <v>21.4</v>
      </c>
      <c r="E4366" s="148">
        <f t="shared" ca="1" si="141"/>
        <v>0</v>
      </c>
    </row>
    <row r="4367" spans="2:5" x14ac:dyDescent="0.25">
      <c r="B4367" s="8">
        <v>41961</v>
      </c>
      <c r="C4367" s="6">
        <f ca="1">IF(OR($C$7="",$B4367&gt;NOW()),"",IF(INDEX(Data!$A:$G,MATCH($B4367,Data!$A:$A,0),MATCH($C$7,Data!$4:$4,0))="","",INDEX(Data!$A:$G,MATCH($B4367,Data!$A:$A,0),MATCH($C$7,Data!$4:$4,0))))</f>
        <v>37.1</v>
      </c>
      <c r="D4367" s="148">
        <f t="shared" ca="1" si="140"/>
        <v>27.9</v>
      </c>
      <c r="E4367" s="148">
        <f t="shared" ca="1" si="141"/>
        <v>0</v>
      </c>
    </row>
    <row r="4368" spans="2:5" x14ac:dyDescent="0.25">
      <c r="B4368" s="8">
        <v>41962</v>
      </c>
      <c r="C4368" s="6">
        <f ca="1">IF(OR($C$7="",$B4368&gt;NOW()),"",IF(INDEX(Data!$A:$G,MATCH($B4368,Data!$A:$A,0),MATCH($C$7,Data!$4:$4,0))="","",INDEX(Data!$A:$G,MATCH($B4368,Data!$A:$A,0),MATCH($C$7,Data!$4:$4,0))))</f>
        <v>26.7</v>
      </c>
      <c r="D4368" s="148">
        <f t="shared" ca="1" si="140"/>
        <v>38.299999999999997</v>
      </c>
      <c r="E4368" s="148">
        <f t="shared" ca="1" si="141"/>
        <v>0</v>
      </c>
    </row>
    <row r="4369" spans="2:5" x14ac:dyDescent="0.25">
      <c r="B4369" s="8">
        <v>41963</v>
      </c>
      <c r="C4369" s="6">
        <f ca="1">IF(OR($C$7="",$B4369&gt;NOW()),"",IF(INDEX(Data!$A:$G,MATCH($B4369,Data!$A:$A,0),MATCH($C$7,Data!$4:$4,0))="","",INDEX(Data!$A:$G,MATCH($B4369,Data!$A:$A,0),MATCH($C$7,Data!$4:$4,0))))</f>
        <v>38.1</v>
      </c>
      <c r="D4369" s="148">
        <f t="shared" ca="1" si="140"/>
        <v>26.9</v>
      </c>
      <c r="E4369" s="148">
        <f t="shared" ca="1" si="141"/>
        <v>0</v>
      </c>
    </row>
    <row r="4370" spans="2:5" x14ac:dyDescent="0.25">
      <c r="B4370" s="8">
        <v>41964</v>
      </c>
      <c r="C4370" s="6">
        <f ca="1">IF(OR($C$7="",$B4370&gt;NOW()),"",IF(INDEX(Data!$A:$G,MATCH($B4370,Data!$A:$A,0),MATCH($C$7,Data!$4:$4,0))="","",INDEX(Data!$A:$G,MATCH($B4370,Data!$A:$A,0),MATCH($C$7,Data!$4:$4,0))))</f>
        <v>33.1</v>
      </c>
      <c r="D4370" s="148">
        <f t="shared" ca="1" si="140"/>
        <v>31.9</v>
      </c>
      <c r="E4370" s="148">
        <f t="shared" ca="1" si="141"/>
        <v>0</v>
      </c>
    </row>
    <row r="4371" spans="2:5" x14ac:dyDescent="0.25">
      <c r="B4371" s="8">
        <v>41965</v>
      </c>
      <c r="C4371" s="6">
        <f ca="1">IF(OR($C$7="",$B4371&gt;NOW()),"",IF(INDEX(Data!$A:$G,MATCH($B4371,Data!$A:$A,0),MATCH($C$7,Data!$4:$4,0))="","",INDEX(Data!$A:$G,MATCH($B4371,Data!$A:$A,0),MATCH($C$7,Data!$4:$4,0))))</f>
        <v>34.299999999999997</v>
      </c>
      <c r="D4371" s="148">
        <f t="shared" ca="1" si="140"/>
        <v>30.700000000000003</v>
      </c>
      <c r="E4371" s="148">
        <f t="shared" ca="1" si="141"/>
        <v>0</v>
      </c>
    </row>
    <row r="4372" spans="2:5" x14ac:dyDescent="0.25">
      <c r="B4372" s="8">
        <v>41966</v>
      </c>
      <c r="C4372" s="6">
        <f ca="1">IF(OR($C$7="",$B4372&gt;NOW()),"",IF(INDEX(Data!$A:$G,MATCH($B4372,Data!$A:$A,0),MATCH($C$7,Data!$4:$4,0))="","",INDEX(Data!$A:$G,MATCH($B4372,Data!$A:$A,0),MATCH($C$7,Data!$4:$4,0))))</f>
        <v>46.9</v>
      </c>
      <c r="D4372" s="148">
        <f t="shared" ca="1" si="140"/>
        <v>18.100000000000001</v>
      </c>
      <c r="E4372" s="148">
        <f t="shared" ca="1" si="141"/>
        <v>0</v>
      </c>
    </row>
    <row r="4373" spans="2:5" x14ac:dyDescent="0.25">
      <c r="B4373" s="8">
        <v>41967</v>
      </c>
      <c r="C4373" s="6">
        <f ca="1">IF(OR($C$7="",$B4373&gt;NOW()),"",IF(INDEX(Data!$A:$G,MATCH($B4373,Data!$A:$A,0),MATCH($C$7,Data!$4:$4,0))="","",INDEX(Data!$A:$G,MATCH($B4373,Data!$A:$A,0),MATCH($C$7,Data!$4:$4,0))))</f>
        <v>57.5</v>
      </c>
      <c r="D4373" s="148">
        <f t="shared" ca="1" si="140"/>
        <v>7.5</v>
      </c>
      <c r="E4373" s="148">
        <f t="shared" ca="1" si="141"/>
        <v>0</v>
      </c>
    </row>
    <row r="4374" spans="2:5" x14ac:dyDescent="0.25">
      <c r="B4374" s="8">
        <v>41968</v>
      </c>
      <c r="C4374" s="6">
        <f ca="1">IF(OR($C$7="",$B4374&gt;NOW()),"",IF(INDEX(Data!$A:$G,MATCH($B4374,Data!$A:$A,0),MATCH($C$7,Data!$4:$4,0))="","",INDEX(Data!$A:$G,MATCH($B4374,Data!$A:$A,0),MATCH($C$7,Data!$4:$4,0))))</f>
        <v>60.1</v>
      </c>
      <c r="D4374" s="148">
        <f t="shared" ca="1" si="140"/>
        <v>4.8999999999999986</v>
      </c>
      <c r="E4374" s="148">
        <f t="shared" ca="1" si="141"/>
        <v>0</v>
      </c>
    </row>
    <row r="4375" spans="2:5" x14ac:dyDescent="0.25">
      <c r="B4375" s="8">
        <v>41969</v>
      </c>
      <c r="C4375" s="6">
        <f ca="1">IF(OR($C$7="",$B4375&gt;NOW()),"",IF(INDEX(Data!$A:$G,MATCH($B4375,Data!$A:$A,0),MATCH($C$7,Data!$4:$4,0))="","",INDEX(Data!$A:$G,MATCH($B4375,Data!$A:$A,0),MATCH($C$7,Data!$4:$4,0))))</f>
        <v>44</v>
      </c>
      <c r="D4375" s="148">
        <f t="shared" ca="1" si="140"/>
        <v>21</v>
      </c>
      <c r="E4375" s="148">
        <f t="shared" ca="1" si="141"/>
        <v>0</v>
      </c>
    </row>
    <row r="4376" spans="2:5" x14ac:dyDescent="0.25">
      <c r="B4376" s="8">
        <v>41970</v>
      </c>
      <c r="C4376" s="6">
        <f ca="1">IF(OR($C$7="",$B4376&gt;NOW()),"",IF(INDEX(Data!$A:$G,MATCH($B4376,Data!$A:$A,0),MATCH($C$7,Data!$4:$4,0))="","",INDEX(Data!$A:$G,MATCH($B4376,Data!$A:$A,0),MATCH($C$7,Data!$4:$4,0))))</f>
        <v>36.5</v>
      </c>
      <c r="D4376" s="148">
        <f t="shared" ca="1" si="140"/>
        <v>28.5</v>
      </c>
      <c r="E4376" s="148">
        <f t="shared" ca="1" si="141"/>
        <v>0</v>
      </c>
    </row>
    <row r="4377" spans="2:5" x14ac:dyDescent="0.25">
      <c r="B4377" s="8">
        <v>41971</v>
      </c>
      <c r="C4377" s="6">
        <f ca="1">IF(OR($C$7="",$B4377&gt;NOW()),"",IF(INDEX(Data!$A:$G,MATCH($B4377,Data!$A:$A,0),MATCH($C$7,Data!$4:$4,0))="","",INDEX(Data!$A:$G,MATCH($B4377,Data!$A:$A,0),MATCH($C$7,Data!$4:$4,0))))</f>
        <v>34.4</v>
      </c>
      <c r="D4377" s="148">
        <f t="shared" ca="1" si="140"/>
        <v>30.6</v>
      </c>
      <c r="E4377" s="148">
        <f t="shared" ca="1" si="141"/>
        <v>0</v>
      </c>
    </row>
    <row r="4378" spans="2:5" x14ac:dyDescent="0.25">
      <c r="B4378" s="8">
        <v>41972</v>
      </c>
      <c r="C4378" s="6">
        <f ca="1">IF(OR($C$7="",$B4378&gt;NOW()),"",IF(INDEX(Data!$A:$G,MATCH($B4378,Data!$A:$A,0),MATCH($C$7,Data!$4:$4,0))="","",INDEX(Data!$A:$G,MATCH($B4378,Data!$A:$A,0),MATCH($C$7,Data!$4:$4,0))))</f>
        <v>31.4</v>
      </c>
      <c r="D4378" s="148">
        <f t="shared" ca="1" si="140"/>
        <v>33.6</v>
      </c>
      <c r="E4378" s="148">
        <f t="shared" ca="1" si="141"/>
        <v>0</v>
      </c>
    </row>
    <row r="4379" spans="2:5" x14ac:dyDescent="0.25">
      <c r="B4379" s="8">
        <v>41973</v>
      </c>
      <c r="C4379" s="6">
        <f ca="1">IF(OR($C$7="",$B4379&gt;NOW()),"",IF(INDEX(Data!$A:$G,MATCH($B4379,Data!$A:$A,0),MATCH($C$7,Data!$4:$4,0))="","",INDEX(Data!$A:$G,MATCH($B4379,Data!$A:$A,0),MATCH($C$7,Data!$4:$4,0))))</f>
        <v>46.5</v>
      </c>
      <c r="D4379" s="148">
        <f t="shared" ca="1" si="140"/>
        <v>18.5</v>
      </c>
      <c r="E4379" s="148">
        <f t="shared" ca="1" si="141"/>
        <v>0</v>
      </c>
    </row>
    <row r="4380" spans="2:5" x14ac:dyDescent="0.25">
      <c r="B4380" s="8">
        <v>41974</v>
      </c>
      <c r="C4380" s="6">
        <f ca="1">IF(OR($C$7="",$B4380&gt;NOW()),"",IF(INDEX(Data!$A:$G,MATCH($B4380,Data!$A:$A,0),MATCH($C$7,Data!$4:$4,0))="","",INDEX(Data!$A:$G,MATCH($B4380,Data!$A:$A,0),MATCH($C$7,Data!$4:$4,0))))</f>
        <v>55.4</v>
      </c>
      <c r="D4380" s="148">
        <f t="shared" ca="1" si="140"/>
        <v>9.6000000000000014</v>
      </c>
      <c r="E4380" s="148">
        <f t="shared" ca="1" si="141"/>
        <v>0</v>
      </c>
    </row>
    <row r="4381" spans="2:5" x14ac:dyDescent="0.25">
      <c r="B4381" s="8">
        <v>41975</v>
      </c>
      <c r="C4381" s="6">
        <f ca="1">IF(OR($C$7="",$B4381&gt;NOW()),"",IF(INDEX(Data!$A:$G,MATCH($B4381,Data!$A:$A,0),MATCH($C$7,Data!$4:$4,0))="","",INDEX(Data!$A:$G,MATCH($B4381,Data!$A:$A,0),MATCH($C$7,Data!$4:$4,0))))</f>
        <v>39.700000000000003</v>
      </c>
      <c r="D4381" s="148">
        <f t="shared" ref="D4381:D4444" ca="1" si="142">IF($C4381="","",IF($C4381&gt;$D$26,0,$D$26-$C4381))</f>
        <v>25.299999999999997</v>
      </c>
      <c r="E4381" s="148">
        <f t="shared" ref="E4381:E4444" ca="1" si="143">IF($C4381="","",IF($C4381&lt;$E$26,0,$C4381-$E$26))</f>
        <v>0</v>
      </c>
    </row>
    <row r="4382" spans="2:5" x14ac:dyDescent="0.25">
      <c r="B4382" s="8">
        <v>41976</v>
      </c>
      <c r="C4382" s="6">
        <f ca="1">IF(OR($C$7="",$B4382&gt;NOW()),"",IF(INDEX(Data!$A:$G,MATCH($B4382,Data!$A:$A,0),MATCH($C$7,Data!$4:$4,0))="","",INDEX(Data!$A:$G,MATCH($B4382,Data!$A:$A,0),MATCH($C$7,Data!$4:$4,0))))</f>
        <v>43.5</v>
      </c>
      <c r="D4382" s="148">
        <f t="shared" ca="1" si="142"/>
        <v>21.5</v>
      </c>
      <c r="E4382" s="148">
        <f t="shared" ca="1" si="143"/>
        <v>0</v>
      </c>
    </row>
    <row r="4383" spans="2:5" x14ac:dyDescent="0.25">
      <c r="B4383" s="8">
        <v>41977</v>
      </c>
      <c r="C4383" s="6">
        <f ca="1">IF(OR($C$7="",$B4383&gt;NOW()),"",IF(INDEX(Data!$A:$G,MATCH($B4383,Data!$A:$A,0),MATCH($C$7,Data!$4:$4,0))="","",INDEX(Data!$A:$G,MATCH($B4383,Data!$A:$A,0),MATCH($C$7,Data!$4:$4,0))))</f>
        <v>42</v>
      </c>
      <c r="D4383" s="148">
        <f t="shared" ca="1" si="142"/>
        <v>23</v>
      </c>
      <c r="E4383" s="148">
        <f t="shared" ca="1" si="143"/>
        <v>0</v>
      </c>
    </row>
    <row r="4384" spans="2:5" x14ac:dyDescent="0.25">
      <c r="B4384" s="8">
        <v>41978</v>
      </c>
      <c r="C4384" s="6">
        <f ca="1">IF(OR($C$7="",$B4384&gt;NOW()),"",IF(INDEX(Data!$A:$G,MATCH($B4384,Data!$A:$A,0),MATCH($C$7,Data!$4:$4,0))="","",INDEX(Data!$A:$G,MATCH($B4384,Data!$A:$A,0),MATCH($C$7,Data!$4:$4,0))))</f>
        <v>38.4</v>
      </c>
      <c r="D4384" s="148">
        <f t="shared" ca="1" si="142"/>
        <v>26.6</v>
      </c>
      <c r="E4384" s="148">
        <f t="shared" ca="1" si="143"/>
        <v>0</v>
      </c>
    </row>
    <row r="4385" spans="2:5" x14ac:dyDescent="0.25">
      <c r="B4385" s="8">
        <v>41979</v>
      </c>
      <c r="C4385" s="6">
        <f ca="1">IF(OR($C$7="",$B4385&gt;NOW()),"",IF(INDEX(Data!$A:$G,MATCH($B4385,Data!$A:$A,0),MATCH($C$7,Data!$4:$4,0))="","",INDEX(Data!$A:$G,MATCH($B4385,Data!$A:$A,0),MATCH($C$7,Data!$4:$4,0))))</f>
        <v>44.9</v>
      </c>
      <c r="D4385" s="148">
        <f t="shared" ca="1" si="142"/>
        <v>20.100000000000001</v>
      </c>
      <c r="E4385" s="148">
        <f t="shared" ca="1" si="143"/>
        <v>0</v>
      </c>
    </row>
    <row r="4386" spans="2:5" x14ac:dyDescent="0.25">
      <c r="B4386" s="8">
        <v>41980</v>
      </c>
      <c r="C4386" s="6">
        <f ca="1">IF(OR($C$7="",$B4386&gt;NOW()),"",IF(INDEX(Data!$A:$G,MATCH($B4386,Data!$A:$A,0),MATCH($C$7,Data!$4:$4,0))="","",INDEX(Data!$A:$G,MATCH($B4386,Data!$A:$A,0),MATCH($C$7,Data!$4:$4,0))))</f>
        <v>39.4</v>
      </c>
      <c r="D4386" s="148">
        <f t="shared" ca="1" si="142"/>
        <v>25.6</v>
      </c>
      <c r="E4386" s="148">
        <f t="shared" ca="1" si="143"/>
        <v>0</v>
      </c>
    </row>
    <row r="4387" spans="2:5" x14ac:dyDescent="0.25">
      <c r="B4387" s="8">
        <v>41981</v>
      </c>
      <c r="C4387" s="6">
        <f ca="1">IF(OR($C$7="",$B4387&gt;NOW()),"",IF(INDEX(Data!$A:$G,MATCH($B4387,Data!$A:$A,0),MATCH($C$7,Data!$4:$4,0))="","",INDEX(Data!$A:$G,MATCH($B4387,Data!$A:$A,0),MATCH($C$7,Data!$4:$4,0))))</f>
        <v>29.8</v>
      </c>
      <c r="D4387" s="148">
        <f t="shared" ca="1" si="142"/>
        <v>35.200000000000003</v>
      </c>
      <c r="E4387" s="148">
        <f t="shared" ca="1" si="143"/>
        <v>0</v>
      </c>
    </row>
    <row r="4388" spans="2:5" x14ac:dyDescent="0.25">
      <c r="B4388" s="8">
        <v>41982</v>
      </c>
      <c r="C4388" s="6">
        <f ca="1">IF(OR($C$7="",$B4388&gt;NOW()),"",IF(INDEX(Data!$A:$G,MATCH($B4388,Data!$A:$A,0),MATCH($C$7,Data!$4:$4,0))="","",INDEX(Data!$A:$G,MATCH($B4388,Data!$A:$A,0),MATCH($C$7,Data!$4:$4,0))))</f>
        <v>38.700000000000003</v>
      </c>
      <c r="D4388" s="148">
        <f t="shared" ca="1" si="142"/>
        <v>26.299999999999997</v>
      </c>
      <c r="E4388" s="148">
        <f t="shared" ca="1" si="143"/>
        <v>0</v>
      </c>
    </row>
    <row r="4389" spans="2:5" x14ac:dyDescent="0.25">
      <c r="B4389" s="8">
        <v>41983</v>
      </c>
      <c r="C4389" s="6">
        <f ca="1">IF(OR($C$7="",$B4389&gt;NOW()),"",IF(INDEX(Data!$A:$G,MATCH($B4389,Data!$A:$A,0),MATCH($C$7,Data!$4:$4,0))="","",INDEX(Data!$A:$G,MATCH($B4389,Data!$A:$A,0),MATCH($C$7,Data!$4:$4,0))))</f>
        <v>38.6</v>
      </c>
      <c r="D4389" s="148">
        <f t="shared" ca="1" si="142"/>
        <v>26.4</v>
      </c>
      <c r="E4389" s="148">
        <f t="shared" ca="1" si="143"/>
        <v>0</v>
      </c>
    </row>
    <row r="4390" spans="2:5" x14ac:dyDescent="0.25">
      <c r="B4390" s="8">
        <v>41984</v>
      </c>
      <c r="C4390" s="6">
        <f ca="1">IF(OR($C$7="",$B4390&gt;NOW()),"",IF(INDEX(Data!$A:$G,MATCH($B4390,Data!$A:$A,0),MATCH($C$7,Data!$4:$4,0))="","",INDEX(Data!$A:$G,MATCH($B4390,Data!$A:$A,0),MATCH($C$7,Data!$4:$4,0))))</f>
        <v>34.200000000000003</v>
      </c>
      <c r="D4390" s="148">
        <f t="shared" ca="1" si="142"/>
        <v>30.799999999999997</v>
      </c>
      <c r="E4390" s="148">
        <f t="shared" ca="1" si="143"/>
        <v>0</v>
      </c>
    </row>
    <row r="4391" spans="2:5" x14ac:dyDescent="0.25">
      <c r="B4391" s="8">
        <v>41985</v>
      </c>
      <c r="C4391" s="6">
        <f ca="1">IF(OR($C$7="",$B4391&gt;NOW()),"",IF(INDEX(Data!$A:$G,MATCH($B4391,Data!$A:$A,0),MATCH($C$7,Data!$4:$4,0))="","",INDEX(Data!$A:$G,MATCH($B4391,Data!$A:$A,0),MATCH($C$7,Data!$4:$4,0))))</f>
        <v>34.5</v>
      </c>
      <c r="D4391" s="148">
        <f t="shared" ca="1" si="142"/>
        <v>30.5</v>
      </c>
      <c r="E4391" s="148">
        <f t="shared" ca="1" si="143"/>
        <v>0</v>
      </c>
    </row>
    <row r="4392" spans="2:5" x14ac:dyDescent="0.25">
      <c r="B4392" s="8">
        <v>41986</v>
      </c>
      <c r="C4392" s="6">
        <f ca="1">IF(OR($C$7="",$B4392&gt;NOW()),"",IF(INDEX(Data!$A:$G,MATCH($B4392,Data!$A:$A,0),MATCH($C$7,Data!$4:$4,0))="","",INDEX(Data!$A:$G,MATCH($B4392,Data!$A:$A,0),MATCH($C$7,Data!$4:$4,0))))</f>
        <v>37.200000000000003</v>
      </c>
      <c r="D4392" s="148">
        <f t="shared" ca="1" si="142"/>
        <v>27.799999999999997</v>
      </c>
      <c r="E4392" s="148">
        <f t="shared" ca="1" si="143"/>
        <v>0</v>
      </c>
    </row>
    <row r="4393" spans="2:5" x14ac:dyDescent="0.25">
      <c r="B4393" s="8">
        <v>41987</v>
      </c>
      <c r="C4393" s="6">
        <f ca="1">IF(OR($C$7="",$B4393&gt;NOW()),"",IF(INDEX(Data!$A:$G,MATCH($B4393,Data!$A:$A,0),MATCH($C$7,Data!$4:$4,0))="","",INDEX(Data!$A:$G,MATCH($B4393,Data!$A:$A,0),MATCH($C$7,Data!$4:$4,0))))</f>
        <v>40.4</v>
      </c>
      <c r="D4393" s="148">
        <f t="shared" ca="1" si="142"/>
        <v>24.6</v>
      </c>
      <c r="E4393" s="148">
        <f t="shared" ca="1" si="143"/>
        <v>0</v>
      </c>
    </row>
    <row r="4394" spans="2:5" x14ac:dyDescent="0.25">
      <c r="B4394" s="8">
        <v>41988</v>
      </c>
      <c r="C4394" s="6">
        <f ca="1">IF(OR($C$7="",$B4394&gt;NOW()),"",IF(INDEX(Data!$A:$G,MATCH($B4394,Data!$A:$A,0),MATCH($C$7,Data!$4:$4,0))="","",INDEX(Data!$A:$G,MATCH($B4394,Data!$A:$A,0),MATCH($C$7,Data!$4:$4,0))))</f>
        <v>41.6</v>
      </c>
      <c r="D4394" s="148">
        <f t="shared" ca="1" si="142"/>
        <v>23.4</v>
      </c>
      <c r="E4394" s="148">
        <f t="shared" ca="1" si="143"/>
        <v>0</v>
      </c>
    </row>
    <row r="4395" spans="2:5" x14ac:dyDescent="0.25">
      <c r="B4395" s="8">
        <v>41989</v>
      </c>
      <c r="C4395" s="6">
        <f ca="1">IF(OR($C$7="",$B4395&gt;NOW()),"",IF(INDEX(Data!$A:$G,MATCH($B4395,Data!$A:$A,0),MATCH($C$7,Data!$4:$4,0))="","",INDEX(Data!$A:$G,MATCH($B4395,Data!$A:$A,0),MATCH($C$7,Data!$4:$4,0))))</f>
        <v>41.5</v>
      </c>
      <c r="D4395" s="148">
        <f t="shared" ca="1" si="142"/>
        <v>23.5</v>
      </c>
      <c r="E4395" s="148">
        <f t="shared" ca="1" si="143"/>
        <v>0</v>
      </c>
    </row>
    <row r="4396" spans="2:5" x14ac:dyDescent="0.25">
      <c r="B4396" s="8">
        <v>41990</v>
      </c>
      <c r="C4396" s="6">
        <f ca="1">IF(OR($C$7="",$B4396&gt;NOW()),"",IF(INDEX(Data!$A:$G,MATCH($B4396,Data!$A:$A,0),MATCH($C$7,Data!$4:$4,0))="","",INDEX(Data!$A:$G,MATCH($B4396,Data!$A:$A,0),MATCH($C$7,Data!$4:$4,0))))</f>
        <v>46.5</v>
      </c>
      <c r="D4396" s="148">
        <f t="shared" ca="1" si="142"/>
        <v>18.5</v>
      </c>
      <c r="E4396" s="148">
        <f t="shared" ca="1" si="143"/>
        <v>0</v>
      </c>
    </row>
    <row r="4397" spans="2:5" x14ac:dyDescent="0.25">
      <c r="B4397" s="8">
        <v>41991</v>
      </c>
      <c r="C4397" s="6">
        <f ca="1">IF(OR($C$7="",$B4397&gt;NOW()),"",IF(INDEX(Data!$A:$G,MATCH($B4397,Data!$A:$A,0),MATCH($C$7,Data!$4:$4,0))="","",INDEX(Data!$A:$G,MATCH($B4397,Data!$A:$A,0),MATCH($C$7,Data!$4:$4,0))))</f>
        <v>41</v>
      </c>
      <c r="D4397" s="148">
        <f t="shared" ca="1" si="142"/>
        <v>24</v>
      </c>
      <c r="E4397" s="148">
        <f t="shared" ca="1" si="143"/>
        <v>0</v>
      </c>
    </row>
    <row r="4398" spans="2:5" x14ac:dyDescent="0.25">
      <c r="B4398" s="8">
        <v>41992</v>
      </c>
      <c r="C4398" s="6">
        <f ca="1">IF(OR($C$7="",$B4398&gt;NOW()),"",IF(INDEX(Data!$A:$G,MATCH($B4398,Data!$A:$A,0),MATCH($C$7,Data!$4:$4,0))="","",INDEX(Data!$A:$G,MATCH($B4398,Data!$A:$A,0),MATCH($C$7,Data!$4:$4,0))))</f>
        <v>36.799999999999997</v>
      </c>
      <c r="D4398" s="148">
        <f t="shared" ca="1" si="142"/>
        <v>28.200000000000003</v>
      </c>
      <c r="E4398" s="148">
        <f t="shared" ca="1" si="143"/>
        <v>0</v>
      </c>
    </row>
    <row r="4399" spans="2:5" x14ac:dyDescent="0.25">
      <c r="B4399" s="8">
        <v>41993</v>
      </c>
      <c r="C4399" s="6">
        <f ca="1">IF(OR($C$7="",$B4399&gt;NOW()),"",IF(INDEX(Data!$A:$G,MATCH($B4399,Data!$A:$A,0),MATCH($C$7,Data!$4:$4,0))="","",INDEX(Data!$A:$G,MATCH($B4399,Data!$A:$A,0),MATCH($C$7,Data!$4:$4,0))))</f>
        <v>31.9</v>
      </c>
      <c r="D4399" s="148">
        <f t="shared" ca="1" si="142"/>
        <v>33.1</v>
      </c>
      <c r="E4399" s="148">
        <f t="shared" ca="1" si="143"/>
        <v>0</v>
      </c>
    </row>
    <row r="4400" spans="2:5" x14ac:dyDescent="0.25">
      <c r="B4400" s="8">
        <v>41994</v>
      </c>
      <c r="C4400" s="6">
        <f ca="1">IF(OR($C$7="",$B4400&gt;NOW()),"",IF(INDEX(Data!$A:$G,MATCH($B4400,Data!$A:$A,0),MATCH($C$7,Data!$4:$4,0))="","",INDEX(Data!$A:$G,MATCH($B4400,Data!$A:$A,0),MATCH($C$7,Data!$4:$4,0))))</f>
        <v>33.1</v>
      </c>
      <c r="D4400" s="148">
        <f t="shared" ca="1" si="142"/>
        <v>31.9</v>
      </c>
      <c r="E4400" s="148">
        <f t="shared" ca="1" si="143"/>
        <v>0</v>
      </c>
    </row>
    <row r="4401" spans="2:5" x14ac:dyDescent="0.25">
      <c r="B4401" s="8">
        <v>41995</v>
      </c>
      <c r="C4401" s="6">
        <f ca="1">IF(OR($C$7="",$B4401&gt;NOW()),"",IF(INDEX(Data!$A:$G,MATCH($B4401,Data!$A:$A,0),MATCH($C$7,Data!$4:$4,0))="","",INDEX(Data!$A:$G,MATCH($B4401,Data!$A:$A,0),MATCH($C$7,Data!$4:$4,0))))</f>
        <v>37.9</v>
      </c>
      <c r="D4401" s="148">
        <f t="shared" ca="1" si="142"/>
        <v>27.1</v>
      </c>
      <c r="E4401" s="148">
        <f t="shared" ca="1" si="143"/>
        <v>0</v>
      </c>
    </row>
    <row r="4402" spans="2:5" x14ac:dyDescent="0.25">
      <c r="B4402" s="8">
        <v>41996</v>
      </c>
      <c r="C4402" s="6">
        <f ca="1">IF(OR($C$7="",$B4402&gt;NOW()),"",IF(INDEX(Data!$A:$G,MATCH($B4402,Data!$A:$A,0),MATCH($C$7,Data!$4:$4,0))="","",INDEX(Data!$A:$G,MATCH($B4402,Data!$A:$A,0),MATCH($C$7,Data!$4:$4,0))))</f>
        <v>44.1</v>
      </c>
      <c r="D4402" s="148">
        <f t="shared" ca="1" si="142"/>
        <v>20.9</v>
      </c>
      <c r="E4402" s="148">
        <f t="shared" ca="1" si="143"/>
        <v>0</v>
      </c>
    </row>
    <row r="4403" spans="2:5" x14ac:dyDescent="0.25">
      <c r="B4403" s="8">
        <v>41997</v>
      </c>
      <c r="C4403" s="6">
        <f ca="1">IF(OR($C$7="",$B4403&gt;NOW()),"",IF(INDEX(Data!$A:$G,MATCH($B4403,Data!$A:$A,0),MATCH($C$7,Data!$4:$4,0))="","",INDEX(Data!$A:$G,MATCH($B4403,Data!$A:$A,0),MATCH($C$7,Data!$4:$4,0))))</f>
        <v>44.5</v>
      </c>
      <c r="D4403" s="148">
        <f t="shared" ca="1" si="142"/>
        <v>20.5</v>
      </c>
      <c r="E4403" s="148">
        <f t="shared" ca="1" si="143"/>
        <v>0</v>
      </c>
    </row>
    <row r="4404" spans="2:5" x14ac:dyDescent="0.25">
      <c r="B4404" s="8">
        <v>41998</v>
      </c>
      <c r="C4404" s="6">
        <f ca="1">IF(OR($C$7="",$B4404&gt;NOW()),"",IF(INDEX(Data!$A:$G,MATCH($B4404,Data!$A:$A,0),MATCH($C$7,Data!$4:$4,0))="","",INDEX(Data!$A:$G,MATCH($B4404,Data!$A:$A,0),MATCH($C$7,Data!$4:$4,0))))</f>
        <v>52.6</v>
      </c>
      <c r="D4404" s="148">
        <f t="shared" ca="1" si="142"/>
        <v>12.399999999999999</v>
      </c>
      <c r="E4404" s="148">
        <f t="shared" ca="1" si="143"/>
        <v>0</v>
      </c>
    </row>
    <row r="4405" spans="2:5" x14ac:dyDescent="0.25">
      <c r="B4405" s="8">
        <v>41999</v>
      </c>
      <c r="C4405" s="6">
        <f ca="1">IF(OR($C$7="",$B4405&gt;NOW()),"",IF(INDEX(Data!$A:$G,MATCH($B4405,Data!$A:$A,0),MATCH($C$7,Data!$4:$4,0))="","",INDEX(Data!$A:$G,MATCH($B4405,Data!$A:$A,0),MATCH($C$7,Data!$4:$4,0))))</f>
        <v>45.3</v>
      </c>
      <c r="D4405" s="148">
        <f t="shared" ca="1" si="142"/>
        <v>19.700000000000003</v>
      </c>
      <c r="E4405" s="148">
        <f t="shared" ca="1" si="143"/>
        <v>0</v>
      </c>
    </row>
    <row r="4406" spans="2:5" x14ac:dyDescent="0.25">
      <c r="B4406" s="8">
        <v>42000</v>
      </c>
      <c r="C4406" s="6">
        <f ca="1">IF(OR($C$7="",$B4406&gt;NOW()),"",IF(INDEX(Data!$A:$G,MATCH($B4406,Data!$A:$A,0),MATCH($C$7,Data!$4:$4,0))="","",INDEX(Data!$A:$G,MATCH($B4406,Data!$A:$A,0),MATCH($C$7,Data!$4:$4,0))))</f>
        <v>47.4</v>
      </c>
      <c r="D4406" s="148">
        <f t="shared" ca="1" si="142"/>
        <v>17.600000000000001</v>
      </c>
      <c r="E4406" s="148">
        <f t="shared" ca="1" si="143"/>
        <v>0</v>
      </c>
    </row>
    <row r="4407" spans="2:5" x14ac:dyDescent="0.25">
      <c r="B4407" s="8">
        <v>42001</v>
      </c>
      <c r="C4407" s="6">
        <f ca="1">IF(OR($C$7="",$B4407&gt;NOW()),"",IF(INDEX(Data!$A:$G,MATCH($B4407,Data!$A:$A,0),MATCH($C$7,Data!$4:$4,0))="","",INDEX(Data!$A:$G,MATCH($B4407,Data!$A:$A,0),MATCH($C$7,Data!$4:$4,0))))</f>
        <v>48.1</v>
      </c>
      <c r="D4407" s="148">
        <f t="shared" ca="1" si="142"/>
        <v>16.899999999999999</v>
      </c>
      <c r="E4407" s="148">
        <f t="shared" ca="1" si="143"/>
        <v>0</v>
      </c>
    </row>
    <row r="4408" spans="2:5" x14ac:dyDescent="0.25">
      <c r="B4408" s="8">
        <v>42002</v>
      </c>
      <c r="C4408" s="6">
        <f ca="1">IF(OR($C$7="",$B4408&gt;NOW()),"",IF(INDEX(Data!$A:$G,MATCH($B4408,Data!$A:$A,0),MATCH($C$7,Data!$4:$4,0))="","",INDEX(Data!$A:$G,MATCH($B4408,Data!$A:$A,0),MATCH($C$7,Data!$4:$4,0))))</f>
        <v>41.3</v>
      </c>
      <c r="D4408" s="148">
        <f t="shared" ca="1" si="142"/>
        <v>23.700000000000003</v>
      </c>
      <c r="E4408" s="148">
        <f t="shared" ca="1" si="143"/>
        <v>0</v>
      </c>
    </row>
    <row r="4409" spans="2:5" x14ac:dyDescent="0.25">
      <c r="B4409" s="8">
        <v>42003</v>
      </c>
      <c r="C4409" s="6">
        <f ca="1">IF(OR($C$7="",$B4409&gt;NOW()),"",IF(INDEX(Data!$A:$G,MATCH($B4409,Data!$A:$A,0),MATCH($C$7,Data!$4:$4,0))="","",INDEX(Data!$A:$G,MATCH($B4409,Data!$A:$A,0),MATCH($C$7,Data!$4:$4,0))))</f>
        <v>32.6</v>
      </c>
      <c r="D4409" s="148">
        <f t="shared" ca="1" si="142"/>
        <v>32.4</v>
      </c>
      <c r="E4409" s="148">
        <f t="shared" ca="1" si="143"/>
        <v>0</v>
      </c>
    </row>
    <row r="4410" spans="2:5" x14ac:dyDescent="0.25">
      <c r="B4410" s="8">
        <v>42004</v>
      </c>
      <c r="C4410" s="6">
        <f ca="1">IF(OR($C$7="",$B4410&gt;NOW()),"",IF(INDEX(Data!$A:$G,MATCH($B4410,Data!$A:$A,0),MATCH($C$7,Data!$4:$4,0))="","",INDEX(Data!$A:$G,MATCH($B4410,Data!$A:$A,0),MATCH($C$7,Data!$4:$4,0))))</f>
        <v>29.4</v>
      </c>
      <c r="D4410" s="148">
        <f t="shared" ca="1" si="142"/>
        <v>35.6</v>
      </c>
      <c r="E4410" s="148">
        <f t="shared" ca="1" si="143"/>
        <v>0</v>
      </c>
    </row>
    <row r="4411" spans="2:5" x14ac:dyDescent="0.25">
      <c r="B4411" s="8">
        <v>42005</v>
      </c>
      <c r="C4411" s="6">
        <f ca="1">IF(OR($C$7="",$B4411&gt;NOW()),"",IF(INDEX(Data!$A:$G,MATCH($B4411,Data!$A:$A,0),MATCH($C$7,Data!$4:$4,0))="","",INDEX(Data!$A:$G,MATCH($B4411,Data!$A:$A,0),MATCH($C$7,Data!$4:$4,0))))</f>
        <v>31.2</v>
      </c>
      <c r="D4411" s="148">
        <f t="shared" ca="1" si="142"/>
        <v>33.799999999999997</v>
      </c>
      <c r="E4411" s="148">
        <f t="shared" ca="1" si="143"/>
        <v>0</v>
      </c>
    </row>
    <row r="4412" spans="2:5" x14ac:dyDescent="0.25">
      <c r="B4412" s="8">
        <v>42006</v>
      </c>
      <c r="C4412" s="6">
        <f ca="1">IF(OR($C$7="",$B4412&gt;NOW()),"",IF(INDEX(Data!$A:$G,MATCH($B4412,Data!$A:$A,0),MATCH($C$7,Data!$4:$4,0))="","",INDEX(Data!$A:$G,MATCH($B4412,Data!$A:$A,0),MATCH($C$7,Data!$4:$4,0))))</f>
        <v>38.6</v>
      </c>
      <c r="D4412" s="148">
        <f t="shared" ca="1" si="142"/>
        <v>26.4</v>
      </c>
      <c r="E4412" s="148">
        <f t="shared" ca="1" si="143"/>
        <v>0</v>
      </c>
    </row>
    <row r="4413" spans="2:5" x14ac:dyDescent="0.25">
      <c r="B4413" s="8">
        <v>42007</v>
      </c>
      <c r="C4413" s="6">
        <f ca="1">IF(OR($C$7="",$B4413&gt;NOW()),"",IF(INDEX(Data!$A:$G,MATCH($B4413,Data!$A:$A,0),MATCH($C$7,Data!$4:$4,0))="","",INDEX(Data!$A:$G,MATCH($B4413,Data!$A:$A,0),MATCH($C$7,Data!$4:$4,0))))</f>
        <v>35.200000000000003</v>
      </c>
      <c r="D4413" s="148">
        <f t="shared" ca="1" si="142"/>
        <v>29.799999999999997</v>
      </c>
      <c r="E4413" s="148">
        <f t="shared" ca="1" si="143"/>
        <v>0</v>
      </c>
    </row>
    <row r="4414" spans="2:5" x14ac:dyDescent="0.25">
      <c r="B4414" s="8">
        <v>42008</v>
      </c>
      <c r="C4414" s="6">
        <f ca="1">IF(OR($C$7="",$B4414&gt;NOW()),"",IF(INDEX(Data!$A:$G,MATCH($B4414,Data!$A:$A,0),MATCH($C$7,Data!$4:$4,0))="","",INDEX(Data!$A:$G,MATCH($B4414,Data!$A:$A,0),MATCH($C$7,Data!$4:$4,0))))</f>
        <v>45.1</v>
      </c>
      <c r="D4414" s="148">
        <f t="shared" ca="1" si="142"/>
        <v>19.899999999999999</v>
      </c>
      <c r="E4414" s="148">
        <f t="shared" ca="1" si="143"/>
        <v>0</v>
      </c>
    </row>
    <row r="4415" spans="2:5" x14ac:dyDescent="0.25">
      <c r="B4415" s="8">
        <v>42009</v>
      </c>
      <c r="C4415" s="6">
        <f ca="1">IF(OR($C$7="",$B4415&gt;NOW()),"",IF(INDEX(Data!$A:$G,MATCH($B4415,Data!$A:$A,0),MATCH($C$7,Data!$4:$4,0))="","",INDEX(Data!$A:$G,MATCH($B4415,Data!$A:$A,0),MATCH($C$7,Data!$4:$4,0))))</f>
        <v>42.5</v>
      </c>
      <c r="D4415" s="148">
        <f t="shared" ca="1" si="142"/>
        <v>22.5</v>
      </c>
      <c r="E4415" s="148">
        <f t="shared" ca="1" si="143"/>
        <v>0</v>
      </c>
    </row>
    <row r="4416" spans="2:5" x14ac:dyDescent="0.25">
      <c r="B4416" s="8">
        <v>42010</v>
      </c>
      <c r="C4416" s="6">
        <f ca="1">IF(OR($C$7="",$B4416&gt;NOW()),"",IF(INDEX(Data!$A:$G,MATCH($B4416,Data!$A:$A,0),MATCH($C$7,Data!$4:$4,0))="","",INDEX(Data!$A:$G,MATCH($B4416,Data!$A:$A,0),MATCH($C$7,Data!$4:$4,0))))</f>
        <v>21.2</v>
      </c>
      <c r="D4416" s="148">
        <f t="shared" ca="1" si="142"/>
        <v>43.8</v>
      </c>
      <c r="E4416" s="148">
        <f t="shared" ca="1" si="143"/>
        <v>0</v>
      </c>
    </row>
    <row r="4417" spans="2:5" x14ac:dyDescent="0.25">
      <c r="B4417" s="8">
        <v>42011</v>
      </c>
      <c r="C4417" s="6">
        <f ca="1">IF(OR($C$7="",$B4417&gt;NOW()),"",IF(INDEX(Data!$A:$G,MATCH($B4417,Data!$A:$A,0),MATCH($C$7,Data!$4:$4,0))="","",INDEX(Data!$A:$G,MATCH($B4417,Data!$A:$A,0),MATCH($C$7,Data!$4:$4,0))))</f>
        <v>21.7</v>
      </c>
      <c r="D4417" s="148">
        <f t="shared" ca="1" si="142"/>
        <v>43.3</v>
      </c>
      <c r="E4417" s="148">
        <f t="shared" ca="1" si="143"/>
        <v>0</v>
      </c>
    </row>
    <row r="4418" spans="2:5" x14ac:dyDescent="0.25">
      <c r="B4418" s="8">
        <v>42012</v>
      </c>
      <c r="C4418" s="6">
        <f ca="1">IF(OR($C$7="",$B4418&gt;NOW()),"",IF(INDEX(Data!$A:$G,MATCH($B4418,Data!$A:$A,0),MATCH($C$7,Data!$4:$4,0))="","",INDEX(Data!$A:$G,MATCH($B4418,Data!$A:$A,0),MATCH($C$7,Data!$4:$4,0))))</f>
        <v>13.2</v>
      </c>
      <c r="D4418" s="148">
        <f t="shared" ca="1" si="142"/>
        <v>51.8</v>
      </c>
      <c r="E4418" s="148">
        <f t="shared" ca="1" si="143"/>
        <v>0</v>
      </c>
    </row>
    <row r="4419" spans="2:5" x14ac:dyDescent="0.25">
      <c r="B4419" s="8">
        <v>42013</v>
      </c>
      <c r="C4419" s="6">
        <f ca="1">IF(OR($C$7="",$B4419&gt;NOW()),"",IF(INDEX(Data!$A:$G,MATCH($B4419,Data!$A:$A,0),MATCH($C$7,Data!$4:$4,0))="","",INDEX(Data!$A:$G,MATCH($B4419,Data!$A:$A,0),MATCH($C$7,Data!$4:$4,0))))</f>
        <v>24</v>
      </c>
      <c r="D4419" s="148">
        <f t="shared" ca="1" si="142"/>
        <v>41</v>
      </c>
      <c r="E4419" s="148">
        <f t="shared" ca="1" si="143"/>
        <v>0</v>
      </c>
    </row>
    <row r="4420" spans="2:5" x14ac:dyDescent="0.25">
      <c r="B4420" s="8">
        <v>42014</v>
      </c>
      <c r="C4420" s="6">
        <f ca="1">IF(OR($C$7="",$B4420&gt;NOW()),"",IF(INDEX(Data!$A:$G,MATCH($B4420,Data!$A:$A,0),MATCH($C$7,Data!$4:$4,0))="","",INDEX(Data!$A:$G,MATCH($B4420,Data!$A:$A,0),MATCH($C$7,Data!$4:$4,0))))</f>
        <v>21.7</v>
      </c>
      <c r="D4420" s="148">
        <f t="shared" ca="1" si="142"/>
        <v>43.3</v>
      </c>
      <c r="E4420" s="148">
        <f t="shared" ca="1" si="143"/>
        <v>0</v>
      </c>
    </row>
    <row r="4421" spans="2:5" x14ac:dyDescent="0.25">
      <c r="B4421" s="8">
        <v>42015</v>
      </c>
      <c r="C4421" s="6">
        <f ca="1">IF(OR($C$7="",$B4421&gt;NOW()),"",IF(INDEX(Data!$A:$G,MATCH($B4421,Data!$A:$A,0),MATCH($C$7,Data!$4:$4,0))="","",INDEX(Data!$A:$G,MATCH($B4421,Data!$A:$A,0),MATCH($C$7,Data!$4:$4,0))))</f>
        <v>24.8</v>
      </c>
      <c r="D4421" s="148">
        <f t="shared" ca="1" si="142"/>
        <v>40.200000000000003</v>
      </c>
      <c r="E4421" s="148">
        <f t="shared" ca="1" si="143"/>
        <v>0</v>
      </c>
    </row>
    <row r="4422" spans="2:5" x14ac:dyDescent="0.25">
      <c r="B4422" s="8">
        <v>42016</v>
      </c>
      <c r="C4422" s="6">
        <f ca="1">IF(OR($C$7="",$B4422&gt;NOW()),"",IF(INDEX(Data!$A:$G,MATCH($B4422,Data!$A:$A,0),MATCH($C$7,Data!$4:$4,0))="","",INDEX(Data!$A:$G,MATCH($B4422,Data!$A:$A,0),MATCH($C$7,Data!$4:$4,0))))</f>
        <v>36</v>
      </c>
      <c r="D4422" s="148">
        <f t="shared" ca="1" si="142"/>
        <v>29</v>
      </c>
      <c r="E4422" s="148">
        <f t="shared" ca="1" si="143"/>
        <v>0</v>
      </c>
    </row>
    <row r="4423" spans="2:5" x14ac:dyDescent="0.25">
      <c r="B4423" s="8">
        <v>42017</v>
      </c>
      <c r="C4423" s="6">
        <f ca="1">IF(OR($C$7="",$B4423&gt;NOW()),"",IF(INDEX(Data!$A:$G,MATCH($B4423,Data!$A:$A,0),MATCH($C$7,Data!$4:$4,0))="","",INDEX(Data!$A:$G,MATCH($B4423,Data!$A:$A,0),MATCH($C$7,Data!$4:$4,0))))</f>
        <v>30.2</v>
      </c>
      <c r="D4423" s="148">
        <f t="shared" ca="1" si="142"/>
        <v>34.799999999999997</v>
      </c>
      <c r="E4423" s="148">
        <f t="shared" ca="1" si="143"/>
        <v>0</v>
      </c>
    </row>
    <row r="4424" spans="2:5" x14ac:dyDescent="0.25">
      <c r="B4424" s="8">
        <v>42018</v>
      </c>
      <c r="C4424" s="6">
        <f ca="1">IF(OR($C$7="",$B4424&gt;NOW()),"",IF(INDEX(Data!$A:$G,MATCH($B4424,Data!$A:$A,0),MATCH($C$7,Data!$4:$4,0))="","",INDEX(Data!$A:$G,MATCH($B4424,Data!$A:$A,0),MATCH($C$7,Data!$4:$4,0))))</f>
        <v>22</v>
      </c>
      <c r="D4424" s="148">
        <f t="shared" ca="1" si="142"/>
        <v>43</v>
      </c>
      <c r="E4424" s="148">
        <f t="shared" ca="1" si="143"/>
        <v>0</v>
      </c>
    </row>
    <row r="4425" spans="2:5" x14ac:dyDescent="0.25">
      <c r="B4425" s="8">
        <v>42019</v>
      </c>
      <c r="C4425" s="6">
        <f ca="1">IF(OR($C$7="",$B4425&gt;NOW()),"",IF(INDEX(Data!$A:$G,MATCH($B4425,Data!$A:$A,0),MATCH($C$7,Data!$4:$4,0))="","",INDEX(Data!$A:$G,MATCH($B4425,Data!$A:$A,0),MATCH($C$7,Data!$4:$4,0))))</f>
        <v>29.5</v>
      </c>
      <c r="D4425" s="148">
        <f t="shared" ca="1" si="142"/>
        <v>35.5</v>
      </c>
      <c r="E4425" s="148">
        <f t="shared" ca="1" si="143"/>
        <v>0</v>
      </c>
    </row>
    <row r="4426" spans="2:5" x14ac:dyDescent="0.25">
      <c r="B4426" s="8">
        <v>42020</v>
      </c>
      <c r="C4426" s="6">
        <f ca="1">IF(OR($C$7="",$B4426&gt;NOW()),"",IF(INDEX(Data!$A:$G,MATCH($B4426,Data!$A:$A,0),MATCH($C$7,Data!$4:$4,0))="","",INDEX(Data!$A:$G,MATCH($B4426,Data!$A:$A,0),MATCH($C$7,Data!$4:$4,0))))</f>
        <v>34</v>
      </c>
      <c r="D4426" s="148">
        <f t="shared" ca="1" si="142"/>
        <v>31</v>
      </c>
      <c r="E4426" s="148">
        <f t="shared" ca="1" si="143"/>
        <v>0</v>
      </c>
    </row>
    <row r="4427" spans="2:5" x14ac:dyDescent="0.25">
      <c r="B4427" s="8">
        <v>42021</v>
      </c>
      <c r="C4427" s="6">
        <f ca="1">IF(OR($C$7="",$B4427&gt;NOW()),"",IF(INDEX(Data!$A:$G,MATCH($B4427,Data!$A:$A,0),MATCH($C$7,Data!$4:$4,0))="","",INDEX(Data!$A:$G,MATCH($B4427,Data!$A:$A,0),MATCH($C$7,Data!$4:$4,0))))</f>
        <v>22.3</v>
      </c>
      <c r="D4427" s="148">
        <f t="shared" ca="1" si="142"/>
        <v>42.7</v>
      </c>
      <c r="E4427" s="148">
        <f t="shared" ca="1" si="143"/>
        <v>0</v>
      </c>
    </row>
    <row r="4428" spans="2:5" x14ac:dyDescent="0.25">
      <c r="B4428" s="8">
        <v>42022</v>
      </c>
      <c r="C4428" s="6">
        <f ca="1">IF(OR($C$7="",$B4428&gt;NOW()),"",IF(INDEX(Data!$A:$G,MATCH($B4428,Data!$A:$A,0),MATCH($C$7,Data!$4:$4,0))="","",INDEX(Data!$A:$G,MATCH($B4428,Data!$A:$A,0),MATCH($C$7,Data!$4:$4,0))))</f>
        <v>32.700000000000003</v>
      </c>
      <c r="D4428" s="148">
        <f t="shared" ca="1" si="142"/>
        <v>32.299999999999997</v>
      </c>
      <c r="E4428" s="148">
        <f t="shared" ca="1" si="143"/>
        <v>0</v>
      </c>
    </row>
    <row r="4429" spans="2:5" x14ac:dyDescent="0.25">
      <c r="B4429" s="8">
        <v>42023</v>
      </c>
      <c r="C4429" s="6">
        <f ca="1">IF(OR($C$7="",$B4429&gt;NOW()),"",IF(INDEX(Data!$A:$G,MATCH($B4429,Data!$A:$A,0),MATCH($C$7,Data!$4:$4,0))="","",INDEX(Data!$A:$G,MATCH($B4429,Data!$A:$A,0),MATCH($C$7,Data!$4:$4,0))))</f>
        <v>39.4</v>
      </c>
      <c r="D4429" s="148">
        <f t="shared" ca="1" si="142"/>
        <v>25.6</v>
      </c>
      <c r="E4429" s="148">
        <f t="shared" ca="1" si="143"/>
        <v>0</v>
      </c>
    </row>
    <row r="4430" spans="2:5" x14ac:dyDescent="0.25">
      <c r="B4430" s="8">
        <v>42024</v>
      </c>
      <c r="C4430" s="6">
        <f ca="1">IF(OR($C$7="",$B4430&gt;NOW()),"",IF(INDEX(Data!$A:$G,MATCH($B4430,Data!$A:$A,0),MATCH($C$7,Data!$4:$4,0))="","",INDEX(Data!$A:$G,MATCH($B4430,Data!$A:$A,0),MATCH($C$7,Data!$4:$4,0))))</f>
        <v>37.200000000000003</v>
      </c>
      <c r="D4430" s="148">
        <f t="shared" ca="1" si="142"/>
        <v>27.799999999999997</v>
      </c>
      <c r="E4430" s="148">
        <f t="shared" ca="1" si="143"/>
        <v>0</v>
      </c>
    </row>
    <row r="4431" spans="2:5" x14ac:dyDescent="0.25">
      <c r="B4431" s="8">
        <v>42025</v>
      </c>
      <c r="C4431" s="6">
        <f ca="1">IF(OR($C$7="",$B4431&gt;NOW()),"",IF(INDEX(Data!$A:$G,MATCH($B4431,Data!$A:$A,0),MATCH($C$7,Data!$4:$4,0))="","",INDEX(Data!$A:$G,MATCH($B4431,Data!$A:$A,0),MATCH($C$7,Data!$4:$4,0))))</f>
        <v>30.5</v>
      </c>
      <c r="D4431" s="148">
        <f t="shared" ca="1" si="142"/>
        <v>34.5</v>
      </c>
      <c r="E4431" s="148">
        <f t="shared" ca="1" si="143"/>
        <v>0</v>
      </c>
    </row>
    <row r="4432" spans="2:5" x14ac:dyDescent="0.25">
      <c r="B4432" s="8">
        <v>42026</v>
      </c>
      <c r="C4432" s="6">
        <f ca="1">IF(OR($C$7="",$B4432&gt;NOW()),"",IF(INDEX(Data!$A:$G,MATCH($B4432,Data!$A:$A,0),MATCH($C$7,Data!$4:$4,0))="","",INDEX(Data!$A:$G,MATCH($B4432,Data!$A:$A,0),MATCH($C$7,Data!$4:$4,0))))</f>
        <v>34</v>
      </c>
      <c r="D4432" s="148">
        <f t="shared" ca="1" si="142"/>
        <v>31</v>
      </c>
      <c r="E4432" s="148">
        <f t="shared" ca="1" si="143"/>
        <v>0</v>
      </c>
    </row>
    <row r="4433" spans="2:5" x14ac:dyDescent="0.25">
      <c r="B4433" s="8">
        <v>42027</v>
      </c>
      <c r="C4433" s="6">
        <f ca="1">IF(OR($C$7="",$B4433&gt;NOW()),"",IF(INDEX(Data!$A:$G,MATCH($B4433,Data!$A:$A,0),MATCH($C$7,Data!$4:$4,0))="","",INDEX(Data!$A:$G,MATCH($B4433,Data!$A:$A,0),MATCH($C$7,Data!$4:$4,0))))</f>
        <v>32.4</v>
      </c>
      <c r="D4433" s="148">
        <f t="shared" ca="1" si="142"/>
        <v>32.6</v>
      </c>
      <c r="E4433" s="148">
        <f t="shared" ca="1" si="143"/>
        <v>0</v>
      </c>
    </row>
    <row r="4434" spans="2:5" x14ac:dyDescent="0.25">
      <c r="B4434" s="8">
        <v>42028</v>
      </c>
      <c r="C4434" s="6">
        <f ca="1">IF(OR($C$7="",$B4434&gt;NOW()),"",IF(INDEX(Data!$A:$G,MATCH($B4434,Data!$A:$A,0),MATCH($C$7,Data!$4:$4,0))="","",INDEX(Data!$A:$G,MATCH($B4434,Data!$A:$A,0),MATCH($C$7,Data!$4:$4,0))))</f>
        <v>35.1</v>
      </c>
      <c r="D4434" s="148">
        <f t="shared" ca="1" si="142"/>
        <v>29.9</v>
      </c>
      <c r="E4434" s="148">
        <f t="shared" ca="1" si="143"/>
        <v>0</v>
      </c>
    </row>
    <row r="4435" spans="2:5" x14ac:dyDescent="0.25">
      <c r="B4435" s="8">
        <v>42029</v>
      </c>
      <c r="C4435" s="6">
        <f ca="1">IF(OR($C$7="",$B4435&gt;NOW()),"",IF(INDEX(Data!$A:$G,MATCH($B4435,Data!$A:$A,0),MATCH($C$7,Data!$4:$4,0))="","",INDEX(Data!$A:$G,MATCH($B4435,Data!$A:$A,0),MATCH($C$7,Data!$4:$4,0))))</f>
        <v>37.6</v>
      </c>
      <c r="D4435" s="148">
        <f t="shared" ca="1" si="142"/>
        <v>27.4</v>
      </c>
      <c r="E4435" s="148">
        <f t="shared" ca="1" si="143"/>
        <v>0</v>
      </c>
    </row>
    <row r="4436" spans="2:5" x14ac:dyDescent="0.25">
      <c r="B4436" s="8">
        <v>42030</v>
      </c>
      <c r="C4436" s="6">
        <f ca="1">IF(OR($C$7="",$B4436&gt;NOW()),"",IF(INDEX(Data!$A:$G,MATCH($B4436,Data!$A:$A,0),MATCH($C$7,Data!$4:$4,0))="","",INDEX(Data!$A:$G,MATCH($B4436,Data!$A:$A,0),MATCH($C$7,Data!$4:$4,0))))</f>
        <v>26.6</v>
      </c>
      <c r="D4436" s="148">
        <f t="shared" ca="1" si="142"/>
        <v>38.4</v>
      </c>
      <c r="E4436" s="148">
        <f t="shared" ca="1" si="143"/>
        <v>0</v>
      </c>
    </row>
    <row r="4437" spans="2:5" x14ac:dyDescent="0.25">
      <c r="B4437" s="8">
        <v>42031</v>
      </c>
      <c r="C4437" s="6">
        <f ca="1">IF(OR($C$7="",$B4437&gt;NOW()),"",IF(INDEX(Data!$A:$G,MATCH($B4437,Data!$A:$A,0),MATCH($C$7,Data!$4:$4,0))="","",INDEX(Data!$A:$G,MATCH($B4437,Data!$A:$A,0),MATCH($C$7,Data!$4:$4,0))))</f>
        <v>24.4</v>
      </c>
      <c r="D4437" s="148">
        <f t="shared" ca="1" si="142"/>
        <v>40.6</v>
      </c>
      <c r="E4437" s="148">
        <f t="shared" ca="1" si="143"/>
        <v>0</v>
      </c>
    </row>
    <row r="4438" spans="2:5" x14ac:dyDescent="0.25">
      <c r="B4438" s="8">
        <v>42032</v>
      </c>
      <c r="C4438" s="6">
        <f ca="1">IF(OR($C$7="",$B4438&gt;NOW()),"",IF(INDEX(Data!$A:$G,MATCH($B4438,Data!$A:$A,0),MATCH($C$7,Data!$4:$4,0))="","",INDEX(Data!$A:$G,MATCH($B4438,Data!$A:$A,0),MATCH($C$7,Data!$4:$4,0))))</f>
        <v>23.5</v>
      </c>
      <c r="D4438" s="148">
        <f t="shared" ca="1" si="142"/>
        <v>41.5</v>
      </c>
      <c r="E4438" s="148">
        <f t="shared" ca="1" si="143"/>
        <v>0</v>
      </c>
    </row>
    <row r="4439" spans="2:5" x14ac:dyDescent="0.25">
      <c r="B4439" s="8">
        <v>42033</v>
      </c>
      <c r="C4439" s="6">
        <f ca="1">IF(OR($C$7="",$B4439&gt;NOW()),"",IF(INDEX(Data!$A:$G,MATCH($B4439,Data!$A:$A,0),MATCH($C$7,Data!$4:$4,0))="","",INDEX(Data!$A:$G,MATCH($B4439,Data!$A:$A,0),MATCH($C$7,Data!$4:$4,0))))</f>
        <v>26.3</v>
      </c>
      <c r="D4439" s="148">
        <f t="shared" ca="1" si="142"/>
        <v>38.700000000000003</v>
      </c>
      <c r="E4439" s="148">
        <f t="shared" ca="1" si="143"/>
        <v>0</v>
      </c>
    </row>
    <row r="4440" spans="2:5" x14ac:dyDescent="0.25">
      <c r="B4440" s="8">
        <v>42034</v>
      </c>
      <c r="C4440" s="6">
        <f ca="1">IF(OR($C$7="",$B4440&gt;NOW()),"",IF(INDEX(Data!$A:$G,MATCH($B4440,Data!$A:$A,0),MATCH($C$7,Data!$4:$4,0))="","",INDEX(Data!$A:$G,MATCH($B4440,Data!$A:$A,0),MATCH($C$7,Data!$4:$4,0))))</f>
        <v>33.9</v>
      </c>
      <c r="D4440" s="148">
        <f t="shared" ca="1" si="142"/>
        <v>31.1</v>
      </c>
      <c r="E4440" s="148">
        <f t="shared" ca="1" si="143"/>
        <v>0</v>
      </c>
    </row>
    <row r="4441" spans="2:5" x14ac:dyDescent="0.25">
      <c r="B4441" s="8">
        <v>42035</v>
      </c>
      <c r="C4441" s="6">
        <f ca="1">IF(OR($C$7="",$B4441&gt;NOW()),"",IF(INDEX(Data!$A:$G,MATCH($B4441,Data!$A:$A,0),MATCH($C$7,Data!$4:$4,0))="","",INDEX(Data!$A:$G,MATCH($B4441,Data!$A:$A,0),MATCH($C$7,Data!$4:$4,0))))</f>
        <v>20.399999999999999</v>
      </c>
      <c r="D4441" s="148">
        <f t="shared" ca="1" si="142"/>
        <v>44.6</v>
      </c>
      <c r="E4441" s="148">
        <f t="shared" ca="1" si="143"/>
        <v>0</v>
      </c>
    </row>
    <row r="4442" spans="2:5" x14ac:dyDescent="0.25">
      <c r="B4442" s="8">
        <v>42036</v>
      </c>
      <c r="C4442" s="6">
        <f ca="1">IF(OR($C$7="",$B4442&gt;NOW()),"",IF(INDEX(Data!$A:$G,MATCH($B4442,Data!$A:$A,0),MATCH($C$7,Data!$4:$4,0))="","",INDEX(Data!$A:$G,MATCH($B4442,Data!$A:$A,0),MATCH($C$7,Data!$4:$4,0))))</f>
        <v>27.5</v>
      </c>
      <c r="D4442" s="148">
        <f t="shared" ca="1" si="142"/>
        <v>37.5</v>
      </c>
      <c r="E4442" s="148">
        <f t="shared" ca="1" si="143"/>
        <v>0</v>
      </c>
    </row>
    <row r="4443" spans="2:5" x14ac:dyDescent="0.25">
      <c r="B4443" s="8">
        <v>42037</v>
      </c>
      <c r="C4443" s="6">
        <f ca="1">IF(OR($C$7="",$B4443&gt;NOW()),"",IF(INDEX(Data!$A:$G,MATCH($B4443,Data!$A:$A,0),MATCH($C$7,Data!$4:$4,0))="","",INDEX(Data!$A:$G,MATCH($B4443,Data!$A:$A,0),MATCH($C$7,Data!$4:$4,0))))</f>
        <v>29.6</v>
      </c>
      <c r="D4443" s="148">
        <f t="shared" ca="1" si="142"/>
        <v>35.4</v>
      </c>
      <c r="E4443" s="148">
        <f t="shared" ca="1" si="143"/>
        <v>0</v>
      </c>
    </row>
    <row r="4444" spans="2:5" x14ac:dyDescent="0.25">
      <c r="B4444" s="8">
        <v>42038</v>
      </c>
      <c r="C4444" s="6">
        <f ca="1">IF(OR($C$7="",$B4444&gt;NOW()),"",IF(INDEX(Data!$A:$G,MATCH($B4444,Data!$A:$A,0),MATCH($C$7,Data!$4:$4,0))="","",INDEX(Data!$A:$G,MATCH($B4444,Data!$A:$A,0),MATCH($C$7,Data!$4:$4,0))))</f>
        <v>19.3</v>
      </c>
      <c r="D4444" s="148">
        <f t="shared" ca="1" si="142"/>
        <v>45.7</v>
      </c>
      <c r="E4444" s="148">
        <f t="shared" ca="1" si="143"/>
        <v>0</v>
      </c>
    </row>
    <row r="4445" spans="2:5" x14ac:dyDescent="0.25">
      <c r="B4445" s="8">
        <v>42039</v>
      </c>
      <c r="C4445" s="6">
        <f ca="1">IF(OR($C$7="",$B4445&gt;NOW()),"",IF(INDEX(Data!$A:$G,MATCH($B4445,Data!$A:$A,0),MATCH($C$7,Data!$4:$4,0))="","",INDEX(Data!$A:$G,MATCH($B4445,Data!$A:$A,0),MATCH($C$7,Data!$4:$4,0))))</f>
        <v>30</v>
      </c>
      <c r="D4445" s="148">
        <f t="shared" ref="D4445:D4508" ca="1" si="144">IF($C4445="","",IF($C4445&gt;$D$26,0,$D$26-$C4445))</f>
        <v>35</v>
      </c>
      <c r="E4445" s="148">
        <f t="shared" ref="E4445:E4508" ca="1" si="145">IF($C4445="","",IF($C4445&lt;$E$26,0,$C4445-$E$26))</f>
        <v>0</v>
      </c>
    </row>
    <row r="4446" spans="2:5" x14ac:dyDescent="0.25">
      <c r="B4446" s="8">
        <v>42040</v>
      </c>
      <c r="C4446" s="6">
        <f ca="1">IF(OR($C$7="",$B4446&gt;NOW()),"",IF(INDEX(Data!$A:$G,MATCH($B4446,Data!$A:$A,0),MATCH($C$7,Data!$4:$4,0))="","",INDEX(Data!$A:$G,MATCH($B4446,Data!$A:$A,0),MATCH($C$7,Data!$4:$4,0))))</f>
        <v>33.200000000000003</v>
      </c>
      <c r="D4446" s="148">
        <f t="shared" ca="1" si="144"/>
        <v>31.799999999999997</v>
      </c>
      <c r="E4446" s="148">
        <f t="shared" ca="1" si="145"/>
        <v>0</v>
      </c>
    </row>
    <row r="4447" spans="2:5" x14ac:dyDescent="0.25">
      <c r="B4447" s="8">
        <v>42041</v>
      </c>
      <c r="C4447" s="6">
        <f ca="1">IF(OR($C$7="",$B4447&gt;NOW()),"",IF(INDEX(Data!$A:$G,MATCH($B4447,Data!$A:$A,0),MATCH($C$7,Data!$4:$4,0))="","",INDEX(Data!$A:$G,MATCH($B4447,Data!$A:$A,0),MATCH($C$7,Data!$4:$4,0))))</f>
        <v>18.100000000000001</v>
      </c>
      <c r="D4447" s="148">
        <f t="shared" ca="1" si="144"/>
        <v>46.9</v>
      </c>
      <c r="E4447" s="148">
        <f t="shared" ca="1" si="145"/>
        <v>0</v>
      </c>
    </row>
    <row r="4448" spans="2:5" x14ac:dyDescent="0.25">
      <c r="B4448" s="8">
        <v>42042</v>
      </c>
      <c r="C4448" s="6">
        <f ca="1">IF(OR($C$7="",$B4448&gt;NOW()),"",IF(INDEX(Data!$A:$G,MATCH($B4448,Data!$A:$A,0),MATCH($C$7,Data!$4:$4,0))="","",INDEX(Data!$A:$G,MATCH($B4448,Data!$A:$A,0),MATCH($C$7,Data!$4:$4,0))))</f>
        <v>29</v>
      </c>
      <c r="D4448" s="148">
        <f t="shared" ca="1" si="144"/>
        <v>36</v>
      </c>
      <c r="E4448" s="148">
        <f t="shared" ca="1" si="145"/>
        <v>0</v>
      </c>
    </row>
    <row r="4449" spans="2:5" x14ac:dyDescent="0.25">
      <c r="B4449" s="8">
        <v>42043</v>
      </c>
      <c r="C4449" s="6">
        <f ca="1">IF(OR($C$7="",$B4449&gt;NOW()),"",IF(INDEX(Data!$A:$G,MATCH($B4449,Data!$A:$A,0),MATCH($C$7,Data!$4:$4,0))="","",INDEX(Data!$A:$G,MATCH($B4449,Data!$A:$A,0),MATCH($C$7,Data!$4:$4,0))))</f>
        <v>33</v>
      </c>
      <c r="D4449" s="148">
        <f t="shared" ca="1" si="144"/>
        <v>32</v>
      </c>
      <c r="E4449" s="148">
        <f t="shared" ca="1" si="145"/>
        <v>0</v>
      </c>
    </row>
    <row r="4450" spans="2:5" x14ac:dyDescent="0.25">
      <c r="B4450" s="8">
        <v>42044</v>
      </c>
      <c r="C4450" s="6">
        <f ca="1">IF(OR($C$7="",$B4450&gt;NOW()),"",IF(INDEX(Data!$A:$G,MATCH($B4450,Data!$A:$A,0),MATCH($C$7,Data!$4:$4,0))="","",INDEX(Data!$A:$G,MATCH($B4450,Data!$A:$A,0),MATCH($C$7,Data!$4:$4,0))))</f>
        <v>28.9</v>
      </c>
      <c r="D4450" s="148">
        <f t="shared" ca="1" si="144"/>
        <v>36.1</v>
      </c>
      <c r="E4450" s="148">
        <f t="shared" ca="1" si="145"/>
        <v>0</v>
      </c>
    </row>
    <row r="4451" spans="2:5" x14ac:dyDescent="0.25">
      <c r="B4451" s="8">
        <v>42045</v>
      </c>
      <c r="C4451" s="6">
        <f ca="1">IF(OR($C$7="",$B4451&gt;NOW()),"",IF(INDEX(Data!$A:$G,MATCH($B4451,Data!$A:$A,0),MATCH($C$7,Data!$4:$4,0))="","",INDEX(Data!$A:$G,MATCH($B4451,Data!$A:$A,0),MATCH($C$7,Data!$4:$4,0))))</f>
        <v>29.9</v>
      </c>
      <c r="D4451" s="148">
        <f t="shared" ca="1" si="144"/>
        <v>35.1</v>
      </c>
      <c r="E4451" s="148">
        <f t="shared" ca="1" si="145"/>
        <v>0</v>
      </c>
    </row>
    <row r="4452" spans="2:5" x14ac:dyDescent="0.25">
      <c r="B4452" s="8">
        <v>42046</v>
      </c>
      <c r="C4452" s="6">
        <f ca="1">IF(OR($C$7="",$B4452&gt;NOW()),"",IF(INDEX(Data!$A:$G,MATCH($B4452,Data!$A:$A,0),MATCH($C$7,Data!$4:$4,0))="","",INDEX(Data!$A:$G,MATCH($B4452,Data!$A:$A,0),MATCH($C$7,Data!$4:$4,0))))</f>
        <v>28.4</v>
      </c>
      <c r="D4452" s="148">
        <f t="shared" ca="1" si="144"/>
        <v>36.6</v>
      </c>
      <c r="E4452" s="148">
        <f t="shared" ca="1" si="145"/>
        <v>0</v>
      </c>
    </row>
    <row r="4453" spans="2:5" x14ac:dyDescent="0.25">
      <c r="B4453" s="8">
        <v>42047</v>
      </c>
      <c r="C4453" s="6">
        <f ca="1">IF(OR($C$7="",$B4453&gt;NOW()),"",IF(INDEX(Data!$A:$G,MATCH($B4453,Data!$A:$A,0),MATCH($C$7,Data!$4:$4,0))="","",INDEX(Data!$A:$G,MATCH($B4453,Data!$A:$A,0),MATCH($C$7,Data!$4:$4,0))))</f>
        <v>32.299999999999997</v>
      </c>
      <c r="D4453" s="148">
        <f t="shared" ca="1" si="144"/>
        <v>32.700000000000003</v>
      </c>
      <c r="E4453" s="148">
        <f t="shared" ca="1" si="145"/>
        <v>0</v>
      </c>
    </row>
    <row r="4454" spans="2:5" x14ac:dyDescent="0.25">
      <c r="B4454" s="8">
        <v>42048</v>
      </c>
      <c r="C4454" s="6">
        <f ca="1">IF(OR($C$7="",$B4454&gt;NOW()),"",IF(INDEX(Data!$A:$G,MATCH($B4454,Data!$A:$A,0),MATCH($C$7,Data!$4:$4,0))="","",INDEX(Data!$A:$G,MATCH($B4454,Data!$A:$A,0),MATCH($C$7,Data!$4:$4,0))))</f>
        <v>17.600000000000001</v>
      </c>
      <c r="D4454" s="148">
        <f t="shared" ca="1" si="144"/>
        <v>47.4</v>
      </c>
      <c r="E4454" s="148">
        <f t="shared" ca="1" si="145"/>
        <v>0</v>
      </c>
    </row>
    <row r="4455" spans="2:5" x14ac:dyDescent="0.25">
      <c r="B4455" s="8">
        <v>42049</v>
      </c>
      <c r="C4455" s="6">
        <f ca="1">IF(OR($C$7="",$B4455&gt;NOW()),"",IF(INDEX(Data!$A:$G,MATCH($B4455,Data!$A:$A,0),MATCH($C$7,Data!$4:$4,0))="","",INDEX(Data!$A:$G,MATCH($B4455,Data!$A:$A,0),MATCH($C$7,Data!$4:$4,0))))</f>
        <v>22.9</v>
      </c>
      <c r="D4455" s="148">
        <f t="shared" ca="1" si="144"/>
        <v>42.1</v>
      </c>
      <c r="E4455" s="148">
        <f t="shared" ca="1" si="145"/>
        <v>0</v>
      </c>
    </row>
    <row r="4456" spans="2:5" x14ac:dyDescent="0.25">
      <c r="B4456" s="8">
        <v>42050</v>
      </c>
      <c r="C4456" s="6">
        <f ca="1">IF(OR($C$7="",$B4456&gt;NOW()),"",IF(INDEX(Data!$A:$G,MATCH($B4456,Data!$A:$A,0),MATCH($C$7,Data!$4:$4,0))="","",INDEX(Data!$A:$G,MATCH($B4456,Data!$A:$A,0),MATCH($C$7,Data!$4:$4,0))))</f>
        <v>20.5</v>
      </c>
      <c r="D4456" s="148">
        <f t="shared" ca="1" si="144"/>
        <v>44.5</v>
      </c>
      <c r="E4456" s="148">
        <f t="shared" ca="1" si="145"/>
        <v>0</v>
      </c>
    </row>
    <row r="4457" spans="2:5" x14ac:dyDescent="0.25">
      <c r="B4457" s="8">
        <v>42051</v>
      </c>
      <c r="C4457" s="6">
        <f ca="1">IF(OR($C$7="",$B4457&gt;NOW()),"",IF(INDEX(Data!$A:$G,MATCH($B4457,Data!$A:$A,0),MATCH($C$7,Data!$4:$4,0))="","",INDEX(Data!$A:$G,MATCH($B4457,Data!$A:$A,0),MATCH($C$7,Data!$4:$4,0))))</f>
        <v>10.199999999999999</v>
      </c>
      <c r="D4457" s="148">
        <f t="shared" ca="1" si="144"/>
        <v>54.8</v>
      </c>
      <c r="E4457" s="148">
        <f t="shared" ca="1" si="145"/>
        <v>0</v>
      </c>
    </row>
    <row r="4458" spans="2:5" x14ac:dyDescent="0.25">
      <c r="B4458" s="8">
        <v>42052</v>
      </c>
      <c r="C4458" s="6">
        <f ca="1">IF(OR($C$7="",$B4458&gt;NOW()),"",IF(INDEX(Data!$A:$G,MATCH($B4458,Data!$A:$A,0),MATCH($C$7,Data!$4:$4,0))="","",INDEX(Data!$A:$G,MATCH($B4458,Data!$A:$A,0),MATCH($C$7,Data!$4:$4,0))))</f>
        <v>19.399999999999999</v>
      </c>
      <c r="D4458" s="148">
        <f t="shared" ca="1" si="144"/>
        <v>45.6</v>
      </c>
      <c r="E4458" s="148">
        <f t="shared" ca="1" si="145"/>
        <v>0</v>
      </c>
    </row>
    <row r="4459" spans="2:5" x14ac:dyDescent="0.25">
      <c r="B4459" s="8">
        <v>42053</v>
      </c>
      <c r="C4459" s="6">
        <f ca="1">IF(OR($C$7="",$B4459&gt;NOW()),"",IF(INDEX(Data!$A:$G,MATCH($B4459,Data!$A:$A,0),MATCH($C$7,Data!$4:$4,0))="","",INDEX(Data!$A:$G,MATCH($B4459,Data!$A:$A,0),MATCH($C$7,Data!$4:$4,0))))</f>
        <v>24.2</v>
      </c>
      <c r="D4459" s="148">
        <f t="shared" ca="1" si="144"/>
        <v>40.799999999999997</v>
      </c>
      <c r="E4459" s="148">
        <f t="shared" ca="1" si="145"/>
        <v>0</v>
      </c>
    </row>
    <row r="4460" spans="2:5" x14ac:dyDescent="0.25">
      <c r="B4460" s="8">
        <v>42054</v>
      </c>
      <c r="C4460" s="6">
        <f ca="1">IF(OR($C$7="",$B4460&gt;NOW()),"",IF(INDEX(Data!$A:$G,MATCH($B4460,Data!$A:$A,0),MATCH($C$7,Data!$4:$4,0))="","",INDEX(Data!$A:$G,MATCH($B4460,Data!$A:$A,0),MATCH($C$7,Data!$4:$4,0))))</f>
        <v>22</v>
      </c>
      <c r="D4460" s="148">
        <f t="shared" ca="1" si="144"/>
        <v>43</v>
      </c>
      <c r="E4460" s="148">
        <f t="shared" ca="1" si="145"/>
        <v>0</v>
      </c>
    </row>
    <row r="4461" spans="2:5" x14ac:dyDescent="0.25">
      <c r="B4461" s="8">
        <v>42055</v>
      </c>
      <c r="C4461" s="6">
        <f ca="1">IF(OR($C$7="",$B4461&gt;NOW()),"",IF(INDEX(Data!$A:$G,MATCH($B4461,Data!$A:$A,0),MATCH($C$7,Data!$4:$4,0))="","",INDEX(Data!$A:$G,MATCH($B4461,Data!$A:$A,0),MATCH($C$7,Data!$4:$4,0))))</f>
        <v>10.9</v>
      </c>
      <c r="D4461" s="148">
        <f t="shared" ca="1" si="144"/>
        <v>54.1</v>
      </c>
      <c r="E4461" s="148">
        <f t="shared" ca="1" si="145"/>
        <v>0</v>
      </c>
    </row>
    <row r="4462" spans="2:5" x14ac:dyDescent="0.25">
      <c r="B4462" s="8">
        <v>42056</v>
      </c>
      <c r="C4462" s="6">
        <f ca="1">IF(OR($C$7="",$B4462&gt;NOW()),"",IF(INDEX(Data!$A:$G,MATCH($B4462,Data!$A:$A,0),MATCH($C$7,Data!$4:$4,0))="","",INDEX(Data!$A:$G,MATCH($B4462,Data!$A:$A,0),MATCH($C$7,Data!$4:$4,0))))</f>
        <v>20.100000000000001</v>
      </c>
      <c r="D4462" s="148">
        <f t="shared" ca="1" si="144"/>
        <v>44.9</v>
      </c>
      <c r="E4462" s="148">
        <f t="shared" ca="1" si="145"/>
        <v>0</v>
      </c>
    </row>
    <row r="4463" spans="2:5" x14ac:dyDescent="0.25">
      <c r="B4463" s="8">
        <v>42057</v>
      </c>
      <c r="C4463" s="6">
        <f ca="1">IF(OR($C$7="",$B4463&gt;NOW()),"",IF(INDEX(Data!$A:$G,MATCH($B4463,Data!$A:$A,0),MATCH($C$7,Data!$4:$4,0))="","",INDEX(Data!$A:$G,MATCH($B4463,Data!$A:$A,0),MATCH($C$7,Data!$4:$4,0))))</f>
        <v>34.1</v>
      </c>
      <c r="D4463" s="148">
        <f t="shared" ca="1" si="144"/>
        <v>30.9</v>
      </c>
      <c r="E4463" s="148">
        <f t="shared" ca="1" si="145"/>
        <v>0</v>
      </c>
    </row>
    <row r="4464" spans="2:5" x14ac:dyDescent="0.25">
      <c r="B4464" s="8">
        <v>42058</v>
      </c>
      <c r="C4464" s="6">
        <f ca="1">IF(OR($C$7="",$B4464&gt;NOW()),"",IF(INDEX(Data!$A:$G,MATCH($B4464,Data!$A:$A,0),MATCH($C$7,Data!$4:$4,0))="","",INDEX(Data!$A:$G,MATCH($B4464,Data!$A:$A,0),MATCH($C$7,Data!$4:$4,0))))</f>
        <v>29.3</v>
      </c>
      <c r="D4464" s="148">
        <f t="shared" ca="1" si="144"/>
        <v>35.700000000000003</v>
      </c>
      <c r="E4464" s="148">
        <f t="shared" ca="1" si="145"/>
        <v>0</v>
      </c>
    </row>
    <row r="4465" spans="2:5" x14ac:dyDescent="0.25">
      <c r="B4465" s="8">
        <v>42059</v>
      </c>
      <c r="C4465" s="6">
        <f ca="1">IF(OR($C$7="",$B4465&gt;NOW()),"",IF(INDEX(Data!$A:$G,MATCH($B4465,Data!$A:$A,0),MATCH($C$7,Data!$4:$4,0))="","",INDEX(Data!$A:$G,MATCH($B4465,Data!$A:$A,0),MATCH($C$7,Data!$4:$4,0))))</f>
        <v>12.4</v>
      </c>
      <c r="D4465" s="148">
        <f t="shared" ca="1" si="144"/>
        <v>52.6</v>
      </c>
      <c r="E4465" s="148">
        <f t="shared" ca="1" si="145"/>
        <v>0</v>
      </c>
    </row>
    <row r="4466" spans="2:5" x14ac:dyDescent="0.25">
      <c r="B4466" s="8">
        <v>42060</v>
      </c>
      <c r="C4466" s="6">
        <f ca="1">IF(OR($C$7="",$B4466&gt;NOW()),"",IF(INDEX(Data!$A:$G,MATCH($B4466,Data!$A:$A,0),MATCH($C$7,Data!$4:$4,0))="","",INDEX(Data!$A:$G,MATCH($B4466,Data!$A:$A,0),MATCH($C$7,Data!$4:$4,0))))</f>
        <v>27.7</v>
      </c>
      <c r="D4466" s="148">
        <f t="shared" ca="1" si="144"/>
        <v>37.299999999999997</v>
      </c>
      <c r="E4466" s="148">
        <f t="shared" ca="1" si="145"/>
        <v>0</v>
      </c>
    </row>
    <row r="4467" spans="2:5" x14ac:dyDescent="0.25">
      <c r="B4467" s="8">
        <v>42061</v>
      </c>
      <c r="C4467" s="6">
        <f ca="1">IF(OR($C$7="",$B4467&gt;NOW()),"",IF(INDEX(Data!$A:$G,MATCH($B4467,Data!$A:$A,0),MATCH($C$7,Data!$4:$4,0))="","",INDEX(Data!$A:$G,MATCH($B4467,Data!$A:$A,0),MATCH($C$7,Data!$4:$4,0))))</f>
        <v>26.9</v>
      </c>
      <c r="D4467" s="148">
        <f t="shared" ca="1" si="144"/>
        <v>38.1</v>
      </c>
      <c r="E4467" s="148">
        <f t="shared" ca="1" si="145"/>
        <v>0</v>
      </c>
    </row>
    <row r="4468" spans="2:5" x14ac:dyDescent="0.25">
      <c r="B4468" s="8">
        <v>42062</v>
      </c>
      <c r="C4468" s="6">
        <f ca="1">IF(OR($C$7="",$B4468&gt;NOW()),"",IF(INDEX(Data!$A:$G,MATCH($B4468,Data!$A:$A,0),MATCH($C$7,Data!$4:$4,0))="","",INDEX(Data!$A:$G,MATCH($B4468,Data!$A:$A,0),MATCH($C$7,Data!$4:$4,0))))</f>
        <v>23.7</v>
      </c>
      <c r="D4468" s="148">
        <f t="shared" ca="1" si="144"/>
        <v>41.3</v>
      </c>
      <c r="E4468" s="148">
        <f t="shared" ca="1" si="145"/>
        <v>0</v>
      </c>
    </row>
    <row r="4469" spans="2:5" x14ac:dyDescent="0.25">
      <c r="B4469" s="8">
        <v>42063</v>
      </c>
      <c r="C4469" s="6">
        <f ca="1">IF(OR($C$7="",$B4469&gt;NOW()),"",IF(INDEX(Data!$A:$G,MATCH($B4469,Data!$A:$A,0),MATCH($C$7,Data!$4:$4,0))="","",INDEX(Data!$A:$G,MATCH($B4469,Data!$A:$A,0),MATCH($C$7,Data!$4:$4,0))))</f>
        <v>22.1</v>
      </c>
      <c r="D4469" s="148">
        <f t="shared" ca="1" si="144"/>
        <v>42.9</v>
      </c>
      <c r="E4469" s="148">
        <f t="shared" ca="1" si="145"/>
        <v>0</v>
      </c>
    </row>
    <row r="4470" spans="2:5" x14ac:dyDescent="0.25">
      <c r="B4470" s="8">
        <v>42064</v>
      </c>
      <c r="C4470" s="6">
        <f ca="1">IF(OR($C$7="",$B4470&gt;NOW()),"",IF(INDEX(Data!$A:$G,MATCH($B4470,Data!$A:$A,0),MATCH($C$7,Data!$4:$4,0))="","",INDEX(Data!$A:$G,MATCH($B4470,Data!$A:$A,0),MATCH($C$7,Data!$4:$4,0))))</f>
        <v>26.7</v>
      </c>
      <c r="D4470" s="148">
        <f t="shared" ca="1" si="144"/>
        <v>38.299999999999997</v>
      </c>
      <c r="E4470" s="148">
        <f t="shared" ca="1" si="145"/>
        <v>0</v>
      </c>
    </row>
    <row r="4471" spans="2:5" x14ac:dyDescent="0.25">
      <c r="B4471" s="8">
        <v>42065</v>
      </c>
      <c r="C4471" s="6">
        <f ca="1">IF(OR($C$7="",$B4471&gt;NOW()),"",IF(INDEX(Data!$A:$G,MATCH($B4471,Data!$A:$A,0),MATCH($C$7,Data!$4:$4,0))="","",INDEX(Data!$A:$G,MATCH($B4471,Data!$A:$A,0),MATCH($C$7,Data!$4:$4,0))))</f>
        <v>32.200000000000003</v>
      </c>
      <c r="D4471" s="148">
        <f t="shared" ca="1" si="144"/>
        <v>32.799999999999997</v>
      </c>
      <c r="E4471" s="148">
        <f t="shared" ca="1" si="145"/>
        <v>0</v>
      </c>
    </row>
    <row r="4472" spans="2:5" x14ac:dyDescent="0.25">
      <c r="B4472" s="8">
        <v>42066</v>
      </c>
      <c r="C4472" s="6">
        <f ca="1">IF(OR($C$7="",$B4472&gt;NOW()),"",IF(INDEX(Data!$A:$G,MATCH($B4472,Data!$A:$A,0),MATCH($C$7,Data!$4:$4,0))="","",INDEX(Data!$A:$G,MATCH($B4472,Data!$A:$A,0),MATCH($C$7,Data!$4:$4,0))))</f>
        <v>28.4</v>
      </c>
      <c r="D4472" s="148">
        <f t="shared" ca="1" si="144"/>
        <v>36.6</v>
      </c>
      <c r="E4472" s="148">
        <f t="shared" ca="1" si="145"/>
        <v>0</v>
      </c>
    </row>
    <row r="4473" spans="2:5" x14ac:dyDescent="0.25">
      <c r="B4473" s="8">
        <v>42067</v>
      </c>
      <c r="C4473" s="6">
        <f ca="1">IF(OR($C$7="",$B4473&gt;NOW()),"",IF(INDEX(Data!$A:$G,MATCH($B4473,Data!$A:$A,0),MATCH($C$7,Data!$4:$4,0))="","",INDEX(Data!$A:$G,MATCH($B4473,Data!$A:$A,0),MATCH($C$7,Data!$4:$4,0))))</f>
        <v>38.9</v>
      </c>
      <c r="D4473" s="148">
        <f t="shared" ca="1" si="144"/>
        <v>26.1</v>
      </c>
      <c r="E4473" s="148">
        <f t="shared" ca="1" si="145"/>
        <v>0</v>
      </c>
    </row>
    <row r="4474" spans="2:5" x14ac:dyDescent="0.25">
      <c r="B4474" s="8">
        <v>42068</v>
      </c>
      <c r="C4474" s="6">
        <f ca="1">IF(OR($C$7="",$B4474&gt;NOW()),"",IF(INDEX(Data!$A:$G,MATCH($B4474,Data!$A:$A,0),MATCH($C$7,Data!$4:$4,0))="","",INDEX(Data!$A:$G,MATCH($B4474,Data!$A:$A,0),MATCH($C$7,Data!$4:$4,0))))</f>
        <v>32.9</v>
      </c>
      <c r="D4474" s="148">
        <f t="shared" ca="1" si="144"/>
        <v>32.1</v>
      </c>
      <c r="E4474" s="148">
        <f t="shared" ca="1" si="145"/>
        <v>0</v>
      </c>
    </row>
    <row r="4475" spans="2:5" x14ac:dyDescent="0.25">
      <c r="B4475" s="8">
        <v>42069</v>
      </c>
      <c r="C4475" s="6">
        <f ca="1">IF(OR($C$7="",$B4475&gt;NOW()),"",IF(INDEX(Data!$A:$G,MATCH($B4475,Data!$A:$A,0),MATCH($C$7,Data!$4:$4,0))="","",INDEX(Data!$A:$G,MATCH($B4475,Data!$A:$A,0),MATCH($C$7,Data!$4:$4,0))))</f>
        <v>21</v>
      </c>
      <c r="D4475" s="148">
        <f t="shared" ca="1" si="144"/>
        <v>44</v>
      </c>
      <c r="E4475" s="148">
        <f t="shared" ca="1" si="145"/>
        <v>0</v>
      </c>
    </row>
    <row r="4476" spans="2:5" x14ac:dyDescent="0.25">
      <c r="B4476" s="8">
        <v>42070</v>
      </c>
      <c r="C4476" s="6">
        <f ca="1">IF(OR($C$7="",$B4476&gt;NOW()),"",IF(INDEX(Data!$A:$G,MATCH($B4476,Data!$A:$A,0),MATCH($C$7,Data!$4:$4,0))="","",INDEX(Data!$A:$G,MATCH($B4476,Data!$A:$A,0),MATCH($C$7,Data!$4:$4,0))))</f>
        <v>26.8</v>
      </c>
      <c r="D4476" s="148">
        <f t="shared" ca="1" si="144"/>
        <v>38.200000000000003</v>
      </c>
      <c r="E4476" s="148">
        <f t="shared" ca="1" si="145"/>
        <v>0</v>
      </c>
    </row>
    <row r="4477" spans="2:5" x14ac:dyDescent="0.25">
      <c r="B4477" s="8">
        <v>42071</v>
      </c>
      <c r="C4477" s="6">
        <f ca="1">IF(OR($C$7="",$B4477&gt;NOW()),"",IF(INDEX(Data!$A:$G,MATCH($B4477,Data!$A:$A,0),MATCH($C$7,Data!$4:$4,0))="","",INDEX(Data!$A:$G,MATCH($B4477,Data!$A:$A,0),MATCH($C$7,Data!$4:$4,0))))</f>
        <v>40.200000000000003</v>
      </c>
      <c r="D4477" s="148">
        <f t="shared" ca="1" si="144"/>
        <v>24.799999999999997</v>
      </c>
      <c r="E4477" s="148">
        <f t="shared" ca="1" si="145"/>
        <v>0</v>
      </c>
    </row>
    <row r="4478" spans="2:5" x14ac:dyDescent="0.25">
      <c r="B4478" s="8">
        <v>42072</v>
      </c>
      <c r="C4478" s="6">
        <f ca="1">IF(OR($C$7="",$B4478&gt;NOW()),"",IF(INDEX(Data!$A:$G,MATCH($B4478,Data!$A:$A,0),MATCH($C$7,Data!$4:$4,0))="","",INDEX(Data!$A:$G,MATCH($B4478,Data!$A:$A,0),MATCH($C$7,Data!$4:$4,0))))</f>
        <v>44.9</v>
      </c>
      <c r="D4478" s="148">
        <f t="shared" ca="1" si="144"/>
        <v>20.100000000000001</v>
      </c>
      <c r="E4478" s="148">
        <f t="shared" ca="1" si="145"/>
        <v>0</v>
      </c>
    </row>
    <row r="4479" spans="2:5" x14ac:dyDescent="0.25">
      <c r="B4479" s="8">
        <v>42073</v>
      </c>
      <c r="C4479" s="6">
        <f ca="1">IF(OR($C$7="",$B4479&gt;NOW()),"",IF(INDEX(Data!$A:$G,MATCH($B4479,Data!$A:$A,0),MATCH($C$7,Data!$4:$4,0))="","",INDEX(Data!$A:$G,MATCH($B4479,Data!$A:$A,0),MATCH($C$7,Data!$4:$4,0))))</f>
        <v>40.700000000000003</v>
      </c>
      <c r="D4479" s="148">
        <f t="shared" ca="1" si="144"/>
        <v>24.299999999999997</v>
      </c>
      <c r="E4479" s="148">
        <f t="shared" ca="1" si="145"/>
        <v>0</v>
      </c>
    </row>
    <row r="4480" spans="2:5" x14ac:dyDescent="0.25">
      <c r="B4480" s="8">
        <v>42074</v>
      </c>
      <c r="C4480" s="6">
        <f ca="1">IF(OR($C$7="",$B4480&gt;NOW()),"",IF(INDEX(Data!$A:$G,MATCH($B4480,Data!$A:$A,0),MATCH($C$7,Data!$4:$4,0))="","",INDEX(Data!$A:$G,MATCH($B4480,Data!$A:$A,0),MATCH($C$7,Data!$4:$4,0))))</f>
        <v>46.4</v>
      </c>
      <c r="D4480" s="148">
        <f t="shared" ca="1" si="144"/>
        <v>18.600000000000001</v>
      </c>
      <c r="E4480" s="148">
        <f t="shared" ca="1" si="145"/>
        <v>0</v>
      </c>
    </row>
    <row r="4481" spans="2:5" x14ac:dyDescent="0.25">
      <c r="B4481" s="8">
        <v>42075</v>
      </c>
      <c r="C4481" s="6">
        <f ca="1">IF(OR($C$7="",$B4481&gt;NOW()),"",IF(INDEX(Data!$A:$G,MATCH($B4481,Data!$A:$A,0),MATCH($C$7,Data!$4:$4,0))="","",INDEX(Data!$A:$G,MATCH($B4481,Data!$A:$A,0),MATCH($C$7,Data!$4:$4,0))))</f>
        <v>45.3</v>
      </c>
      <c r="D4481" s="148">
        <f t="shared" ca="1" si="144"/>
        <v>19.700000000000003</v>
      </c>
      <c r="E4481" s="148">
        <f t="shared" ca="1" si="145"/>
        <v>0</v>
      </c>
    </row>
    <row r="4482" spans="2:5" x14ac:dyDescent="0.25">
      <c r="B4482" s="8">
        <v>42076</v>
      </c>
      <c r="C4482" s="6">
        <f ca="1">IF(OR($C$7="",$B4482&gt;NOW()),"",IF(INDEX(Data!$A:$G,MATCH($B4482,Data!$A:$A,0),MATCH($C$7,Data!$4:$4,0))="","",INDEX(Data!$A:$G,MATCH($B4482,Data!$A:$A,0),MATCH($C$7,Data!$4:$4,0))))</f>
        <v>37.1</v>
      </c>
      <c r="D4482" s="148">
        <f t="shared" ca="1" si="144"/>
        <v>27.9</v>
      </c>
      <c r="E4482" s="148">
        <f t="shared" ca="1" si="145"/>
        <v>0</v>
      </c>
    </row>
    <row r="4483" spans="2:5" x14ac:dyDescent="0.25">
      <c r="B4483" s="8">
        <v>42077</v>
      </c>
      <c r="C4483" s="6">
        <f ca="1">IF(OR($C$7="",$B4483&gt;NOW()),"",IF(INDEX(Data!$A:$G,MATCH($B4483,Data!$A:$A,0),MATCH($C$7,Data!$4:$4,0))="","",INDEX(Data!$A:$G,MATCH($B4483,Data!$A:$A,0),MATCH($C$7,Data!$4:$4,0))))</f>
        <v>43.6</v>
      </c>
      <c r="D4483" s="148">
        <f t="shared" ca="1" si="144"/>
        <v>21.4</v>
      </c>
      <c r="E4483" s="148">
        <f t="shared" ca="1" si="145"/>
        <v>0</v>
      </c>
    </row>
    <row r="4484" spans="2:5" x14ac:dyDescent="0.25">
      <c r="B4484" s="8">
        <v>42078</v>
      </c>
      <c r="C4484" s="6">
        <f ca="1">IF(OR($C$7="",$B4484&gt;NOW()),"",IF(INDEX(Data!$A:$G,MATCH($B4484,Data!$A:$A,0),MATCH($C$7,Data!$4:$4,0))="","",INDEX(Data!$A:$G,MATCH($B4484,Data!$A:$A,0),MATCH($C$7,Data!$4:$4,0))))</f>
        <v>44.1</v>
      </c>
      <c r="D4484" s="148">
        <f t="shared" ca="1" si="144"/>
        <v>20.9</v>
      </c>
      <c r="E4484" s="148">
        <f t="shared" ca="1" si="145"/>
        <v>0</v>
      </c>
    </row>
    <row r="4485" spans="2:5" x14ac:dyDescent="0.25">
      <c r="B4485" s="8">
        <v>42079</v>
      </c>
      <c r="C4485" s="6">
        <f ca="1">IF(OR($C$7="",$B4485&gt;NOW()),"",IF(INDEX(Data!$A:$G,MATCH($B4485,Data!$A:$A,0),MATCH($C$7,Data!$4:$4,0))="","",INDEX(Data!$A:$G,MATCH($B4485,Data!$A:$A,0),MATCH($C$7,Data!$4:$4,0))))</f>
        <v>40.200000000000003</v>
      </c>
      <c r="D4485" s="148">
        <f t="shared" ca="1" si="144"/>
        <v>24.799999999999997</v>
      </c>
      <c r="E4485" s="148">
        <f t="shared" ca="1" si="145"/>
        <v>0</v>
      </c>
    </row>
    <row r="4486" spans="2:5" x14ac:dyDescent="0.25">
      <c r="B4486" s="8">
        <v>42080</v>
      </c>
      <c r="C4486" s="6">
        <f ca="1">IF(OR($C$7="",$B4486&gt;NOW()),"",IF(INDEX(Data!$A:$G,MATCH($B4486,Data!$A:$A,0),MATCH($C$7,Data!$4:$4,0))="","",INDEX(Data!$A:$G,MATCH($B4486,Data!$A:$A,0),MATCH($C$7,Data!$4:$4,0))))</f>
        <v>47.9</v>
      </c>
      <c r="D4486" s="148">
        <f t="shared" ca="1" si="144"/>
        <v>17.100000000000001</v>
      </c>
      <c r="E4486" s="148">
        <f t="shared" ca="1" si="145"/>
        <v>0</v>
      </c>
    </row>
    <row r="4487" spans="2:5" x14ac:dyDescent="0.25">
      <c r="B4487" s="8">
        <v>42081</v>
      </c>
      <c r="C4487" s="6">
        <f ca="1">IF(OR($C$7="",$B4487&gt;NOW()),"",IF(INDEX(Data!$A:$G,MATCH($B4487,Data!$A:$A,0),MATCH($C$7,Data!$4:$4,0))="","",INDEX(Data!$A:$G,MATCH($B4487,Data!$A:$A,0),MATCH($C$7,Data!$4:$4,0))))</f>
        <v>33.700000000000003</v>
      </c>
      <c r="D4487" s="148">
        <f t="shared" ca="1" si="144"/>
        <v>31.299999999999997</v>
      </c>
      <c r="E4487" s="148">
        <f t="shared" ca="1" si="145"/>
        <v>0</v>
      </c>
    </row>
    <row r="4488" spans="2:5" x14ac:dyDescent="0.25">
      <c r="B4488" s="8">
        <v>42082</v>
      </c>
      <c r="C4488" s="6">
        <f ca="1">IF(OR($C$7="",$B4488&gt;NOW()),"",IF(INDEX(Data!$A:$G,MATCH($B4488,Data!$A:$A,0),MATCH($C$7,Data!$4:$4,0))="","",INDEX(Data!$A:$G,MATCH($B4488,Data!$A:$A,0),MATCH($C$7,Data!$4:$4,0))))</f>
        <v>33.5</v>
      </c>
      <c r="D4488" s="148">
        <f t="shared" ca="1" si="144"/>
        <v>31.5</v>
      </c>
      <c r="E4488" s="148">
        <f t="shared" ca="1" si="145"/>
        <v>0</v>
      </c>
    </row>
    <row r="4489" spans="2:5" x14ac:dyDescent="0.25">
      <c r="B4489" s="8">
        <v>42083</v>
      </c>
      <c r="C4489" s="6">
        <f ca="1">IF(OR($C$7="",$B4489&gt;NOW()),"",IF(INDEX(Data!$A:$G,MATCH($B4489,Data!$A:$A,0),MATCH($C$7,Data!$4:$4,0))="","",INDEX(Data!$A:$G,MATCH($B4489,Data!$A:$A,0),MATCH($C$7,Data!$4:$4,0))))</f>
        <v>34.4</v>
      </c>
      <c r="D4489" s="148">
        <f t="shared" ca="1" si="144"/>
        <v>30.6</v>
      </c>
      <c r="E4489" s="148">
        <f t="shared" ca="1" si="145"/>
        <v>0</v>
      </c>
    </row>
    <row r="4490" spans="2:5" x14ac:dyDescent="0.25">
      <c r="B4490" s="8">
        <v>42084</v>
      </c>
      <c r="C4490" s="6">
        <f ca="1">IF(OR($C$7="",$B4490&gt;NOW()),"",IF(INDEX(Data!$A:$G,MATCH($B4490,Data!$A:$A,0),MATCH($C$7,Data!$4:$4,0))="","",INDEX(Data!$A:$G,MATCH($B4490,Data!$A:$A,0),MATCH($C$7,Data!$4:$4,0))))</f>
        <v>34.9</v>
      </c>
      <c r="D4490" s="148">
        <f t="shared" ca="1" si="144"/>
        <v>30.1</v>
      </c>
      <c r="E4490" s="148">
        <f t="shared" ca="1" si="145"/>
        <v>0</v>
      </c>
    </row>
    <row r="4491" spans="2:5" x14ac:dyDescent="0.25">
      <c r="B4491" s="8">
        <v>42085</v>
      </c>
      <c r="C4491" s="6">
        <f ca="1">IF(OR($C$7="",$B4491&gt;NOW()),"",IF(INDEX(Data!$A:$G,MATCH($B4491,Data!$A:$A,0),MATCH($C$7,Data!$4:$4,0))="","",INDEX(Data!$A:$G,MATCH($B4491,Data!$A:$A,0),MATCH($C$7,Data!$4:$4,0))))</f>
        <v>39.9</v>
      </c>
      <c r="D4491" s="148">
        <f t="shared" ca="1" si="144"/>
        <v>25.1</v>
      </c>
      <c r="E4491" s="148">
        <f t="shared" ca="1" si="145"/>
        <v>0</v>
      </c>
    </row>
    <row r="4492" spans="2:5" x14ac:dyDescent="0.25">
      <c r="B4492" s="8">
        <v>42086</v>
      </c>
      <c r="C4492" s="6">
        <f ca="1">IF(OR($C$7="",$B4492&gt;NOW()),"",IF(INDEX(Data!$A:$G,MATCH($B4492,Data!$A:$A,0),MATCH($C$7,Data!$4:$4,0))="","",INDEX(Data!$A:$G,MATCH($B4492,Data!$A:$A,0),MATCH($C$7,Data!$4:$4,0))))</f>
        <v>30.5</v>
      </c>
      <c r="D4492" s="148">
        <f t="shared" ca="1" si="144"/>
        <v>34.5</v>
      </c>
      <c r="E4492" s="148">
        <f t="shared" ca="1" si="145"/>
        <v>0</v>
      </c>
    </row>
    <row r="4493" spans="2:5" x14ac:dyDescent="0.25">
      <c r="B4493" s="8">
        <v>42087</v>
      </c>
      <c r="C4493" s="6">
        <f ca="1">IF(OR($C$7="",$B4493&gt;NOW()),"",IF(INDEX(Data!$A:$G,MATCH($B4493,Data!$A:$A,0),MATCH($C$7,Data!$4:$4,0))="","",INDEX(Data!$A:$G,MATCH($B4493,Data!$A:$A,0),MATCH($C$7,Data!$4:$4,0))))</f>
        <v>33.6</v>
      </c>
      <c r="D4493" s="148">
        <f t="shared" ca="1" si="144"/>
        <v>31.4</v>
      </c>
      <c r="E4493" s="148">
        <f t="shared" ca="1" si="145"/>
        <v>0</v>
      </c>
    </row>
    <row r="4494" spans="2:5" x14ac:dyDescent="0.25">
      <c r="B4494" s="8">
        <v>42088</v>
      </c>
      <c r="C4494" s="6">
        <f ca="1">IF(OR($C$7="",$B4494&gt;NOW()),"",IF(INDEX(Data!$A:$G,MATCH($B4494,Data!$A:$A,0),MATCH($C$7,Data!$4:$4,0))="","",INDEX(Data!$A:$G,MATCH($B4494,Data!$A:$A,0),MATCH($C$7,Data!$4:$4,0))))</f>
        <v>39.1</v>
      </c>
      <c r="D4494" s="148">
        <f t="shared" ca="1" si="144"/>
        <v>25.9</v>
      </c>
      <c r="E4494" s="148">
        <f t="shared" ca="1" si="145"/>
        <v>0</v>
      </c>
    </row>
    <row r="4495" spans="2:5" x14ac:dyDescent="0.25">
      <c r="B4495" s="8">
        <v>42089</v>
      </c>
      <c r="C4495" s="6">
        <f ca="1">IF(OR($C$7="",$B4495&gt;NOW()),"",IF(INDEX(Data!$A:$G,MATCH($B4495,Data!$A:$A,0),MATCH($C$7,Data!$4:$4,0))="","",INDEX(Data!$A:$G,MATCH($B4495,Data!$A:$A,0),MATCH($C$7,Data!$4:$4,0))))</f>
        <v>45.2</v>
      </c>
      <c r="D4495" s="148">
        <f t="shared" ca="1" si="144"/>
        <v>19.799999999999997</v>
      </c>
      <c r="E4495" s="148">
        <f t="shared" ca="1" si="145"/>
        <v>0</v>
      </c>
    </row>
    <row r="4496" spans="2:5" x14ac:dyDescent="0.25">
      <c r="B4496" s="8">
        <v>42090</v>
      </c>
      <c r="C4496" s="6">
        <f ca="1">IF(OR($C$7="",$B4496&gt;NOW()),"",IF(INDEX(Data!$A:$G,MATCH($B4496,Data!$A:$A,0),MATCH($C$7,Data!$4:$4,0))="","",INDEX(Data!$A:$G,MATCH($B4496,Data!$A:$A,0),MATCH($C$7,Data!$4:$4,0))))</f>
        <v>44.9</v>
      </c>
      <c r="D4496" s="148">
        <f t="shared" ca="1" si="144"/>
        <v>20.100000000000001</v>
      </c>
      <c r="E4496" s="148">
        <f t="shared" ca="1" si="145"/>
        <v>0</v>
      </c>
    </row>
    <row r="4497" spans="2:5" x14ac:dyDescent="0.25">
      <c r="B4497" s="8">
        <v>42091</v>
      </c>
      <c r="C4497" s="6">
        <f ca="1">IF(OR($C$7="",$B4497&gt;NOW()),"",IF(INDEX(Data!$A:$G,MATCH($B4497,Data!$A:$A,0),MATCH($C$7,Data!$4:$4,0))="","",INDEX(Data!$A:$G,MATCH($B4497,Data!$A:$A,0),MATCH($C$7,Data!$4:$4,0))))</f>
        <v>37.6</v>
      </c>
      <c r="D4497" s="148">
        <f t="shared" ca="1" si="144"/>
        <v>27.4</v>
      </c>
      <c r="E4497" s="148">
        <f t="shared" ca="1" si="145"/>
        <v>0</v>
      </c>
    </row>
    <row r="4498" spans="2:5" x14ac:dyDescent="0.25">
      <c r="B4498" s="8">
        <v>42092</v>
      </c>
      <c r="C4498" s="6">
        <f ca="1">IF(OR($C$7="",$B4498&gt;NOW()),"",IF(INDEX(Data!$A:$G,MATCH($B4498,Data!$A:$A,0),MATCH($C$7,Data!$4:$4,0))="","",INDEX(Data!$A:$G,MATCH($B4498,Data!$A:$A,0),MATCH($C$7,Data!$4:$4,0))))</f>
        <v>33.5</v>
      </c>
      <c r="D4498" s="148">
        <f t="shared" ca="1" si="144"/>
        <v>31.5</v>
      </c>
      <c r="E4498" s="148">
        <f t="shared" ca="1" si="145"/>
        <v>0</v>
      </c>
    </row>
    <row r="4499" spans="2:5" x14ac:dyDescent="0.25">
      <c r="B4499" s="8">
        <v>42093</v>
      </c>
      <c r="C4499" s="6">
        <f ca="1">IF(OR($C$7="",$B4499&gt;NOW()),"",IF(INDEX(Data!$A:$G,MATCH($B4499,Data!$A:$A,0),MATCH($C$7,Data!$4:$4,0))="","",INDEX(Data!$A:$G,MATCH($B4499,Data!$A:$A,0),MATCH($C$7,Data!$4:$4,0))))</f>
        <v>42.2</v>
      </c>
      <c r="D4499" s="148">
        <f t="shared" ca="1" si="144"/>
        <v>22.799999999999997</v>
      </c>
      <c r="E4499" s="148">
        <f t="shared" ca="1" si="145"/>
        <v>0</v>
      </c>
    </row>
    <row r="4500" spans="2:5" x14ac:dyDescent="0.25">
      <c r="B4500" s="8">
        <v>42094</v>
      </c>
      <c r="C4500" s="6">
        <f ca="1">IF(OR($C$7="",$B4500&gt;NOW()),"",IF(INDEX(Data!$A:$G,MATCH($B4500,Data!$A:$A,0),MATCH($C$7,Data!$4:$4,0))="","",INDEX(Data!$A:$G,MATCH($B4500,Data!$A:$A,0),MATCH($C$7,Data!$4:$4,0))))</f>
        <v>42.8</v>
      </c>
      <c r="D4500" s="148">
        <f t="shared" ca="1" si="144"/>
        <v>22.200000000000003</v>
      </c>
      <c r="E4500" s="148">
        <f t="shared" ca="1" si="145"/>
        <v>0</v>
      </c>
    </row>
    <row r="4501" spans="2:5" x14ac:dyDescent="0.25">
      <c r="B4501" s="8">
        <v>42095</v>
      </c>
      <c r="C4501" s="6">
        <f ca="1">IF(OR($C$7="",$B4501&gt;NOW()),"",IF(INDEX(Data!$A:$G,MATCH($B4501,Data!$A:$A,0),MATCH($C$7,Data!$4:$4,0))="","",INDEX(Data!$A:$G,MATCH($B4501,Data!$A:$A,0),MATCH($C$7,Data!$4:$4,0))))</f>
        <v>39.799999999999997</v>
      </c>
      <c r="D4501" s="148">
        <f t="shared" ca="1" si="144"/>
        <v>25.200000000000003</v>
      </c>
      <c r="E4501" s="148">
        <f t="shared" ca="1" si="145"/>
        <v>0</v>
      </c>
    </row>
    <row r="4502" spans="2:5" x14ac:dyDescent="0.25">
      <c r="B4502" s="8">
        <v>42096</v>
      </c>
      <c r="C4502" s="6">
        <f ca="1">IF(OR($C$7="",$B4502&gt;NOW()),"",IF(INDEX(Data!$A:$G,MATCH($B4502,Data!$A:$A,0),MATCH($C$7,Data!$4:$4,0))="","",INDEX(Data!$A:$G,MATCH($B4502,Data!$A:$A,0),MATCH($C$7,Data!$4:$4,0))))</f>
        <v>49.9</v>
      </c>
      <c r="D4502" s="148">
        <f t="shared" ca="1" si="144"/>
        <v>15.100000000000001</v>
      </c>
      <c r="E4502" s="148">
        <f t="shared" ca="1" si="145"/>
        <v>0</v>
      </c>
    </row>
    <row r="4503" spans="2:5" x14ac:dyDescent="0.25">
      <c r="B4503" s="8">
        <v>42097</v>
      </c>
      <c r="C4503" s="6">
        <f ca="1">IF(OR($C$7="",$B4503&gt;NOW()),"",IF(INDEX(Data!$A:$G,MATCH($B4503,Data!$A:$A,0),MATCH($C$7,Data!$4:$4,0))="","",INDEX(Data!$A:$G,MATCH($B4503,Data!$A:$A,0),MATCH($C$7,Data!$4:$4,0))))</f>
        <v>59.2</v>
      </c>
      <c r="D4503" s="148">
        <f t="shared" ca="1" si="144"/>
        <v>5.7999999999999972</v>
      </c>
      <c r="E4503" s="148">
        <f t="shared" ca="1" si="145"/>
        <v>0</v>
      </c>
    </row>
    <row r="4504" spans="2:5" x14ac:dyDescent="0.25">
      <c r="B4504" s="8">
        <v>42098</v>
      </c>
      <c r="C4504" s="6">
        <f ca="1">IF(OR($C$7="",$B4504&gt;NOW()),"",IF(INDEX(Data!$A:$G,MATCH($B4504,Data!$A:$A,0),MATCH($C$7,Data!$4:$4,0))="","",INDEX(Data!$A:$G,MATCH($B4504,Data!$A:$A,0),MATCH($C$7,Data!$4:$4,0))))</f>
        <v>52</v>
      </c>
      <c r="D4504" s="148">
        <f t="shared" ca="1" si="144"/>
        <v>13</v>
      </c>
      <c r="E4504" s="148">
        <f t="shared" ca="1" si="145"/>
        <v>0</v>
      </c>
    </row>
    <row r="4505" spans="2:5" x14ac:dyDescent="0.25">
      <c r="B4505" s="8">
        <v>42099</v>
      </c>
      <c r="C4505" s="6">
        <f ca="1">IF(OR($C$7="",$B4505&gt;NOW()),"",IF(INDEX(Data!$A:$G,MATCH($B4505,Data!$A:$A,0),MATCH($C$7,Data!$4:$4,0))="","",INDEX(Data!$A:$G,MATCH($B4505,Data!$A:$A,0),MATCH($C$7,Data!$4:$4,0))))</f>
        <v>50.1</v>
      </c>
      <c r="D4505" s="148">
        <f t="shared" ca="1" si="144"/>
        <v>14.899999999999999</v>
      </c>
      <c r="E4505" s="148">
        <f t="shared" ca="1" si="145"/>
        <v>0</v>
      </c>
    </row>
    <row r="4506" spans="2:5" x14ac:dyDescent="0.25">
      <c r="B4506" s="8">
        <v>42100</v>
      </c>
      <c r="C4506" s="6">
        <f ca="1">IF(OR($C$7="",$B4506&gt;NOW()),"",IF(INDEX(Data!$A:$G,MATCH($B4506,Data!$A:$A,0),MATCH($C$7,Data!$4:$4,0))="","",INDEX(Data!$A:$G,MATCH($B4506,Data!$A:$A,0),MATCH($C$7,Data!$4:$4,0))))</f>
        <v>46.7</v>
      </c>
      <c r="D4506" s="148">
        <f t="shared" ca="1" si="144"/>
        <v>18.299999999999997</v>
      </c>
      <c r="E4506" s="148">
        <f t="shared" ca="1" si="145"/>
        <v>0</v>
      </c>
    </row>
    <row r="4507" spans="2:5" x14ac:dyDescent="0.25">
      <c r="B4507" s="8">
        <v>42101</v>
      </c>
      <c r="C4507" s="6">
        <f ca="1">IF(OR($C$7="",$B4507&gt;NOW()),"",IF(INDEX(Data!$A:$G,MATCH($B4507,Data!$A:$A,0),MATCH($C$7,Data!$4:$4,0))="","",INDEX(Data!$A:$G,MATCH($B4507,Data!$A:$A,0),MATCH($C$7,Data!$4:$4,0))))</f>
        <v>50.6</v>
      </c>
      <c r="D4507" s="148">
        <f t="shared" ca="1" si="144"/>
        <v>14.399999999999999</v>
      </c>
      <c r="E4507" s="148">
        <f t="shared" ca="1" si="145"/>
        <v>0</v>
      </c>
    </row>
    <row r="4508" spans="2:5" x14ac:dyDescent="0.25">
      <c r="B4508" s="8">
        <v>42102</v>
      </c>
      <c r="C4508" s="6">
        <f ca="1">IF(OR($C$7="",$B4508&gt;NOW()),"",IF(INDEX(Data!$A:$G,MATCH($B4508,Data!$A:$A,0),MATCH($C$7,Data!$4:$4,0))="","",INDEX(Data!$A:$G,MATCH($B4508,Data!$A:$A,0),MATCH($C$7,Data!$4:$4,0))))</f>
        <v>43</v>
      </c>
      <c r="D4508" s="148">
        <f t="shared" ca="1" si="144"/>
        <v>22</v>
      </c>
      <c r="E4508" s="148">
        <f t="shared" ca="1" si="145"/>
        <v>0</v>
      </c>
    </row>
    <row r="4509" spans="2:5" x14ac:dyDescent="0.25">
      <c r="B4509" s="8">
        <v>42103</v>
      </c>
      <c r="C4509" s="6">
        <f ca="1">IF(OR($C$7="",$B4509&gt;NOW()),"",IF(INDEX(Data!$A:$G,MATCH($B4509,Data!$A:$A,0),MATCH($C$7,Data!$4:$4,0))="","",INDEX(Data!$A:$G,MATCH($B4509,Data!$A:$A,0),MATCH($C$7,Data!$4:$4,0))))</f>
        <v>39.299999999999997</v>
      </c>
      <c r="D4509" s="148">
        <f t="shared" ref="D4509:D4572" ca="1" si="146">IF($C4509="","",IF($C4509&gt;$D$26,0,$D$26-$C4509))</f>
        <v>25.700000000000003</v>
      </c>
      <c r="E4509" s="148">
        <f t="shared" ref="E4509:E4572" ca="1" si="147">IF($C4509="","",IF($C4509&lt;$E$26,0,$C4509-$E$26))</f>
        <v>0</v>
      </c>
    </row>
    <row r="4510" spans="2:5" x14ac:dyDescent="0.25">
      <c r="B4510" s="8">
        <v>42104</v>
      </c>
      <c r="C4510" s="6">
        <f ca="1">IF(OR($C$7="",$B4510&gt;NOW()),"",IF(INDEX(Data!$A:$G,MATCH($B4510,Data!$A:$A,0),MATCH($C$7,Data!$4:$4,0))="","",INDEX(Data!$A:$G,MATCH($B4510,Data!$A:$A,0),MATCH($C$7,Data!$4:$4,0))))</f>
        <v>43</v>
      </c>
      <c r="D4510" s="148">
        <f t="shared" ca="1" si="146"/>
        <v>22</v>
      </c>
      <c r="E4510" s="148">
        <f t="shared" ca="1" si="147"/>
        <v>0</v>
      </c>
    </row>
    <row r="4511" spans="2:5" x14ac:dyDescent="0.25">
      <c r="B4511" s="8">
        <v>42105</v>
      </c>
      <c r="C4511" s="6">
        <f ca="1">IF(OR($C$7="",$B4511&gt;NOW()),"",IF(INDEX(Data!$A:$G,MATCH($B4511,Data!$A:$A,0),MATCH($C$7,Data!$4:$4,0))="","",INDEX(Data!$A:$G,MATCH($B4511,Data!$A:$A,0),MATCH($C$7,Data!$4:$4,0))))</f>
        <v>55.3</v>
      </c>
      <c r="D4511" s="148">
        <f t="shared" ca="1" si="146"/>
        <v>9.7000000000000028</v>
      </c>
      <c r="E4511" s="148">
        <f t="shared" ca="1" si="147"/>
        <v>0</v>
      </c>
    </row>
    <row r="4512" spans="2:5" x14ac:dyDescent="0.25">
      <c r="B4512" s="8">
        <v>42106</v>
      </c>
      <c r="C4512" s="6">
        <f ca="1">IF(OR($C$7="",$B4512&gt;NOW()),"",IF(INDEX(Data!$A:$G,MATCH($B4512,Data!$A:$A,0),MATCH($C$7,Data!$4:$4,0))="","",INDEX(Data!$A:$G,MATCH($B4512,Data!$A:$A,0),MATCH($C$7,Data!$4:$4,0))))</f>
        <v>51.3</v>
      </c>
      <c r="D4512" s="148">
        <f t="shared" ca="1" si="146"/>
        <v>13.700000000000003</v>
      </c>
      <c r="E4512" s="148">
        <f t="shared" ca="1" si="147"/>
        <v>0</v>
      </c>
    </row>
    <row r="4513" spans="2:5" x14ac:dyDescent="0.25">
      <c r="B4513" s="8">
        <v>42107</v>
      </c>
      <c r="C4513" s="6">
        <f ca="1">IF(OR($C$7="",$B4513&gt;NOW()),"",IF(INDEX(Data!$A:$G,MATCH($B4513,Data!$A:$A,0),MATCH($C$7,Data!$4:$4,0))="","",INDEX(Data!$A:$G,MATCH($B4513,Data!$A:$A,0),MATCH($C$7,Data!$4:$4,0))))</f>
        <v>55.6</v>
      </c>
      <c r="D4513" s="148">
        <f t="shared" ca="1" si="146"/>
        <v>9.3999999999999986</v>
      </c>
      <c r="E4513" s="148">
        <f t="shared" ca="1" si="147"/>
        <v>0</v>
      </c>
    </row>
    <row r="4514" spans="2:5" x14ac:dyDescent="0.25">
      <c r="B4514" s="8">
        <v>42108</v>
      </c>
      <c r="C4514" s="6">
        <f ca="1">IF(OR($C$7="",$B4514&gt;NOW()),"",IF(INDEX(Data!$A:$G,MATCH($B4514,Data!$A:$A,0),MATCH($C$7,Data!$4:$4,0))="","",INDEX(Data!$A:$G,MATCH($B4514,Data!$A:$A,0),MATCH($C$7,Data!$4:$4,0))))</f>
        <v>59.3</v>
      </c>
      <c r="D4514" s="148">
        <f t="shared" ca="1" si="146"/>
        <v>5.7000000000000028</v>
      </c>
      <c r="E4514" s="148">
        <f t="shared" ca="1" si="147"/>
        <v>0</v>
      </c>
    </row>
    <row r="4515" spans="2:5" x14ac:dyDescent="0.25">
      <c r="B4515" s="8">
        <v>42109</v>
      </c>
      <c r="C4515" s="6">
        <f ca="1">IF(OR($C$7="",$B4515&gt;NOW()),"",IF(INDEX(Data!$A:$G,MATCH($B4515,Data!$A:$A,0),MATCH($C$7,Data!$4:$4,0))="","",INDEX(Data!$A:$G,MATCH($B4515,Data!$A:$A,0),MATCH($C$7,Data!$4:$4,0))))</f>
        <v>59.1</v>
      </c>
      <c r="D4515" s="148">
        <f t="shared" ca="1" si="146"/>
        <v>5.8999999999999986</v>
      </c>
      <c r="E4515" s="148">
        <f t="shared" ca="1" si="147"/>
        <v>0</v>
      </c>
    </row>
    <row r="4516" spans="2:5" x14ac:dyDescent="0.25">
      <c r="B4516" s="8">
        <v>42110</v>
      </c>
      <c r="C4516" s="6">
        <f ca="1">IF(OR($C$7="",$B4516&gt;NOW()),"",IF(INDEX(Data!$A:$G,MATCH($B4516,Data!$A:$A,0),MATCH($C$7,Data!$4:$4,0))="","",INDEX(Data!$A:$G,MATCH($B4516,Data!$A:$A,0),MATCH($C$7,Data!$4:$4,0))))</f>
        <v>56.5</v>
      </c>
      <c r="D4516" s="148">
        <f t="shared" ca="1" si="146"/>
        <v>8.5</v>
      </c>
      <c r="E4516" s="148">
        <f t="shared" ca="1" si="147"/>
        <v>0</v>
      </c>
    </row>
    <row r="4517" spans="2:5" x14ac:dyDescent="0.25">
      <c r="B4517" s="8">
        <v>42111</v>
      </c>
      <c r="C4517" s="6">
        <f ca="1">IF(OR($C$7="",$B4517&gt;NOW()),"",IF(INDEX(Data!$A:$G,MATCH($B4517,Data!$A:$A,0),MATCH($C$7,Data!$4:$4,0))="","",INDEX(Data!$A:$G,MATCH($B4517,Data!$A:$A,0),MATCH($C$7,Data!$4:$4,0))))</f>
        <v>59.7</v>
      </c>
      <c r="D4517" s="148">
        <f t="shared" ca="1" si="146"/>
        <v>5.2999999999999972</v>
      </c>
      <c r="E4517" s="148">
        <f t="shared" ca="1" si="147"/>
        <v>0</v>
      </c>
    </row>
    <row r="4518" spans="2:5" x14ac:dyDescent="0.25">
      <c r="B4518" s="8">
        <v>42112</v>
      </c>
      <c r="C4518" s="6">
        <f ca="1">IF(OR($C$7="",$B4518&gt;NOW()),"",IF(INDEX(Data!$A:$G,MATCH($B4518,Data!$A:$A,0),MATCH($C$7,Data!$4:$4,0))="","",INDEX(Data!$A:$G,MATCH($B4518,Data!$A:$A,0),MATCH($C$7,Data!$4:$4,0))))</f>
        <v>66</v>
      </c>
      <c r="D4518" s="148">
        <f t="shared" ca="1" si="146"/>
        <v>0</v>
      </c>
      <c r="E4518" s="148">
        <f t="shared" ca="1" si="147"/>
        <v>1</v>
      </c>
    </row>
    <row r="4519" spans="2:5" x14ac:dyDescent="0.25">
      <c r="B4519" s="8">
        <v>42113</v>
      </c>
      <c r="C4519" s="6">
        <f ca="1">IF(OR($C$7="",$B4519&gt;NOW()),"",IF(INDEX(Data!$A:$G,MATCH($B4519,Data!$A:$A,0),MATCH($C$7,Data!$4:$4,0))="","",INDEX(Data!$A:$G,MATCH($B4519,Data!$A:$A,0),MATCH($C$7,Data!$4:$4,0))))</f>
        <v>57.6</v>
      </c>
      <c r="D4519" s="148">
        <f t="shared" ca="1" si="146"/>
        <v>7.3999999999999986</v>
      </c>
      <c r="E4519" s="148">
        <f t="shared" ca="1" si="147"/>
        <v>0</v>
      </c>
    </row>
    <row r="4520" spans="2:5" x14ac:dyDescent="0.25">
      <c r="B4520" s="8">
        <v>42114</v>
      </c>
      <c r="C4520" s="6">
        <f ca="1">IF(OR($C$7="",$B4520&gt;NOW()),"",IF(INDEX(Data!$A:$G,MATCH($B4520,Data!$A:$A,0),MATCH($C$7,Data!$4:$4,0))="","",INDEX(Data!$A:$G,MATCH($B4520,Data!$A:$A,0),MATCH($C$7,Data!$4:$4,0))))</f>
        <v>50.6</v>
      </c>
      <c r="D4520" s="148">
        <f t="shared" ca="1" si="146"/>
        <v>14.399999999999999</v>
      </c>
      <c r="E4520" s="148">
        <f t="shared" ca="1" si="147"/>
        <v>0</v>
      </c>
    </row>
    <row r="4521" spans="2:5" x14ac:dyDescent="0.25">
      <c r="B4521" s="8">
        <v>42115</v>
      </c>
      <c r="C4521" s="6">
        <f ca="1">IF(OR($C$7="",$B4521&gt;NOW()),"",IF(INDEX(Data!$A:$G,MATCH($B4521,Data!$A:$A,0),MATCH($C$7,Data!$4:$4,0))="","",INDEX(Data!$A:$G,MATCH($B4521,Data!$A:$A,0),MATCH($C$7,Data!$4:$4,0))))</f>
        <v>57.4</v>
      </c>
      <c r="D4521" s="148">
        <f t="shared" ca="1" si="146"/>
        <v>7.6000000000000014</v>
      </c>
      <c r="E4521" s="148">
        <f t="shared" ca="1" si="147"/>
        <v>0</v>
      </c>
    </row>
    <row r="4522" spans="2:5" x14ac:dyDescent="0.25">
      <c r="B4522" s="8">
        <v>42116</v>
      </c>
      <c r="C4522" s="6">
        <f ca="1">IF(OR($C$7="",$B4522&gt;NOW()),"",IF(INDEX(Data!$A:$G,MATCH($B4522,Data!$A:$A,0),MATCH($C$7,Data!$4:$4,0))="","",INDEX(Data!$A:$G,MATCH($B4522,Data!$A:$A,0),MATCH($C$7,Data!$4:$4,0))))</f>
        <v>58.8</v>
      </c>
      <c r="D4522" s="148">
        <f t="shared" ca="1" si="146"/>
        <v>6.2000000000000028</v>
      </c>
      <c r="E4522" s="148">
        <f t="shared" ca="1" si="147"/>
        <v>0</v>
      </c>
    </row>
    <row r="4523" spans="2:5" x14ac:dyDescent="0.25">
      <c r="B4523" s="8">
        <v>42117</v>
      </c>
      <c r="C4523" s="6">
        <f ca="1">IF(OR($C$7="",$B4523&gt;NOW()),"",IF(INDEX(Data!$A:$G,MATCH($B4523,Data!$A:$A,0),MATCH($C$7,Data!$4:$4,0))="","",INDEX(Data!$A:$G,MATCH($B4523,Data!$A:$A,0),MATCH($C$7,Data!$4:$4,0))))</f>
        <v>47.4</v>
      </c>
      <c r="D4523" s="148">
        <f t="shared" ca="1" si="146"/>
        <v>17.600000000000001</v>
      </c>
      <c r="E4523" s="148">
        <f t="shared" ca="1" si="147"/>
        <v>0</v>
      </c>
    </row>
    <row r="4524" spans="2:5" x14ac:dyDescent="0.25">
      <c r="B4524" s="8">
        <v>42118</v>
      </c>
      <c r="C4524" s="6">
        <f ca="1">IF(OR($C$7="",$B4524&gt;NOW()),"",IF(INDEX(Data!$A:$G,MATCH($B4524,Data!$A:$A,0),MATCH($C$7,Data!$4:$4,0))="","",INDEX(Data!$A:$G,MATCH($B4524,Data!$A:$A,0),MATCH($C$7,Data!$4:$4,0))))</f>
        <v>43.4</v>
      </c>
      <c r="D4524" s="148">
        <f t="shared" ca="1" si="146"/>
        <v>21.6</v>
      </c>
      <c r="E4524" s="148">
        <f t="shared" ca="1" si="147"/>
        <v>0</v>
      </c>
    </row>
    <row r="4525" spans="2:5" x14ac:dyDescent="0.25">
      <c r="B4525" s="8">
        <v>42119</v>
      </c>
      <c r="C4525" s="6">
        <f ca="1">IF(OR($C$7="",$B4525&gt;NOW()),"",IF(INDEX(Data!$A:$G,MATCH($B4525,Data!$A:$A,0),MATCH($C$7,Data!$4:$4,0))="","",INDEX(Data!$A:$G,MATCH($B4525,Data!$A:$A,0),MATCH($C$7,Data!$4:$4,0))))</f>
        <v>46.1</v>
      </c>
      <c r="D4525" s="148">
        <f t="shared" ca="1" si="146"/>
        <v>18.899999999999999</v>
      </c>
      <c r="E4525" s="148">
        <f t="shared" ca="1" si="147"/>
        <v>0</v>
      </c>
    </row>
    <row r="4526" spans="2:5" x14ac:dyDescent="0.25">
      <c r="B4526" s="8">
        <v>42120</v>
      </c>
      <c r="C4526" s="6">
        <f ca="1">IF(OR($C$7="",$B4526&gt;NOW()),"",IF(INDEX(Data!$A:$G,MATCH($B4526,Data!$A:$A,0),MATCH($C$7,Data!$4:$4,0))="","",INDEX(Data!$A:$G,MATCH($B4526,Data!$A:$A,0),MATCH($C$7,Data!$4:$4,0))))</f>
        <v>52</v>
      </c>
      <c r="D4526" s="148">
        <f t="shared" ca="1" si="146"/>
        <v>13</v>
      </c>
      <c r="E4526" s="148">
        <f t="shared" ca="1" si="147"/>
        <v>0</v>
      </c>
    </row>
    <row r="4527" spans="2:5" x14ac:dyDescent="0.25">
      <c r="B4527" s="8">
        <v>42121</v>
      </c>
      <c r="C4527" s="6">
        <f ca="1">IF(OR($C$7="",$B4527&gt;NOW()),"",IF(INDEX(Data!$A:$G,MATCH($B4527,Data!$A:$A,0),MATCH($C$7,Data!$4:$4,0))="","",INDEX(Data!$A:$G,MATCH($B4527,Data!$A:$A,0),MATCH($C$7,Data!$4:$4,0))))</f>
        <v>53.8</v>
      </c>
      <c r="D4527" s="148">
        <f t="shared" ca="1" si="146"/>
        <v>11.200000000000003</v>
      </c>
      <c r="E4527" s="148">
        <f t="shared" ca="1" si="147"/>
        <v>0</v>
      </c>
    </row>
    <row r="4528" spans="2:5" x14ac:dyDescent="0.25">
      <c r="B4528" s="8">
        <v>42122</v>
      </c>
      <c r="C4528" s="6">
        <f ca="1">IF(OR($C$7="",$B4528&gt;NOW()),"",IF(INDEX(Data!$A:$G,MATCH($B4528,Data!$A:$A,0),MATCH($C$7,Data!$4:$4,0))="","",INDEX(Data!$A:$G,MATCH($B4528,Data!$A:$A,0),MATCH($C$7,Data!$4:$4,0))))</f>
        <v>57.2</v>
      </c>
      <c r="D4528" s="148">
        <f t="shared" ca="1" si="146"/>
        <v>7.7999999999999972</v>
      </c>
      <c r="E4528" s="148">
        <f t="shared" ca="1" si="147"/>
        <v>0</v>
      </c>
    </row>
    <row r="4529" spans="2:5" x14ac:dyDescent="0.25">
      <c r="B4529" s="8">
        <v>42123</v>
      </c>
      <c r="C4529" s="6">
        <f ca="1">IF(OR($C$7="",$B4529&gt;NOW()),"",IF(INDEX(Data!$A:$G,MATCH($B4529,Data!$A:$A,0),MATCH($C$7,Data!$4:$4,0))="","",INDEX(Data!$A:$G,MATCH($B4529,Data!$A:$A,0),MATCH($C$7,Data!$4:$4,0))))</f>
        <v>64.2</v>
      </c>
      <c r="D4529" s="148">
        <f t="shared" ca="1" si="146"/>
        <v>0.79999999999999716</v>
      </c>
      <c r="E4529" s="148">
        <f t="shared" ca="1" si="147"/>
        <v>0</v>
      </c>
    </row>
    <row r="4530" spans="2:5" x14ac:dyDescent="0.25">
      <c r="B4530" s="8">
        <v>42124</v>
      </c>
      <c r="C4530" s="6">
        <f ca="1">IF(OR($C$7="",$B4530&gt;NOW()),"",IF(INDEX(Data!$A:$G,MATCH($B4530,Data!$A:$A,0),MATCH($C$7,Data!$4:$4,0))="","",INDEX(Data!$A:$G,MATCH($B4530,Data!$A:$A,0),MATCH($C$7,Data!$4:$4,0))))</f>
        <v>52.4</v>
      </c>
      <c r="D4530" s="148">
        <f t="shared" ca="1" si="146"/>
        <v>12.600000000000001</v>
      </c>
      <c r="E4530" s="148">
        <f t="shared" ca="1" si="147"/>
        <v>0</v>
      </c>
    </row>
    <row r="4531" spans="2:5" x14ac:dyDescent="0.25">
      <c r="B4531" s="8">
        <v>42125</v>
      </c>
      <c r="C4531" s="6">
        <f ca="1">IF(OR($C$7="",$B4531&gt;NOW()),"",IF(INDEX(Data!$A:$G,MATCH($B4531,Data!$A:$A,0),MATCH($C$7,Data!$4:$4,0))="","",INDEX(Data!$A:$G,MATCH($B4531,Data!$A:$A,0),MATCH($C$7,Data!$4:$4,0))))</f>
        <v>52.6</v>
      </c>
      <c r="D4531" s="148">
        <f t="shared" ca="1" si="146"/>
        <v>12.399999999999999</v>
      </c>
      <c r="E4531" s="148">
        <f t="shared" ca="1" si="147"/>
        <v>0</v>
      </c>
    </row>
    <row r="4532" spans="2:5" x14ac:dyDescent="0.25">
      <c r="B4532" s="8">
        <v>42126</v>
      </c>
      <c r="C4532" s="6">
        <f ca="1">IF(OR($C$7="",$B4532&gt;NOW()),"",IF(INDEX(Data!$A:$G,MATCH($B4532,Data!$A:$A,0),MATCH($C$7,Data!$4:$4,0))="","",INDEX(Data!$A:$G,MATCH($B4532,Data!$A:$A,0),MATCH($C$7,Data!$4:$4,0))))</f>
        <v>53.9</v>
      </c>
      <c r="D4532" s="148">
        <f t="shared" ca="1" si="146"/>
        <v>11.100000000000001</v>
      </c>
      <c r="E4532" s="148">
        <f t="shared" ca="1" si="147"/>
        <v>0</v>
      </c>
    </row>
    <row r="4533" spans="2:5" x14ac:dyDescent="0.25">
      <c r="B4533" s="8">
        <v>42127</v>
      </c>
      <c r="C4533" s="6">
        <f ca="1">IF(OR($C$7="",$B4533&gt;NOW()),"",IF(INDEX(Data!$A:$G,MATCH($B4533,Data!$A:$A,0),MATCH($C$7,Data!$4:$4,0))="","",INDEX(Data!$A:$G,MATCH($B4533,Data!$A:$A,0),MATCH($C$7,Data!$4:$4,0))))</f>
        <v>59.5</v>
      </c>
      <c r="D4533" s="148">
        <f t="shared" ca="1" si="146"/>
        <v>5.5</v>
      </c>
      <c r="E4533" s="148">
        <f t="shared" ca="1" si="147"/>
        <v>0</v>
      </c>
    </row>
    <row r="4534" spans="2:5" x14ac:dyDescent="0.25">
      <c r="B4534" s="8">
        <v>42128</v>
      </c>
      <c r="C4534" s="6">
        <f ca="1">IF(OR($C$7="",$B4534&gt;NOW()),"",IF(INDEX(Data!$A:$G,MATCH($B4534,Data!$A:$A,0),MATCH($C$7,Data!$4:$4,0))="","",INDEX(Data!$A:$G,MATCH($B4534,Data!$A:$A,0),MATCH($C$7,Data!$4:$4,0))))</f>
        <v>66.5</v>
      </c>
      <c r="D4534" s="148">
        <f t="shared" ca="1" si="146"/>
        <v>0</v>
      </c>
      <c r="E4534" s="148">
        <f t="shared" ca="1" si="147"/>
        <v>1.5</v>
      </c>
    </row>
    <row r="4535" spans="2:5" x14ac:dyDescent="0.25">
      <c r="B4535" s="8">
        <v>42129</v>
      </c>
      <c r="C4535" s="6">
        <f ca="1">IF(OR($C$7="",$B4535&gt;NOW()),"",IF(INDEX(Data!$A:$G,MATCH($B4535,Data!$A:$A,0),MATCH($C$7,Data!$4:$4,0))="","",INDEX(Data!$A:$G,MATCH($B4535,Data!$A:$A,0),MATCH($C$7,Data!$4:$4,0))))</f>
        <v>72.7</v>
      </c>
      <c r="D4535" s="148">
        <f t="shared" ca="1" si="146"/>
        <v>0</v>
      </c>
      <c r="E4535" s="148">
        <f t="shared" ca="1" si="147"/>
        <v>7.7000000000000028</v>
      </c>
    </row>
    <row r="4536" spans="2:5" x14ac:dyDescent="0.25">
      <c r="B4536" s="8">
        <v>42130</v>
      </c>
      <c r="C4536" s="6">
        <f ca="1">IF(OR($C$7="",$B4536&gt;NOW()),"",IF(INDEX(Data!$A:$G,MATCH($B4536,Data!$A:$A,0),MATCH($C$7,Data!$4:$4,0))="","",INDEX(Data!$A:$G,MATCH($B4536,Data!$A:$A,0),MATCH($C$7,Data!$4:$4,0))))</f>
        <v>65.3</v>
      </c>
      <c r="D4536" s="148">
        <f t="shared" ca="1" si="146"/>
        <v>0</v>
      </c>
      <c r="E4536" s="148">
        <f t="shared" ca="1" si="147"/>
        <v>0.29999999999999716</v>
      </c>
    </row>
    <row r="4537" spans="2:5" x14ac:dyDescent="0.25">
      <c r="B4537" s="8">
        <v>42131</v>
      </c>
      <c r="C4537" s="6">
        <f ca="1">IF(OR($C$7="",$B4537&gt;NOW()),"",IF(INDEX(Data!$A:$G,MATCH($B4537,Data!$A:$A,0),MATCH($C$7,Data!$4:$4,0))="","",INDEX(Data!$A:$G,MATCH($B4537,Data!$A:$A,0),MATCH($C$7,Data!$4:$4,0))))</f>
        <v>64.599999999999994</v>
      </c>
      <c r="D4537" s="148">
        <f t="shared" ca="1" si="146"/>
        <v>0.40000000000000568</v>
      </c>
      <c r="E4537" s="148">
        <f t="shared" ca="1" si="147"/>
        <v>0</v>
      </c>
    </row>
    <row r="4538" spans="2:5" x14ac:dyDescent="0.25">
      <c r="B4538" s="8">
        <v>42132</v>
      </c>
      <c r="C4538" s="6">
        <f ca="1">IF(OR($C$7="",$B4538&gt;NOW()),"",IF(INDEX(Data!$A:$G,MATCH($B4538,Data!$A:$A,0),MATCH($C$7,Data!$4:$4,0))="","",INDEX(Data!$A:$G,MATCH($B4538,Data!$A:$A,0),MATCH($C$7,Data!$4:$4,0))))</f>
        <v>64.2</v>
      </c>
      <c r="D4538" s="148">
        <f t="shared" ca="1" si="146"/>
        <v>0.79999999999999716</v>
      </c>
      <c r="E4538" s="148">
        <f t="shared" ca="1" si="147"/>
        <v>0</v>
      </c>
    </row>
    <row r="4539" spans="2:5" x14ac:dyDescent="0.25">
      <c r="B4539" s="8">
        <v>42133</v>
      </c>
      <c r="C4539" s="6">
        <f ca="1">IF(OR($C$7="",$B4539&gt;NOW()),"",IF(INDEX(Data!$A:$G,MATCH($B4539,Data!$A:$A,0),MATCH($C$7,Data!$4:$4,0))="","",INDEX(Data!$A:$G,MATCH($B4539,Data!$A:$A,0),MATCH($C$7,Data!$4:$4,0))))</f>
        <v>58</v>
      </c>
      <c r="D4539" s="148">
        <f t="shared" ca="1" si="146"/>
        <v>7</v>
      </c>
      <c r="E4539" s="148">
        <f t="shared" ca="1" si="147"/>
        <v>0</v>
      </c>
    </row>
    <row r="4540" spans="2:5" x14ac:dyDescent="0.25">
      <c r="B4540" s="8">
        <v>42134</v>
      </c>
      <c r="C4540" s="6">
        <f ca="1">IF(OR($C$7="",$B4540&gt;NOW()),"",IF(INDEX(Data!$A:$G,MATCH($B4540,Data!$A:$A,0),MATCH($C$7,Data!$4:$4,0))="","",INDEX(Data!$A:$G,MATCH($B4540,Data!$A:$A,0),MATCH($C$7,Data!$4:$4,0))))</f>
        <v>66.3</v>
      </c>
      <c r="D4540" s="148">
        <f t="shared" ca="1" si="146"/>
        <v>0</v>
      </c>
      <c r="E4540" s="148">
        <f t="shared" ca="1" si="147"/>
        <v>1.2999999999999972</v>
      </c>
    </row>
    <row r="4541" spans="2:5" x14ac:dyDescent="0.25">
      <c r="B4541" s="8">
        <v>42135</v>
      </c>
      <c r="C4541" s="6">
        <f ca="1">IF(OR($C$7="",$B4541&gt;NOW()),"",IF(INDEX(Data!$A:$G,MATCH($B4541,Data!$A:$A,0),MATCH($C$7,Data!$4:$4,0))="","",INDEX(Data!$A:$G,MATCH($B4541,Data!$A:$A,0),MATCH($C$7,Data!$4:$4,0))))</f>
        <v>74.400000000000006</v>
      </c>
      <c r="D4541" s="148">
        <f t="shared" ca="1" si="146"/>
        <v>0</v>
      </c>
      <c r="E4541" s="148">
        <f t="shared" ca="1" si="147"/>
        <v>9.4000000000000057</v>
      </c>
    </row>
    <row r="4542" spans="2:5" x14ac:dyDescent="0.25">
      <c r="B4542" s="8">
        <v>42136</v>
      </c>
      <c r="C4542" s="6">
        <f ca="1">IF(OR($C$7="",$B4542&gt;NOW()),"",IF(INDEX(Data!$A:$G,MATCH($B4542,Data!$A:$A,0),MATCH($C$7,Data!$4:$4,0))="","",INDEX(Data!$A:$G,MATCH($B4542,Data!$A:$A,0),MATCH($C$7,Data!$4:$4,0))))</f>
        <v>74.900000000000006</v>
      </c>
      <c r="D4542" s="148">
        <f t="shared" ca="1" si="146"/>
        <v>0</v>
      </c>
      <c r="E4542" s="148">
        <f t="shared" ca="1" si="147"/>
        <v>9.9000000000000057</v>
      </c>
    </row>
    <row r="4543" spans="2:5" x14ac:dyDescent="0.25">
      <c r="B4543" s="8">
        <v>42137</v>
      </c>
      <c r="C4543" s="6">
        <f ca="1">IF(OR($C$7="",$B4543&gt;NOW()),"",IF(INDEX(Data!$A:$G,MATCH($B4543,Data!$A:$A,0),MATCH($C$7,Data!$4:$4,0))="","",INDEX(Data!$A:$G,MATCH($B4543,Data!$A:$A,0),MATCH($C$7,Data!$4:$4,0))))</f>
        <v>65.099999999999994</v>
      </c>
      <c r="D4543" s="148">
        <f t="shared" ca="1" si="146"/>
        <v>0</v>
      </c>
      <c r="E4543" s="148">
        <f t="shared" ca="1" si="147"/>
        <v>9.9999999999994316E-2</v>
      </c>
    </row>
    <row r="4544" spans="2:5" x14ac:dyDescent="0.25">
      <c r="B4544" s="8">
        <v>42138</v>
      </c>
      <c r="C4544" s="6">
        <f ca="1">IF(OR($C$7="",$B4544&gt;NOW()),"",IF(INDEX(Data!$A:$G,MATCH($B4544,Data!$A:$A,0),MATCH($C$7,Data!$4:$4,0))="","",INDEX(Data!$A:$G,MATCH($B4544,Data!$A:$A,0),MATCH($C$7,Data!$4:$4,0))))</f>
        <v>59.7</v>
      </c>
      <c r="D4544" s="148">
        <f t="shared" ca="1" si="146"/>
        <v>5.2999999999999972</v>
      </c>
      <c r="E4544" s="148">
        <f t="shared" ca="1" si="147"/>
        <v>0</v>
      </c>
    </row>
    <row r="4545" spans="2:5" x14ac:dyDescent="0.25">
      <c r="B4545" s="8">
        <v>42139</v>
      </c>
      <c r="C4545" s="6">
        <f ca="1">IF(OR($C$7="",$B4545&gt;NOW()),"",IF(INDEX(Data!$A:$G,MATCH($B4545,Data!$A:$A,0),MATCH($C$7,Data!$4:$4,0))="","",INDEX(Data!$A:$G,MATCH($B4545,Data!$A:$A,0),MATCH($C$7,Data!$4:$4,0))))</f>
        <v>63.2</v>
      </c>
      <c r="D4545" s="148">
        <f t="shared" ca="1" si="146"/>
        <v>1.7999999999999972</v>
      </c>
      <c r="E4545" s="148">
        <f t="shared" ca="1" si="147"/>
        <v>0</v>
      </c>
    </row>
    <row r="4546" spans="2:5" x14ac:dyDescent="0.25">
      <c r="B4546" s="8">
        <v>42140</v>
      </c>
      <c r="C4546" s="6">
        <f ca="1">IF(OR($C$7="",$B4546&gt;NOW()),"",IF(INDEX(Data!$A:$G,MATCH($B4546,Data!$A:$A,0),MATCH($C$7,Data!$4:$4,0))="","",INDEX(Data!$A:$G,MATCH($B4546,Data!$A:$A,0),MATCH($C$7,Data!$4:$4,0))))</f>
        <v>65.2</v>
      </c>
      <c r="D4546" s="148">
        <f t="shared" ca="1" si="146"/>
        <v>0</v>
      </c>
      <c r="E4546" s="148">
        <f t="shared" ca="1" si="147"/>
        <v>0.20000000000000284</v>
      </c>
    </row>
    <row r="4547" spans="2:5" x14ac:dyDescent="0.25">
      <c r="B4547" s="8">
        <v>42141</v>
      </c>
      <c r="C4547" s="6">
        <f ca="1">IF(OR($C$7="",$B4547&gt;NOW()),"",IF(INDEX(Data!$A:$G,MATCH($B4547,Data!$A:$A,0),MATCH($C$7,Data!$4:$4,0))="","",INDEX(Data!$A:$G,MATCH($B4547,Data!$A:$A,0),MATCH($C$7,Data!$4:$4,0))))</f>
        <v>70.400000000000006</v>
      </c>
      <c r="D4547" s="148">
        <f t="shared" ca="1" si="146"/>
        <v>0</v>
      </c>
      <c r="E4547" s="148">
        <f t="shared" ca="1" si="147"/>
        <v>5.4000000000000057</v>
      </c>
    </row>
    <row r="4548" spans="2:5" x14ac:dyDescent="0.25">
      <c r="B4548" s="8">
        <v>42142</v>
      </c>
      <c r="C4548" s="6">
        <f ca="1">IF(OR($C$7="",$B4548&gt;NOW()),"",IF(INDEX(Data!$A:$G,MATCH($B4548,Data!$A:$A,0),MATCH($C$7,Data!$4:$4,0))="","",INDEX(Data!$A:$G,MATCH($B4548,Data!$A:$A,0),MATCH($C$7,Data!$4:$4,0))))</f>
        <v>63.6</v>
      </c>
      <c r="D4548" s="148">
        <f t="shared" ca="1" si="146"/>
        <v>1.3999999999999986</v>
      </c>
      <c r="E4548" s="148">
        <f t="shared" ca="1" si="147"/>
        <v>0</v>
      </c>
    </row>
    <row r="4549" spans="2:5" x14ac:dyDescent="0.25">
      <c r="B4549" s="8">
        <v>42143</v>
      </c>
      <c r="C4549" s="6">
        <f ca="1">IF(OR($C$7="",$B4549&gt;NOW()),"",IF(INDEX(Data!$A:$G,MATCH($B4549,Data!$A:$A,0),MATCH($C$7,Data!$4:$4,0))="","",INDEX(Data!$A:$G,MATCH($B4549,Data!$A:$A,0),MATCH($C$7,Data!$4:$4,0))))</f>
        <v>61.6</v>
      </c>
      <c r="D4549" s="148">
        <f t="shared" ca="1" si="146"/>
        <v>3.3999999999999986</v>
      </c>
      <c r="E4549" s="148">
        <f t="shared" ca="1" si="147"/>
        <v>0</v>
      </c>
    </row>
    <row r="4550" spans="2:5" x14ac:dyDescent="0.25">
      <c r="B4550" s="8">
        <v>42144</v>
      </c>
      <c r="C4550" s="6">
        <f ca="1">IF(OR($C$7="",$B4550&gt;NOW()),"",IF(INDEX(Data!$A:$G,MATCH($B4550,Data!$A:$A,0),MATCH($C$7,Data!$4:$4,0))="","",INDEX(Data!$A:$G,MATCH($B4550,Data!$A:$A,0),MATCH($C$7,Data!$4:$4,0))))</f>
        <v>62</v>
      </c>
      <c r="D4550" s="148">
        <f t="shared" ca="1" si="146"/>
        <v>3</v>
      </c>
      <c r="E4550" s="148">
        <f t="shared" ca="1" si="147"/>
        <v>0</v>
      </c>
    </row>
    <row r="4551" spans="2:5" x14ac:dyDescent="0.25">
      <c r="B4551" s="8">
        <v>42145</v>
      </c>
      <c r="C4551" s="6">
        <f ca="1">IF(OR($C$7="",$B4551&gt;NOW()),"",IF(INDEX(Data!$A:$G,MATCH($B4551,Data!$A:$A,0),MATCH($C$7,Data!$4:$4,0))="","",INDEX(Data!$A:$G,MATCH($B4551,Data!$A:$A,0),MATCH($C$7,Data!$4:$4,0))))</f>
        <v>57.1</v>
      </c>
      <c r="D4551" s="148">
        <f t="shared" ca="1" si="146"/>
        <v>7.8999999999999986</v>
      </c>
      <c r="E4551" s="148">
        <f t="shared" ca="1" si="147"/>
        <v>0</v>
      </c>
    </row>
    <row r="4552" spans="2:5" x14ac:dyDescent="0.25">
      <c r="B4552" s="8">
        <v>42146</v>
      </c>
      <c r="C4552" s="6">
        <f ca="1">IF(OR($C$7="",$B4552&gt;NOW()),"",IF(INDEX(Data!$A:$G,MATCH($B4552,Data!$A:$A,0),MATCH($C$7,Data!$4:$4,0))="","",INDEX(Data!$A:$G,MATCH($B4552,Data!$A:$A,0),MATCH($C$7,Data!$4:$4,0))))</f>
        <v>61.8</v>
      </c>
      <c r="D4552" s="148">
        <f t="shared" ca="1" si="146"/>
        <v>3.2000000000000028</v>
      </c>
      <c r="E4552" s="148">
        <f t="shared" ca="1" si="147"/>
        <v>0</v>
      </c>
    </row>
    <row r="4553" spans="2:5" x14ac:dyDescent="0.25">
      <c r="B4553" s="8">
        <v>42147</v>
      </c>
      <c r="C4553" s="6">
        <f ca="1">IF(OR($C$7="",$B4553&gt;NOW()),"",IF(INDEX(Data!$A:$G,MATCH($B4553,Data!$A:$A,0),MATCH($C$7,Data!$4:$4,0))="","",INDEX(Data!$A:$G,MATCH($B4553,Data!$A:$A,0),MATCH($C$7,Data!$4:$4,0))))</f>
        <v>59.3</v>
      </c>
      <c r="D4553" s="148">
        <f t="shared" ca="1" si="146"/>
        <v>5.7000000000000028</v>
      </c>
      <c r="E4553" s="148">
        <f t="shared" ca="1" si="147"/>
        <v>0</v>
      </c>
    </row>
    <row r="4554" spans="2:5" x14ac:dyDescent="0.25">
      <c r="B4554" s="8">
        <v>42148</v>
      </c>
      <c r="C4554" s="6">
        <f ca="1">IF(OR($C$7="",$B4554&gt;NOW()),"",IF(INDEX(Data!$A:$G,MATCH($B4554,Data!$A:$A,0),MATCH($C$7,Data!$4:$4,0))="","",INDEX(Data!$A:$G,MATCH($B4554,Data!$A:$A,0),MATCH($C$7,Data!$4:$4,0))))</f>
        <v>65.7</v>
      </c>
      <c r="D4554" s="148">
        <f t="shared" ca="1" si="146"/>
        <v>0</v>
      </c>
      <c r="E4554" s="148">
        <f t="shared" ca="1" si="147"/>
        <v>0.70000000000000284</v>
      </c>
    </row>
    <row r="4555" spans="2:5" x14ac:dyDescent="0.25">
      <c r="B4555" s="8">
        <v>42149</v>
      </c>
      <c r="C4555" s="6">
        <f ca="1">IF(OR($C$7="",$B4555&gt;NOW()),"",IF(INDEX(Data!$A:$G,MATCH($B4555,Data!$A:$A,0),MATCH($C$7,Data!$4:$4,0))="","",INDEX(Data!$A:$G,MATCH($B4555,Data!$A:$A,0),MATCH($C$7,Data!$4:$4,0))))</f>
        <v>72.5</v>
      </c>
      <c r="D4555" s="148">
        <f t="shared" ca="1" si="146"/>
        <v>0</v>
      </c>
      <c r="E4555" s="148">
        <f t="shared" ca="1" si="147"/>
        <v>7.5</v>
      </c>
    </row>
    <row r="4556" spans="2:5" x14ac:dyDescent="0.25">
      <c r="B4556" s="8">
        <v>42150</v>
      </c>
      <c r="C4556" s="6">
        <f ca="1">IF(OR($C$7="",$B4556&gt;NOW()),"",IF(INDEX(Data!$A:$G,MATCH($B4556,Data!$A:$A,0),MATCH($C$7,Data!$4:$4,0))="","",INDEX(Data!$A:$G,MATCH($B4556,Data!$A:$A,0),MATCH($C$7,Data!$4:$4,0))))</f>
        <v>75.2</v>
      </c>
      <c r="D4556" s="148">
        <f t="shared" ca="1" si="146"/>
        <v>0</v>
      </c>
      <c r="E4556" s="148">
        <f t="shared" ca="1" si="147"/>
        <v>10.200000000000003</v>
      </c>
    </row>
    <row r="4557" spans="2:5" x14ac:dyDescent="0.25">
      <c r="B4557" s="8">
        <v>42151</v>
      </c>
      <c r="C4557" s="6">
        <f ca="1">IF(OR($C$7="",$B4557&gt;NOW()),"",IF(INDEX(Data!$A:$G,MATCH($B4557,Data!$A:$A,0),MATCH($C$7,Data!$4:$4,0))="","",INDEX(Data!$A:$G,MATCH($B4557,Data!$A:$A,0),MATCH($C$7,Data!$4:$4,0))))</f>
        <v>73.5</v>
      </c>
      <c r="D4557" s="148">
        <f t="shared" ca="1" si="146"/>
        <v>0</v>
      </c>
      <c r="E4557" s="148">
        <f t="shared" ca="1" si="147"/>
        <v>8.5</v>
      </c>
    </row>
    <row r="4558" spans="2:5" x14ac:dyDescent="0.25">
      <c r="B4558" s="8">
        <v>42152</v>
      </c>
      <c r="C4558" s="6">
        <f ca="1">IF(OR($C$7="",$B4558&gt;NOW()),"",IF(INDEX(Data!$A:$G,MATCH($B4558,Data!$A:$A,0),MATCH($C$7,Data!$4:$4,0))="","",INDEX(Data!$A:$G,MATCH($B4558,Data!$A:$A,0),MATCH($C$7,Data!$4:$4,0))))</f>
        <v>73.400000000000006</v>
      </c>
      <c r="D4558" s="148">
        <f t="shared" ca="1" si="146"/>
        <v>0</v>
      </c>
      <c r="E4558" s="148">
        <f t="shared" ca="1" si="147"/>
        <v>8.4000000000000057</v>
      </c>
    </row>
    <row r="4559" spans="2:5" x14ac:dyDescent="0.25">
      <c r="B4559" s="8">
        <v>42153</v>
      </c>
      <c r="C4559" s="6">
        <f ca="1">IF(OR($C$7="",$B4559&gt;NOW()),"",IF(INDEX(Data!$A:$G,MATCH($B4559,Data!$A:$A,0),MATCH($C$7,Data!$4:$4,0))="","",INDEX(Data!$A:$G,MATCH($B4559,Data!$A:$A,0),MATCH($C$7,Data!$4:$4,0))))</f>
        <v>73</v>
      </c>
      <c r="D4559" s="148">
        <f t="shared" ca="1" si="146"/>
        <v>0</v>
      </c>
      <c r="E4559" s="148">
        <f t="shared" ca="1" si="147"/>
        <v>8</v>
      </c>
    </row>
    <row r="4560" spans="2:5" x14ac:dyDescent="0.25">
      <c r="B4560" s="8">
        <v>42154</v>
      </c>
      <c r="C4560" s="6">
        <f ca="1">IF(OR($C$7="",$B4560&gt;NOW()),"",IF(INDEX(Data!$A:$G,MATCH($B4560,Data!$A:$A,0),MATCH($C$7,Data!$4:$4,0))="","",INDEX(Data!$A:$G,MATCH($B4560,Data!$A:$A,0),MATCH($C$7,Data!$4:$4,0))))</f>
        <v>73.099999999999994</v>
      </c>
      <c r="D4560" s="148">
        <f t="shared" ca="1" si="146"/>
        <v>0</v>
      </c>
      <c r="E4560" s="148">
        <f t="shared" ca="1" si="147"/>
        <v>8.0999999999999943</v>
      </c>
    </row>
    <row r="4561" spans="2:5" x14ac:dyDescent="0.25">
      <c r="B4561" s="8">
        <v>42155</v>
      </c>
      <c r="C4561" s="6">
        <f ca="1">IF(OR($C$7="",$B4561&gt;NOW()),"",IF(INDEX(Data!$A:$G,MATCH($B4561,Data!$A:$A,0),MATCH($C$7,Data!$4:$4,0))="","",INDEX(Data!$A:$G,MATCH($B4561,Data!$A:$A,0),MATCH($C$7,Data!$4:$4,0))))</f>
        <v>74.599999999999994</v>
      </c>
      <c r="D4561" s="148">
        <f t="shared" ca="1" si="146"/>
        <v>0</v>
      </c>
      <c r="E4561" s="148">
        <f t="shared" ca="1" si="147"/>
        <v>9.5999999999999943</v>
      </c>
    </row>
    <row r="4562" spans="2:5" x14ac:dyDescent="0.25">
      <c r="B4562" s="8">
        <v>42156</v>
      </c>
      <c r="C4562" s="6">
        <f ca="1">IF(OR($C$7="",$B4562&gt;NOW()),"",IF(INDEX(Data!$A:$G,MATCH($B4562,Data!$A:$A,0),MATCH($C$7,Data!$4:$4,0))="","",INDEX(Data!$A:$G,MATCH($B4562,Data!$A:$A,0),MATCH($C$7,Data!$4:$4,0))))</f>
        <v>57.4</v>
      </c>
      <c r="D4562" s="148">
        <f t="shared" ca="1" si="146"/>
        <v>7.6000000000000014</v>
      </c>
      <c r="E4562" s="148">
        <f t="shared" ca="1" si="147"/>
        <v>0</v>
      </c>
    </row>
    <row r="4563" spans="2:5" x14ac:dyDescent="0.25">
      <c r="B4563" s="8">
        <v>42157</v>
      </c>
      <c r="C4563" s="6">
        <f ca="1">IF(OR($C$7="",$B4563&gt;NOW()),"",IF(INDEX(Data!$A:$G,MATCH($B4563,Data!$A:$A,0),MATCH($C$7,Data!$4:$4,0))="","",INDEX(Data!$A:$G,MATCH($B4563,Data!$A:$A,0),MATCH($C$7,Data!$4:$4,0))))</f>
        <v>52</v>
      </c>
      <c r="D4563" s="148">
        <f t="shared" ca="1" si="146"/>
        <v>13</v>
      </c>
      <c r="E4563" s="148">
        <f t="shared" ca="1" si="147"/>
        <v>0</v>
      </c>
    </row>
    <row r="4564" spans="2:5" x14ac:dyDescent="0.25">
      <c r="B4564" s="8">
        <v>42158</v>
      </c>
      <c r="C4564" s="6">
        <f ca="1">IF(OR($C$7="",$B4564&gt;NOW()),"",IF(INDEX(Data!$A:$G,MATCH($B4564,Data!$A:$A,0),MATCH($C$7,Data!$4:$4,0))="","",INDEX(Data!$A:$G,MATCH($B4564,Data!$A:$A,0),MATCH($C$7,Data!$4:$4,0))))</f>
        <v>58.2</v>
      </c>
      <c r="D4564" s="148">
        <f t="shared" ca="1" si="146"/>
        <v>6.7999999999999972</v>
      </c>
      <c r="E4564" s="148">
        <f t="shared" ca="1" si="147"/>
        <v>0</v>
      </c>
    </row>
    <row r="4565" spans="2:5" x14ac:dyDescent="0.25">
      <c r="B4565" s="8">
        <v>42159</v>
      </c>
      <c r="C4565" s="6">
        <f ca="1">IF(OR($C$7="",$B4565&gt;NOW()),"",IF(INDEX(Data!$A:$G,MATCH($B4565,Data!$A:$A,0),MATCH($C$7,Data!$4:$4,0))="","",INDEX(Data!$A:$G,MATCH($B4565,Data!$A:$A,0),MATCH($C$7,Data!$4:$4,0))))</f>
        <v>58.1</v>
      </c>
      <c r="D4565" s="148">
        <f t="shared" ca="1" si="146"/>
        <v>6.8999999999999986</v>
      </c>
      <c r="E4565" s="148">
        <f t="shared" ca="1" si="147"/>
        <v>0</v>
      </c>
    </row>
    <row r="4566" spans="2:5" x14ac:dyDescent="0.25">
      <c r="B4566" s="8">
        <v>42160</v>
      </c>
      <c r="C4566" s="6">
        <f ca="1">IF(OR($C$7="",$B4566&gt;NOW()),"",IF(INDEX(Data!$A:$G,MATCH($B4566,Data!$A:$A,0),MATCH($C$7,Data!$4:$4,0))="","",INDEX(Data!$A:$G,MATCH($B4566,Data!$A:$A,0),MATCH($C$7,Data!$4:$4,0))))</f>
        <v>59.5</v>
      </c>
      <c r="D4566" s="148">
        <f t="shared" ca="1" si="146"/>
        <v>5.5</v>
      </c>
      <c r="E4566" s="148">
        <f t="shared" ca="1" si="147"/>
        <v>0</v>
      </c>
    </row>
    <row r="4567" spans="2:5" x14ac:dyDescent="0.25">
      <c r="B4567" s="8">
        <v>42161</v>
      </c>
      <c r="C4567" s="6">
        <f ca="1">IF(OR($C$7="",$B4567&gt;NOW()),"",IF(INDEX(Data!$A:$G,MATCH($B4567,Data!$A:$A,0),MATCH($C$7,Data!$4:$4,0))="","",INDEX(Data!$A:$G,MATCH($B4567,Data!$A:$A,0),MATCH($C$7,Data!$4:$4,0))))</f>
        <v>65.7</v>
      </c>
      <c r="D4567" s="148">
        <f t="shared" ca="1" si="146"/>
        <v>0</v>
      </c>
      <c r="E4567" s="148">
        <f t="shared" ca="1" si="147"/>
        <v>0.70000000000000284</v>
      </c>
    </row>
    <row r="4568" spans="2:5" x14ac:dyDescent="0.25">
      <c r="B4568" s="8">
        <v>42162</v>
      </c>
      <c r="C4568" s="6">
        <f ca="1">IF(OR($C$7="",$B4568&gt;NOW()),"",IF(INDEX(Data!$A:$G,MATCH($B4568,Data!$A:$A,0),MATCH($C$7,Data!$4:$4,0))="","",INDEX(Data!$A:$G,MATCH($B4568,Data!$A:$A,0),MATCH($C$7,Data!$4:$4,0))))</f>
        <v>65.3</v>
      </c>
      <c r="D4568" s="148">
        <f t="shared" ca="1" si="146"/>
        <v>0</v>
      </c>
      <c r="E4568" s="148">
        <f t="shared" ca="1" si="147"/>
        <v>0.29999999999999716</v>
      </c>
    </row>
    <row r="4569" spans="2:5" x14ac:dyDescent="0.25">
      <c r="B4569" s="8">
        <v>42163</v>
      </c>
      <c r="C4569" s="6">
        <f ca="1">IF(OR($C$7="",$B4569&gt;NOW()),"",IF(INDEX(Data!$A:$G,MATCH($B4569,Data!$A:$A,0),MATCH($C$7,Data!$4:$4,0))="","",INDEX(Data!$A:$G,MATCH($B4569,Data!$A:$A,0),MATCH($C$7,Data!$4:$4,0))))</f>
        <v>67.5</v>
      </c>
      <c r="D4569" s="148">
        <f t="shared" ca="1" si="146"/>
        <v>0</v>
      </c>
      <c r="E4569" s="148">
        <f t="shared" ca="1" si="147"/>
        <v>2.5</v>
      </c>
    </row>
    <row r="4570" spans="2:5" x14ac:dyDescent="0.25">
      <c r="B4570" s="8">
        <v>42164</v>
      </c>
      <c r="C4570" s="6">
        <f ca="1">IF(OR($C$7="",$B4570&gt;NOW()),"",IF(INDEX(Data!$A:$G,MATCH($B4570,Data!$A:$A,0),MATCH($C$7,Data!$4:$4,0))="","",INDEX(Data!$A:$G,MATCH($B4570,Data!$A:$A,0),MATCH($C$7,Data!$4:$4,0))))</f>
        <v>73.3</v>
      </c>
      <c r="D4570" s="148">
        <f t="shared" ca="1" si="146"/>
        <v>0</v>
      </c>
      <c r="E4570" s="148">
        <f t="shared" ca="1" si="147"/>
        <v>8.2999999999999972</v>
      </c>
    </row>
    <row r="4571" spans="2:5" x14ac:dyDescent="0.25">
      <c r="B4571" s="8">
        <v>42165</v>
      </c>
      <c r="C4571" s="6">
        <f ca="1">IF(OR($C$7="",$B4571&gt;NOW()),"",IF(INDEX(Data!$A:$G,MATCH($B4571,Data!$A:$A,0),MATCH($C$7,Data!$4:$4,0))="","",INDEX(Data!$A:$G,MATCH($B4571,Data!$A:$A,0),MATCH($C$7,Data!$4:$4,0))))</f>
        <v>74.2</v>
      </c>
      <c r="D4571" s="148">
        <f t="shared" ca="1" si="146"/>
        <v>0</v>
      </c>
      <c r="E4571" s="148">
        <f t="shared" ca="1" si="147"/>
        <v>9.2000000000000028</v>
      </c>
    </row>
    <row r="4572" spans="2:5" x14ac:dyDescent="0.25">
      <c r="B4572" s="8">
        <v>42166</v>
      </c>
      <c r="C4572" s="6">
        <f ca="1">IF(OR($C$7="",$B4572&gt;NOW()),"",IF(INDEX(Data!$A:$G,MATCH($B4572,Data!$A:$A,0),MATCH($C$7,Data!$4:$4,0))="","",INDEX(Data!$A:$G,MATCH($B4572,Data!$A:$A,0),MATCH($C$7,Data!$4:$4,0))))</f>
        <v>80.2</v>
      </c>
      <c r="D4572" s="148">
        <f t="shared" ca="1" si="146"/>
        <v>0</v>
      </c>
      <c r="E4572" s="148">
        <f t="shared" ca="1" si="147"/>
        <v>15.200000000000003</v>
      </c>
    </row>
    <row r="4573" spans="2:5" x14ac:dyDescent="0.25">
      <c r="B4573" s="8">
        <v>42167</v>
      </c>
      <c r="C4573" s="6">
        <f ca="1">IF(OR($C$7="",$B4573&gt;NOW()),"",IF(INDEX(Data!$A:$G,MATCH($B4573,Data!$A:$A,0),MATCH($C$7,Data!$4:$4,0))="","",INDEX(Data!$A:$G,MATCH($B4573,Data!$A:$A,0),MATCH($C$7,Data!$4:$4,0))))</f>
        <v>80.7</v>
      </c>
      <c r="D4573" s="148">
        <f t="shared" ref="D4573:D4636" ca="1" si="148">IF($C4573="","",IF($C4573&gt;$D$26,0,$D$26-$C4573))</f>
        <v>0</v>
      </c>
      <c r="E4573" s="148">
        <f t="shared" ref="E4573:E4636" ca="1" si="149">IF($C4573="","",IF($C4573&lt;$E$26,0,$C4573-$E$26))</f>
        <v>15.700000000000003</v>
      </c>
    </row>
    <row r="4574" spans="2:5" x14ac:dyDescent="0.25">
      <c r="B4574" s="8">
        <v>42168</v>
      </c>
      <c r="C4574" s="6">
        <f ca="1">IF(OR($C$7="",$B4574&gt;NOW()),"",IF(INDEX(Data!$A:$G,MATCH($B4574,Data!$A:$A,0),MATCH($C$7,Data!$4:$4,0))="","",INDEX(Data!$A:$G,MATCH($B4574,Data!$A:$A,0),MATCH($C$7,Data!$4:$4,0))))</f>
        <v>80.5</v>
      </c>
      <c r="D4574" s="148">
        <f t="shared" ca="1" si="148"/>
        <v>0</v>
      </c>
      <c r="E4574" s="148">
        <f t="shared" ca="1" si="149"/>
        <v>15.5</v>
      </c>
    </row>
    <row r="4575" spans="2:5" x14ac:dyDescent="0.25">
      <c r="B4575" s="8">
        <v>42169</v>
      </c>
      <c r="C4575" s="6">
        <f ca="1">IF(OR($C$7="",$B4575&gt;NOW()),"",IF(INDEX(Data!$A:$G,MATCH($B4575,Data!$A:$A,0),MATCH($C$7,Data!$4:$4,0))="","",INDEX(Data!$A:$G,MATCH($B4575,Data!$A:$A,0),MATCH($C$7,Data!$4:$4,0))))</f>
        <v>77</v>
      </c>
      <c r="D4575" s="148">
        <f t="shared" ca="1" si="148"/>
        <v>0</v>
      </c>
      <c r="E4575" s="148">
        <f t="shared" ca="1" si="149"/>
        <v>12</v>
      </c>
    </row>
    <row r="4576" spans="2:5" x14ac:dyDescent="0.25">
      <c r="B4576" s="8">
        <v>42170</v>
      </c>
      <c r="C4576" s="6">
        <f ca="1">IF(OR($C$7="",$B4576&gt;NOW()),"",IF(INDEX(Data!$A:$G,MATCH($B4576,Data!$A:$A,0),MATCH($C$7,Data!$4:$4,0))="","",INDEX(Data!$A:$G,MATCH($B4576,Data!$A:$A,0),MATCH($C$7,Data!$4:$4,0))))</f>
        <v>70.3</v>
      </c>
      <c r="D4576" s="148">
        <f t="shared" ca="1" si="148"/>
        <v>0</v>
      </c>
      <c r="E4576" s="148">
        <f t="shared" ca="1" si="149"/>
        <v>5.2999999999999972</v>
      </c>
    </row>
    <row r="4577" spans="2:5" x14ac:dyDescent="0.25">
      <c r="B4577" s="8">
        <v>42171</v>
      </c>
      <c r="C4577" s="6">
        <f ca="1">IF(OR($C$7="",$B4577&gt;NOW()),"",IF(INDEX(Data!$A:$G,MATCH($B4577,Data!$A:$A,0),MATCH($C$7,Data!$4:$4,0))="","",INDEX(Data!$A:$G,MATCH($B4577,Data!$A:$A,0),MATCH($C$7,Data!$4:$4,0))))</f>
        <v>68.099999999999994</v>
      </c>
      <c r="D4577" s="148">
        <f t="shared" ca="1" si="148"/>
        <v>0</v>
      </c>
      <c r="E4577" s="148">
        <f t="shared" ca="1" si="149"/>
        <v>3.0999999999999943</v>
      </c>
    </row>
    <row r="4578" spans="2:5" x14ac:dyDescent="0.25">
      <c r="B4578" s="8">
        <v>42172</v>
      </c>
      <c r="C4578" s="6">
        <f ca="1">IF(OR($C$7="",$B4578&gt;NOW()),"",IF(INDEX(Data!$A:$G,MATCH($B4578,Data!$A:$A,0),MATCH($C$7,Data!$4:$4,0))="","",INDEX(Data!$A:$G,MATCH($B4578,Data!$A:$A,0),MATCH($C$7,Data!$4:$4,0))))</f>
        <v>73.900000000000006</v>
      </c>
      <c r="D4578" s="148">
        <f t="shared" ca="1" si="148"/>
        <v>0</v>
      </c>
      <c r="E4578" s="148">
        <f t="shared" ca="1" si="149"/>
        <v>8.9000000000000057</v>
      </c>
    </row>
    <row r="4579" spans="2:5" x14ac:dyDescent="0.25">
      <c r="B4579" s="8">
        <v>42173</v>
      </c>
      <c r="C4579" s="6">
        <f ca="1">IF(OR($C$7="",$B4579&gt;NOW()),"",IF(INDEX(Data!$A:$G,MATCH($B4579,Data!$A:$A,0),MATCH($C$7,Data!$4:$4,0))="","",INDEX(Data!$A:$G,MATCH($B4579,Data!$A:$A,0),MATCH($C$7,Data!$4:$4,0))))</f>
        <v>66.8</v>
      </c>
      <c r="D4579" s="148">
        <f t="shared" ca="1" si="148"/>
        <v>0</v>
      </c>
      <c r="E4579" s="148">
        <f t="shared" ca="1" si="149"/>
        <v>1.7999999999999972</v>
      </c>
    </row>
    <row r="4580" spans="2:5" x14ac:dyDescent="0.25">
      <c r="B4580" s="8">
        <v>42174</v>
      </c>
      <c r="C4580" s="6">
        <f ca="1">IF(OR($C$7="",$B4580&gt;NOW()),"",IF(INDEX(Data!$A:$G,MATCH($B4580,Data!$A:$A,0),MATCH($C$7,Data!$4:$4,0))="","",INDEX(Data!$A:$G,MATCH($B4580,Data!$A:$A,0),MATCH($C$7,Data!$4:$4,0))))</f>
        <v>73.2</v>
      </c>
      <c r="D4580" s="148">
        <f t="shared" ca="1" si="148"/>
        <v>0</v>
      </c>
      <c r="E4580" s="148">
        <f t="shared" ca="1" si="149"/>
        <v>8.2000000000000028</v>
      </c>
    </row>
    <row r="4581" spans="2:5" x14ac:dyDescent="0.25">
      <c r="B4581" s="8">
        <v>42175</v>
      </c>
      <c r="C4581" s="6">
        <f ca="1">IF(OR($C$7="",$B4581&gt;NOW()),"",IF(INDEX(Data!$A:$G,MATCH($B4581,Data!$A:$A,0),MATCH($C$7,Data!$4:$4,0))="","",INDEX(Data!$A:$G,MATCH($B4581,Data!$A:$A,0),MATCH($C$7,Data!$4:$4,0))))</f>
        <v>69.5</v>
      </c>
      <c r="D4581" s="148">
        <f t="shared" ca="1" si="148"/>
        <v>0</v>
      </c>
      <c r="E4581" s="148">
        <f t="shared" ca="1" si="149"/>
        <v>4.5</v>
      </c>
    </row>
    <row r="4582" spans="2:5" x14ac:dyDescent="0.25">
      <c r="B4582" s="8">
        <v>42176</v>
      </c>
      <c r="C4582" s="6">
        <f ca="1">IF(OR($C$7="",$B4582&gt;NOW()),"",IF(INDEX(Data!$A:$G,MATCH($B4582,Data!$A:$A,0),MATCH($C$7,Data!$4:$4,0))="","",INDEX(Data!$A:$G,MATCH($B4582,Data!$A:$A,0),MATCH($C$7,Data!$4:$4,0))))</f>
        <v>75</v>
      </c>
      <c r="D4582" s="148">
        <f t="shared" ca="1" si="148"/>
        <v>0</v>
      </c>
      <c r="E4582" s="148">
        <f t="shared" ca="1" si="149"/>
        <v>10</v>
      </c>
    </row>
    <row r="4583" spans="2:5" x14ac:dyDescent="0.25">
      <c r="B4583" s="8">
        <v>42177</v>
      </c>
      <c r="C4583" s="6">
        <f ca="1">IF(OR($C$7="",$B4583&gt;NOW()),"",IF(INDEX(Data!$A:$G,MATCH($B4583,Data!$A:$A,0),MATCH($C$7,Data!$4:$4,0))="","",INDEX(Data!$A:$G,MATCH($B4583,Data!$A:$A,0),MATCH($C$7,Data!$4:$4,0))))</f>
        <v>79.599999999999994</v>
      </c>
      <c r="D4583" s="148">
        <f t="shared" ca="1" si="148"/>
        <v>0</v>
      </c>
      <c r="E4583" s="148">
        <f t="shared" ca="1" si="149"/>
        <v>14.599999999999994</v>
      </c>
    </row>
    <row r="4584" spans="2:5" x14ac:dyDescent="0.25">
      <c r="B4584" s="8">
        <v>42178</v>
      </c>
      <c r="C4584" s="6">
        <f ca="1">IF(OR($C$7="",$B4584&gt;NOW()),"",IF(INDEX(Data!$A:$G,MATCH($B4584,Data!$A:$A,0),MATCH($C$7,Data!$4:$4,0))="","",INDEX(Data!$A:$G,MATCH($B4584,Data!$A:$A,0),MATCH($C$7,Data!$4:$4,0))))</f>
        <v>84.4</v>
      </c>
      <c r="D4584" s="148">
        <f t="shared" ca="1" si="148"/>
        <v>0</v>
      </c>
      <c r="E4584" s="148">
        <f t="shared" ca="1" si="149"/>
        <v>19.400000000000006</v>
      </c>
    </row>
    <row r="4585" spans="2:5" x14ac:dyDescent="0.25">
      <c r="B4585" s="8">
        <v>42179</v>
      </c>
      <c r="C4585" s="6">
        <f ca="1">IF(OR($C$7="",$B4585&gt;NOW()),"",IF(INDEX(Data!$A:$G,MATCH($B4585,Data!$A:$A,0),MATCH($C$7,Data!$4:$4,0))="","",INDEX(Data!$A:$G,MATCH($B4585,Data!$A:$A,0),MATCH($C$7,Data!$4:$4,0))))</f>
        <v>77.099999999999994</v>
      </c>
      <c r="D4585" s="148">
        <f t="shared" ca="1" si="148"/>
        <v>0</v>
      </c>
      <c r="E4585" s="148">
        <f t="shared" ca="1" si="149"/>
        <v>12.099999999999994</v>
      </c>
    </row>
    <row r="4586" spans="2:5" x14ac:dyDescent="0.25">
      <c r="B4586" s="8">
        <v>42180</v>
      </c>
      <c r="C4586" s="6">
        <f ca="1">IF(OR($C$7="",$B4586&gt;NOW()),"",IF(INDEX(Data!$A:$G,MATCH($B4586,Data!$A:$A,0),MATCH($C$7,Data!$4:$4,0))="","",INDEX(Data!$A:$G,MATCH($B4586,Data!$A:$A,0),MATCH($C$7,Data!$4:$4,0))))</f>
        <v>76.8</v>
      </c>
      <c r="D4586" s="148">
        <f t="shared" ca="1" si="148"/>
        <v>0</v>
      </c>
      <c r="E4586" s="148">
        <f t="shared" ca="1" si="149"/>
        <v>11.799999999999997</v>
      </c>
    </row>
    <row r="4587" spans="2:5" x14ac:dyDescent="0.25">
      <c r="B4587" s="8">
        <v>42181</v>
      </c>
      <c r="C4587" s="6">
        <f ca="1">IF(OR($C$7="",$B4587&gt;NOW()),"",IF(INDEX(Data!$A:$G,MATCH($B4587,Data!$A:$A,0),MATCH($C$7,Data!$4:$4,0))="","",INDEX(Data!$A:$G,MATCH($B4587,Data!$A:$A,0),MATCH($C$7,Data!$4:$4,0))))</f>
        <v>74.8</v>
      </c>
      <c r="D4587" s="148">
        <f t="shared" ca="1" si="148"/>
        <v>0</v>
      </c>
      <c r="E4587" s="148">
        <f t="shared" ca="1" si="149"/>
        <v>9.7999999999999972</v>
      </c>
    </row>
    <row r="4588" spans="2:5" x14ac:dyDescent="0.25">
      <c r="B4588" s="8">
        <v>42182</v>
      </c>
      <c r="C4588" s="6">
        <f ca="1">IF(OR($C$7="",$B4588&gt;NOW()),"",IF(INDEX(Data!$A:$G,MATCH($B4588,Data!$A:$A,0),MATCH($C$7,Data!$4:$4,0))="","",INDEX(Data!$A:$G,MATCH($B4588,Data!$A:$A,0),MATCH($C$7,Data!$4:$4,0))))</f>
        <v>69</v>
      </c>
      <c r="D4588" s="148">
        <f t="shared" ca="1" si="148"/>
        <v>0</v>
      </c>
      <c r="E4588" s="148">
        <f t="shared" ca="1" si="149"/>
        <v>4</v>
      </c>
    </row>
    <row r="4589" spans="2:5" x14ac:dyDescent="0.25">
      <c r="B4589" s="8">
        <v>42183</v>
      </c>
      <c r="C4589" s="6">
        <f ca="1">IF(OR($C$7="",$B4589&gt;NOW()),"",IF(INDEX(Data!$A:$G,MATCH($B4589,Data!$A:$A,0),MATCH($C$7,Data!$4:$4,0))="","",INDEX(Data!$A:$G,MATCH($B4589,Data!$A:$A,0),MATCH($C$7,Data!$4:$4,0))))</f>
        <v>64.2</v>
      </c>
      <c r="D4589" s="148">
        <f t="shared" ca="1" si="148"/>
        <v>0.79999999999999716</v>
      </c>
      <c r="E4589" s="148">
        <f t="shared" ca="1" si="149"/>
        <v>0</v>
      </c>
    </row>
    <row r="4590" spans="2:5" x14ac:dyDescent="0.25">
      <c r="B4590" s="8">
        <v>42184</v>
      </c>
      <c r="C4590" s="6">
        <f ca="1">IF(OR($C$7="",$B4590&gt;NOW()),"",IF(INDEX(Data!$A:$G,MATCH($B4590,Data!$A:$A,0),MATCH($C$7,Data!$4:$4,0))="","",INDEX(Data!$A:$G,MATCH($B4590,Data!$A:$A,0),MATCH($C$7,Data!$4:$4,0))))</f>
        <v>71.3</v>
      </c>
      <c r="D4590" s="148">
        <f t="shared" ca="1" si="148"/>
        <v>0</v>
      </c>
      <c r="E4590" s="148">
        <f t="shared" ca="1" si="149"/>
        <v>6.2999999999999972</v>
      </c>
    </row>
    <row r="4591" spans="2:5" x14ac:dyDescent="0.25">
      <c r="B4591" s="8">
        <v>42185</v>
      </c>
      <c r="C4591" s="6">
        <f ca="1">IF(OR($C$7="",$B4591&gt;NOW()),"",IF(INDEX(Data!$A:$G,MATCH($B4591,Data!$A:$A,0),MATCH($C$7,Data!$4:$4,0))="","",INDEX(Data!$A:$G,MATCH($B4591,Data!$A:$A,0),MATCH($C$7,Data!$4:$4,0))))</f>
        <v>75.3</v>
      </c>
      <c r="D4591" s="148">
        <f t="shared" ca="1" si="148"/>
        <v>0</v>
      </c>
      <c r="E4591" s="148">
        <f t="shared" ca="1" si="149"/>
        <v>10.299999999999997</v>
      </c>
    </row>
    <row r="4592" spans="2:5" x14ac:dyDescent="0.25">
      <c r="B4592" s="8">
        <v>42186</v>
      </c>
      <c r="C4592" s="6">
        <f ca="1">IF(OR($C$7="",$B4592&gt;NOW()),"",IF(INDEX(Data!$A:$G,MATCH($B4592,Data!$A:$A,0),MATCH($C$7,Data!$4:$4,0))="","",INDEX(Data!$A:$G,MATCH($B4592,Data!$A:$A,0),MATCH($C$7,Data!$4:$4,0))))</f>
        <v>76.400000000000006</v>
      </c>
      <c r="D4592" s="148">
        <f t="shared" ca="1" si="148"/>
        <v>0</v>
      </c>
      <c r="E4592" s="148">
        <f t="shared" ca="1" si="149"/>
        <v>11.400000000000006</v>
      </c>
    </row>
    <row r="4593" spans="2:5" x14ac:dyDescent="0.25">
      <c r="B4593" s="8">
        <v>42187</v>
      </c>
      <c r="C4593" s="6">
        <f ca="1">IF(OR($C$7="",$B4593&gt;NOW()),"",IF(INDEX(Data!$A:$G,MATCH($B4593,Data!$A:$A,0),MATCH($C$7,Data!$4:$4,0))="","",INDEX(Data!$A:$G,MATCH($B4593,Data!$A:$A,0),MATCH($C$7,Data!$4:$4,0))))</f>
        <v>75.7</v>
      </c>
      <c r="D4593" s="148">
        <f t="shared" ca="1" si="148"/>
        <v>0</v>
      </c>
      <c r="E4593" s="148">
        <f t="shared" ca="1" si="149"/>
        <v>10.700000000000003</v>
      </c>
    </row>
    <row r="4594" spans="2:5" x14ac:dyDescent="0.25">
      <c r="B4594" s="8">
        <v>42188</v>
      </c>
      <c r="C4594" s="6">
        <f ca="1">IF(OR($C$7="",$B4594&gt;NOW()),"",IF(INDEX(Data!$A:$G,MATCH($B4594,Data!$A:$A,0),MATCH($C$7,Data!$4:$4,0))="","",INDEX(Data!$A:$G,MATCH($B4594,Data!$A:$A,0),MATCH($C$7,Data!$4:$4,0))))</f>
        <v>73.5</v>
      </c>
      <c r="D4594" s="148">
        <f t="shared" ca="1" si="148"/>
        <v>0</v>
      </c>
      <c r="E4594" s="148">
        <f t="shared" ca="1" si="149"/>
        <v>8.5</v>
      </c>
    </row>
    <row r="4595" spans="2:5" x14ac:dyDescent="0.25">
      <c r="B4595" s="8">
        <v>42189</v>
      </c>
      <c r="C4595" s="6">
        <f ca="1">IF(OR($C$7="",$B4595&gt;NOW()),"",IF(INDEX(Data!$A:$G,MATCH($B4595,Data!$A:$A,0),MATCH($C$7,Data!$4:$4,0))="","",INDEX(Data!$A:$G,MATCH($B4595,Data!$A:$A,0),MATCH($C$7,Data!$4:$4,0))))</f>
        <v>71.8</v>
      </c>
      <c r="D4595" s="148">
        <f t="shared" ca="1" si="148"/>
        <v>0</v>
      </c>
      <c r="E4595" s="148">
        <f t="shared" ca="1" si="149"/>
        <v>6.7999999999999972</v>
      </c>
    </row>
    <row r="4596" spans="2:5" x14ac:dyDescent="0.25">
      <c r="B4596" s="8">
        <v>42190</v>
      </c>
      <c r="C4596" s="6">
        <f ca="1">IF(OR($C$7="",$B4596&gt;NOW()),"",IF(INDEX(Data!$A:$G,MATCH($B4596,Data!$A:$A,0),MATCH($C$7,Data!$4:$4,0))="","",INDEX(Data!$A:$G,MATCH($B4596,Data!$A:$A,0),MATCH($C$7,Data!$4:$4,0))))</f>
        <v>75.099999999999994</v>
      </c>
      <c r="D4596" s="148">
        <f t="shared" ca="1" si="148"/>
        <v>0</v>
      </c>
      <c r="E4596" s="148">
        <f t="shared" ca="1" si="149"/>
        <v>10.099999999999994</v>
      </c>
    </row>
    <row r="4597" spans="2:5" x14ac:dyDescent="0.25">
      <c r="B4597" s="8">
        <v>42191</v>
      </c>
      <c r="C4597" s="6">
        <f ca="1">IF(OR($C$7="",$B4597&gt;NOW()),"",IF(INDEX(Data!$A:$G,MATCH($B4597,Data!$A:$A,0),MATCH($C$7,Data!$4:$4,0))="","",INDEX(Data!$A:$G,MATCH($B4597,Data!$A:$A,0),MATCH($C$7,Data!$4:$4,0))))</f>
        <v>77.099999999999994</v>
      </c>
      <c r="D4597" s="148">
        <f t="shared" ca="1" si="148"/>
        <v>0</v>
      </c>
      <c r="E4597" s="148">
        <f t="shared" ca="1" si="149"/>
        <v>12.099999999999994</v>
      </c>
    </row>
    <row r="4598" spans="2:5" x14ac:dyDescent="0.25">
      <c r="B4598" s="8">
        <v>42192</v>
      </c>
      <c r="C4598" s="6">
        <f ca="1">IF(OR($C$7="",$B4598&gt;NOW()),"",IF(INDEX(Data!$A:$G,MATCH($B4598,Data!$A:$A,0),MATCH($C$7,Data!$4:$4,0))="","",INDEX(Data!$A:$G,MATCH($B4598,Data!$A:$A,0),MATCH($C$7,Data!$4:$4,0))))</f>
        <v>79.5</v>
      </c>
      <c r="D4598" s="148">
        <f t="shared" ca="1" si="148"/>
        <v>0</v>
      </c>
      <c r="E4598" s="148">
        <f t="shared" ca="1" si="149"/>
        <v>14.5</v>
      </c>
    </row>
    <row r="4599" spans="2:5" x14ac:dyDescent="0.25">
      <c r="B4599" s="8">
        <v>42193</v>
      </c>
      <c r="C4599" s="6">
        <f ca="1">IF(OR($C$7="",$B4599&gt;NOW()),"",IF(INDEX(Data!$A:$G,MATCH($B4599,Data!$A:$A,0),MATCH($C$7,Data!$4:$4,0))="","",INDEX(Data!$A:$G,MATCH($B4599,Data!$A:$A,0),MATCH($C$7,Data!$4:$4,0))))</f>
        <v>82</v>
      </c>
      <c r="D4599" s="148">
        <f t="shared" ca="1" si="148"/>
        <v>0</v>
      </c>
      <c r="E4599" s="148">
        <f t="shared" ca="1" si="149"/>
        <v>17</v>
      </c>
    </row>
    <row r="4600" spans="2:5" x14ac:dyDescent="0.25">
      <c r="B4600" s="8">
        <v>42194</v>
      </c>
      <c r="C4600" s="6">
        <f ca="1">IF(OR($C$7="",$B4600&gt;NOW()),"",IF(INDEX(Data!$A:$G,MATCH($B4600,Data!$A:$A,0),MATCH($C$7,Data!$4:$4,0))="","",INDEX(Data!$A:$G,MATCH($B4600,Data!$A:$A,0),MATCH($C$7,Data!$4:$4,0))))</f>
        <v>73.8</v>
      </c>
      <c r="D4600" s="148">
        <f t="shared" ca="1" si="148"/>
        <v>0</v>
      </c>
      <c r="E4600" s="148">
        <f t="shared" ca="1" si="149"/>
        <v>8.7999999999999972</v>
      </c>
    </row>
    <row r="4601" spans="2:5" x14ac:dyDescent="0.25">
      <c r="B4601" s="8">
        <v>42195</v>
      </c>
      <c r="C4601" s="6">
        <f ca="1">IF(OR($C$7="",$B4601&gt;NOW()),"",IF(INDEX(Data!$A:$G,MATCH($B4601,Data!$A:$A,0),MATCH($C$7,Data!$4:$4,0))="","",INDEX(Data!$A:$G,MATCH($B4601,Data!$A:$A,0),MATCH($C$7,Data!$4:$4,0))))</f>
        <v>75.8</v>
      </c>
      <c r="D4601" s="148">
        <f t="shared" ca="1" si="148"/>
        <v>0</v>
      </c>
      <c r="E4601" s="148">
        <f t="shared" ca="1" si="149"/>
        <v>10.799999999999997</v>
      </c>
    </row>
    <row r="4602" spans="2:5" x14ac:dyDescent="0.25">
      <c r="B4602" s="8">
        <v>42196</v>
      </c>
      <c r="C4602" s="6">
        <f ca="1">IF(OR($C$7="",$B4602&gt;NOW()),"",IF(INDEX(Data!$A:$G,MATCH($B4602,Data!$A:$A,0),MATCH($C$7,Data!$4:$4,0))="","",INDEX(Data!$A:$G,MATCH($B4602,Data!$A:$A,0),MATCH($C$7,Data!$4:$4,0))))</f>
        <v>78.599999999999994</v>
      </c>
      <c r="D4602" s="148">
        <f t="shared" ca="1" si="148"/>
        <v>0</v>
      </c>
      <c r="E4602" s="148">
        <f t="shared" ca="1" si="149"/>
        <v>13.599999999999994</v>
      </c>
    </row>
    <row r="4603" spans="2:5" x14ac:dyDescent="0.25">
      <c r="B4603" s="8">
        <v>42197</v>
      </c>
      <c r="C4603" s="6">
        <f ca="1">IF(OR($C$7="",$B4603&gt;NOW()),"",IF(INDEX(Data!$A:$G,MATCH($B4603,Data!$A:$A,0),MATCH($C$7,Data!$4:$4,0))="","",INDEX(Data!$A:$G,MATCH($B4603,Data!$A:$A,0),MATCH($C$7,Data!$4:$4,0))))</f>
        <v>81.099999999999994</v>
      </c>
      <c r="D4603" s="148">
        <f t="shared" ca="1" si="148"/>
        <v>0</v>
      </c>
      <c r="E4603" s="148">
        <f t="shared" ca="1" si="149"/>
        <v>16.099999999999994</v>
      </c>
    </row>
    <row r="4604" spans="2:5" x14ac:dyDescent="0.25">
      <c r="B4604" s="8">
        <v>42198</v>
      </c>
      <c r="C4604" s="6">
        <f ca="1">IF(OR($C$7="",$B4604&gt;NOW()),"",IF(INDEX(Data!$A:$G,MATCH($B4604,Data!$A:$A,0),MATCH($C$7,Data!$4:$4,0))="","",INDEX(Data!$A:$G,MATCH($B4604,Data!$A:$A,0),MATCH($C$7,Data!$4:$4,0))))</f>
        <v>80.400000000000006</v>
      </c>
      <c r="D4604" s="148">
        <f t="shared" ca="1" si="148"/>
        <v>0</v>
      </c>
      <c r="E4604" s="148">
        <f t="shared" ca="1" si="149"/>
        <v>15.400000000000006</v>
      </c>
    </row>
    <row r="4605" spans="2:5" x14ac:dyDescent="0.25">
      <c r="B4605" s="8">
        <v>42199</v>
      </c>
      <c r="C4605" s="6">
        <f ca="1">IF(OR($C$7="",$B4605&gt;NOW()),"",IF(INDEX(Data!$A:$G,MATCH($B4605,Data!$A:$A,0),MATCH($C$7,Data!$4:$4,0))="","",INDEX(Data!$A:$G,MATCH($B4605,Data!$A:$A,0),MATCH($C$7,Data!$4:$4,0))))</f>
        <v>76.099999999999994</v>
      </c>
      <c r="D4605" s="148">
        <f t="shared" ca="1" si="148"/>
        <v>0</v>
      </c>
      <c r="E4605" s="148">
        <f t="shared" ca="1" si="149"/>
        <v>11.099999999999994</v>
      </c>
    </row>
    <row r="4606" spans="2:5" x14ac:dyDescent="0.25">
      <c r="B4606" s="8">
        <v>42200</v>
      </c>
      <c r="C4606" s="6">
        <f ca="1">IF(OR($C$7="",$B4606&gt;NOW()),"",IF(INDEX(Data!$A:$G,MATCH($B4606,Data!$A:$A,0),MATCH($C$7,Data!$4:$4,0))="","",INDEX(Data!$A:$G,MATCH($B4606,Data!$A:$A,0),MATCH($C$7,Data!$4:$4,0))))</f>
        <v>75.900000000000006</v>
      </c>
      <c r="D4606" s="148">
        <f t="shared" ca="1" si="148"/>
        <v>0</v>
      </c>
      <c r="E4606" s="148">
        <f t="shared" ca="1" si="149"/>
        <v>10.900000000000006</v>
      </c>
    </row>
    <row r="4607" spans="2:5" x14ac:dyDescent="0.25">
      <c r="B4607" s="8">
        <v>42201</v>
      </c>
      <c r="C4607" s="6">
        <f ca="1">IF(OR($C$7="",$B4607&gt;NOW()),"",IF(INDEX(Data!$A:$G,MATCH($B4607,Data!$A:$A,0),MATCH($C$7,Data!$4:$4,0))="","",INDEX(Data!$A:$G,MATCH($B4607,Data!$A:$A,0),MATCH($C$7,Data!$4:$4,0))))</f>
        <v>72.099999999999994</v>
      </c>
      <c r="D4607" s="148">
        <f t="shared" ca="1" si="148"/>
        <v>0</v>
      </c>
      <c r="E4607" s="148">
        <f t="shared" ca="1" si="149"/>
        <v>7.0999999999999943</v>
      </c>
    </row>
    <row r="4608" spans="2:5" x14ac:dyDescent="0.25">
      <c r="B4608" s="8">
        <v>42202</v>
      </c>
      <c r="C4608" s="6">
        <f ca="1">IF(OR($C$7="",$B4608&gt;NOW()),"",IF(INDEX(Data!$A:$G,MATCH($B4608,Data!$A:$A,0),MATCH($C$7,Data!$4:$4,0))="","",INDEX(Data!$A:$G,MATCH($B4608,Data!$A:$A,0),MATCH($C$7,Data!$4:$4,0))))</f>
        <v>73.5</v>
      </c>
      <c r="D4608" s="148">
        <f t="shared" ca="1" si="148"/>
        <v>0</v>
      </c>
      <c r="E4608" s="148">
        <f t="shared" ca="1" si="149"/>
        <v>8.5</v>
      </c>
    </row>
    <row r="4609" spans="2:5" x14ac:dyDescent="0.25">
      <c r="B4609" s="8">
        <v>42203</v>
      </c>
      <c r="C4609" s="6">
        <f ca="1">IF(OR($C$7="",$B4609&gt;NOW()),"",IF(INDEX(Data!$A:$G,MATCH($B4609,Data!$A:$A,0),MATCH($C$7,Data!$4:$4,0))="","",INDEX(Data!$A:$G,MATCH($B4609,Data!$A:$A,0),MATCH($C$7,Data!$4:$4,0))))</f>
        <v>76.3</v>
      </c>
      <c r="D4609" s="148">
        <f t="shared" ca="1" si="148"/>
        <v>0</v>
      </c>
      <c r="E4609" s="148">
        <f t="shared" ca="1" si="149"/>
        <v>11.299999999999997</v>
      </c>
    </row>
    <row r="4610" spans="2:5" x14ac:dyDescent="0.25">
      <c r="B4610" s="8">
        <v>42204</v>
      </c>
      <c r="C4610" s="6">
        <f ca="1">IF(OR($C$7="",$B4610&gt;NOW()),"",IF(INDEX(Data!$A:$G,MATCH($B4610,Data!$A:$A,0),MATCH($C$7,Data!$4:$4,0))="","",INDEX(Data!$A:$G,MATCH($B4610,Data!$A:$A,0),MATCH($C$7,Data!$4:$4,0))))</f>
        <v>84.3</v>
      </c>
      <c r="D4610" s="148">
        <f t="shared" ca="1" si="148"/>
        <v>0</v>
      </c>
      <c r="E4610" s="148">
        <f t="shared" ca="1" si="149"/>
        <v>19.299999999999997</v>
      </c>
    </row>
    <row r="4611" spans="2:5" x14ac:dyDescent="0.25">
      <c r="B4611" s="8">
        <v>42205</v>
      </c>
      <c r="C4611" s="6">
        <f ca="1">IF(OR($C$7="",$B4611&gt;NOW()),"",IF(INDEX(Data!$A:$G,MATCH($B4611,Data!$A:$A,0),MATCH($C$7,Data!$4:$4,0))="","",INDEX(Data!$A:$G,MATCH($B4611,Data!$A:$A,0),MATCH($C$7,Data!$4:$4,0))))</f>
        <v>89.1</v>
      </c>
      <c r="D4611" s="148">
        <f t="shared" ca="1" si="148"/>
        <v>0</v>
      </c>
      <c r="E4611" s="148">
        <f t="shared" ca="1" si="149"/>
        <v>24.099999999999994</v>
      </c>
    </row>
    <row r="4612" spans="2:5" x14ac:dyDescent="0.25">
      <c r="B4612" s="8">
        <v>42206</v>
      </c>
      <c r="C4612" s="6">
        <f ca="1">IF(OR($C$7="",$B4612&gt;NOW()),"",IF(INDEX(Data!$A:$G,MATCH($B4612,Data!$A:$A,0),MATCH($C$7,Data!$4:$4,0))="","",INDEX(Data!$A:$G,MATCH($B4612,Data!$A:$A,0),MATCH($C$7,Data!$4:$4,0))))</f>
        <v>86</v>
      </c>
      <c r="D4612" s="148">
        <f t="shared" ca="1" si="148"/>
        <v>0</v>
      </c>
      <c r="E4612" s="148">
        <f t="shared" ca="1" si="149"/>
        <v>21</v>
      </c>
    </row>
    <row r="4613" spans="2:5" x14ac:dyDescent="0.25">
      <c r="B4613" s="8">
        <v>42207</v>
      </c>
      <c r="C4613" s="6">
        <f ca="1">IF(OR($C$7="",$B4613&gt;NOW()),"",IF(INDEX(Data!$A:$G,MATCH($B4613,Data!$A:$A,0),MATCH($C$7,Data!$4:$4,0))="","",INDEX(Data!$A:$G,MATCH($B4613,Data!$A:$A,0),MATCH($C$7,Data!$4:$4,0))))</f>
        <v>77.099999999999994</v>
      </c>
      <c r="D4613" s="148">
        <f t="shared" ca="1" si="148"/>
        <v>0</v>
      </c>
      <c r="E4613" s="148">
        <f t="shared" ca="1" si="149"/>
        <v>12.099999999999994</v>
      </c>
    </row>
    <row r="4614" spans="2:5" x14ac:dyDescent="0.25">
      <c r="B4614" s="8">
        <v>42208</v>
      </c>
      <c r="C4614" s="6">
        <f ca="1">IF(OR($C$7="",$B4614&gt;NOW()),"",IF(INDEX(Data!$A:$G,MATCH($B4614,Data!$A:$A,0),MATCH($C$7,Data!$4:$4,0))="","",INDEX(Data!$A:$G,MATCH($B4614,Data!$A:$A,0),MATCH($C$7,Data!$4:$4,0))))</f>
        <v>77.099999999999994</v>
      </c>
      <c r="D4614" s="148">
        <f t="shared" ca="1" si="148"/>
        <v>0</v>
      </c>
      <c r="E4614" s="148">
        <f t="shared" ca="1" si="149"/>
        <v>12.099999999999994</v>
      </c>
    </row>
    <row r="4615" spans="2:5" x14ac:dyDescent="0.25">
      <c r="B4615" s="8">
        <v>42209</v>
      </c>
      <c r="C4615" s="6">
        <f ca="1">IF(OR($C$7="",$B4615&gt;NOW()),"",IF(INDEX(Data!$A:$G,MATCH($B4615,Data!$A:$A,0),MATCH($C$7,Data!$4:$4,0))="","",INDEX(Data!$A:$G,MATCH($B4615,Data!$A:$A,0),MATCH($C$7,Data!$4:$4,0))))</f>
        <v>78.2</v>
      </c>
      <c r="D4615" s="148">
        <f t="shared" ca="1" si="148"/>
        <v>0</v>
      </c>
      <c r="E4615" s="148">
        <f t="shared" ca="1" si="149"/>
        <v>13.200000000000003</v>
      </c>
    </row>
    <row r="4616" spans="2:5" x14ac:dyDescent="0.25">
      <c r="B4616" s="8">
        <v>42210</v>
      </c>
      <c r="C4616" s="6">
        <f ca="1">IF(OR($C$7="",$B4616&gt;NOW()),"",IF(INDEX(Data!$A:$G,MATCH($B4616,Data!$A:$A,0),MATCH($C$7,Data!$4:$4,0))="","",INDEX(Data!$A:$G,MATCH($B4616,Data!$A:$A,0),MATCH($C$7,Data!$4:$4,0))))</f>
        <v>78.099999999999994</v>
      </c>
      <c r="D4616" s="148">
        <f t="shared" ca="1" si="148"/>
        <v>0</v>
      </c>
      <c r="E4616" s="148">
        <f t="shared" ca="1" si="149"/>
        <v>13.099999999999994</v>
      </c>
    </row>
    <row r="4617" spans="2:5" x14ac:dyDescent="0.25">
      <c r="B4617" s="8">
        <v>42211</v>
      </c>
      <c r="C4617" s="6">
        <f ca="1">IF(OR($C$7="",$B4617&gt;NOW()),"",IF(INDEX(Data!$A:$G,MATCH($B4617,Data!$A:$A,0),MATCH($C$7,Data!$4:$4,0))="","",INDEX(Data!$A:$G,MATCH($B4617,Data!$A:$A,0),MATCH($C$7,Data!$4:$4,0))))</f>
        <v>79.8</v>
      </c>
      <c r="D4617" s="148">
        <f t="shared" ca="1" si="148"/>
        <v>0</v>
      </c>
      <c r="E4617" s="148">
        <f t="shared" ca="1" si="149"/>
        <v>14.799999999999997</v>
      </c>
    </row>
    <row r="4618" spans="2:5" x14ac:dyDescent="0.25">
      <c r="B4618" s="8">
        <v>42212</v>
      </c>
      <c r="C4618" s="6">
        <f ca="1">IF(OR($C$7="",$B4618&gt;NOW()),"",IF(INDEX(Data!$A:$G,MATCH($B4618,Data!$A:$A,0),MATCH($C$7,Data!$4:$4,0))="","",INDEX(Data!$A:$G,MATCH($B4618,Data!$A:$A,0),MATCH($C$7,Data!$4:$4,0))))</f>
        <v>79.900000000000006</v>
      </c>
      <c r="D4618" s="148">
        <f t="shared" ca="1" si="148"/>
        <v>0</v>
      </c>
      <c r="E4618" s="148">
        <f t="shared" ca="1" si="149"/>
        <v>14.900000000000006</v>
      </c>
    </row>
    <row r="4619" spans="2:5" x14ac:dyDescent="0.25">
      <c r="B4619" s="8">
        <v>42213</v>
      </c>
      <c r="C4619" s="6">
        <f ca="1">IF(OR($C$7="",$B4619&gt;NOW()),"",IF(INDEX(Data!$A:$G,MATCH($B4619,Data!$A:$A,0),MATCH($C$7,Data!$4:$4,0))="","",INDEX(Data!$A:$G,MATCH($B4619,Data!$A:$A,0),MATCH($C$7,Data!$4:$4,0))))</f>
        <v>82.8</v>
      </c>
      <c r="D4619" s="148">
        <f t="shared" ca="1" si="148"/>
        <v>0</v>
      </c>
      <c r="E4619" s="148">
        <f t="shared" ca="1" si="149"/>
        <v>17.799999999999997</v>
      </c>
    </row>
    <row r="4620" spans="2:5" x14ac:dyDescent="0.25">
      <c r="B4620" s="8">
        <v>42214</v>
      </c>
      <c r="C4620" s="6">
        <f ca="1">IF(OR($C$7="",$B4620&gt;NOW()),"",IF(INDEX(Data!$A:$G,MATCH($B4620,Data!$A:$A,0),MATCH($C$7,Data!$4:$4,0))="","",INDEX(Data!$A:$G,MATCH($B4620,Data!$A:$A,0),MATCH($C$7,Data!$4:$4,0))))</f>
        <v>86.3</v>
      </c>
      <c r="D4620" s="148">
        <f t="shared" ca="1" si="148"/>
        <v>0</v>
      </c>
      <c r="E4620" s="148">
        <f t="shared" ca="1" si="149"/>
        <v>21.299999999999997</v>
      </c>
    </row>
    <row r="4621" spans="2:5" x14ac:dyDescent="0.25">
      <c r="B4621" s="8">
        <v>42215</v>
      </c>
      <c r="C4621" s="6">
        <f ca="1">IF(OR($C$7="",$B4621&gt;NOW()),"",IF(INDEX(Data!$A:$G,MATCH($B4621,Data!$A:$A,0),MATCH($C$7,Data!$4:$4,0))="","",INDEX(Data!$A:$G,MATCH($B4621,Data!$A:$A,0),MATCH($C$7,Data!$4:$4,0))))</f>
        <v>82.1</v>
      </c>
      <c r="D4621" s="148">
        <f t="shared" ca="1" si="148"/>
        <v>0</v>
      </c>
      <c r="E4621" s="148">
        <f t="shared" ca="1" si="149"/>
        <v>17.099999999999994</v>
      </c>
    </row>
    <row r="4622" spans="2:5" x14ac:dyDescent="0.25">
      <c r="B4622" s="8">
        <v>42216</v>
      </c>
      <c r="C4622" s="6">
        <f ca="1">IF(OR($C$7="",$B4622&gt;NOW()),"",IF(INDEX(Data!$A:$G,MATCH($B4622,Data!$A:$A,0),MATCH($C$7,Data!$4:$4,0))="","",INDEX(Data!$A:$G,MATCH($B4622,Data!$A:$A,0),MATCH($C$7,Data!$4:$4,0))))</f>
        <v>81.099999999999994</v>
      </c>
      <c r="D4622" s="148">
        <f t="shared" ca="1" si="148"/>
        <v>0</v>
      </c>
      <c r="E4622" s="148">
        <f t="shared" ca="1" si="149"/>
        <v>16.099999999999994</v>
      </c>
    </row>
    <row r="4623" spans="2:5" x14ac:dyDescent="0.25">
      <c r="B4623" s="8">
        <v>42217</v>
      </c>
      <c r="C4623" s="6">
        <f ca="1">IF(OR($C$7="",$B4623&gt;NOW()),"",IF(INDEX(Data!$A:$G,MATCH($B4623,Data!$A:$A,0),MATCH($C$7,Data!$4:$4,0))="","",INDEX(Data!$A:$G,MATCH($B4623,Data!$A:$A,0),MATCH($C$7,Data!$4:$4,0))))</f>
        <v>83.7</v>
      </c>
      <c r="D4623" s="148">
        <f t="shared" ca="1" si="148"/>
        <v>0</v>
      </c>
      <c r="E4623" s="148">
        <f t="shared" ca="1" si="149"/>
        <v>18.700000000000003</v>
      </c>
    </row>
    <row r="4624" spans="2:5" x14ac:dyDescent="0.25">
      <c r="B4624" s="8">
        <v>42218</v>
      </c>
      <c r="C4624" s="6">
        <f ca="1">IF(OR($C$7="",$B4624&gt;NOW()),"",IF(INDEX(Data!$A:$G,MATCH($B4624,Data!$A:$A,0),MATCH($C$7,Data!$4:$4,0))="","",INDEX(Data!$A:$G,MATCH($B4624,Data!$A:$A,0),MATCH($C$7,Data!$4:$4,0))))</f>
        <v>81</v>
      </c>
      <c r="D4624" s="148">
        <f t="shared" ca="1" si="148"/>
        <v>0</v>
      </c>
      <c r="E4624" s="148">
        <f t="shared" ca="1" si="149"/>
        <v>16</v>
      </c>
    </row>
    <row r="4625" spans="2:5" x14ac:dyDescent="0.25">
      <c r="B4625" s="8">
        <v>42219</v>
      </c>
      <c r="C4625" s="6">
        <f ca="1">IF(OR($C$7="",$B4625&gt;NOW()),"",IF(INDEX(Data!$A:$G,MATCH($B4625,Data!$A:$A,0),MATCH($C$7,Data!$4:$4,0))="","",INDEX(Data!$A:$G,MATCH($B4625,Data!$A:$A,0),MATCH($C$7,Data!$4:$4,0))))</f>
        <v>82.5</v>
      </c>
      <c r="D4625" s="148">
        <f t="shared" ca="1" si="148"/>
        <v>0</v>
      </c>
      <c r="E4625" s="148">
        <f t="shared" ca="1" si="149"/>
        <v>17.5</v>
      </c>
    </row>
    <row r="4626" spans="2:5" x14ac:dyDescent="0.25">
      <c r="B4626" s="8">
        <v>42220</v>
      </c>
      <c r="C4626" s="6">
        <f ca="1">IF(OR($C$7="",$B4626&gt;NOW()),"",IF(INDEX(Data!$A:$G,MATCH($B4626,Data!$A:$A,0),MATCH($C$7,Data!$4:$4,0))="","",INDEX(Data!$A:$G,MATCH($B4626,Data!$A:$A,0),MATCH($C$7,Data!$4:$4,0))))</f>
        <v>83.1</v>
      </c>
      <c r="D4626" s="148">
        <f t="shared" ca="1" si="148"/>
        <v>0</v>
      </c>
      <c r="E4626" s="148">
        <f t="shared" ca="1" si="149"/>
        <v>18.099999999999994</v>
      </c>
    </row>
    <row r="4627" spans="2:5" x14ac:dyDescent="0.25">
      <c r="B4627" s="8">
        <v>42221</v>
      </c>
      <c r="C4627" s="6">
        <f ca="1">IF(OR($C$7="",$B4627&gt;NOW()),"",IF(INDEX(Data!$A:$G,MATCH($B4627,Data!$A:$A,0),MATCH($C$7,Data!$4:$4,0))="","",INDEX(Data!$A:$G,MATCH($B4627,Data!$A:$A,0),MATCH($C$7,Data!$4:$4,0))))</f>
        <v>80.5</v>
      </c>
      <c r="D4627" s="148">
        <f t="shared" ca="1" si="148"/>
        <v>0</v>
      </c>
      <c r="E4627" s="148">
        <f t="shared" ca="1" si="149"/>
        <v>15.5</v>
      </c>
    </row>
    <row r="4628" spans="2:5" x14ac:dyDescent="0.25">
      <c r="B4628" s="8">
        <v>42222</v>
      </c>
      <c r="C4628" s="6">
        <f ca="1">IF(OR($C$7="",$B4628&gt;NOW()),"",IF(INDEX(Data!$A:$G,MATCH($B4628,Data!$A:$A,0),MATCH($C$7,Data!$4:$4,0))="","",INDEX(Data!$A:$G,MATCH($B4628,Data!$A:$A,0),MATCH($C$7,Data!$4:$4,0))))</f>
        <v>76.3</v>
      </c>
      <c r="D4628" s="148">
        <f t="shared" ca="1" si="148"/>
        <v>0</v>
      </c>
      <c r="E4628" s="148">
        <f t="shared" ca="1" si="149"/>
        <v>11.299999999999997</v>
      </c>
    </row>
    <row r="4629" spans="2:5" x14ac:dyDescent="0.25">
      <c r="B4629" s="8">
        <v>42223</v>
      </c>
      <c r="C4629" s="6">
        <f ca="1">IF(OR($C$7="",$B4629&gt;NOW()),"",IF(INDEX(Data!$A:$G,MATCH($B4629,Data!$A:$A,0),MATCH($C$7,Data!$4:$4,0))="","",INDEX(Data!$A:$G,MATCH($B4629,Data!$A:$A,0),MATCH($C$7,Data!$4:$4,0))))</f>
        <v>75.8</v>
      </c>
      <c r="D4629" s="148">
        <f t="shared" ca="1" si="148"/>
        <v>0</v>
      </c>
      <c r="E4629" s="148">
        <f t="shared" ca="1" si="149"/>
        <v>10.799999999999997</v>
      </c>
    </row>
    <row r="4630" spans="2:5" x14ac:dyDescent="0.25">
      <c r="B4630" s="8">
        <v>42224</v>
      </c>
      <c r="C4630" s="6">
        <f ca="1">IF(OR($C$7="",$B4630&gt;NOW()),"",IF(INDEX(Data!$A:$G,MATCH($B4630,Data!$A:$A,0),MATCH($C$7,Data!$4:$4,0))="","",INDEX(Data!$A:$G,MATCH($B4630,Data!$A:$A,0),MATCH($C$7,Data!$4:$4,0))))</f>
        <v>74.7</v>
      </c>
      <c r="D4630" s="148">
        <f t="shared" ca="1" si="148"/>
        <v>0</v>
      </c>
      <c r="E4630" s="148">
        <f t="shared" ca="1" si="149"/>
        <v>9.7000000000000028</v>
      </c>
    </row>
    <row r="4631" spans="2:5" x14ac:dyDescent="0.25">
      <c r="B4631" s="8">
        <v>42225</v>
      </c>
      <c r="C4631" s="6">
        <f ca="1">IF(OR($C$7="",$B4631&gt;NOW()),"",IF(INDEX(Data!$A:$G,MATCH($B4631,Data!$A:$A,0),MATCH($C$7,Data!$4:$4,0))="","",INDEX(Data!$A:$G,MATCH($B4631,Data!$A:$A,0),MATCH($C$7,Data!$4:$4,0))))</f>
        <v>75.7</v>
      </c>
      <c r="D4631" s="148">
        <f t="shared" ca="1" si="148"/>
        <v>0</v>
      </c>
      <c r="E4631" s="148">
        <f t="shared" ca="1" si="149"/>
        <v>10.700000000000003</v>
      </c>
    </row>
    <row r="4632" spans="2:5" x14ac:dyDescent="0.25">
      <c r="B4632" s="8">
        <v>42226</v>
      </c>
      <c r="C4632" s="6">
        <f ca="1">IF(OR($C$7="",$B4632&gt;NOW()),"",IF(INDEX(Data!$A:$G,MATCH($B4632,Data!$A:$A,0),MATCH($C$7,Data!$4:$4,0))="","",INDEX(Data!$A:$G,MATCH($B4632,Data!$A:$A,0),MATCH($C$7,Data!$4:$4,0))))</f>
        <v>74.5</v>
      </c>
      <c r="D4632" s="148">
        <f t="shared" ca="1" si="148"/>
        <v>0</v>
      </c>
      <c r="E4632" s="148">
        <f t="shared" ca="1" si="149"/>
        <v>9.5</v>
      </c>
    </row>
    <row r="4633" spans="2:5" x14ac:dyDescent="0.25">
      <c r="B4633" s="8">
        <v>42227</v>
      </c>
      <c r="C4633" s="6">
        <f ca="1">IF(OR($C$7="",$B4633&gt;NOW()),"",IF(INDEX(Data!$A:$G,MATCH($B4633,Data!$A:$A,0),MATCH($C$7,Data!$4:$4,0))="","",INDEX(Data!$A:$G,MATCH($B4633,Data!$A:$A,0),MATCH($C$7,Data!$4:$4,0))))</f>
        <v>75.099999999999994</v>
      </c>
      <c r="D4633" s="148">
        <f t="shared" ca="1" si="148"/>
        <v>0</v>
      </c>
      <c r="E4633" s="148">
        <f t="shared" ca="1" si="149"/>
        <v>10.099999999999994</v>
      </c>
    </row>
    <row r="4634" spans="2:5" x14ac:dyDescent="0.25">
      <c r="B4634" s="8">
        <v>42228</v>
      </c>
      <c r="C4634" s="6">
        <f ca="1">IF(OR($C$7="",$B4634&gt;NOW()),"",IF(INDEX(Data!$A:$G,MATCH($B4634,Data!$A:$A,0),MATCH($C$7,Data!$4:$4,0))="","",INDEX(Data!$A:$G,MATCH($B4634,Data!$A:$A,0),MATCH($C$7,Data!$4:$4,0))))</f>
        <v>77.3</v>
      </c>
      <c r="D4634" s="148">
        <f t="shared" ca="1" si="148"/>
        <v>0</v>
      </c>
      <c r="E4634" s="148">
        <f t="shared" ca="1" si="149"/>
        <v>12.299999999999997</v>
      </c>
    </row>
    <row r="4635" spans="2:5" x14ac:dyDescent="0.25">
      <c r="B4635" s="8">
        <v>42229</v>
      </c>
      <c r="C4635" s="6">
        <f ca="1">IF(OR($C$7="",$B4635&gt;NOW()),"",IF(INDEX(Data!$A:$G,MATCH($B4635,Data!$A:$A,0),MATCH($C$7,Data!$4:$4,0))="","",INDEX(Data!$A:$G,MATCH($B4635,Data!$A:$A,0),MATCH($C$7,Data!$4:$4,0))))</f>
        <v>75.7</v>
      </c>
      <c r="D4635" s="148">
        <f t="shared" ca="1" si="148"/>
        <v>0</v>
      </c>
      <c r="E4635" s="148">
        <f t="shared" ca="1" si="149"/>
        <v>10.700000000000003</v>
      </c>
    </row>
    <row r="4636" spans="2:5" x14ac:dyDescent="0.25">
      <c r="B4636" s="8">
        <v>42230</v>
      </c>
      <c r="C4636" s="6">
        <f ca="1">IF(OR($C$7="",$B4636&gt;NOW()),"",IF(INDEX(Data!$A:$G,MATCH($B4636,Data!$A:$A,0),MATCH($C$7,Data!$4:$4,0))="","",INDEX(Data!$A:$G,MATCH($B4636,Data!$A:$A,0),MATCH($C$7,Data!$4:$4,0))))</f>
        <v>78.900000000000006</v>
      </c>
      <c r="D4636" s="148">
        <f t="shared" ca="1" si="148"/>
        <v>0</v>
      </c>
      <c r="E4636" s="148">
        <f t="shared" ca="1" si="149"/>
        <v>13.900000000000006</v>
      </c>
    </row>
    <row r="4637" spans="2:5" x14ac:dyDescent="0.25">
      <c r="B4637" s="8">
        <v>42231</v>
      </c>
      <c r="C4637" s="6">
        <f ca="1">IF(OR($C$7="",$B4637&gt;NOW()),"",IF(INDEX(Data!$A:$G,MATCH($B4637,Data!$A:$A,0),MATCH($C$7,Data!$4:$4,0))="","",INDEX(Data!$A:$G,MATCH($B4637,Data!$A:$A,0),MATCH($C$7,Data!$4:$4,0))))</f>
        <v>81.400000000000006</v>
      </c>
      <c r="D4637" s="148">
        <f t="shared" ref="D4637:D4700" ca="1" si="150">IF($C4637="","",IF($C4637&gt;$D$26,0,$D$26-$C4637))</f>
        <v>0</v>
      </c>
      <c r="E4637" s="148">
        <f t="shared" ref="E4637:E4700" ca="1" si="151">IF($C4637="","",IF($C4637&lt;$E$26,0,$C4637-$E$26))</f>
        <v>16.400000000000006</v>
      </c>
    </row>
    <row r="4638" spans="2:5" x14ac:dyDescent="0.25">
      <c r="B4638" s="8">
        <v>42232</v>
      </c>
      <c r="C4638" s="6">
        <f ca="1">IF(OR($C$7="",$B4638&gt;NOW()),"",IF(INDEX(Data!$A:$G,MATCH($B4638,Data!$A:$A,0),MATCH($C$7,Data!$4:$4,0))="","",INDEX(Data!$A:$G,MATCH($B4638,Data!$A:$A,0),MATCH($C$7,Data!$4:$4,0))))</f>
        <v>82.8</v>
      </c>
      <c r="D4638" s="148">
        <f t="shared" ca="1" si="150"/>
        <v>0</v>
      </c>
      <c r="E4638" s="148">
        <f t="shared" ca="1" si="151"/>
        <v>17.799999999999997</v>
      </c>
    </row>
    <row r="4639" spans="2:5" x14ac:dyDescent="0.25">
      <c r="B4639" s="8">
        <v>42233</v>
      </c>
      <c r="C4639" s="6">
        <f ca="1">IF(OR($C$7="",$B4639&gt;NOW()),"",IF(INDEX(Data!$A:$G,MATCH($B4639,Data!$A:$A,0),MATCH($C$7,Data!$4:$4,0))="","",INDEX(Data!$A:$G,MATCH($B4639,Data!$A:$A,0),MATCH($C$7,Data!$4:$4,0))))</f>
        <v>84.7</v>
      </c>
      <c r="D4639" s="148">
        <f t="shared" ca="1" si="150"/>
        <v>0</v>
      </c>
      <c r="E4639" s="148">
        <f t="shared" ca="1" si="151"/>
        <v>19.700000000000003</v>
      </c>
    </row>
    <row r="4640" spans="2:5" x14ac:dyDescent="0.25">
      <c r="B4640" s="8">
        <v>42234</v>
      </c>
      <c r="C4640" s="6">
        <f ca="1">IF(OR($C$7="",$B4640&gt;NOW()),"",IF(INDEX(Data!$A:$G,MATCH($B4640,Data!$A:$A,0),MATCH($C$7,Data!$4:$4,0))="","",INDEX(Data!$A:$G,MATCH($B4640,Data!$A:$A,0),MATCH($C$7,Data!$4:$4,0))))</f>
        <v>83.4</v>
      </c>
      <c r="D4640" s="148">
        <f t="shared" ca="1" si="150"/>
        <v>0</v>
      </c>
      <c r="E4640" s="148">
        <f t="shared" ca="1" si="151"/>
        <v>18.400000000000006</v>
      </c>
    </row>
    <row r="4641" spans="2:5" x14ac:dyDescent="0.25">
      <c r="B4641" s="8">
        <v>42235</v>
      </c>
      <c r="C4641" s="6">
        <f ca="1">IF(OR($C$7="",$B4641&gt;NOW()),"",IF(INDEX(Data!$A:$G,MATCH($B4641,Data!$A:$A,0),MATCH($C$7,Data!$4:$4,0))="","",INDEX(Data!$A:$G,MATCH($B4641,Data!$A:$A,0),MATCH($C$7,Data!$4:$4,0))))</f>
        <v>80.2</v>
      </c>
      <c r="D4641" s="148">
        <f t="shared" ca="1" si="150"/>
        <v>0</v>
      </c>
      <c r="E4641" s="148">
        <f t="shared" ca="1" si="151"/>
        <v>15.200000000000003</v>
      </c>
    </row>
    <row r="4642" spans="2:5" x14ac:dyDescent="0.25">
      <c r="B4642" s="8">
        <v>42236</v>
      </c>
      <c r="C4642" s="6">
        <f ca="1">IF(OR($C$7="",$B4642&gt;NOW()),"",IF(INDEX(Data!$A:$G,MATCH($B4642,Data!$A:$A,0),MATCH($C$7,Data!$4:$4,0))="","",INDEX(Data!$A:$G,MATCH($B4642,Data!$A:$A,0),MATCH($C$7,Data!$4:$4,0))))</f>
        <v>81</v>
      </c>
      <c r="D4642" s="148">
        <f t="shared" ca="1" si="150"/>
        <v>0</v>
      </c>
      <c r="E4642" s="148">
        <f t="shared" ca="1" si="151"/>
        <v>16</v>
      </c>
    </row>
    <row r="4643" spans="2:5" x14ac:dyDescent="0.25">
      <c r="B4643" s="8">
        <v>42237</v>
      </c>
      <c r="C4643" s="6">
        <f ca="1">IF(OR($C$7="",$B4643&gt;NOW()),"",IF(INDEX(Data!$A:$G,MATCH($B4643,Data!$A:$A,0),MATCH($C$7,Data!$4:$4,0))="","",INDEX(Data!$A:$G,MATCH($B4643,Data!$A:$A,0),MATCH($C$7,Data!$4:$4,0))))</f>
        <v>78.7</v>
      </c>
      <c r="D4643" s="148">
        <f t="shared" ca="1" si="150"/>
        <v>0</v>
      </c>
      <c r="E4643" s="148">
        <f t="shared" ca="1" si="151"/>
        <v>13.700000000000003</v>
      </c>
    </row>
    <row r="4644" spans="2:5" x14ac:dyDescent="0.25">
      <c r="B4644" s="8">
        <v>42238</v>
      </c>
      <c r="C4644" s="6">
        <f ca="1">IF(OR($C$7="",$B4644&gt;NOW()),"",IF(INDEX(Data!$A:$G,MATCH($B4644,Data!$A:$A,0),MATCH($C$7,Data!$4:$4,0))="","",INDEX(Data!$A:$G,MATCH($B4644,Data!$A:$A,0),MATCH($C$7,Data!$4:$4,0))))</f>
        <v>76.599999999999994</v>
      </c>
      <c r="D4644" s="148">
        <f t="shared" ca="1" si="150"/>
        <v>0</v>
      </c>
      <c r="E4644" s="148">
        <f t="shared" ca="1" si="151"/>
        <v>11.599999999999994</v>
      </c>
    </row>
    <row r="4645" spans="2:5" x14ac:dyDescent="0.25">
      <c r="B4645" s="8">
        <v>42239</v>
      </c>
      <c r="C4645" s="6">
        <f ca="1">IF(OR($C$7="",$B4645&gt;NOW()),"",IF(INDEX(Data!$A:$G,MATCH($B4645,Data!$A:$A,0),MATCH($C$7,Data!$4:$4,0))="","",INDEX(Data!$A:$G,MATCH($B4645,Data!$A:$A,0),MATCH($C$7,Data!$4:$4,0))))</f>
        <v>75.8</v>
      </c>
      <c r="D4645" s="148">
        <f t="shared" ca="1" si="150"/>
        <v>0</v>
      </c>
      <c r="E4645" s="148">
        <f t="shared" ca="1" si="151"/>
        <v>10.799999999999997</v>
      </c>
    </row>
    <row r="4646" spans="2:5" x14ac:dyDescent="0.25">
      <c r="B4646" s="8">
        <v>42240</v>
      </c>
      <c r="C4646" s="6">
        <f ca="1">IF(OR($C$7="",$B4646&gt;NOW()),"",IF(INDEX(Data!$A:$G,MATCH($B4646,Data!$A:$A,0),MATCH($C$7,Data!$4:$4,0))="","",INDEX(Data!$A:$G,MATCH($B4646,Data!$A:$A,0),MATCH($C$7,Data!$4:$4,0))))</f>
        <v>78.5</v>
      </c>
      <c r="D4646" s="148">
        <f t="shared" ca="1" si="150"/>
        <v>0</v>
      </c>
      <c r="E4646" s="148">
        <f t="shared" ca="1" si="151"/>
        <v>13.5</v>
      </c>
    </row>
    <row r="4647" spans="2:5" x14ac:dyDescent="0.25">
      <c r="B4647" s="8">
        <v>42241</v>
      </c>
      <c r="C4647" s="6">
        <f ca="1">IF(OR($C$7="",$B4647&gt;NOW()),"",IF(INDEX(Data!$A:$G,MATCH($B4647,Data!$A:$A,0),MATCH($C$7,Data!$4:$4,0))="","",INDEX(Data!$A:$G,MATCH($B4647,Data!$A:$A,0),MATCH($C$7,Data!$4:$4,0))))</f>
        <v>80.599999999999994</v>
      </c>
      <c r="D4647" s="148">
        <f t="shared" ca="1" si="150"/>
        <v>0</v>
      </c>
      <c r="E4647" s="148">
        <f t="shared" ca="1" si="151"/>
        <v>15.599999999999994</v>
      </c>
    </row>
    <row r="4648" spans="2:5" x14ac:dyDescent="0.25">
      <c r="B4648" s="8">
        <v>42242</v>
      </c>
      <c r="C4648" s="6">
        <f ca="1">IF(OR($C$7="",$B4648&gt;NOW()),"",IF(INDEX(Data!$A:$G,MATCH($B4648,Data!$A:$A,0),MATCH($C$7,Data!$4:$4,0))="","",INDEX(Data!$A:$G,MATCH($B4648,Data!$A:$A,0),MATCH($C$7,Data!$4:$4,0))))</f>
        <v>76.900000000000006</v>
      </c>
      <c r="D4648" s="148">
        <f t="shared" ca="1" si="150"/>
        <v>0</v>
      </c>
      <c r="E4648" s="148">
        <f t="shared" ca="1" si="151"/>
        <v>11.900000000000006</v>
      </c>
    </row>
    <row r="4649" spans="2:5" x14ac:dyDescent="0.25">
      <c r="B4649" s="8">
        <v>42243</v>
      </c>
      <c r="C4649" s="6">
        <f ca="1">IF(OR($C$7="",$B4649&gt;NOW()),"",IF(INDEX(Data!$A:$G,MATCH($B4649,Data!$A:$A,0),MATCH($C$7,Data!$4:$4,0))="","",INDEX(Data!$A:$G,MATCH($B4649,Data!$A:$A,0),MATCH($C$7,Data!$4:$4,0))))</f>
        <v>74.2</v>
      </c>
      <c r="D4649" s="148">
        <f t="shared" ca="1" si="150"/>
        <v>0</v>
      </c>
      <c r="E4649" s="148">
        <f t="shared" ca="1" si="151"/>
        <v>9.2000000000000028</v>
      </c>
    </row>
    <row r="4650" spans="2:5" x14ac:dyDescent="0.25">
      <c r="B4650" s="8">
        <v>42244</v>
      </c>
      <c r="C4650" s="6">
        <f ca="1">IF(OR($C$7="",$B4650&gt;NOW()),"",IF(INDEX(Data!$A:$G,MATCH($B4650,Data!$A:$A,0),MATCH($C$7,Data!$4:$4,0))="","",INDEX(Data!$A:$G,MATCH($B4650,Data!$A:$A,0),MATCH($C$7,Data!$4:$4,0))))</f>
        <v>73.099999999999994</v>
      </c>
      <c r="D4650" s="148">
        <f t="shared" ca="1" si="150"/>
        <v>0</v>
      </c>
      <c r="E4650" s="148">
        <f t="shared" ca="1" si="151"/>
        <v>8.0999999999999943</v>
      </c>
    </row>
    <row r="4651" spans="2:5" x14ac:dyDescent="0.25">
      <c r="B4651" s="8">
        <v>42245</v>
      </c>
      <c r="C4651" s="6">
        <f ca="1">IF(OR($C$7="",$B4651&gt;NOW()),"",IF(INDEX(Data!$A:$G,MATCH($B4651,Data!$A:$A,0),MATCH($C$7,Data!$4:$4,0))="","",INDEX(Data!$A:$G,MATCH($B4651,Data!$A:$A,0),MATCH($C$7,Data!$4:$4,0))))</f>
        <v>76.8</v>
      </c>
      <c r="D4651" s="148">
        <f t="shared" ca="1" si="150"/>
        <v>0</v>
      </c>
      <c r="E4651" s="148">
        <f t="shared" ca="1" si="151"/>
        <v>11.799999999999997</v>
      </c>
    </row>
    <row r="4652" spans="2:5" x14ac:dyDescent="0.25">
      <c r="B4652" s="8">
        <v>42246</v>
      </c>
      <c r="C4652" s="6">
        <f ca="1">IF(OR($C$7="",$B4652&gt;NOW()),"",IF(INDEX(Data!$A:$G,MATCH($B4652,Data!$A:$A,0),MATCH($C$7,Data!$4:$4,0))="","",INDEX(Data!$A:$G,MATCH($B4652,Data!$A:$A,0),MATCH($C$7,Data!$4:$4,0))))</f>
        <v>79.099999999999994</v>
      </c>
      <c r="D4652" s="148">
        <f t="shared" ca="1" si="150"/>
        <v>0</v>
      </c>
      <c r="E4652" s="148">
        <f t="shared" ca="1" si="151"/>
        <v>14.099999999999994</v>
      </c>
    </row>
    <row r="4653" spans="2:5" x14ac:dyDescent="0.25">
      <c r="B4653" s="8">
        <v>42247</v>
      </c>
      <c r="C4653" s="6">
        <f ca="1">IF(OR($C$7="",$B4653&gt;NOW()),"",IF(INDEX(Data!$A:$G,MATCH($B4653,Data!$A:$A,0),MATCH($C$7,Data!$4:$4,0))="","",INDEX(Data!$A:$G,MATCH($B4653,Data!$A:$A,0),MATCH($C$7,Data!$4:$4,0))))</f>
        <v>82.7</v>
      </c>
      <c r="D4653" s="148">
        <f t="shared" ca="1" si="150"/>
        <v>0</v>
      </c>
      <c r="E4653" s="148">
        <f t="shared" ca="1" si="151"/>
        <v>17.700000000000003</v>
      </c>
    </row>
    <row r="4654" spans="2:5" x14ac:dyDescent="0.25">
      <c r="B4654" s="8">
        <v>42248</v>
      </c>
      <c r="C4654" s="6">
        <f ca="1">IF(OR($C$7="",$B4654&gt;NOW()),"",IF(INDEX(Data!$A:$G,MATCH($B4654,Data!$A:$A,0),MATCH($C$7,Data!$4:$4,0))="","",INDEX(Data!$A:$G,MATCH($B4654,Data!$A:$A,0),MATCH($C$7,Data!$4:$4,0))))</f>
        <v>82.6</v>
      </c>
      <c r="D4654" s="148">
        <f t="shared" ca="1" si="150"/>
        <v>0</v>
      </c>
      <c r="E4654" s="148">
        <f t="shared" ca="1" si="151"/>
        <v>17.599999999999994</v>
      </c>
    </row>
    <row r="4655" spans="2:5" x14ac:dyDescent="0.25">
      <c r="B4655" s="8">
        <v>42249</v>
      </c>
      <c r="C4655" s="6">
        <f ca="1">IF(OR($C$7="",$B4655&gt;NOW()),"",IF(INDEX(Data!$A:$G,MATCH($B4655,Data!$A:$A,0),MATCH($C$7,Data!$4:$4,0))="","",INDEX(Data!$A:$G,MATCH($B4655,Data!$A:$A,0),MATCH($C$7,Data!$4:$4,0))))</f>
        <v>80.2</v>
      </c>
      <c r="D4655" s="148">
        <f t="shared" ca="1" si="150"/>
        <v>0</v>
      </c>
      <c r="E4655" s="148">
        <f t="shared" ca="1" si="151"/>
        <v>15.200000000000003</v>
      </c>
    </row>
    <row r="4656" spans="2:5" x14ac:dyDescent="0.25">
      <c r="B4656" s="8">
        <v>42250</v>
      </c>
      <c r="C4656" s="6">
        <f ca="1">IF(OR($C$7="",$B4656&gt;NOW()),"",IF(INDEX(Data!$A:$G,MATCH($B4656,Data!$A:$A,0),MATCH($C$7,Data!$4:$4,0))="","",INDEX(Data!$A:$G,MATCH($B4656,Data!$A:$A,0),MATCH($C$7,Data!$4:$4,0))))</f>
        <v>82.6</v>
      </c>
      <c r="D4656" s="148">
        <f t="shared" ca="1" si="150"/>
        <v>0</v>
      </c>
      <c r="E4656" s="148">
        <f t="shared" ca="1" si="151"/>
        <v>17.599999999999994</v>
      </c>
    </row>
    <row r="4657" spans="2:5" x14ac:dyDescent="0.25">
      <c r="B4657" s="8">
        <v>42251</v>
      </c>
      <c r="C4657" s="6">
        <f ca="1">IF(OR($C$7="",$B4657&gt;NOW()),"",IF(INDEX(Data!$A:$G,MATCH($B4657,Data!$A:$A,0),MATCH($C$7,Data!$4:$4,0))="","",INDEX(Data!$A:$G,MATCH($B4657,Data!$A:$A,0),MATCH($C$7,Data!$4:$4,0))))</f>
        <v>80.3</v>
      </c>
      <c r="D4657" s="148">
        <f t="shared" ca="1" si="150"/>
        <v>0</v>
      </c>
      <c r="E4657" s="148">
        <f t="shared" ca="1" si="151"/>
        <v>15.299999999999997</v>
      </c>
    </row>
    <row r="4658" spans="2:5" x14ac:dyDescent="0.25">
      <c r="B4658" s="8">
        <v>42252</v>
      </c>
      <c r="C4658" s="6">
        <f ca="1">IF(OR($C$7="",$B4658&gt;NOW()),"",IF(INDEX(Data!$A:$G,MATCH($B4658,Data!$A:$A,0),MATCH($C$7,Data!$4:$4,0))="","",INDEX(Data!$A:$G,MATCH($B4658,Data!$A:$A,0),MATCH($C$7,Data!$4:$4,0))))</f>
        <v>72.900000000000006</v>
      </c>
      <c r="D4658" s="148">
        <f t="shared" ca="1" si="150"/>
        <v>0</v>
      </c>
      <c r="E4658" s="148">
        <f t="shared" ca="1" si="151"/>
        <v>7.9000000000000057</v>
      </c>
    </row>
    <row r="4659" spans="2:5" x14ac:dyDescent="0.25">
      <c r="B4659" s="8">
        <v>42253</v>
      </c>
      <c r="C4659" s="6">
        <f ca="1">IF(OR($C$7="",$B4659&gt;NOW()),"",IF(INDEX(Data!$A:$G,MATCH($B4659,Data!$A:$A,0),MATCH($C$7,Data!$4:$4,0))="","",INDEX(Data!$A:$G,MATCH($B4659,Data!$A:$A,0),MATCH($C$7,Data!$4:$4,0))))</f>
        <v>73.900000000000006</v>
      </c>
      <c r="D4659" s="148">
        <f t="shared" ca="1" si="150"/>
        <v>0</v>
      </c>
      <c r="E4659" s="148">
        <f t="shared" ca="1" si="151"/>
        <v>8.9000000000000057</v>
      </c>
    </row>
    <row r="4660" spans="2:5" x14ac:dyDescent="0.25">
      <c r="B4660" s="8">
        <v>42254</v>
      </c>
      <c r="C4660" s="6">
        <f ca="1">IF(OR($C$7="",$B4660&gt;NOW()),"",IF(INDEX(Data!$A:$G,MATCH($B4660,Data!$A:$A,0),MATCH($C$7,Data!$4:$4,0))="","",INDEX(Data!$A:$G,MATCH($B4660,Data!$A:$A,0),MATCH($C$7,Data!$4:$4,0))))</f>
        <v>77.8</v>
      </c>
      <c r="D4660" s="148">
        <f t="shared" ca="1" si="150"/>
        <v>0</v>
      </c>
      <c r="E4660" s="148">
        <f t="shared" ca="1" si="151"/>
        <v>12.799999999999997</v>
      </c>
    </row>
    <row r="4661" spans="2:5" x14ac:dyDescent="0.25">
      <c r="B4661" s="8">
        <v>42255</v>
      </c>
      <c r="C4661" s="6">
        <f ca="1">IF(OR($C$7="",$B4661&gt;NOW()),"",IF(INDEX(Data!$A:$G,MATCH($B4661,Data!$A:$A,0),MATCH($C$7,Data!$4:$4,0))="","",INDEX(Data!$A:$G,MATCH($B4661,Data!$A:$A,0),MATCH($C$7,Data!$4:$4,0))))</f>
        <v>83.3</v>
      </c>
      <c r="D4661" s="148">
        <f t="shared" ca="1" si="150"/>
        <v>0</v>
      </c>
      <c r="E4661" s="148">
        <f t="shared" ca="1" si="151"/>
        <v>18.299999999999997</v>
      </c>
    </row>
    <row r="4662" spans="2:5" x14ac:dyDescent="0.25">
      <c r="B4662" s="8">
        <v>42256</v>
      </c>
      <c r="C4662" s="6">
        <f ca="1">IF(OR($C$7="",$B4662&gt;NOW()),"",IF(INDEX(Data!$A:$G,MATCH($B4662,Data!$A:$A,0),MATCH($C$7,Data!$4:$4,0))="","",INDEX(Data!$A:$G,MATCH($B4662,Data!$A:$A,0),MATCH($C$7,Data!$4:$4,0))))</f>
        <v>81.099999999999994</v>
      </c>
      <c r="D4662" s="148">
        <f t="shared" ca="1" si="150"/>
        <v>0</v>
      </c>
      <c r="E4662" s="148">
        <f t="shared" ca="1" si="151"/>
        <v>16.099999999999994</v>
      </c>
    </row>
    <row r="4663" spans="2:5" x14ac:dyDescent="0.25">
      <c r="B4663" s="8">
        <v>42257</v>
      </c>
      <c r="C4663" s="6">
        <f ca="1">IF(OR($C$7="",$B4663&gt;NOW()),"",IF(INDEX(Data!$A:$G,MATCH($B4663,Data!$A:$A,0),MATCH($C$7,Data!$4:$4,0))="","",INDEX(Data!$A:$G,MATCH($B4663,Data!$A:$A,0),MATCH($C$7,Data!$4:$4,0))))</f>
        <v>75.3</v>
      </c>
      <c r="D4663" s="148">
        <f t="shared" ca="1" si="150"/>
        <v>0</v>
      </c>
      <c r="E4663" s="148">
        <f t="shared" ca="1" si="151"/>
        <v>10.299999999999997</v>
      </c>
    </row>
    <row r="4664" spans="2:5" x14ac:dyDescent="0.25">
      <c r="B4664" s="8">
        <v>42258</v>
      </c>
      <c r="C4664" s="6">
        <f ca="1">IF(OR($C$7="",$B4664&gt;NOW()),"",IF(INDEX(Data!$A:$G,MATCH($B4664,Data!$A:$A,0),MATCH($C$7,Data!$4:$4,0))="","",INDEX(Data!$A:$G,MATCH($B4664,Data!$A:$A,0),MATCH($C$7,Data!$4:$4,0))))</f>
        <v>72.400000000000006</v>
      </c>
      <c r="D4664" s="148">
        <f t="shared" ca="1" si="150"/>
        <v>0</v>
      </c>
      <c r="E4664" s="148">
        <f t="shared" ca="1" si="151"/>
        <v>7.4000000000000057</v>
      </c>
    </row>
    <row r="4665" spans="2:5" x14ac:dyDescent="0.25">
      <c r="B4665" s="8">
        <v>42259</v>
      </c>
      <c r="C4665" s="6">
        <f ca="1">IF(OR($C$7="",$B4665&gt;NOW()),"",IF(INDEX(Data!$A:$G,MATCH($B4665,Data!$A:$A,0),MATCH($C$7,Data!$4:$4,0))="","",INDEX(Data!$A:$G,MATCH($B4665,Data!$A:$A,0),MATCH($C$7,Data!$4:$4,0))))</f>
        <v>74.599999999999994</v>
      </c>
      <c r="D4665" s="148">
        <f t="shared" ca="1" si="150"/>
        <v>0</v>
      </c>
      <c r="E4665" s="148">
        <f t="shared" ca="1" si="151"/>
        <v>9.5999999999999943</v>
      </c>
    </row>
    <row r="4666" spans="2:5" x14ac:dyDescent="0.25">
      <c r="B4666" s="8">
        <v>42260</v>
      </c>
      <c r="C4666" s="6">
        <f ca="1">IF(OR($C$7="",$B4666&gt;NOW()),"",IF(INDEX(Data!$A:$G,MATCH($B4666,Data!$A:$A,0),MATCH($C$7,Data!$4:$4,0))="","",INDEX(Data!$A:$G,MATCH($B4666,Data!$A:$A,0),MATCH($C$7,Data!$4:$4,0))))</f>
        <v>72.599999999999994</v>
      </c>
      <c r="D4666" s="148">
        <f t="shared" ca="1" si="150"/>
        <v>0</v>
      </c>
      <c r="E4666" s="148">
        <f t="shared" ca="1" si="151"/>
        <v>7.5999999999999943</v>
      </c>
    </row>
    <row r="4667" spans="2:5" x14ac:dyDescent="0.25">
      <c r="B4667" s="8">
        <v>42261</v>
      </c>
      <c r="C4667" s="6">
        <f ca="1">IF(OR($C$7="",$B4667&gt;NOW()),"",IF(INDEX(Data!$A:$G,MATCH($B4667,Data!$A:$A,0),MATCH($C$7,Data!$4:$4,0))="","",INDEX(Data!$A:$G,MATCH($B4667,Data!$A:$A,0),MATCH($C$7,Data!$4:$4,0))))</f>
        <v>66.599999999999994</v>
      </c>
      <c r="D4667" s="148">
        <f t="shared" ca="1" si="150"/>
        <v>0</v>
      </c>
      <c r="E4667" s="148">
        <f t="shared" ca="1" si="151"/>
        <v>1.5999999999999943</v>
      </c>
    </row>
    <row r="4668" spans="2:5" x14ac:dyDescent="0.25">
      <c r="B4668" s="8">
        <v>42262</v>
      </c>
      <c r="C4668" s="6">
        <f ca="1">IF(OR($C$7="",$B4668&gt;NOW()),"",IF(INDEX(Data!$A:$G,MATCH($B4668,Data!$A:$A,0),MATCH($C$7,Data!$4:$4,0))="","",INDEX(Data!$A:$G,MATCH($B4668,Data!$A:$A,0),MATCH($C$7,Data!$4:$4,0))))</f>
        <v>73.2</v>
      </c>
      <c r="D4668" s="148">
        <f t="shared" ca="1" si="150"/>
        <v>0</v>
      </c>
      <c r="E4668" s="148">
        <f t="shared" ca="1" si="151"/>
        <v>8.2000000000000028</v>
      </c>
    </row>
    <row r="4669" spans="2:5" x14ac:dyDescent="0.25">
      <c r="B4669" s="8">
        <v>42263</v>
      </c>
      <c r="C4669" s="6">
        <f ca="1">IF(OR($C$7="",$B4669&gt;NOW()),"",IF(INDEX(Data!$A:$G,MATCH($B4669,Data!$A:$A,0),MATCH($C$7,Data!$4:$4,0))="","",INDEX(Data!$A:$G,MATCH($B4669,Data!$A:$A,0),MATCH($C$7,Data!$4:$4,0))))</f>
        <v>76.8</v>
      </c>
      <c r="D4669" s="148">
        <f t="shared" ca="1" si="150"/>
        <v>0</v>
      </c>
      <c r="E4669" s="148">
        <f t="shared" ca="1" si="151"/>
        <v>11.799999999999997</v>
      </c>
    </row>
    <row r="4670" spans="2:5" x14ac:dyDescent="0.25">
      <c r="B4670" s="8">
        <v>42264</v>
      </c>
      <c r="C4670" s="6">
        <f ca="1">IF(OR($C$7="",$B4670&gt;NOW()),"",IF(INDEX(Data!$A:$G,MATCH($B4670,Data!$A:$A,0),MATCH($C$7,Data!$4:$4,0))="","",INDEX(Data!$A:$G,MATCH($B4670,Data!$A:$A,0),MATCH($C$7,Data!$4:$4,0))))</f>
        <v>78</v>
      </c>
      <c r="D4670" s="148">
        <f t="shared" ca="1" si="150"/>
        <v>0</v>
      </c>
      <c r="E4670" s="148">
        <f t="shared" ca="1" si="151"/>
        <v>13</v>
      </c>
    </row>
    <row r="4671" spans="2:5" x14ac:dyDescent="0.25">
      <c r="B4671" s="8">
        <v>42265</v>
      </c>
      <c r="C4671" s="6">
        <f ca="1">IF(OR($C$7="",$B4671&gt;NOW()),"",IF(INDEX(Data!$A:$G,MATCH($B4671,Data!$A:$A,0),MATCH($C$7,Data!$4:$4,0))="","",INDEX(Data!$A:$G,MATCH($B4671,Data!$A:$A,0),MATCH($C$7,Data!$4:$4,0))))</f>
        <v>76.900000000000006</v>
      </c>
      <c r="D4671" s="148">
        <f t="shared" ca="1" si="150"/>
        <v>0</v>
      </c>
      <c r="E4671" s="148">
        <f t="shared" ca="1" si="151"/>
        <v>11.900000000000006</v>
      </c>
    </row>
    <row r="4672" spans="2:5" x14ac:dyDescent="0.25">
      <c r="B4672" s="8">
        <v>42266</v>
      </c>
      <c r="C4672" s="6">
        <f ca="1">IF(OR($C$7="",$B4672&gt;NOW()),"",IF(INDEX(Data!$A:$G,MATCH($B4672,Data!$A:$A,0),MATCH($C$7,Data!$4:$4,0))="","",INDEX(Data!$A:$G,MATCH($B4672,Data!$A:$A,0),MATCH($C$7,Data!$4:$4,0))))</f>
        <v>73.900000000000006</v>
      </c>
      <c r="D4672" s="148">
        <f t="shared" ca="1" si="150"/>
        <v>0</v>
      </c>
      <c r="E4672" s="148">
        <f t="shared" ca="1" si="151"/>
        <v>8.9000000000000057</v>
      </c>
    </row>
    <row r="4673" spans="2:5" x14ac:dyDescent="0.25">
      <c r="B4673" s="8">
        <v>42267</v>
      </c>
      <c r="C4673" s="6">
        <f ca="1">IF(OR($C$7="",$B4673&gt;NOW()),"",IF(INDEX(Data!$A:$G,MATCH($B4673,Data!$A:$A,0),MATCH($C$7,Data!$4:$4,0))="","",INDEX(Data!$A:$G,MATCH($B4673,Data!$A:$A,0),MATCH($C$7,Data!$4:$4,0))))</f>
        <v>73.3</v>
      </c>
      <c r="D4673" s="148">
        <f t="shared" ca="1" si="150"/>
        <v>0</v>
      </c>
      <c r="E4673" s="148">
        <f t="shared" ca="1" si="151"/>
        <v>8.2999999999999972</v>
      </c>
    </row>
    <row r="4674" spans="2:5" x14ac:dyDescent="0.25">
      <c r="B4674" s="8">
        <v>42268</v>
      </c>
      <c r="C4674" s="6">
        <f ca="1">IF(OR($C$7="",$B4674&gt;NOW()),"",IF(INDEX(Data!$A:$G,MATCH($B4674,Data!$A:$A,0),MATCH($C$7,Data!$4:$4,0))="","",INDEX(Data!$A:$G,MATCH($B4674,Data!$A:$A,0),MATCH($C$7,Data!$4:$4,0))))</f>
        <v>65.400000000000006</v>
      </c>
      <c r="D4674" s="148">
        <f t="shared" ca="1" si="150"/>
        <v>0</v>
      </c>
      <c r="E4674" s="148">
        <f t="shared" ca="1" si="151"/>
        <v>0.40000000000000568</v>
      </c>
    </row>
    <row r="4675" spans="2:5" x14ac:dyDescent="0.25">
      <c r="B4675" s="8">
        <v>42269</v>
      </c>
      <c r="C4675" s="6">
        <f ca="1">IF(OR($C$7="",$B4675&gt;NOW()),"",IF(INDEX(Data!$A:$G,MATCH($B4675,Data!$A:$A,0),MATCH($C$7,Data!$4:$4,0))="","",INDEX(Data!$A:$G,MATCH($B4675,Data!$A:$A,0),MATCH($C$7,Data!$4:$4,0))))</f>
        <v>66.3</v>
      </c>
      <c r="D4675" s="148">
        <f t="shared" ca="1" si="150"/>
        <v>0</v>
      </c>
      <c r="E4675" s="148">
        <f t="shared" ca="1" si="151"/>
        <v>1.2999999999999972</v>
      </c>
    </row>
    <row r="4676" spans="2:5" x14ac:dyDescent="0.25">
      <c r="B4676" s="8">
        <v>42270</v>
      </c>
      <c r="C4676" s="6">
        <f ca="1">IF(OR($C$7="",$B4676&gt;NOW()),"",IF(INDEX(Data!$A:$G,MATCH($B4676,Data!$A:$A,0),MATCH($C$7,Data!$4:$4,0))="","",INDEX(Data!$A:$G,MATCH($B4676,Data!$A:$A,0),MATCH($C$7,Data!$4:$4,0))))</f>
        <v>67.599999999999994</v>
      </c>
      <c r="D4676" s="148">
        <f t="shared" ca="1" si="150"/>
        <v>0</v>
      </c>
      <c r="E4676" s="148">
        <f t="shared" ca="1" si="151"/>
        <v>2.5999999999999943</v>
      </c>
    </row>
    <row r="4677" spans="2:5" x14ac:dyDescent="0.25">
      <c r="B4677" s="8">
        <v>42271</v>
      </c>
      <c r="C4677" s="6">
        <f ca="1">IF(OR($C$7="",$B4677&gt;NOW()),"",IF(INDEX(Data!$A:$G,MATCH($B4677,Data!$A:$A,0),MATCH($C$7,Data!$4:$4,0))="","",INDEX(Data!$A:$G,MATCH($B4677,Data!$A:$A,0),MATCH($C$7,Data!$4:$4,0))))</f>
        <v>69.900000000000006</v>
      </c>
      <c r="D4677" s="148">
        <f t="shared" ca="1" si="150"/>
        <v>0</v>
      </c>
      <c r="E4677" s="148">
        <f t="shared" ca="1" si="151"/>
        <v>4.9000000000000057</v>
      </c>
    </row>
    <row r="4678" spans="2:5" x14ac:dyDescent="0.25">
      <c r="B4678" s="8">
        <v>42272</v>
      </c>
      <c r="C4678" s="6">
        <f ca="1">IF(OR($C$7="",$B4678&gt;NOW()),"",IF(INDEX(Data!$A:$G,MATCH($B4678,Data!$A:$A,0),MATCH($C$7,Data!$4:$4,0))="","",INDEX(Data!$A:$G,MATCH($B4678,Data!$A:$A,0),MATCH($C$7,Data!$4:$4,0))))</f>
        <v>68.5</v>
      </c>
      <c r="D4678" s="148">
        <f t="shared" ca="1" si="150"/>
        <v>0</v>
      </c>
      <c r="E4678" s="148">
        <f t="shared" ca="1" si="151"/>
        <v>3.5</v>
      </c>
    </row>
    <row r="4679" spans="2:5" x14ac:dyDescent="0.25">
      <c r="B4679" s="8">
        <v>42273</v>
      </c>
      <c r="C4679" s="6">
        <f ca="1">IF(OR($C$7="",$B4679&gt;NOW()),"",IF(INDEX(Data!$A:$G,MATCH($B4679,Data!$A:$A,0),MATCH($C$7,Data!$4:$4,0))="","",INDEX(Data!$A:$G,MATCH($B4679,Data!$A:$A,0),MATCH($C$7,Data!$4:$4,0))))</f>
        <v>65.900000000000006</v>
      </c>
      <c r="D4679" s="148">
        <f t="shared" ca="1" si="150"/>
        <v>0</v>
      </c>
      <c r="E4679" s="148">
        <f t="shared" ca="1" si="151"/>
        <v>0.90000000000000568</v>
      </c>
    </row>
    <row r="4680" spans="2:5" x14ac:dyDescent="0.25">
      <c r="B4680" s="8">
        <v>42274</v>
      </c>
      <c r="C4680" s="6">
        <f ca="1">IF(OR($C$7="",$B4680&gt;NOW()),"",IF(INDEX(Data!$A:$G,MATCH($B4680,Data!$A:$A,0),MATCH($C$7,Data!$4:$4,0))="","",INDEX(Data!$A:$G,MATCH($B4680,Data!$A:$A,0),MATCH($C$7,Data!$4:$4,0))))</f>
        <v>62.2</v>
      </c>
      <c r="D4680" s="148">
        <f t="shared" ca="1" si="150"/>
        <v>2.7999999999999972</v>
      </c>
      <c r="E4680" s="148">
        <f t="shared" ca="1" si="151"/>
        <v>0</v>
      </c>
    </row>
    <row r="4681" spans="2:5" x14ac:dyDescent="0.25">
      <c r="B4681" s="8">
        <v>42275</v>
      </c>
      <c r="C4681" s="6">
        <f ca="1">IF(OR($C$7="",$B4681&gt;NOW()),"",IF(INDEX(Data!$A:$G,MATCH($B4681,Data!$A:$A,0),MATCH($C$7,Data!$4:$4,0))="","",INDEX(Data!$A:$G,MATCH($B4681,Data!$A:$A,0),MATCH($C$7,Data!$4:$4,0))))</f>
        <v>68.5</v>
      </c>
      <c r="D4681" s="148">
        <f t="shared" ca="1" si="150"/>
        <v>0</v>
      </c>
      <c r="E4681" s="148">
        <f t="shared" ca="1" si="151"/>
        <v>3.5</v>
      </c>
    </row>
    <row r="4682" spans="2:5" x14ac:dyDescent="0.25">
      <c r="B4682" s="8">
        <v>42276</v>
      </c>
      <c r="C4682" s="6">
        <f ca="1">IF(OR($C$7="",$B4682&gt;NOW()),"",IF(INDEX(Data!$A:$G,MATCH($B4682,Data!$A:$A,0),MATCH($C$7,Data!$4:$4,0))="","",INDEX(Data!$A:$G,MATCH($B4682,Data!$A:$A,0),MATCH($C$7,Data!$4:$4,0))))</f>
        <v>74.7</v>
      </c>
      <c r="D4682" s="148">
        <f t="shared" ca="1" si="150"/>
        <v>0</v>
      </c>
      <c r="E4682" s="148">
        <f t="shared" ca="1" si="151"/>
        <v>9.7000000000000028</v>
      </c>
    </row>
    <row r="4683" spans="2:5" x14ac:dyDescent="0.25">
      <c r="B4683" s="8">
        <v>42277</v>
      </c>
      <c r="C4683" s="6">
        <f ca="1">IF(OR($C$7="",$B4683&gt;NOW()),"",IF(INDEX(Data!$A:$G,MATCH($B4683,Data!$A:$A,0),MATCH($C$7,Data!$4:$4,0))="","",INDEX(Data!$A:$G,MATCH($B4683,Data!$A:$A,0),MATCH($C$7,Data!$4:$4,0))))</f>
        <v>73.2</v>
      </c>
      <c r="D4683" s="148">
        <f t="shared" ca="1" si="150"/>
        <v>0</v>
      </c>
      <c r="E4683" s="148">
        <f t="shared" ca="1" si="151"/>
        <v>8.2000000000000028</v>
      </c>
    </row>
    <row r="4684" spans="2:5" x14ac:dyDescent="0.25">
      <c r="B4684" s="8">
        <v>42278</v>
      </c>
      <c r="C4684" s="6">
        <f ca="1">IF(OR($C$7="",$B4684&gt;NOW()),"",IF(INDEX(Data!$A:$G,MATCH($B4684,Data!$A:$A,0),MATCH($C$7,Data!$4:$4,0))="","",INDEX(Data!$A:$G,MATCH($B4684,Data!$A:$A,0),MATCH($C$7,Data!$4:$4,0))))</f>
        <v>59.4</v>
      </c>
      <c r="D4684" s="148">
        <f t="shared" ca="1" si="150"/>
        <v>5.6000000000000014</v>
      </c>
      <c r="E4684" s="148">
        <f t="shared" ca="1" si="151"/>
        <v>0</v>
      </c>
    </row>
    <row r="4685" spans="2:5" x14ac:dyDescent="0.25">
      <c r="B4685" s="8">
        <v>42279</v>
      </c>
      <c r="C4685" s="6">
        <f ca="1">IF(OR($C$7="",$B4685&gt;NOW()),"",IF(INDEX(Data!$A:$G,MATCH($B4685,Data!$A:$A,0),MATCH($C$7,Data!$4:$4,0))="","",INDEX(Data!$A:$G,MATCH($B4685,Data!$A:$A,0),MATCH($C$7,Data!$4:$4,0))))</f>
        <v>53.9</v>
      </c>
      <c r="D4685" s="148">
        <f t="shared" ca="1" si="150"/>
        <v>11.100000000000001</v>
      </c>
      <c r="E4685" s="148">
        <f t="shared" ca="1" si="151"/>
        <v>0</v>
      </c>
    </row>
    <row r="4686" spans="2:5" x14ac:dyDescent="0.25">
      <c r="B4686" s="8">
        <v>42280</v>
      </c>
      <c r="C4686" s="6">
        <f ca="1">IF(OR($C$7="",$B4686&gt;NOW()),"",IF(INDEX(Data!$A:$G,MATCH($B4686,Data!$A:$A,0),MATCH($C$7,Data!$4:$4,0))="","",INDEX(Data!$A:$G,MATCH($B4686,Data!$A:$A,0),MATCH($C$7,Data!$4:$4,0))))</f>
        <v>51.6</v>
      </c>
      <c r="D4686" s="148">
        <f t="shared" ca="1" si="150"/>
        <v>13.399999999999999</v>
      </c>
      <c r="E4686" s="148">
        <f t="shared" ca="1" si="151"/>
        <v>0</v>
      </c>
    </row>
    <row r="4687" spans="2:5" x14ac:dyDescent="0.25">
      <c r="B4687" s="8">
        <v>42281</v>
      </c>
      <c r="C4687" s="6">
        <f ca="1">IF(OR($C$7="",$B4687&gt;NOW()),"",IF(INDEX(Data!$A:$G,MATCH($B4687,Data!$A:$A,0),MATCH($C$7,Data!$4:$4,0))="","",INDEX(Data!$A:$G,MATCH($B4687,Data!$A:$A,0),MATCH($C$7,Data!$4:$4,0))))</f>
        <v>57.1</v>
      </c>
      <c r="D4687" s="148">
        <f t="shared" ca="1" si="150"/>
        <v>7.8999999999999986</v>
      </c>
      <c r="E4687" s="148">
        <f t="shared" ca="1" si="151"/>
        <v>0</v>
      </c>
    </row>
    <row r="4688" spans="2:5" x14ac:dyDescent="0.25">
      <c r="B4688" s="8">
        <v>42282</v>
      </c>
      <c r="C4688" s="6">
        <f ca="1">IF(OR($C$7="",$B4688&gt;NOW()),"",IF(INDEX(Data!$A:$G,MATCH($B4688,Data!$A:$A,0),MATCH($C$7,Data!$4:$4,0))="","",INDEX(Data!$A:$G,MATCH($B4688,Data!$A:$A,0),MATCH($C$7,Data!$4:$4,0))))</f>
        <v>57.2</v>
      </c>
      <c r="D4688" s="148">
        <f t="shared" ca="1" si="150"/>
        <v>7.7999999999999972</v>
      </c>
      <c r="E4688" s="148">
        <f t="shared" ca="1" si="151"/>
        <v>0</v>
      </c>
    </row>
    <row r="4689" spans="2:5" x14ac:dyDescent="0.25">
      <c r="B4689" s="8">
        <v>42283</v>
      </c>
      <c r="C4689" s="6">
        <f ca="1">IF(OR($C$7="",$B4689&gt;NOW()),"",IF(INDEX(Data!$A:$G,MATCH($B4689,Data!$A:$A,0),MATCH($C$7,Data!$4:$4,0))="","",INDEX(Data!$A:$G,MATCH($B4689,Data!$A:$A,0),MATCH($C$7,Data!$4:$4,0))))</f>
        <v>62.4</v>
      </c>
      <c r="D4689" s="148">
        <f t="shared" ca="1" si="150"/>
        <v>2.6000000000000014</v>
      </c>
      <c r="E4689" s="148">
        <f t="shared" ca="1" si="151"/>
        <v>0</v>
      </c>
    </row>
    <row r="4690" spans="2:5" x14ac:dyDescent="0.25">
      <c r="B4690" s="8">
        <v>42284</v>
      </c>
      <c r="C4690" s="6">
        <f ca="1">IF(OR($C$7="",$B4690&gt;NOW()),"",IF(INDEX(Data!$A:$G,MATCH($B4690,Data!$A:$A,0),MATCH($C$7,Data!$4:$4,0))="","",INDEX(Data!$A:$G,MATCH($B4690,Data!$A:$A,0),MATCH($C$7,Data!$4:$4,0))))</f>
        <v>64.599999999999994</v>
      </c>
      <c r="D4690" s="148">
        <f t="shared" ca="1" si="150"/>
        <v>0.40000000000000568</v>
      </c>
      <c r="E4690" s="148">
        <f t="shared" ca="1" si="151"/>
        <v>0</v>
      </c>
    </row>
    <row r="4691" spans="2:5" x14ac:dyDescent="0.25">
      <c r="B4691" s="8">
        <v>42285</v>
      </c>
      <c r="C4691" s="6">
        <f ca="1">IF(OR($C$7="",$B4691&gt;NOW()),"",IF(INDEX(Data!$A:$G,MATCH($B4691,Data!$A:$A,0),MATCH($C$7,Data!$4:$4,0))="","",INDEX(Data!$A:$G,MATCH($B4691,Data!$A:$A,0),MATCH($C$7,Data!$4:$4,0))))</f>
        <v>64.2</v>
      </c>
      <c r="D4691" s="148">
        <f t="shared" ca="1" si="150"/>
        <v>0.79999999999999716</v>
      </c>
      <c r="E4691" s="148">
        <f t="shared" ca="1" si="151"/>
        <v>0</v>
      </c>
    </row>
    <row r="4692" spans="2:5" x14ac:dyDescent="0.25">
      <c r="B4692" s="8">
        <v>42286</v>
      </c>
      <c r="C4692" s="6">
        <f ca="1">IF(OR($C$7="",$B4692&gt;NOW()),"",IF(INDEX(Data!$A:$G,MATCH($B4692,Data!$A:$A,0),MATCH($C$7,Data!$4:$4,0))="","",INDEX(Data!$A:$G,MATCH($B4692,Data!$A:$A,0),MATCH($C$7,Data!$4:$4,0))))</f>
        <v>66.900000000000006</v>
      </c>
      <c r="D4692" s="148">
        <f t="shared" ca="1" si="150"/>
        <v>0</v>
      </c>
      <c r="E4692" s="148">
        <f t="shared" ca="1" si="151"/>
        <v>1.9000000000000057</v>
      </c>
    </row>
    <row r="4693" spans="2:5" x14ac:dyDescent="0.25">
      <c r="B4693" s="8">
        <v>42287</v>
      </c>
      <c r="C4693" s="6">
        <f ca="1">IF(OR($C$7="",$B4693&gt;NOW()),"",IF(INDEX(Data!$A:$G,MATCH($B4693,Data!$A:$A,0),MATCH($C$7,Data!$4:$4,0))="","",INDEX(Data!$A:$G,MATCH($B4693,Data!$A:$A,0),MATCH($C$7,Data!$4:$4,0))))</f>
        <v>60</v>
      </c>
      <c r="D4693" s="148">
        <f t="shared" ca="1" si="150"/>
        <v>5</v>
      </c>
      <c r="E4693" s="148">
        <f t="shared" ca="1" si="151"/>
        <v>0</v>
      </c>
    </row>
    <row r="4694" spans="2:5" x14ac:dyDescent="0.25">
      <c r="B4694" s="8">
        <v>42288</v>
      </c>
      <c r="C4694" s="6">
        <f ca="1">IF(OR($C$7="",$B4694&gt;NOW()),"",IF(INDEX(Data!$A:$G,MATCH($B4694,Data!$A:$A,0),MATCH($C$7,Data!$4:$4,0))="","",INDEX(Data!$A:$G,MATCH($B4694,Data!$A:$A,0),MATCH($C$7,Data!$4:$4,0))))</f>
        <v>59.7</v>
      </c>
      <c r="D4694" s="148">
        <f t="shared" ca="1" si="150"/>
        <v>5.2999999999999972</v>
      </c>
      <c r="E4694" s="148">
        <f t="shared" ca="1" si="151"/>
        <v>0</v>
      </c>
    </row>
    <row r="4695" spans="2:5" x14ac:dyDescent="0.25">
      <c r="B4695" s="8">
        <v>42289</v>
      </c>
      <c r="C4695" s="6">
        <f ca="1">IF(OR($C$7="",$B4695&gt;NOW()),"",IF(INDEX(Data!$A:$G,MATCH($B4695,Data!$A:$A,0),MATCH($C$7,Data!$4:$4,0))="","",INDEX(Data!$A:$G,MATCH($B4695,Data!$A:$A,0),MATCH($C$7,Data!$4:$4,0))))</f>
        <v>64.5</v>
      </c>
      <c r="D4695" s="148">
        <f t="shared" ca="1" si="150"/>
        <v>0.5</v>
      </c>
      <c r="E4695" s="148">
        <f t="shared" ca="1" si="151"/>
        <v>0</v>
      </c>
    </row>
    <row r="4696" spans="2:5" x14ac:dyDescent="0.25">
      <c r="B4696" s="8">
        <v>42290</v>
      </c>
      <c r="C4696" s="6">
        <f ca="1">IF(OR($C$7="",$B4696&gt;NOW()),"",IF(INDEX(Data!$A:$G,MATCH($B4696,Data!$A:$A,0),MATCH($C$7,Data!$4:$4,0))="","",INDEX(Data!$A:$G,MATCH($B4696,Data!$A:$A,0),MATCH($C$7,Data!$4:$4,0))))</f>
        <v>66.099999999999994</v>
      </c>
      <c r="D4696" s="148">
        <f t="shared" ca="1" si="150"/>
        <v>0</v>
      </c>
      <c r="E4696" s="148">
        <f t="shared" ca="1" si="151"/>
        <v>1.0999999999999943</v>
      </c>
    </row>
    <row r="4697" spans="2:5" x14ac:dyDescent="0.25">
      <c r="B4697" s="8">
        <v>42291</v>
      </c>
      <c r="C4697" s="6">
        <f ca="1">IF(OR($C$7="",$B4697&gt;NOW()),"",IF(INDEX(Data!$A:$G,MATCH($B4697,Data!$A:$A,0),MATCH($C$7,Data!$4:$4,0))="","",INDEX(Data!$A:$G,MATCH($B4697,Data!$A:$A,0),MATCH($C$7,Data!$4:$4,0))))</f>
        <v>64.5</v>
      </c>
      <c r="D4697" s="148">
        <f t="shared" ca="1" si="150"/>
        <v>0.5</v>
      </c>
      <c r="E4697" s="148">
        <f t="shared" ca="1" si="151"/>
        <v>0</v>
      </c>
    </row>
    <row r="4698" spans="2:5" x14ac:dyDescent="0.25">
      <c r="B4698" s="8">
        <v>42292</v>
      </c>
      <c r="C4698" s="6">
        <f ca="1">IF(OR($C$7="",$B4698&gt;NOW()),"",IF(INDEX(Data!$A:$G,MATCH($B4698,Data!$A:$A,0),MATCH($C$7,Data!$4:$4,0))="","",INDEX(Data!$A:$G,MATCH($B4698,Data!$A:$A,0),MATCH($C$7,Data!$4:$4,0))))</f>
        <v>58.5</v>
      </c>
      <c r="D4698" s="148">
        <f t="shared" ca="1" si="150"/>
        <v>6.5</v>
      </c>
      <c r="E4698" s="148">
        <f t="shared" ca="1" si="151"/>
        <v>0</v>
      </c>
    </row>
    <row r="4699" spans="2:5" x14ac:dyDescent="0.25">
      <c r="B4699" s="8">
        <v>42293</v>
      </c>
      <c r="C4699" s="6">
        <f ca="1">IF(OR($C$7="",$B4699&gt;NOW()),"",IF(INDEX(Data!$A:$G,MATCH($B4699,Data!$A:$A,0),MATCH($C$7,Data!$4:$4,0))="","",INDEX(Data!$A:$G,MATCH($B4699,Data!$A:$A,0),MATCH($C$7,Data!$4:$4,0))))</f>
        <v>59</v>
      </c>
      <c r="D4699" s="148">
        <f t="shared" ca="1" si="150"/>
        <v>6</v>
      </c>
      <c r="E4699" s="148">
        <f t="shared" ca="1" si="151"/>
        <v>0</v>
      </c>
    </row>
    <row r="4700" spans="2:5" x14ac:dyDescent="0.25">
      <c r="B4700" s="8">
        <v>42294</v>
      </c>
      <c r="C4700" s="6">
        <f ca="1">IF(OR($C$7="",$B4700&gt;NOW()),"",IF(INDEX(Data!$A:$G,MATCH($B4700,Data!$A:$A,0),MATCH($C$7,Data!$4:$4,0))="","",INDEX(Data!$A:$G,MATCH($B4700,Data!$A:$A,0),MATCH($C$7,Data!$4:$4,0))))</f>
        <v>52.9</v>
      </c>
      <c r="D4700" s="148">
        <f t="shared" ca="1" si="150"/>
        <v>12.100000000000001</v>
      </c>
      <c r="E4700" s="148">
        <f t="shared" ca="1" si="151"/>
        <v>0</v>
      </c>
    </row>
    <row r="4701" spans="2:5" x14ac:dyDescent="0.25">
      <c r="B4701" s="8">
        <v>42295</v>
      </c>
      <c r="C4701" s="6">
        <f ca="1">IF(OR($C$7="",$B4701&gt;NOW()),"",IF(INDEX(Data!$A:$G,MATCH($B4701,Data!$A:$A,0),MATCH($C$7,Data!$4:$4,0))="","",INDEX(Data!$A:$G,MATCH($B4701,Data!$A:$A,0),MATCH($C$7,Data!$4:$4,0))))</f>
        <v>44.4</v>
      </c>
      <c r="D4701" s="148">
        <f t="shared" ref="D4701:D4764" ca="1" si="152">IF($C4701="","",IF($C4701&gt;$D$26,0,$D$26-$C4701))</f>
        <v>20.6</v>
      </c>
      <c r="E4701" s="148">
        <f t="shared" ref="E4701:E4764" ca="1" si="153">IF($C4701="","",IF($C4701&lt;$E$26,0,$C4701-$E$26))</f>
        <v>0</v>
      </c>
    </row>
    <row r="4702" spans="2:5" x14ac:dyDescent="0.25">
      <c r="B4702" s="8">
        <v>42296</v>
      </c>
      <c r="C4702" s="6">
        <f ca="1">IF(OR($C$7="",$B4702&gt;NOW()),"",IF(INDEX(Data!$A:$G,MATCH($B4702,Data!$A:$A,0),MATCH($C$7,Data!$4:$4,0))="","",INDEX(Data!$A:$G,MATCH($B4702,Data!$A:$A,0),MATCH($C$7,Data!$4:$4,0))))</f>
        <v>43.5</v>
      </c>
      <c r="D4702" s="148">
        <f t="shared" ca="1" si="152"/>
        <v>21.5</v>
      </c>
      <c r="E4702" s="148">
        <f t="shared" ca="1" si="153"/>
        <v>0</v>
      </c>
    </row>
    <row r="4703" spans="2:5" x14ac:dyDescent="0.25">
      <c r="B4703" s="8">
        <v>42297</v>
      </c>
      <c r="C4703" s="6">
        <f ca="1">IF(OR($C$7="",$B4703&gt;NOW()),"",IF(INDEX(Data!$A:$G,MATCH($B4703,Data!$A:$A,0),MATCH($C$7,Data!$4:$4,0))="","",INDEX(Data!$A:$G,MATCH($B4703,Data!$A:$A,0),MATCH($C$7,Data!$4:$4,0))))</f>
        <v>56</v>
      </c>
      <c r="D4703" s="148">
        <f t="shared" ca="1" si="152"/>
        <v>9</v>
      </c>
      <c r="E4703" s="148">
        <f t="shared" ca="1" si="153"/>
        <v>0</v>
      </c>
    </row>
    <row r="4704" spans="2:5" x14ac:dyDescent="0.25">
      <c r="B4704" s="8">
        <v>42298</v>
      </c>
      <c r="C4704" s="6">
        <f ca="1">IF(OR($C$7="",$B4704&gt;NOW()),"",IF(INDEX(Data!$A:$G,MATCH($B4704,Data!$A:$A,0),MATCH($C$7,Data!$4:$4,0))="","",INDEX(Data!$A:$G,MATCH($B4704,Data!$A:$A,0),MATCH($C$7,Data!$4:$4,0))))</f>
        <v>65.5</v>
      </c>
      <c r="D4704" s="148">
        <f t="shared" ca="1" si="152"/>
        <v>0</v>
      </c>
      <c r="E4704" s="148">
        <f t="shared" ca="1" si="153"/>
        <v>0.5</v>
      </c>
    </row>
    <row r="4705" spans="2:5" x14ac:dyDescent="0.25">
      <c r="B4705" s="8">
        <v>42299</v>
      </c>
      <c r="C4705" s="6">
        <f ca="1">IF(OR($C$7="",$B4705&gt;NOW()),"",IF(INDEX(Data!$A:$G,MATCH($B4705,Data!$A:$A,0),MATCH($C$7,Data!$4:$4,0))="","",INDEX(Data!$A:$G,MATCH($B4705,Data!$A:$A,0),MATCH($C$7,Data!$4:$4,0))))</f>
        <v>65</v>
      </c>
      <c r="D4705" s="148">
        <f t="shared" ca="1" si="152"/>
        <v>0</v>
      </c>
      <c r="E4705" s="148">
        <f t="shared" ca="1" si="153"/>
        <v>0</v>
      </c>
    </row>
    <row r="4706" spans="2:5" x14ac:dyDescent="0.25">
      <c r="B4706" s="8">
        <v>42300</v>
      </c>
      <c r="C4706" s="6">
        <f ca="1">IF(OR($C$7="",$B4706&gt;NOW()),"",IF(INDEX(Data!$A:$G,MATCH($B4706,Data!$A:$A,0),MATCH($C$7,Data!$4:$4,0))="","",INDEX(Data!$A:$G,MATCH($B4706,Data!$A:$A,0),MATCH($C$7,Data!$4:$4,0))))</f>
        <v>60</v>
      </c>
      <c r="D4706" s="148">
        <f t="shared" ca="1" si="152"/>
        <v>5</v>
      </c>
      <c r="E4706" s="148">
        <f t="shared" ca="1" si="153"/>
        <v>0</v>
      </c>
    </row>
    <row r="4707" spans="2:5" x14ac:dyDescent="0.25">
      <c r="B4707" s="8">
        <v>42301</v>
      </c>
      <c r="C4707" s="6">
        <f ca="1">IF(OR($C$7="",$B4707&gt;NOW()),"",IF(INDEX(Data!$A:$G,MATCH($B4707,Data!$A:$A,0),MATCH($C$7,Data!$4:$4,0))="","",INDEX(Data!$A:$G,MATCH($B4707,Data!$A:$A,0),MATCH($C$7,Data!$4:$4,0))))</f>
        <v>48.3</v>
      </c>
      <c r="D4707" s="148">
        <f t="shared" ca="1" si="152"/>
        <v>16.700000000000003</v>
      </c>
      <c r="E4707" s="148">
        <f t="shared" ca="1" si="153"/>
        <v>0</v>
      </c>
    </row>
    <row r="4708" spans="2:5" x14ac:dyDescent="0.25">
      <c r="B4708" s="8">
        <v>42302</v>
      </c>
      <c r="C4708" s="6">
        <f ca="1">IF(OR($C$7="",$B4708&gt;NOW()),"",IF(INDEX(Data!$A:$G,MATCH($B4708,Data!$A:$A,0),MATCH($C$7,Data!$4:$4,0))="","",INDEX(Data!$A:$G,MATCH($B4708,Data!$A:$A,0),MATCH($C$7,Data!$4:$4,0))))</f>
        <v>59.3</v>
      </c>
      <c r="D4708" s="148">
        <f t="shared" ca="1" si="152"/>
        <v>5.7000000000000028</v>
      </c>
      <c r="E4708" s="148">
        <f t="shared" ca="1" si="153"/>
        <v>0</v>
      </c>
    </row>
    <row r="4709" spans="2:5" x14ac:dyDescent="0.25">
      <c r="B4709" s="8">
        <v>42303</v>
      </c>
      <c r="C4709" s="6">
        <f ca="1">IF(OR($C$7="",$B4709&gt;NOW()),"",IF(INDEX(Data!$A:$G,MATCH($B4709,Data!$A:$A,0),MATCH($C$7,Data!$4:$4,0))="","",INDEX(Data!$A:$G,MATCH($B4709,Data!$A:$A,0),MATCH($C$7,Data!$4:$4,0))))</f>
        <v>53</v>
      </c>
      <c r="D4709" s="148">
        <f t="shared" ca="1" si="152"/>
        <v>12</v>
      </c>
      <c r="E4709" s="148">
        <f t="shared" ca="1" si="153"/>
        <v>0</v>
      </c>
    </row>
    <row r="4710" spans="2:5" x14ac:dyDescent="0.25">
      <c r="B4710" s="8">
        <v>42304</v>
      </c>
      <c r="C4710" s="6">
        <f ca="1">IF(OR($C$7="",$B4710&gt;NOW()),"",IF(INDEX(Data!$A:$G,MATCH($B4710,Data!$A:$A,0),MATCH($C$7,Data!$4:$4,0))="","",INDEX(Data!$A:$G,MATCH($B4710,Data!$A:$A,0),MATCH($C$7,Data!$4:$4,0))))</f>
        <v>52.2</v>
      </c>
      <c r="D4710" s="148">
        <f t="shared" ca="1" si="152"/>
        <v>12.799999999999997</v>
      </c>
      <c r="E4710" s="148">
        <f t="shared" ca="1" si="153"/>
        <v>0</v>
      </c>
    </row>
    <row r="4711" spans="2:5" x14ac:dyDescent="0.25">
      <c r="B4711" s="8">
        <v>42305</v>
      </c>
      <c r="C4711" s="6">
        <f ca="1">IF(OR($C$7="",$B4711&gt;NOW()),"",IF(INDEX(Data!$A:$G,MATCH($B4711,Data!$A:$A,0),MATCH($C$7,Data!$4:$4,0))="","",INDEX(Data!$A:$G,MATCH($B4711,Data!$A:$A,0),MATCH($C$7,Data!$4:$4,0))))</f>
        <v>56.9</v>
      </c>
      <c r="D4711" s="148">
        <f t="shared" ca="1" si="152"/>
        <v>8.1000000000000014</v>
      </c>
      <c r="E4711" s="148">
        <f t="shared" ca="1" si="153"/>
        <v>0</v>
      </c>
    </row>
    <row r="4712" spans="2:5" x14ac:dyDescent="0.25">
      <c r="B4712" s="8">
        <v>42306</v>
      </c>
      <c r="C4712" s="6">
        <f ca="1">IF(OR($C$7="",$B4712&gt;NOW()),"",IF(INDEX(Data!$A:$G,MATCH($B4712,Data!$A:$A,0),MATCH($C$7,Data!$4:$4,0))="","",INDEX(Data!$A:$G,MATCH($B4712,Data!$A:$A,0),MATCH($C$7,Data!$4:$4,0))))</f>
        <v>67.599999999999994</v>
      </c>
      <c r="D4712" s="148">
        <f t="shared" ca="1" si="152"/>
        <v>0</v>
      </c>
      <c r="E4712" s="148">
        <f t="shared" ca="1" si="153"/>
        <v>2.5999999999999943</v>
      </c>
    </row>
    <row r="4713" spans="2:5" x14ac:dyDescent="0.25">
      <c r="B4713" s="8">
        <v>42307</v>
      </c>
      <c r="C4713" s="6">
        <f ca="1">IF(OR($C$7="",$B4713&gt;NOW()),"",IF(INDEX(Data!$A:$G,MATCH($B4713,Data!$A:$A,0),MATCH($C$7,Data!$4:$4,0))="","",INDEX(Data!$A:$G,MATCH($B4713,Data!$A:$A,0),MATCH($C$7,Data!$4:$4,0))))</f>
        <v>56.8</v>
      </c>
      <c r="D4713" s="148">
        <f t="shared" ca="1" si="152"/>
        <v>8.2000000000000028</v>
      </c>
      <c r="E4713" s="148">
        <f t="shared" ca="1" si="153"/>
        <v>0</v>
      </c>
    </row>
    <row r="4714" spans="2:5" x14ac:dyDescent="0.25">
      <c r="B4714" s="8">
        <v>42308</v>
      </c>
      <c r="C4714" s="6">
        <f ca="1">IF(OR($C$7="",$B4714&gt;NOW()),"",IF(INDEX(Data!$A:$G,MATCH($B4714,Data!$A:$A,0),MATCH($C$7,Data!$4:$4,0))="","",INDEX(Data!$A:$G,MATCH($B4714,Data!$A:$A,0),MATCH($C$7,Data!$4:$4,0))))</f>
        <v>49</v>
      </c>
      <c r="D4714" s="148">
        <f t="shared" ca="1" si="152"/>
        <v>16</v>
      </c>
      <c r="E4714" s="148">
        <f t="shared" ca="1" si="153"/>
        <v>0</v>
      </c>
    </row>
    <row r="4715" spans="2:5" x14ac:dyDescent="0.25">
      <c r="B4715" s="8">
        <v>42309</v>
      </c>
      <c r="C4715" s="6">
        <f ca="1">IF(OR($C$7="",$B4715&gt;NOW()),"",IF(INDEX(Data!$A:$G,MATCH($B4715,Data!$A:$A,0),MATCH($C$7,Data!$4:$4,0))="","",INDEX(Data!$A:$G,MATCH($B4715,Data!$A:$A,0),MATCH($C$7,Data!$4:$4,0))))</f>
        <v>57.3</v>
      </c>
      <c r="D4715" s="148">
        <f t="shared" ca="1" si="152"/>
        <v>7.7000000000000028</v>
      </c>
      <c r="E4715" s="148">
        <f t="shared" ca="1" si="153"/>
        <v>0</v>
      </c>
    </row>
    <row r="4716" spans="2:5" x14ac:dyDescent="0.25">
      <c r="B4716" s="8">
        <v>42310</v>
      </c>
      <c r="C4716" s="6">
        <f ca="1">IF(OR($C$7="",$B4716&gt;NOW()),"",IF(INDEX(Data!$A:$G,MATCH($B4716,Data!$A:$A,0),MATCH($C$7,Data!$4:$4,0))="","",INDEX(Data!$A:$G,MATCH($B4716,Data!$A:$A,0),MATCH($C$7,Data!$4:$4,0))))</f>
        <v>60.2</v>
      </c>
      <c r="D4716" s="148">
        <f t="shared" ca="1" si="152"/>
        <v>4.7999999999999972</v>
      </c>
      <c r="E4716" s="148">
        <f t="shared" ca="1" si="153"/>
        <v>0</v>
      </c>
    </row>
    <row r="4717" spans="2:5" x14ac:dyDescent="0.25">
      <c r="B4717" s="8">
        <v>42311</v>
      </c>
      <c r="C4717" s="6">
        <f ca="1">IF(OR($C$7="",$B4717&gt;NOW()),"",IF(INDEX(Data!$A:$G,MATCH($B4717,Data!$A:$A,0),MATCH($C$7,Data!$4:$4,0))="","",INDEX(Data!$A:$G,MATCH($B4717,Data!$A:$A,0),MATCH($C$7,Data!$4:$4,0))))</f>
        <v>61.3</v>
      </c>
      <c r="D4717" s="148">
        <f t="shared" ca="1" si="152"/>
        <v>3.7000000000000028</v>
      </c>
      <c r="E4717" s="148">
        <f t="shared" ca="1" si="153"/>
        <v>0</v>
      </c>
    </row>
    <row r="4718" spans="2:5" x14ac:dyDescent="0.25">
      <c r="B4718" s="8">
        <v>42312</v>
      </c>
      <c r="C4718" s="6">
        <f ca="1">IF(OR($C$7="",$B4718&gt;NOW()),"",IF(INDEX(Data!$A:$G,MATCH($B4718,Data!$A:$A,0),MATCH($C$7,Data!$4:$4,0))="","",INDEX(Data!$A:$G,MATCH($B4718,Data!$A:$A,0),MATCH($C$7,Data!$4:$4,0))))</f>
        <v>61.5</v>
      </c>
      <c r="D4718" s="148">
        <f t="shared" ca="1" si="152"/>
        <v>3.5</v>
      </c>
      <c r="E4718" s="148">
        <f t="shared" ca="1" si="153"/>
        <v>0</v>
      </c>
    </row>
    <row r="4719" spans="2:5" x14ac:dyDescent="0.25">
      <c r="B4719" s="8">
        <v>42313</v>
      </c>
      <c r="C4719" s="6">
        <f ca="1">IF(OR($C$7="",$B4719&gt;NOW()),"",IF(INDEX(Data!$A:$G,MATCH($B4719,Data!$A:$A,0),MATCH($C$7,Data!$4:$4,0))="","",INDEX(Data!$A:$G,MATCH($B4719,Data!$A:$A,0),MATCH($C$7,Data!$4:$4,0))))</f>
        <v>62</v>
      </c>
      <c r="D4719" s="148">
        <f t="shared" ca="1" si="152"/>
        <v>3</v>
      </c>
      <c r="E4719" s="148">
        <f t="shared" ca="1" si="153"/>
        <v>0</v>
      </c>
    </row>
    <row r="4720" spans="2:5" x14ac:dyDescent="0.25">
      <c r="B4720" s="8">
        <v>42314</v>
      </c>
      <c r="C4720" s="6">
        <f ca="1">IF(OR($C$7="",$B4720&gt;NOW()),"",IF(INDEX(Data!$A:$G,MATCH($B4720,Data!$A:$A,0),MATCH($C$7,Data!$4:$4,0))="","",INDEX(Data!$A:$G,MATCH($B4720,Data!$A:$A,0),MATCH($C$7,Data!$4:$4,0))))</f>
        <v>68.3</v>
      </c>
      <c r="D4720" s="148">
        <f t="shared" ca="1" si="152"/>
        <v>0</v>
      </c>
      <c r="E4720" s="148">
        <f t="shared" ca="1" si="153"/>
        <v>3.2999999999999972</v>
      </c>
    </row>
    <row r="4721" spans="2:5" x14ac:dyDescent="0.25">
      <c r="B4721" s="8">
        <v>42315</v>
      </c>
      <c r="C4721" s="6">
        <f ca="1">IF(OR($C$7="",$B4721&gt;NOW()),"",IF(INDEX(Data!$A:$G,MATCH($B4721,Data!$A:$A,0),MATCH($C$7,Data!$4:$4,0))="","",INDEX(Data!$A:$G,MATCH($B4721,Data!$A:$A,0),MATCH($C$7,Data!$4:$4,0))))</f>
        <v>65.900000000000006</v>
      </c>
      <c r="D4721" s="148">
        <f t="shared" ca="1" si="152"/>
        <v>0</v>
      </c>
      <c r="E4721" s="148">
        <f t="shared" ca="1" si="153"/>
        <v>0.90000000000000568</v>
      </c>
    </row>
    <row r="4722" spans="2:5" x14ac:dyDescent="0.25">
      <c r="B4722" s="8">
        <v>42316</v>
      </c>
      <c r="C4722" s="6">
        <f ca="1">IF(OR($C$7="",$B4722&gt;NOW()),"",IF(INDEX(Data!$A:$G,MATCH($B4722,Data!$A:$A,0),MATCH($C$7,Data!$4:$4,0))="","",INDEX(Data!$A:$G,MATCH($B4722,Data!$A:$A,0),MATCH($C$7,Data!$4:$4,0))))</f>
        <v>53.5</v>
      </c>
      <c r="D4722" s="148">
        <f t="shared" ca="1" si="152"/>
        <v>11.5</v>
      </c>
      <c r="E4722" s="148">
        <f t="shared" ca="1" si="153"/>
        <v>0</v>
      </c>
    </row>
    <row r="4723" spans="2:5" x14ac:dyDescent="0.25">
      <c r="B4723" s="8">
        <v>42317</v>
      </c>
      <c r="C4723" s="6">
        <f ca="1">IF(OR($C$7="",$B4723&gt;NOW()),"",IF(INDEX(Data!$A:$G,MATCH($B4723,Data!$A:$A,0),MATCH($C$7,Data!$4:$4,0))="","",INDEX(Data!$A:$G,MATCH($B4723,Data!$A:$A,0),MATCH($C$7,Data!$4:$4,0))))</f>
        <v>53</v>
      </c>
      <c r="D4723" s="148">
        <f t="shared" ca="1" si="152"/>
        <v>12</v>
      </c>
      <c r="E4723" s="148">
        <f t="shared" ca="1" si="153"/>
        <v>0</v>
      </c>
    </row>
    <row r="4724" spans="2:5" x14ac:dyDescent="0.25">
      <c r="B4724" s="8">
        <v>42318</v>
      </c>
      <c r="C4724" s="6">
        <f ca="1">IF(OR($C$7="",$B4724&gt;NOW()),"",IF(INDEX(Data!$A:$G,MATCH($B4724,Data!$A:$A,0),MATCH($C$7,Data!$4:$4,0))="","",INDEX(Data!$A:$G,MATCH($B4724,Data!$A:$A,0),MATCH($C$7,Data!$4:$4,0))))</f>
        <v>56</v>
      </c>
      <c r="D4724" s="148">
        <f t="shared" ca="1" si="152"/>
        <v>9</v>
      </c>
      <c r="E4724" s="148">
        <f t="shared" ca="1" si="153"/>
        <v>0</v>
      </c>
    </row>
    <row r="4725" spans="2:5" x14ac:dyDescent="0.25">
      <c r="B4725" s="8">
        <v>42319</v>
      </c>
      <c r="C4725" s="6">
        <f ca="1">IF(OR($C$7="",$B4725&gt;NOW()),"",IF(INDEX(Data!$A:$G,MATCH($B4725,Data!$A:$A,0),MATCH($C$7,Data!$4:$4,0))="","",INDEX(Data!$A:$G,MATCH($B4725,Data!$A:$A,0),MATCH($C$7,Data!$4:$4,0))))</f>
        <v>53.2</v>
      </c>
      <c r="D4725" s="148">
        <f t="shared" ca="1" si="152"/>
        <v>11.799999999999997</v>
      </c>
      <c r="E4725" s="148">
        <f t="shared" ca="1" si="153"/>
        <v>0</v>
      </c>
    </row>
    <row r="4726" spans="2:5" x14ac:dyDescent="0.25">
      <c r="B4726" s="8">
        <v>42320</v>
      </c>
      <c r="C4726" s="6">
        <f ca="1">IF(OR($C$7="",$B4726&gt;NOW()),"",IF(INDEX(Data!$A:$G,MATCH($B4726,Data!$A:$A,0),MATCH($C$7,Data!$4:$4,0))="","",INDEX(Data!$A:$G,MATCH($B4726,Data!$A:$A,0),MATCH($C$7,Data!$4:$4,0))))</f>
        <v>55.2</v>
      </c>
      <c r="D4726" s="148">
        <f t="shared" ca="1" si="152"/>
        <v>9.7999999999999972</v>
      </c>
      <c r="E4726" s="148">
        <f t="shared" ca="1" si="153"/>
        <v>0</v>
      </c>
    </row>
    <row r="4727" spans="2:5" x14ac:dyDescent="0.25">
      <c r="B4727" s="8">
        <v>42321</v>
      </c>
      <c r="C4727" s="6">
        <f ca="1">IF(OR($C$7="",$B4727&gt;NOW()),"",IF(INDEX(Data!$A:$G,MATCH($B4727,Data!$A:$A,0),MATCH($C$7,Data!$4:$4,0))="","",INDEX(Data!$A:$G,MATCH($B4727,Data!$A:$A,0),MATCH($C$7,Data!$4:$4,0))))</f>
        <v>56.8</v>
      </c>
      <c r="D4727" s="148">
        <f t="shared" ca="1" si="152"/>
        <v>8.2000000000000028</v>
      </c>
      <c r="E4727" s="148">
        <f t="shared" ca="1" si="153"/>
        <v>0</v>
      </c>
    </row>
    <row r="4728" spans="2:5" x14ac:dyDescent="0.25">
      <c r="B4728" s="8">
        <v>42322</v>
      </c>
      <c r="C4728" s="6">
        <f ca="1">IF(OR($C$7="",$B4728&gt;NOW()),"",IF(INDEX(Data!$A:$G,MATCH($B4728,Data!$A:$A,0),MATCH($C$7,Data!$4:$4,0))="","",INDEX(Data!$A:$G,MATCH($B4728,Data!$A:$A,0),MATCH($C$7,Data!$4:$4,0))))</f>
        <v>47.8</v>
      </c>
      <c r="D4728" s="148">
        <f t="shared" ca="1" si="152"/>
        <v>17.200000000000003</v>
      </c>
      <c r="E4728" s="148">
        <f t="shared" ca="1" si="153"/>
        <v>0</v>
      </c>
    </row>
    <row r="4729" spans="2:5" x14ac:dyDescent="0.25">
      <c r="B4729" s="8">
        <v>42323</v>
      </c>
      <c r="C4729" s="6">
        <f ca="1">IF(OR($C$7="",$B4729&gt;NOW()),"",IF(INDEX(Data!$A:$G,MATCH($B4729,Data!$A:$A,0),MATCH($C$7,Data!$4:$4,0))="","",INDEX(Data!$A:$G,MATCH($B4729,Data!$A:$A,0),MATCH($C$7,Data!$4:$4,0))))</f>
        <v>47.4</v>
      </c>
      <c r="D4729" s="148">
        <f t="shared" ca="1" si="152"/>
        <v>17.600000000000001</v>
      </c>
      <c r="E4729" s="148">
        <f t="shared" ca="1" si="153"/>
        <v>0</v>
      </c>
    </row>
    <row r="4730" spans="2:5" x14ac:dyDescent="0.25">
      <c r="B4730" s="8">
        <v>42324</v>
      </c>
      <c r="C4730" s="6">
        <f ca="1">IF(OR($C$7="",$B4730&gt;NOW()),"",IF(INDEX(Data!$A:$G,MATCH($B4730,Data!$A:$A,0),MATCH($C$7,Data!$4:$4,0))="","",INDEX(Data!$A:$G,MATCH($B4730,Data!$A:$A,0),MATCH($C$7,Data!$4:$4,0))))</f>
        <v>58.8</v>
      </c>
      <c r="D4730" s="148">
        <f t="shared" ca="1" si="152"/>
        <v>6.2000000000000028</v>
      </c>
      <c r="E4730" s="148">
        <f t="shared" ca="1" si="153"/>
        <v>0</v>
      </c>
    </row>
    <row r="4731" spans="2:5" x14ac:dyDescent="0.25">
      <c r="B4731" s="8">
        <v>42325</v>
      </c>
      <c r="C4731" s="6">
        <f ca="1">IF(OR($C$7="",$B4731&gt;NOW()),"",IF(INDEX(Data!$A:$G,MATCH($B4731,Data!$A:$A,0),MATCH($C$7,Data!$4:$4,0))="","",INDEX(Data!$A:$G,MATCH($B4731,Data!$A:$A,0),MATCH($C$7,Data!$4:$4,0))))</f>
        <v>49.1</v>
      </c>
      <c r="D4731" s="148">
        <f t="shared" ca="1" si="152"/>
        <v>15.899999999999999</v>
      </c>
      <c r="E4731" s="148">
        <f t="shared" ca="1" si="153"/>
        <v>0</v>
      </c>
    </row>
    <row r="4732" spans="2:5" x14ac:dyDescent="0.25">
      <c r="B4732" s="8">
        <v>42326</v>
      </c>
      <c r="C4732" s="6">
        <f ca="1">IF(OR($C$7="",$B4732&gt;NOW()),"",IF(INDEX(Data!$A:$G,MATCH($B4732,Data!$A:$A,0),MATCH($C$7,Data!$4:$4,0))="","",INDEX(Data!$A:$G,MATCH($B4732,Data!$A:$A,0),MATCH($C$7,Data!$4:$4,0))))</f>
        <v>50.5</v>
      </c>
      <c r="D4732" s="148">
        <f t="shared" ca="1" si="152"/>
        <v>14.5</v>
      </c>
      <c r="E4732" s="148">
        <f t="shared" ca="1" si="153"/>
        <v>0</v>
      </c>
    </row>
    <row r="4733" spans="2:5" x14ac:dyDescent="0.25">
      <c r="B4733" s="8">
        <v>42327</v>
      </c>
      <c r="C4733" s="6">
        <f ca="1">IF(OR($C$7="",$B4733&gt;NOW()),"",IF(INDEX(Data!$A:$G,MATCH($B4733,Data!$A:$A,0),MATCH($C$7,Data!$4:$4,0))="","",INDEX(Data!$A:$G,MATCH($B4733,Data!$A:$A,0),MATCH($C$7,Data!$4:$4,0))))</f>
        <v>59.7</v>
      </c>
      <c r="D4733" s="148">
        <f t="shared" ca="1" si="152"/>
        <v>5.2999999999999972</v>
      </c>
      <c r="E4733" s="148">
        <f t="shared" ca="1" si="153"/>
        <v>0</v>
      </c>
    </row>
    <row r="4734" spans="2:5" x14ac:dyDescent="0.25">
      <c r="B4734" s="8">
        <v>42328</v>
      </c>
      <c r="C4734" s="6">
        <f ca="1">IF(OR($C$7="",$B4734&gt;NOW()),"",IF(INDEX(Data!$A:$G,MATCH($B4734,Data!$A:$A,0),MATCH($C$7,Data!$4:$4,0))="","",INDEX(Data!$A:$G,MATCH($B4734,Data!$A:$A,0),MATCH($C$7,Data!$4:$4,0))))</f>
        <v>58.9</v>
      </c>
      <c r="D4734" s="148">
        <f t="shared" ca="1" si="152"/>
        <v>6.1000000000000014</v>
      </c>
      <c r="E4734" s="148">
        <f t="shared" ca="1" si="153"/>
        <v>0</v>
      </c>
    </row>
    <row r="4735" spans="2:5" x14ac:dyDescent="0.25">
      <c r="B4735" s="8">
        <v>42329</v>
      </c>
      <c r="C4735" s="6">
        <f ca="1">IF(OR($C$7="",$B4735&gt;NOW()),"",IF(INDEX(Data!$A:$G,MATCH($B4735,Data!$A:$A,0),MATCH($C$7,Data!$4:$4,0))="","",INDEX(Data!$A:$G,MATCH($B4735,Data!$A:$A,0),MATCH($C$7,Data!$4:$4,0))))</f>
        <v>47.2</v>
      </c>
      <c r="D4735" s="148">
        <f t="shared" ca="1" si="152"/>
        <v>17.799999999999997</v>
      </c>
      <c r="E4735" s="148">
        <f t="shared" ca="1" si="153"/>
        <v>0</v>
      </c>
    </row>
    <row r="4736" spans="2:5" x14ac:dyDescent="0.25">
      <c r="B4736" s="8">
        <v>42330</v>
      </c>
      <c r="C4736" s="6">
        <f ca="1">IF(OR($C$7="",$B4736&gt;NOW()),"",IF(INDEX(Data!$A:$G,MATCH($B4736,Data!$A:$A,0),MATCH($C$7,Data!$4:$4,0))="","",INDEX(Data!$A:$G,MATCH($B4736,Data!$A:$A,0),MATCH($C$7,Data!$4:$4,0))))</f>
        <v>52.1</v>
      </c>
      <c r="D4736" s="148">
        <f t="shared" ca="1" si="152"/>
        <v>12.899999999999999</v>
      </c>
      <c r="E4736" s="148">
        <f t="shared" ca="1" si="153"/>
        <v>0</v>
      </c>
    </row>
    <row r="4737" spans="2:5" x14ac:dyDescent="0.25">
      <c r="B4737" s="8">
        <v>42331</v>
      </c>
      <c r="C4737" s="6">
        <f ca="1">IF(OR($C$7="",$B4737&gt;NOW()),"",IF(INDEX(Data!$A:$G,MATCH($B4737,Data!$A:$A,0),MATCH($C$7,Data!$4:$4,0))="","",INDEX(Data!$A:$G,MATCH($B4737,Data!$A:$A,0),MATCH($C$7,Data!$4:$4,0))))</f>
        <v>41.8</v>
      </c>
      <c r="D4737" s="148">
        <f t="shared" ca="1" si="152"/>
        <v>23.200000000000003</v>
      </c>
      <c r="E4737" s="148">
        <f t="shared" ca="1" si="153"/>
        <v>0</v>
      </c>
    </row>
    <row r="4738" spans="2:5" x14ac:dyDescent="0.25">
      <c r="B4738" s="8">
        <v>42332</v>
      </c>
      <c r="C4738" s="6">
        <f ca="1">IF(OR($C$7="",$B4738&gt;NOW()),"",IF(INDEX(Data!$A:$G,MATCH($B4738,Data!$A:$A,0),MATCH($C$7,Data!$4:$4,0))="","",INDEX(Data!$A:$G,MATCH($B4738,Data!$A:$A,0),MATCH($C$7,Data!$4:$4,0))))</f>
        <v>39.200000000000003</v>
      </c>
      <c r="D4738" s="148">
        <f t="shared" ca="1" si="152"/>
        <v>25.799999999999997</v>
      </c>
      <c r="E4738" s="148">
        <f t="shared" ca="1" si="153"/>
        <v>0</v>
      </c>
    </row>
    <row r="4739" spans="2:5" x14ac:dyDescent="0.25">
      <c r="B4739" s="8">
        <v>42333</v>
      </c>
      <c r="C4739" s="6">
        <f ca="1">IF(OR($C$7="",$B4739&gt;NOW()),"",IF(INDEX(Data!$A:$G,MATCH($B4739,Data!$A:$A,0),MATCH($C$7,Data!$4:$4,0))="","",INDEX(Data!$A:$G,MATCH($B4739,Data!$A:$A,0),MATCH($C$7,Data!$4:$4,0))))</f>
        <v>44</v>
      </c>
      <c r="D4739" s="148">
        <f t="shared" ca="1" si="152"/>
        <v>21</v>
      </c>
      <c r="E4739" s="148">
        <f t="shared" ca="1" si="153"/>
        <v>0</v>
      </c>
    </row>
    <row r="4740" spans="2:5" x14ac:dyDescent="0.25">
      <c r="B4740" s="8">
        <v>42334</v>
      </c>
      <c r="C4740" s="6">
        <f ca="1">IF(OR($C$7="",$B4740&gt;NOW()),"",IF(INDEX(Data!$A:$G,MATCH($B4740,Data!$A:$A,0),MATCH($C$7,Data!$4:$4,0))="","",INDEX(Data!$A:$G,MATCH($B4740,Data!$A:$A,0),MATCH($C$7,Data!$4:$4,0))))</f>
        <v>48.1</v>
      </c>
      <c r="D4740" s="148">
        <f t="shared" ca="1" si="152"/>
        <v>16.899999999999999</v>
      </c>
      <c r="E4740" s="148">
        <f t="shared" ca="1" si="153"/>
        <v>0</v>
      </c>
    </row>
    <row r="4741" spans="2:5" x14ac:dyDescent="0.25">
      <c r="B4741" s="8">
        <v>42335</v>
      </c>
      <c r="C4741" s="6">
        <f ca="1">IF(OR($C$7="",$B4741&gt;NOW()),"",IF(INDEX(Data!$A:$G,MATCH($B4741,Data!$A:$A,0),MATCH($C$7,Data!$4:$4,0))="","",INDEX(Data!$A:$G,MATCH($B4741,Data!$A:$A,0),MATCH($C$7,Data!$4:$4,0))))</f>
        <v>55.6</v>
      </c>
      <c r="D4741" s="148">
        <f t="shared" ca="1" si="152"/>
        <v>9.3999999999999986</v>
      </c>
      <c r="E4741" s="148">
        <f t="shared" ca="1" si="153"/>
        <v>0</v>
      </c>
    </row>
    <row r="4742" spans="2:5" x14ac:dyDescent="0.25">
      <c r="B4742" s="8">
        <v>42336</v>
      </c>
      <c r="C4742" s="6">
        <f ca="1">IF(OR($C$7="",$B4742&gt;NOW()),"",IF(INDEX(Data!$A:$G,MATCH($B4742,Data!$A:$A,0),MATCH($C$7,Data!$4:$4,0))="","",INDEX(Data!$A:$G,MATCH($B4742,Data!$A:$A,0),MATCH($C$7,Data!$4:$4,0))))</f>
        <v>57.2</v>
      </c>
      <c r="D4742" s="148">
        <f t="shared" ca="1" si="152"/>
        <v>7.7999999999999972</v>
      </c>
      <c r="E4742" s="148">
        <f t="shared" ca="1" si="153"/>
        <v>0</v>
      </c>
    </row>
    <row r="4743" spans="2:5" x14ac:dyDescent="0.25">
      <c r="B4743" s="8">
        <v>42337</v>
      </c>
      <c r="C4743" s="6">
        <f ca="1">IF(OR($C$7="",$B4743&gt;NOW()),"",IF(INDEX(Data!$A:$G,MATCH($B4743,Data!$A:$A,0),MATCH($C$7,Data!$4:$4,0))="","",INDEX(Data!$A:$G,MATCH($B4743,Data!$A:$A,0),MATCH($C$7,Data!$4:$4,0))))</f>
        <v>43</v>
      </c>
      <c r="D4743" s="148">
        <f t="shared" ca="1" si="152"/>
        <v>22</v>
      </c>
      <c r="E4743" s="148">
        <f t="shared" ca="1" si="153"/>
        <v>0</v>
      </c>
    </row>
    <row r="4744" spans="2:5" x14ac:dyDescent="0.25">
      <c r="B4744" s="8">
        <v>42338</v>
      </c>
      <c r="C4744" s="6">
        <f ca="1">IF(OR($C$7="",$B4744&gt;NOW()),"",IF(INDEX(Data!$A:$G,MATCH($B4744,Data!$A:$A,0),MATCH($C$7,Data!$4:$4,0))="","",INDEX(Data!$A:$G,MATCH($B4744,Data!$A:$A,0),MATCH($C$7,Data!$4:$4,0))))</f>
        <v>39.799999999999997</v>
      </c>
      <c r="D4744" s="148">
        <f t="shared" ca="1" si="152"/>
        <v>25.200000000000003</v>
      </c>
      <c r="E4744" s="148">
        <f t="shared" ca="1" si="153"/>
        <v>0</v>
      </c>
    </row>
    <row r="4745" spans="2:5" x14ac:dyDescent="0.25">
      <c r="B4745" s="8">
        <v>42339</v>
      </c>
      <c r="C4745" s="6">
        <f ca="1">IF(OR($C$7="",$B4745&gt;NOW()),"",IF(INDEX(Data!$A:$G,MATCH($B4745,Data!$A:$A,0),MATCH($C$7,Data!$4:$4,0))="","",INDEX(Data!$A:$G,MATCH($B4745,Data!$A:$A,0),MATCH($C$7,Data!$4:$4,0))))</f>
        <v>47.1</v>
      </c>
      <c r="D4745" s="148">
        <f t="shared" ca="1" si="152"/>
        <v>17.899999999999999</v>
      </c>
      <c r="E4745" s="148">
        <f t="shared" ca="1" si="153"/>
        <v>0</v>
      </c>
    </row>
    <row r="4746" spans="2:5" x14ac:dyDescent="0.25">
      <c r="B4746" s="8">
        <v>42340</v>
      </c>
      <c r="C4746" s="6">
        <f ca="1">IF(OR($C$7="",$B4746&gt;NOW()),"",IF(INDEX(Data!$A:$G,MATCH($B4746,Data!$A:$A,0),MATCH($C$7,Data!$4:$4,0))="","",INDEX(Data!$A:$G,MATCH($B4746,Data!$A:$A,0),MATCH($C$7,Data!$4:$4,0))))</f>
        <v>48.1</v>
      </c>
      <c r="D4746" s="148">
        <f t="shared" ca="1" si="152"/>
        <v>16.899999999999999</v>
      </c>
      <c r="E4746" s="148">
        <f t="shared" ca="1" si="153"/>
        <v>0</v>
      </c>
    </row>
    <row r="4747" spans="2:5" x14ac:dyDescent="0.25">
      <c r="B4747" s="8">
        <v>42341</v>
      </c>
      <c r="C4747" s="6">
        <f ca="1">IF(OR($C$7="",$B4747&gt;NOW()),"",IF(INDEX(Data!$A:$G,MATCH($B4747,Data!$A:$A,0),MATCH($C$7,Data!$4:$4,0))="","",INDEX(Data!$A:$G,MATCH($B4747,Data!$A:$A,0),MATCH($C$7,Data!$4:$4,0))))</f>
        <v>51.4</v>
      </c>
      <c r="D4747" s="148">
        <f t="shared" ca="1" si="152"/>
        <v>13.600000000000001</v>
      </c>
      <c r="E4747" s="148">
        <f t="shared" ca="1" si="153"/>
        <v>0</v>
      </c>
    </row>
    <row r="4748" spans="2:5" x14ac:dyDescent="0.25">
      <c r="B4748" s="8">
        <v>42342</v>
      </c>
      <c r="C4748" s="6">
        <f ca="1">IF(OR($C$7="",$B4748&gt;NOW()),"",IF(INDEX(Data!$A:$G,MATCH($B4748,Data!$A:$A,0),MATCH($C$7,Data!$4:$4,0))="","",INDEX(Data!$A:$G,MATCH($B4748,Data!$A:$A,0),MATCH($C$7,Data!$4:$4,0))))</f>
        <v>46.9</v>
      </c>
      <c r="D4748" s="148">
        <f t="shared" ca="1" si="152"/>
        <v>18.100000000000001</v>
      </c>
      <c r="E4748" s="148">
        <f t="shared" ca="1" si="153"/>
        <v>0</v>
      </c>
    </row>
    <row r="4749" spans="2:5" x14ac:dyDescent="0.25">
      <c r="B4749" s="8">
        <v>42343</v>
      </c>
      <c r="C4749" s="6">
        <f ca="1">IF(OR($C$7="",$B4749&gt;NOW()),"",IF(INDEX(Data!$A:$G,MATCH($B4749,Data!$A:$A,0),MATCH($C$7,Data!$4:$4,0))="","",INDEX(Data!$A:$G,MATCH($B4749,Data!$A:$A,0),MATCH($C$7,Data!$4:$4,0))))</f>
        <v>47.1</v>
      </c>
      <c r="D4749" s="148">
        <f t="shared" ca="1" si="152"/>
        <v>17.899999999999999</v>
      </c>
      <c r="E4749" s="148">
        <f t="shared" ca="1" si="153"/>
        <v>0</v>
      </c>
    </row>
    <row r="4750" spans="2:5" x14ac:dyDescent="0.25">
      <c r="B4750" s="8">
        <v>42344</v>
      </c>
      <c r="C4750" s="6">
        <f ca="1">IF(OR($C$7="",$B4750&gt;NOW()),"",IF(INDEX(Data!$A:$G,MATCH($B4750,Data!$A:$A,0),MATCH($C$7,Data!$4:$4,0))="","",INDEX(Data!$A:$G,MATCH($B4750,Data!$A:$A,0),MATCH($C$7,Data!$4:$4,0))))</f>
        <v>47.1</v>
      </c>
      <c r="D4750" s="148">
        <f t="shared" ca="1" si="152"/>
        <v>17.899999999999999</v>
      </c>
      <c r="E4750" s="148">
        <f t="shared" ca="1" si="153"/>
        <v>0</v>
      </c>
    </row>
    <row r="4751" spans="2:5" x14ac:dyDescent="0.25">
      <c r="B4751" s="8">
        <v>42345</v>
      </c>
      <c r="C4751" s="6">
        <f ca="1">IF(OR($C$7="",$B4751&gt;NOW()),"",IF(INDEX(Data!$A:$G,MATCH($B4751,Data!$A:$A,0),MATCH($C$7,Data!$4:$4,0))="","",INDEX(Data!$A:$G,MATCH($B4751,Data!$A:$A,0),MATCH($C$7,Data!$4:$4,0))))</f>
        <v>48.8</v>
      </c>
      <c r="D4751" s="148">
        <f t="shared" ca="1" si="152"/>
        <v>16.200000000000003</v>
      </c>
      <c r="E4751" s="148">
        <f t="shared" ca="1" si="153"/>
        <v>0</v>
      </c>
    </row>
    <row r="4752" spans="2:5" x14ac:dyDescent="0.25">
      <c r="B4752" s="8">
        <v>42346</v>
      </c>
      <c r="C4752" s="6">
        <f ca="1">IF(OR($C$7="",$B4752&gt;NOW()),"",IF(INDEX(Data!$A:$G,MATCH($B4752,Data!$A:$A,0),MATCH($C$7,Data!$4:$4,0))="","",INDEX(Data!$A:$G,MATCH($B4752,Data!$A:$A,0),MATCH($C$7,Data!$4:$4,0))))</f>
        <v>45.3</v>
      </c>
      <c r="D4752" s="148">
        <f t="shared" ca="1" si="152"/>
        <v>19.700000000000003</v>
      </c>
      <c r="E4752" s="148">
        <f t="shared" ca="1" si="153"/>
        <v>0</v>
      </c>
    </row>
    <row r="4753" spans="2:5" x14ac:dyDescent="0.25">
      <c r="B4753" s="8">
        <v>42347</v>
      </c>
      <c r="C4753" s="6">
        <f ca="1">IF(OR($C$7="",$B4753&gt;NOW()),"",IF(INDEX(Data!$A:$G,MATCH($B4753,Data!$A:$A,0),MATCH($C$7,Data!$4:$4,0))="","",INDEX(Data!$A:$G,MATCH($B4753,Data!$A:$A,0),MATCH($C$7,Data!$4:$4,0))))</f>
        <v>45.7</v>
      </c>
      <c r="D4753" s="148">
        <f t="shared" ca="1" si="152"/>
        <v>19.299999999999997</v>
      </c>
      <c r="E4753" s="148">
        <f t="shared" ca="1" si="153"/>
        <v>0</v>
      </c>
    </row>
    <row r="4754" spans="2:5" x14ac:dyDescent="0.25">
      <c r="B4754" s="8">
        <v>42348</v>
      </c>
      <c r="C4754" s="6">
        <f ca="1">IF(OR($C$7="",$B4754&gt;NOW()),"",IF(INDEX(Data!$A:$G,MATCH($B4754,Data!$A:$A,0),MATCH($C$7,Data!$4:$4,0))="","",INDEX(Data!$A:$G,MATCH($B4754,Data!$A:$A,0),MATCH($C$7,Data!$4:$4,0))))</f>
        <v>55</v>
      </c>
      <c r="D4754" s="148">
        <f t="shared" ca="1" si="152"/>
        <v>10</v>
      </c>
      <c r="E4754" s="148">
        <f t="shared" ca="1" si="153"/>
        <v>0</v>
      </c>
    </row>
    <row r="4755" spans="2:5" x14ac:dyDescent="0.25">
      <c r="B4755" s="8">
        <v>42349</v>
      </c>
      <c r="C4755" s="6">
        <f ca="1">IF(OR($C$7="",$B4755&gt;NOW()),"",IF(INDEX(Data!$A:$G,MATCH($B4755,Data!$A:$A,0),MATCH($C$7,Data!$4:$4,0))="","",INDEX(Data!$A:$G,MATCH($B4755,Data!$A:$A,0),MATCH($C$7,Data!$4:$4,0))))</f>
        <v>54.3</v>
      </c>
      <c r="D4755" s="148">
        <f t="shared" ca="1" si="152"/>
        <v>10.700000000000003</v>
      </c>
      <c r="E4755" s="148">
        <f t="shared" ca="1" si="153"/>
        <v>0</v>
      </c>
    </row>
    <row r="4756" spans="2:5" x14ac:dyDescent="0.25">
      <c r="B4756" s="8">
        <v>42350</v>
      </c>
      <c r="C4756" s="6">
        <f ca="1">IF(OR($C$7="",$B4756&gt;NOW()),"",IF(INDEX(Data!$A:$G,MATCH($B4756,Data!$A:$A,0),MATCH($C$7,Data!$4:$4,0))="","",INDEX(Data!$A:$G,MATCH($B4756,Data!$A:$A,0),MATCH($C$7,Data!$4:$4,0))))</f>
        <v>59</v>
      </c>
      <c r="D4756" s="148">
        <f t="shared" ca="1" si="152"/>
        <v>6</v>
      </c>
      <c r="E4756" s="148">
        <f t="shared" ca="1" si="153"/>
        <v>0</v>
      </c>
    </row>
    <row r="4757" spans="2:5" x14ac:dyDescent="0.25">
      <c r="B4757" s="8">
        <v>42351</v>
      </c>
      <c r="C4757" s="6">
        <f ca="1">IF(OR($C$7="",$B4757&gt;NOW()),"",IF(INDEX(Data!$A:$G,MATCH($B4757,Data!$A:$A,0),MATCH($C$7,Data!$4:$4,0))="","",INDEX(Data!$A:$G,MATCH($B4757,Data!$A:$A,0),MATCH($C$7,Data!$4:$4,0))))</f>
        <v>57.1</v>
      </c>
      <c r="D4757" s="148">
        <f t="shared" ca="1" si="152"/>
        <v>7.8999999999999986</v>
      </c>
      <c r="E4757" s="148">
        <f t="shared" ca="1" si="153"/>
        <v>0</v>
      </c>
    </row>
    <row r="4758" spans="2:5" x14ac:dyDescent="0.25">
      <c r="B4758" s="8">
        <v>42352</v>
      </c>
      <c r="C4758" s="6">
        <f ca="1">IF(OR($C$7="",$B4758&gt;NOW()),"",IF(INDEX(Data!$A:$G,MATCH($B4758,Data!$A:$A,0),MATCH($C$7,Data!$4:$4,0))="","",INDEX(Data!$A:$G,MATCH($B4758,Data!$A:$A,0),MATCH($C$7,Data!$4:$4,0))))</f>
        <v>53.7</v>
      </c>
      <c r="D4758" s="148">
        <f t="shared" ca="1" si="152"/>
        <v>11.299999999999997</v>
      </c>
      <c r="E4758" s="148">
        <f t="shared" ca="1" si="153"/>
        <v>0</v>
      </c>
    </row>
    <row r="4759" spans="2:5" x14ac:dyDescent="0.25">
      <c r="B4759" s="8">
        <v>42353</v>
      </c>
      <c r="C4759" s="6">
        <f ca="1">IF(OR($C$7="",$B4759&gt;NOW()),"",IF(INDEX(Data!$A:$G,MATCH($B4759,Data!$A:$A,0),MATCH($C$7,Data!$4:$4,0))="","",INDEX(Data!$A:$G,MATCH($B4759,Data!$A:$A,0),MATCH($C$7,Data!$4:$4,0))))</f>
        <v>60.7</v>
      </c>
      <c r="D4759" s="148">
        <f t="shared" ca="1" si="152"/>
        <v>4.2999999999999972</v>
      </c>
      <c r="E4759" s="148">
        <f t="shared" ca="1" si="153"/>
        <v>0</v>
      </c>
    </row>
    <row r="4760" spans="2:5" x14ac:dyDescent="0.25">
      <c r="B4760" s="8">
        <v>42354</v>
      </c>
      <c r="C4760" s="6">
        <f ca="1">IF(OR($C$7="",$B4760&gt;NOW()),"",IF(INDEX(Data!$A:$G,MATCH($B4760,Data!$A:$A,0),MATCH($C$7,Data!$4:$4,0))="","",INDEX(Data!$A:$G,MATCH($B4760,Data!$A:$A,0),MATCH($C$7,Data!$4:$4,0))))</f>
        <v>50</v>
      </c>
      <c r="D4760" s="148">
        <f t="shared" ca="1" si="152"/>
        <v>15</v>
      </c>
      <c r="E4760" s="148">
        <f t="shared" ca="1" si="153"/>
        <v>0</v>
      </c>
    </row>
    <row r="4761" spans="2:5" x14ac:dyDescent="0.25">
      <c r="B4761" s="8">
        <v>42355</v>
      </c>
      <c r="C4761" s="6">
        <f ca="1">IF(OR($C$7="",$B4761&gt;NOW()),"",IF(INDEX(Data!$A:$G,MATCH($B4761,Data!$A:$A,0),MATCH($C$7,Data!$4:$4,0))="","",INDEX(Data!$A:$G,MATCH($B4761,Data!$A:$A,0),MATCH($C$7,Data!$4:$4,0))))</f>
        <v>53.4</v>
      </c>
      <c r="D4761" s="148">
        <f t="shared" ca="1" si="152"/>
        <v>11.600000000000001</v>
      </c>
      <c r="E4761" s="148">
        <f t="shared" ca="1" si="153"/>
        <v>0</v>
      </c>
    </row>
    <row r="4762" spans="2:5" x14ac:dyDescent="0.25">
      <c r="B4762" s="8">
        <v>42356</v>
      </c>
      <c r="C4762" s="6">
        <f ca="1">IF(OR($C$7="",$B4762&gt;NOW()),"",IF(INDEX(Data!$A:$G,MATCH($B4762,Data!$A:$A,0),MATCH($C$7,Data!$4:$4,0))="","",INDEX(Data!$A:$G,MATCH($B4762,Data!$A:$A,0),MATCH($C$7,Data!$4:$4,0))))</f>
        <v>51.1</v>
      </c>
      <c r="D4762" s="148">
        <f t="shared" ca="1" si="152"/>
        <v>13.899999999999999</v>
      </c>
      <c r="E4762" s="148">
        <f t="shared" ca="1" si="153"/>
        <v>0</v>
      </c>
    </row>
    <row r="4763" spans="2:5" x14ac:dyDescent="0.25">
      <c r="B4763" s="8">
        <v>42357</v>
      </c>
      <c r="C4763" s="6">
        <f ca="1">IF(OR($C$7="",$B4763&gt;NOW()),"",IF(INDEX(Data!$A:$G,MATCH($B4763,Data!$A:$A,0),MATCH($C$7,Data!$4:$4,0))="","",INDEX(Data!$A:$G,MATCH($B4763,Data!$A:$A,0),MATCH($C$7,Data!$4:$4,0))))</f>
        <v>39.200000000000003</v>
      </c>
      <c r="D4763" s="148">
        <f t="shared" ca="1" si="152"/>
        <v>25.799999999999997</v>
      </c>
      <c r="E4763" s="148">
        <f t="shared" ca="1" si="153"/>
        <v>0</v>
      </c>
    </row>
    <row r="4764" spans="2:5" x14ac:dyDescent="0.25">
      <c r="B4764" s="8">
        <v>42358</v>
      </c>
      <c r="C4764" s="6">
        <f ca="1">IF(OR($C$7="",$B4764&gt;NOW()),"",IF(INDEX(Data!$A:$G,MATCH($B4764,Data!$A:$A,0),MATCH($C$7,Data!$4:$4,0))="","",INDEX(Data!$A:$G,MATCH($B4764,Data!$A:$A,0),MATCH($C$7,Data!$4:$4,0))))</f>
        <v>39.799999999999997</v>
      </c>
      <c r="D4764" s="148">
        <f t="shared" ca="1" si="152"/>
        <v>25.200000000000003</v>
      </c>
      <c r="E4764" s="148">
        <f t="shared" ca="1" si="153"/>
        <v>0</v>
      </c>
    </row>
    <row r="4765" spans="2:5" x14ac:dyDescent="0.25">
      <c r="B4765" s="8">
        <v>42359</v>
      </c>
      <c r="C4765" s="6">
        <f ca="1">IF(OR($C$7="",$B4765&gt;NOW()),"",IF(INDEX(Data!$A:$G,MATCH($B4765,Data!$A:$A,0),MATCH($C$7,Data!$4:$4,0))="","",INDEX(Data!$A:$G,MATCH($B4765,Data!$A:$A,0),MATCH($C$7,Data!$4:$4,0))))</f>
        <v>45.6</v>
      </c>
      <c r="D4765" s="148">
        <f t="shared" ref="D4765:D4828" ca="1" si="154">IF($C4765="","",IF($C4765&gt;$D$26,0,$D$26-$C4765))</f>
        <v>19.399999999999999</v>
      </c>
      <c r="E4765" s="148">
        <f t="shared" ref="E4765:E4828" ca="1" si="155">IF($C4765="","",IF($C4765&lt;$E$26,0,$C4765-$E$26))</f>
        <v>0</v>
      </c>
    </row>
    <row r="4766" spans="2:5" x14ac:dyDescent="0.25">
      <c r="B4766" s="8">
        <v>42360</v>
      </c>
      <c r="C4766" s="6">
        <f ca="1">IF(OR($C$7="",$B4766&gt;NOW()),"",IF(INDEX(Data!$A:$G,MATCH($B4766,Data!$A:$A,0),MATCH($C$7,Data!$4:$4,0))="","",INDEX(Data!$A:$G,MATCH($B4766,Data!$A:$A,0),MATCH($C$7,Data!$4:$4,0))))</f>
        <v>56.8</v>
      </c>
      <c r="D4766" s="148">
        <f t="shared" ca="1" si="154"/>
        <v>8.2000000000000028</v>
      </c>
      <c r="E4766" s="148">
        <f t="shared" ca="1" si="155"/>
        <v>0</v>
      </c>
    </row>
    <row r="4767" spans="2:5" x14ac:dyDescent="0.25">
      <c r="B4767" s="8">
        <v>42361</v>
      </c>
      <c r="C4767" s="6">
        <f ca="1">IF(OR($C$7="",$B4767&gt;NOW()),"",IF(INDEX(Data!$A:$G,MATCH($B4767,Data!$A:$A,0),MATCH($C$7,Data!$4:$4,0))="","",INDEX(Data!$A:$G,MATCH($B4767,Data!$A:$A,0),MATCH($C$7,Data!$4:$4,0))))</f>
        <v>54.2</v>
      </c>
      <c r="D4767" s="148">
        <f t="shared" ca="1" si="154"/>
        <v>10.799999999999997</v>
      </c>
      <c r="E4767" s="148">
        <f t="shared" ca="1" si="155"/>
        <v>0</v>
      </c>
    </row>
    <row r="4768" spans="2:5" x14ac:dyDescent="0.25">
      <c r="B4768" s="8">
        <v>42362</v>
      </c>
      <c r="C4768" s="6">
        <f ca="1">IF(OR($C$7="",$B4768&gt;NOW()),"",IF(INDEX(Data!$A:$G,MATCH($B4768,Data!$A:$A,0),MATCH($C$7,Data!$4:$4,0))="","",INDEX(Data!$A:$G,MATCH($B4768,Data!$A:$A,0),MATCH($C$7,Data!$4:$4,0))))</f>
        <v>64</v>
      </c>
      <c r="D4768" s="148">
        <f t="shared" ca="1" si="154"/>
        <v>1</v>
      </c>
      <c r="E4768" s="148">
        <f t="shared" ca="1" si="155"/>
        <v>0</v>
      </c>
    </row>
    <row r="4769" spans="2:5" x14ac:dyDescent="0.25">
      <c r="B4769" s="8">
        <v>42363</v>
      </c>
      <c r="C4769" s="6">
        <f ca="1">IF(OR($C$7="",$B4769&gt;NOW()),"",IF(INDEX(Data!$A:$G,MATCH($B4769,Data!$A:$A,0),MATCH($C$7,Data!$4:$4,0))="","",INDEX(Data!$A:$G,MATCH($B4769,Data!$A:$A,0),MATCH($C$7,Data!$4:$4,0))))</f>
        <v>60.3</v>
      </c>
      <c r="D4769" s="148">
        <f t="shared" ca="1" si="154"/>
        <v>4.7000000000000028</v>
      </c>
      <c r="E4769" s="148">
        <f t="shared" ca="1" si="155"/>
        <v>0</v>
      </c>
    </row>
    <row r="4770" spans="2:5" x14ac:dyDescent="0.25">
      <c r="B4770" s="8">
        <v>42364</v>
      </c>
      <c r="C4770" s="6">
        <f ca="1">IF(OR($C$7="",$B4770&gt;NOW()),"",IF(INDEX(Data!$A:$G,MATCH($B4770,Data!$A:$A,0),MATCH($C$7,Data!$4:$4,0))="","",INDEX(Data!$A:$G,MATCH($B4770,Data!$A:$A,0),MATCH($C$7,Data!$4:$4,0))))</f>
        <v>54.5</v>
      </c>
      <c r="D4770" s="148">
        <f t="shared" ca="1" si="154"/>
        <v>10.5</v>
      </c>
      <c r="E4770" s="148">
        <f t="shared" ca="1" si="155"/>
        <v>0</v>
      </c>
    </row>
    <row r="4771" spans="2:5" x14ac:dyDescent="0.25">
      <c r="B4771" s="8">
        <v>42365</v>
      </c>
      <c r="C4771" s="6">
        <f ca="1">IF(OR($C$7="",$B4771&gt;NOW()),"",IF(INDEX(Data!$A:$G,MATCH($B4771,Data!$A:$A,0),MATCH($C$7,Data!$4:$4,0))="","",INDEX(Data!$A:$G,MATCH($B4771,Data!$A:$A,0),MATCH($C$7,Data!$4:$4,0))))</f>
        <v>52.4</v>
      </c>
      <c r="D4771" s="148">
        <f t="shared" ca="1" si="154"/>
        <v>12.600000000000001</v>
      </c>
      <c r="E4771" s="148">
        <f t="shared" ca="1" si="155"/>
        <v>0</v>
      </c>
    </row>
    <row r="4772" spans="2:5" x14ac:dyDescent="0.25">
      <c r="B4772" s="8">
        <v>42366</v>
      </c>
      <c r="C4772" s="6">
        <f ca="1">IF(OR($C$7="",$B4772&gt;NOW()),"",IF(INDEX(Data!$A:$G,MATCH($B4772,Data!$A:$A,0),MATCH($C$7,Data!$4:$4,0))="","",INDEX(Data!$A:$G,MATCH($B4772,Data!$A:$A,0),MATCH($C$7,Data!$4:$4,0))))</f>
        <v>44.8</v>
      </c>
      <c r="D4772" s="148">
        <f t="shared" ca="1" si="154"/>
        <v>20.200000000000003</v>
      </c>
      <c r="E4772" s="148">
        <f t="shared" ca="1" si="155"/>
        <v>0</v>
      </c>
    </row>
    <row r="4773" spans="2:5" x14ac:dyDescent="0.25">
      <c r="B4773" s="8">
        <v>42367</v>
      </c>
      <c r="C4773" s="6">
        <f ca="1">IF(OR($C$7="",$B4773&gt;NOW()),"",IF(INDEX(Data!$A:$G,MATCH($B4773,Data!$A:$A,0),MATCH($C$7,Data!$4:$4,0))="","",INDEX(Data!$A:$G,MATCH($B4773,Data!$A:$A,0),MATCH($C$7,Data!$4:$4,0))))</f>
        <v>40.200000000000003</v>
      </c>
      <c r="D4773" s="148">
        <f t="shared" ca="1" si="154"/>
        <v>24.799999999999997</v>
      </c>
      <c r="E4773" s="148">
        <f t="shared" ca="1" si="155"/>
        <v>0</v>
      </c>
    </row>
    <row r="4774" spans="2:5" x14ac:dyDescent="0.25">
      <c r="B4774" s="8">
        <v>42368</v>
      </c>
      <c r="C4774" s="6">
        <f ca="1">IF(OR($C$7="",$B4774&gt;NOW()),"",IF(INDEX(Data!$A:$G,MATCH($B4774,Data!$A:$A,0),MATCH($C$7,Data!$4:$4,0))="","",INDEX(Data!$A:$G,MATCH($B4774,Data!$A:$A,0),MATCH($C$7,Data!$4:$4,0))))</f>
        <v>42.1</v>
      </c>
      <c r="D4774" s="148">
        <f t="shared" ca="1" si="154"/>
        <v>22.9</v>
      </c>
      <c r="E4774" s="148">
        <f t="shared" ca="1" si="155"/>
        <v>0</v>
      </c>
    </row>
    <row r="4775" spans="2:5" x14ac:dyDescent="0.25">
      <c r="B4775" s="8">
        <v>42369</v>
      </c>
      <c r="C4775" s="6">
        <f ca="1">IF(OR($C$7="",$B4775&gt;NOW()),"",IF(INDEX(Data!$A:$G,MATCH($B4775,Data!$A:$A,0),MATCH($C$7,Data!$4:$4,0))="","",INDEX(Data!$A:$G,MATCH($B4775,Data!$A:$A,0),MATCH($C$7,Data!$4:$4,0))))</f>
        <v>47.3</v>
      </c>
      <c r="D4775" s="148">
        <f t="shared" ca="1" si="154"/>
        <v>17.700000000000003</v>
      </c>
      <c r="E4775" s="148">
        <f t="shared" ca="1" si="155"/>
        <v>0</v>
      </c>
    </row>
    <row r="4776" spans="2:5" x14ac:dyDescent="0.25">
      <c r="B4776" s="8">
        <v>42370</v>
      </c>
      <c r="C4776" s="6">
        <f ca="1">IF(OR($C$7="",$B4776&gt;NOW()),"",IF(INDEX(Data!$A:$G,MATCH($B4776,Data!$A:$A,0),MATCH($C$7,Data!$4:$4,0))="","",INDEX(Data!$A:$G,MATCH($B4776,Data!$A:$A,0),MATCH($C$7,Data!$4:$4,0))))</f>
        <v>41.9</v>
      </c>
      <c r="D4776" s="148">
        <f t="shared" ca="1" si="154"/>
        <v>23.1</v>
      </c>
      <c r="E4776" s="148">
        <f t="shared" ca="1" si="155"/>
        <v>0</v>
      </c>
    </row>
    <row r="4777" spans="2:5" x14ac:dyDescent="0.25">
      <c r="B4777" s="8">
        <v>42371</v>
      </c>
      <c r="C4777" s="6">
        <f ca="1">IF(OR($C$7="",$B4777&gt;NOW()),"",IF(INDEX(Data!$A:$G,MATCH($B4777,Data!$A:$A,0),MATCH($C$7,Data!$4:$4,0))="","",INDEX(Data!$A:$G,MATCH($B4777,Data!$A:$A,0),MATCH($C$7,Data!$4:$4,0))))</f>
        <v>37.299999999999997</v>
      </c>
      <c r="D4777" s="148">
        <f t="shared" ca="1" si="154"/>
        <v>27.700000000000003</v>
      </c>
      <c r="E4777" s="148">
        <f t="shared" ca="1" si="155"/>
        <v>0</v>
      </c>
    </row>
    <row r="4778" spans="2:5" x14ac:dyDescent="0.25">
      <c r="B4778" s="8">
        <v>42372</v>
      </c>
      <c r="C4778" s="6">
        <f ca="1">IF(OR($C$7="",$B4778&gt;NOW()),"",IF(INDEX(Data!$A:$G,MATCH($B4778,Data!$A:$A,0),MATCH($C$7,Data!$4:$4,0))="","",INDEX(Data!$A:$G,MATCH($B4778,Data!$A:$A,0),MATCH($C$7,Data!$4:$4,0))))</f>
        <v>40</v>
      </c>
      <c r="D4778" s="148">
        <f t="shared" ca="1" si="154"/>
        <v>25</v>
      </c>
      <c r="E4778" s="148">
        <f t="shared" ca="1" si="155"/>
        <v>0</v>
      </c>
    </row>
    <row r="4779" spans="2:5" x14ac:dyDescent="0.25">
      <c r="B4779" s="8">
        <v>42373</v>
      </c>
      <c r="C4779" s="6">
        <f ca="1">IF(OR($C$7="",$B4779&gt;NOW()),"",IF(INDEX(Data!$A:$G,MATCH($B4779,Data!$A:$A,0),MATCH($C$7,Data!$4:$4,0))="","",INDEX(Data!$A:$G,MATCH($B4779,Data!$A:$A,0),MATCH($C$7,Data!$4:$4,0))))</f>
        <v>33.700000000000003</v>
      </c>
      <c r="D4779" s="148">
        <f t="shared" ca="1" si="154"/>
        <v>31.299999999999997</v>
      </c>
      <c r="E4779" s="148">
        <f t="shared" ca="1" si="155"/>
        <v>0</v>
      </c>
    </row>
    <row r="4780" spans="2:5" x14ac:dyDescent="0.25">
      <c r="B4780" s="8">
        <v>42374</v>
      </c>
      <c r="C4780" s="6">
        <f ca="1">IF(OR($C$7="",$B4780&gt;NOW()),"",IF(INDEX(Data!$A:$G,MATCH($B4780,Data!$A:$A,0),MATCH($C$7,Data!$4:$4,0))="","",INDEX(Data!$A:$G,MATCH($B4780,Data!$A:$A,0),MATCH($C$7,Data!$4:$4,0))))</f>
        <v>19.5</v>
      </c>
      <c r="D4780" s="148">
        <f t="shared" ca="1" si="154"/>
        <v>45.5</v>
      </c>
      <c r="E4780" s="148">
        <f t="shared" ca="1" si="155"/>
        <v>0</v>
      </c>
    </row>
    <row r="4781" spans="2:5" x14ac:dyDescent="0.25">
      <c r="B4781" s="8">
        <v>42375</v>
      </c>
      <c r="C4781" s="6">
        <f ca="1">IF(OR($C$7="",$B4781&gt;NOW()),"",IF(INDEX(Data!$A:$G,MATCH($B4781,Data!$A:$A,0),MATCH($C$7,Data!$4:$4,0))="","",INDEX(Data!$A:$G,MATCH($B4781,Data!$A:$A,0),MATCH($C$7,Data!$4:$4,0))))</f>
        <v>32.200000000000003</v>
      </c>
      <c r="D4781" s="148">
        <f t="shared" ca="1" si="154"/>
        <v>32.799999999999997</v>
      </c>
      <c r="E4781" s="148">
        <f t="shared" ca="1" si="155"/>
        <v>0</v>
      </c>
    </row>
    <row r="4782" spans="2:5" x14ac:dyDescent="0.25">
      <c r="B4782" s="8">
        <v>42376</v>
      </c>
      <c r="C4782" s="6">
        <f ca="1">IF(OR($C$7="",$B4782&gt;NOW()),"",IF(INDEX(Data!$A:$G,MATCH($B4782,Data!$A:$A,0),MATCH($C$7,Data!$4:$4,0))="","",INDEX(Data!$A:$G,MATCH($B4782,Data!$A:$A,0),MATCH($C$7,Data!$4:$4,0))))</f>
        <v>39</v>
      </c>
      <c r="D4782" s="148">
        <f t="shared" ca="1" si="154"/>
        <v>26</v>
      </c>
      <c r="E4782" s="148">
        <f t="shared" ca="1" si="155"/>
        <v>0</v>
      </c>
    </row>
    <row r="4783" spans="2:5" x14ac:dyDescent="0.25">
      <c r="B4783" s="8">
        <v>42377</v>
      </c>
      <c r="C4783" s="6">
        <f ca="1">IF(OR($C$7="",$B4783&gt;NOW()),"",IF(INDEX(Data!$A:$G,MATCH($B4783,Data!$A:$A,0),MATCH($C$7,Data!$4:$4,0))="","",INDEX(Data!$A:$G,MATCH($B4783,Data!$A:$A,0),MATCH($C$7,Data!$4:$4,0))))</f>
        <v>40.299999999999997</v>
      </c>
      <c r="D4783" s="148">
        <f t="shared" ca="1" si="154"/>
        <v>24.700000000000003</v>
      </c>
      <c r="E4783" s="148">
        <f t="shared" ca="1" si="155"/>
        <v>0</v>
      </c>
    </row>
    <row r="4784" spans="2:5" x14ac:dyDescent="0.25">
      <c r="B4784" s="8">
        <v>42378</v>
      </c>
      <c r="C4784" s="6">
        <f ca="1">IF(OR($C$7="",$B4784&gt;NOW()),"",IF(INDEX(Data!$A:$G,MATCH($B4784,Data!$A:$A,0),MATCH($C$7,Data!$4:$4,0))="","",INDEX(Data!$A:$G,MATCH($B4784,Data!$A:$A,0),MATCH($C$7,Data!$4:$4,0))))</f>
        <v>43.7</v>
      </c>
      <c r="D4784" s="148">
        <f t="shared" ca="1" si="154"/>
        <v>21.299999999999997</v>
      </c>
      <c r="E4784" s="148">
        <f t="shared" ca="1" si="155"/>
        <v>0</v>
      </c>
    </row>
    <row r="4785" spans="2:5" x14ac:dyDescent="0.25">
      <c r="B4785" s="8">
        <v>42379</v>
      </c>
      <c r="C4785" s="6">
        <f ca="1">IF(OR($C$7="",$B4785&gt;NOW()),"",IF(INDEX(Data!$A:$G,MATCH($B4785,Data!$A:$A,0),MATCH($C$7,Data!$4:$4,0))="","",INDEX(Data!$A:$G,MATCH($B4785,Data!$A:$A,0),MATCH($C$7,Data!$4:$4,0))))</f>
        <v>50.9</v>
      </c>
      <c r="D4785" s="148">
        <f t="shared" ca="1" si="154"/>
        <v>14.100000000000001</v>
      </c>
      <c r="E4785" s="148">
        <f t="shared" ca="1" si="155"/>
        <v>0</v>
      </c>
    </row>
    <row r="4786" spans="2:5" x14ac:dyDescent="0.25">
      <c r="B4786" s="8">
        <v>42380</v>
      </c>
      <c r="C4786" s="6">
        <f ca="1">IF(OR($C$7="",$B4786&gt;NOW()),"",IF(INDEX(Data!$A:$G,MATCH($B4786,Data!$A:$A,0),MATCH($C$7,Data!$4:$4,0))="","",INDEX(Data!$A:$G,MATCH($B4786,Data!$A:$A,0),MATCH($C$7,Data!$4:$4,0))))</f>
        <v>37.799999999999997</v>
      </c>
      <c r="D4786" s="148">
        <f t="shared" ca="1" si="154"/>
        <v>27.200000000000003</v>
      </c>
      <c r="E4786" s="148">
        <f t="shared" ca="1" si="155"/>
        <v>0</v>
      </c>
    </row>
    <row r="4787" spans="2:5" x14ac:dyDescent="0.25">
      <c r="B4787" s="8">
        <v>42381</v>
      </c>
      <c r="C4787" s="6">
        <f ca="1">IF(OR($C$7="",$B4787&gt;NOW()),"",IF(INDEX(Data!$A:$G,MATCH($B4787,Data!$A:$A,0),MATCH($C$7,Data!$4:$4,0))="","",INDEX(Data!$A:$G,MATCH($B4787,Data!$A:$A,0),MATCH($C$7,Data!$4:$4,0))))</f>
        <v>32.9</v>
      </c>
      <c r="D4787" s="148">
        <f t="shared" ca="1" si="154"/>
        <v>32.1</v>
      </c>
      <c r="E4787" s="148">
        <f t="shared" ca="1" si="155"/>
        <v>0</v>
      </c>
    </row>
    <row r="4788" spans="2:5" x14ac:dyDescent="0.25">
      <c r="B4788" s="8">
        <v>42382</v>
      </c>
      <c r="C4788" s="6">
        <f ca="1">IF(OR($C$7="",$B4788&gt;NOW()),"",IF(INDEX(Data!$A:$G,MATCH($B4788,Data!$A:$A,0),MATCH($C$7,Data!$4:$4,0))="","",INDEX(Data!$A:$G,MATCH($B4788,Data!$A:$A,0),MATCH($C$7,Data!$4:$4,0))))</f>
        <v>29.3</v>
      </c>
      <c r="D4788" s="148">
        <f t="shared" ca="1" si="154"/>
        <v>35.700000000000003</v>
      </c>
      <c r="E4788" s="148">
        <f t="shared" ca="1" si="155"/>
        <v>0</v>
      </c>
    </row>
    <row r="4789" spans="2:5" x14ac:dyDescent="0.25">
      <c r="B4789" s="8">
        <v>42383</v>
      </c>
      <c r="C4789" s="6">
        <f ca="1">IF(OR($C$7="",$B4789&gt;NOW()),"",IF(INDEX(Data!$A:$G,MATCH($B4789,Data!$A:$A,0),MATCH($C$7,Data!$4:$4,0))="","",INDEX(Data!$A:$G,MATCH($B4789,Data!$A:$A,0),MATCH($C$7,Data!$4:$4,0))))</f>
        <v>28.7</v>
      </c>
      <c r="D4789" s="148">
        <f t="shared" ca="1" si="154"/>
        <v>36.299999999999997</v>
      </c>
      <c r="E4789" s="148">
        <f t="shared" ca="1" si="155"/>
        <v>0</v>
      </c>
    </row>
    <row r="4790" spans="2:5" x14ac:dyDescent="0.25">
      <c r="B4790" s="8">
        <v>42384</v>
      </c>
      <c r="C4790" s="6">
        <f ca="1">IF(OR($C$7="",$B4790&gt;NOW()),"",IF(INDEX(Data!$A:$G,MATCH($B4790,Data!$A:$A,0),MATCH($C$7,Data!$4:$4,0))="","",INDEX(Data!$A:$G,MATCH($B4790,Data!$A:$A,0),MATCH($C$7,Data!$4:$4,0))))</f>
        <v>40.200000000000003</v>
      </c>
      <c r="D4790" s="148">
        <f t="shared" ca="1" si="154"/>
        <v>24.799999999999997</v>
      </c>
      <c r="E4790" s="148">
        <f t="shared" ca="1" si="155"/>
        <v>0</v>
      </c>
    </row>
    <row r="4791" spans="2:5" x14ac:dyDescent="0.25">
      <c r="B4791" s="8">
        <v>42385</v>
      </c>
      <c r="C4791" s="6">
        <f ca="1">IF(OR($C$7="",$B4791&gt;NOW()),"",IF(INDEX(Data!$A:$G,MATCH($B4791,Data!$A:$A,0),MATCH($C$7,Data!$4:$4,0))="","",INDEX(Data!$A:$G,MATCH($B4791,Data!$A:$A,0),MATCH($C$7,Data!$4:$4,0))))</f>
        <v>46.3</v>
      </c>
      <c r="D4791" s="148">
        <f t="shared" ca="1" si="154"/>
        <v>18.700000000000003</v>
      </c>
      <c r="E4791" s="148">
        <f t="shared" ca="1" si="155"/>
        <v>0</v>
      </c>
    </row>
    <row r="4792" spans="2:5" x14ac:dyDescent="0.25">
      <c r="B4792" s="8">
        <v>42386</v>
      </c>
      <c r="C4792" s="6">
        <f ca="1">IF(OR($C$7="",$B4792&gt;NOW()),"",IF(INDEX(Data!$A:$G,MATCH($B4792,Data!$A:$A,0),MATCH($C$7,Data!$4:$4,0))="","",INDEX(Data!$A:$G,MATCH($B4792,Data!$A:$A,0),MATCH($C$7,Data!$4:$4,0))))</f>
        <v>38.9</v>
      </c>
      <c r="D4792" s="148">
        <f t="shared" ca="1" si="154"/>
        <v>26.1</v>
      </c>
      <c r="E4792" s="148">
        <f t="shared" ca="1" si="155"/>
        <v>0</v>
      </c>
    </row>
    <row r="4793" spans="2:5" x14ac:dyDescent="0.25">
      <c r="B4793" s="8">
        <v>42387</v>
      </c>
      <c r="C4793" s="6">
        <f ca="1">IF(OR($C$7="",$B4793&gt;NOW()),"",IF(INDEX(Data!$A:$G,MATCH($B4793,Data!$A:$A,0),MATCH($C$7,Data!$4:$4,0))="","",INDEX(Data!$A:$G,MATCH($B4793,Data!$A:$A,0),MATCH($C$7,Data!$4:$4,0))))</f>
        <v>29</v>
      </c>
      <c r="D4793" s="148">
        <f t="shared" ca="1" si="154"/>
        <v>36</v>
      </c>
      <c r="E4793" s="148">
        <f t="shared" ca="1" si="155"/>
        <v>0</v>
      </c>
    </row>
    <row r="4794" spans="2:5" x14ac:dyDescent="0.25">
      <c r="B4794" s="8">
        <v>42388</v>
      </c>
      <c r="C4794" s="6">
        <f ca="1">IF(OR($C$7="",$B4794&gt;NOW()),"",IF(INDEX(Data!$A:$G,MATCH($B4794,Data!$A:$A,0),MATCH($C$7,Data!$4:$4,0))="","",INDEX(Data!$A:$G,MATCH($B4794,Data!$A:$A,0),MATCH($C$7,Data!$4:$4,0))))</f>
        <v>22.8</v>
      </c>
      <c r="D4794" s="148">
        <f t="shared" ca="1" si="154"/>
        <v>42.2</v>
      </c>
      <c r="E4794" s="148">
        <f t="shared" ca="1" si="155"/>
        <v>0</v>
      </c>
    </row>
    <row r="4795" spans="2:5" x14ac:dyDescent="0.25">
      <c r="B4795" s="8">
        <v>42389</v>
      </c>
      <c r="C4795" s="6">
        <f ca="1">IF(OR($C$7="",$B4795&gt;NOW()),"",IF(INDEX(Data!$A:$G,MATCH($B4795,Data!$A:$A,0),MATCH($C$7,Data!$4:$4,0))="","",INDEX(Data!$A:$G,MATCH($B4795,Data!$A:$A,0),MATCH($C$7,Data!$4:$4,0))))</f>
        <v>32.1</v>
      </c>
      <c r="D4795" s="148">
        <f t="shared" ca="1" si="154"/>
        <v>32.9</v>
      </c>
      <c r="E4795" s="148">
        <f t="shared" ca="1" si="155"/>
        <v>0</v>
      </c>
    </row>
    <row r="4796" spans="2:5" x14ac:dyDescent="0.25">
      <c r="B4796" s="8">
        <v>42390</v>
      </c>
      <c r="C4796" s="6">
        <f ca="1">IF(OR($C$7="",$B4796&gt;NOW()),"",IF(INDEX(Data!$A:$G,MATCH($B4796,Data!$A:$A,0),MATCH($C$7,Data!$4:$4,0))="","",INDEX(Data!$A:$G,MATCH($B4796,Data!$A:$A,0),MATCH($C$7,Data!$4:$4,0))))</f>
        <v>32.6</v>
      </c>
      <c r="D4796" s="148">
        <f t="shared" ca="1" si="154"/>
        <v>32.4</v>
      </c>
      <c r="E4796" s="148">
        <f t="shared" ca="1" si="155"/>
        <v>0</v>
      </c>
    </row>
    <row r="4797" spans="2:5" x14ac:dyDescent="0.25">
      <c r="B4797" s="8">
        <v>42391</v>
      </c>
      <c r="C4797" s="6">
        <f ca="1">IF(OR($C$7="",$B4797&gt;NOW()),"",IF(INDEX(Data!$A:$G,MATCH($B4797,Data!$A:$A,0),MATCH($C$7,Data!$4:$4,0))="","",INDEX(Data!$A:$G,MATCH($B4797,Data!$A:$A,0),MATCH($C$7,Data!$4:$4,0))))</f>
        <v>27.3</v>
      </c>
      <c r="D4797" s="148">
        <f t="shared" ca="1" si="154"/>
        <v>37.700000000000003</v>
      </c>
      <c r="E4797" s="148">
        <f t="shared" ca="1" si="155"/>
        <v>0</v>
      </c>
    </row>
    <row r="4798" spans="2:5" x14ac:dyDescent="0.25">
      <c r="B4798" s="8">
        <v>42392</v>
      </c>
      <c r="C4798" s="6">
        <f ca="1">IF(OR($C$7="",$B4798&gt;NOW()),"",IF(INDEX(Data!$A:$G,MATCH($B4798,Data!$A:$A,0),MATCH($C$7,Data!$4:$4,0))="","",INDEX(Data!$A:$G,MATCH($B4798,Data!$A:$A,0),MATCH($C$7,Data!$4:$4,0))))</f>
        <v>27.9</v>
      </c>
      <c r="D4798" s="148">
        <f t="shared" ca="1" si="154"/>
        <v>37.1</v>
      </c>
      <c r="E4798" s="148">
        <f t="shared" ca="1" si="155"/>
        <v>0</v>
      </c>
    </row>
    <row r="4799" spans="2:5" x14ac:dyDescent="0.25">
      <c r="B4799" s="8">
        <v>42393</v>
      </c>
      <c r="C4799" s="6">
        <f ca="1">IF(OR($C$7="",$B4799&gt;NOW()),"",IF(INDEX(Data!$A:$G,MATCH($B4799,Data!$A:$A,0),MATCH($C$7,Data!$4:$4,0))="","",INDEX(Data!$A:$G,MATCH($B4799,Data!$A:$A,0),MATCH($C$7,Data!$4:$4,0))))</f>
        <v>28.3</v>
      </c>
      <c r="D4799" s="148">
        <f t="shared" ca="1" si="154"/>
        <v>36.700000000000003</v>
      </c>
      <c r="E4799" s="148">
        <f t="shared" ca="1" si="155"/>
        <v>0</v>
      </c>
    </row>
    <row r="4800" spans="2:5" x14ac:dyDescent="0.25">
      <c r="B4800" s="8">
        <v>42394</v>
      </c>
      <c r="C4800" s="6">
        <f ca="1">IF(OR($C$7="",$B4800&gt;NOW()),"",IF(INDEX(Data!$A:$G,MATCH($B4800,Data!$A:$A,0),MATCH($C$7,Data!$4:$4,0))="","",INDEX(Data!$A:$G,MATCH($B4800,Data!$A:$A,0),MATCH($C$7,Data!$4:$4,0))))</f>
        <v>33.9</v>
      </c>
      <c r="D4800" s="148">
        <f t="shared" ca="1" si="154"/>
        <v>31.1</v>
      </c>
      <c r="E4800" s="148">
        <f t="shared" ca="1" si="155"/>
        <v>0</v>
      </c>
    </row>
    <row r="4801" spans="2:5" x14ac:dyDescent="0.25">
      <c r="B4801" s="8">
        <v>42395</v>
      </c>
      <c r="C4801" s="6">
        <f ca="1">IF(OR($C$7="",$B4801&gt;NOW()),"",IF(INDEX(Data!$A:$G,MATCH($B4801,Data!$A:$A,0),MATCH($C$7,Data!$4:$4,0))="","",INDEX(Data!$A:$G,MATCH($B4801,Data!$A:$A,0),MATCH($C$7,Data!$4:$4,0))))</f>
        <v>40.200000000000003</v>
      </c>
      <c r="D4801" s="148">
        <f t="shared" ca="1" si="154"/>
        <v>24.799999999999997</v>
      </c>
      <c r="E4801" s="148">
        <f t="shared" ca="1" si="155"/>
        <v>0</v>
      </c>
    </row>
    <row r="4802" spans="2:5" x14ac:dyDescent="0.25">
      <c r="B4802" s="8">
        <v>42396</v>
      </c>
      <c r="C4802" s="6">
        <f ca="1">IF(OR($C$7="",$B4802&gt;NOW()),"",IF(INDEX(Data!$A:$G,MATCH($B4802,Data!$A:$A,0),MATCH($C$7,Data!$4:$4,0))="","",INDEX(Data!$A:$G,MATCH($B4802,Data!$A:$A,0),MATCH($C$7,Data!$4:$4,0))))</f>
        <v>44.4</v>
      </c>
      <c r="D4802" s="148">
        <f t="shared" ca="1" si="154"/>
        <v>20.6</v>
      </c>
      <c r="E4802" s="148">
        <f t="shared" ca="1" si="155"/>
        <v>0</v>
      </c>
    </row>
    <row r="4803" spans="2:5" x14ac:dyDescent="0.25">
      <c r="B4803" s="8">
        <v>42397</v>
      </c>
      <c r="C4803" s="6">
        <f ca="1">IF(OR($C$7="",$B4803&gt;NOW()),"",IF(INDEX(Data!$A:$G,MATCH($B4803,Data!$A:$A,0),MATCH($C$7,Data!$4:$4,0))="","",INDEX(Data!$A:$G,MATCH($B4803,Data!$A:$A,0),MATCH($C$7,Data!$4:$4,0))))</f>
        <v>37.9</v>
      </c>
      <c r="D4803" s="148">
        <f t="shared" ca="1" si="154"/>
        <v>27.1</v>
      </c>
      <c r="E4803" s="148">
        <f t="shared" ca="1" si="155"/>
        <v>0</v>
      </c>
    </row>
    <row r="4804" spans="2:5" x14ac:dyDescent="0.25">
      <c r="B4804" s="8">
        <v>42398</v>
      </c>
      <c r="C4804" s="6">
        <f ca="1">IF(OR($C$7="",$B4804&gt;NOW()),"",IF(INDEX(Data!$A:$G,MATCH($B4804,Data!$A:$A,0),MATCH($C$7,Data!$4:$4,0))="","",INDEX(Data!$A:$G,MATCH($B4804,Data!$A:$A,0),MATCH($C$7,Data!$4:$4,0))))</f>
        <v>39.799999999999997</v>
      </c>
      <c r="D4804" s="148">
        <f t="shared" ca="1" si="154"/>
        <v>25.200000000000003</v>
      </c>
      <c r="E4804" s="148">
        <f t="shared" ca="1" si="155"/>
        <v>0</v>
      </c>
    </row>
    <row r="4805" spans="2:5" x14ac:dyDescent="0.25">
      <c r="B4805" s="8">
        <v>42399</v>
      </c>
      <c r="C4805" s="6">
        <f ca="1">IF(OR($C$7="",$B4805&gt;NOW()),"",IF(INDEX(Data!$A:$G,MATCH($B4805,Data!$A:$A,0),MATCH($C$7,Data!$4:$4,0))="","",INDEX(Data!$A:$G,MATCH($B4805,Data!$A:$A,0),MATCH($C$7,Data!$4:$4,0))))</f>
        <v>34</v>
      </c>
      <c r="D4805" s="148">
        <f t="shared" ca="1" si="154"/>
        <v>31</v>
      </c>
      <c r="E4805" s="148">
        <f t="shared" ca="1" si="155"/>
        <v>0</v>
      </c>
    </row>
    <row r="4806" spans="2:5" x14ac:dyDescent="0.25">
      <c r="B4806" s="8">
        <v>42400</v>
      </c>
      <c r="C4806" s="6">
        <f ca="1">IF(OR($C$7="",$B4806&gt;NOW()),"",IF(INDEX(Data!$A:$G,MATCH($B4806,Data!$A:$A,0),MATCH($C$7,Data!$4:$4,0))="","",INDEX(Data!$A:$G,MATCH($B4806,Data!$A:$A,0),MATCH($C$7,Data!$4:$4,0))))</f>
        <v>42.4</v>
      </c>
      <c r="D4806" s="148">
        <f t="shared" ca="1" si="154"/>
        <v>22.6</v>
      </c>
      <c r="E4806" s="148">
        <f t="shared" ca="1" si="155"/>
        <v>0</v>
      </c>
    </row>
    <row r="4807" spans="2:5" x14ac:dyDescent="0.25">
      <c r="B4807" s="8">
        <v>42401</v>
      </c>
      <c r="C4807" s="6">
        <f ca="1">IF(OR($C$7="",$B4807&gt;NOW()),"",IF(INDEX(Data!$A:$G,MATCH($B4807,Data!$A:$A,0),MATCH($C$7,Data!$4:$4,0))="","",INDEX(Data!$A:$G,MATCH($B4807,Data!$A:$A,0),MATCH($C$7,Data!$4:$4,0))))</f>
        <v>50.5</v>
      </c>
      <c r="D4807" s="148">
        <f t="shared" ca="1" si="154"/>
        <v>14.5</v>
      </c>
      <c r="E4807" s="148">
        <f t="shared" ca="1" si="155"/>
        <v>0</v>
      </c>
    </row>
    <row r="4808" spans="2:5" x14ac:dyDescent="0.25">
      <c r="B4808" s="8">
        <v>42402</v>
      </c>
      <c r="C4808" s="6">
        <f ca="1">IF(OR($C$7="",$B4808&gt;NOW()),"",IF(INDEX(Data!$A:$G,MATCH($B4808,Data!$A:$A,0),MATCH($C$7,Data!$4:$4,0))="","",INDEX(Data!$A:$G,MATCH($B4808,Data!$A:$A,0),MATCH($C$7,Data!$4:$4,0))))</f>
        <v>45.5</v>
      </c>
      <c r="D4808" s="148">
        <f t="shared" ca="1" si="154"/>
        <v>19.5</v>
      </c>
      <c r="E4808" s="148">
        <f t="shared" ca="1" si="155"/>
        <v>0</v>
      </c>
    </row>
    <row r="4809" spans="2:5" x14ac:dyDescent="0.25">
      <c r="B4809" s="8">
        <v>42403</v>
      </c>
      <c r="C4809" s="6">
        <f ca="1">IF(OR($C$7="",$B4809&gt;NOW()),"",IF(INDEX(Data!$A:$G,MATCH($B4809,Data!$A:$A,0),MATCH($C$7,Data!$4:$4,0))="","",INDEX(Data!$A:$G,MATCH($B4809,Data!$A:$A,0),MATCH($C$7,Data!$4:$4,0))))</f>
        <v>48.1</v>
      </c>
      <c r="D4809" s="148">
        <f t="shared" ca="1" si="154"/>
        <v>16.899999999999999</v>
      </c>
      <c r="E4809" s="148">
        <f t="shared" ca="1" si="155"/>
        <v>0</v>
      </c>
    </row>
    <row r="4810" spans="2:5" x14ac:dyDescent="0.25">
      <c r="B4810" s="8">
        <v>42404</v>
      </c>
      <c r="C4810" s="6">
        <f ca="1">IF(OR($C$7="",$B4810&gt;NOW()),"",IF(INDEX(Data!$A:$G,MATCH($B4810,Data!$A:$A,0),MATCH($C$7,Data!$4:$4,0))="","",INDEX(Data!$A:$G,MATCH($B4810,Data!$A:$A,0),MATCH($C$7,Data!$4:$4,0))))</f>
        <v>54</v>
      </c>
      <c r="D4810" s="148">
        <f t="shared" ca="1" si="154"/>
        <v>11</v>
      </c>
      <c r="E4810" s="148">
        <f t="shared" ca="1" si="155"/>
        <v>0</v>
      </c>
    </row>
    <row r="4811" spans="2:5" x14ac:dyDescent="0.25">
      <c r="B4811" s="8">
        <v>42405</v>
      </c>
      <c r="C4811" s="6">
        <f ca="1">IF(OR($C$7="",$B4811&gt;NOW()),"",IF(INDEX(Data!$A:$G,MATCH($B4811,Data!$A:$A,0),MATCH($C$7,Data!$4:$4,0))="","",INDEX(Data!$A:$G,MATCH($B4811,Data!$A:$A,0),MATCH($C$7,Data!$4:$4,0))))</f>
        <v>39.4</v>
      </c>
      <c r="D4811" s="148">
        <f t="shared" ca="1" si="154"/>
        <v>25.6</v>
      </c>
      <c r="E4811" s="148">
        <f t="shared" ca="1" si="155"/>
        <v>0</v>
      </c>
    </row>
    <row r="4812" spans="2:5" x14ac:dyDescent="0.25">
      <c r="B4812" s="8">
        <v>42406</v>
      </c>
      <c r="C4812" s="6">
        <f ca="1">IF(OR($C$7="",$B4812&gt;NOW()),"",IF(INDEX(Data!$A:$G,MATCH($B4812,Data!$A:$A,0),MATCH($C$7,Data!$4:$4,0))="","",INDEX(Data!$A:$G,MATCH($B4812,Data!$A:$A,0),MATCH($C$7,Data!$4:$4,0))))</f>
        <v>36</v>
      </c>
      <c r="D4812" s="148">
        <f t="shared" ca="1" si="154"/>
        <v>29</v>
      </c>
      <c r="E4812" s="148">
        <f t="shared" ca="1" si="155"/>
        <v>0</v>
      </c>
    </row>
    <row r="4813" spans="2:5" x14ac:dyDescent="0.25">
      <c r="B4813" s="8">
        <v>42407</v>
      </c>
      <c r="C4813" s="6">
        <f ca="1">IF(OR($C$7="",$B4813&gt;NOW()),"",IF(INDEX(Data!$A:$G,MATCH($B4813,Data!$A:$A,0),MATCH($C$7,Data!$4:$4,0))="","",INDEX(Data!$A:$G,MATCH($B4813,Data!$A:$A,0),MATCH($C$7,Data!$4:$4,0))))</f>
        <v>39.6</v>
      </c>
      <c r="D4813" s="148">
        <f t="shared" ca="1" si="154"/>
        <v>25.4</v>
      </c>
      <c r="E4813" s="148">
        <f t="shared" ca="1" si="155"/>
        <v>0</v>
      </c>
    </row>
    <row r="4814" spans="2:5" x14ac:dyDescent="0.25">
      <c r="B4814" s="8">
        <v>42408</v>
      </c>
      <c r="C4814" s="6">
        <f ca="1">IF(OR($C$7="",$B4814&gt;NOW()),"",IF(INDEX(Data!$A:$G,MATCH($B4814,Data!$A:$A,0),MATCH($C$7,Data!$4:$4,0))="","",INDEX(Data!$A:$G,MATCH($B4814,Data!$A:$A,0),MATCH($C$7,Data!$4:$4,0))))</f>
        <v>36.700000000000003</v>
      </c>
      <c r="D4814" s="148">
        <f t="shared" ca="1" si="154"/>
        <v>28.299999999999997</v>
      </c>
      <c r="E4814" s="148">
        <f t="shared" ca="1" si="155"/>
        <v>0</v>
      </c>
    </row>
    <row r="4815" spans="2:5" x14ac:dyDescent="0.25">
      <c r="B4815" s="8">
        <v>42409</v>
      </c>
      <c r="C4815" s="6">
        <f ca="1">IF(OR($C$7="",$B4815&gt;NOW()),"",IF(INDEX(Data!$A:$G,MATCH($B4815,Data!$A:$A,0),MATCH($C$7,Data!$4:$4,0))="","",INDEX(Data!$A:$G,MATCH($B4815,Data!$A:$A,0),MATCH($C$7,Data!$4:$4,0))))</f>
        <v>30.2</v>
      </c>
      <c r="D4815" s="148">
        <f t="shared" ca="1" si="154"/>
        <v>34.799999999999997</v>
      </c>
      <c r="E4815" s="148">
        <f t="shared" ca="1" si="155"/>
        <v>0</v>
      </c>
    </row>
    <row r="4816" spans="2:5" x14ac:dyDescent="0.25">
      <c r="B4816" s="8">
        <v>42410</v>
      </c>
      <c r="C4816" s="6">
        <f ca="1">IF(OR($C$7="",$B4816&gt;NOW()),"",IF(INDEX(Data!$A:$G,MATCH($B4816,Data!$A:$A,0),MATCH($C$7,Data!$4:$4,0))="","",INDEX(Data!$A:$G,MATCH($B4816,Data!$A:$A,0),MATCH($C$7,Data!$4:$4,0))))</f>
        <v>35.4</v>
      </c>
      <c r="D4816" s="148">
        <f t="shared" ca="1" si="154"/>
        <v>29.6</v>
      </c>
      <c r="E4816" s="148">
        <f t="shared" ca="1" si="155"/>
        <v>0</v>
      </c>
    </row>
    <row r="4817" spans="2:5" x14ac:dyDescent="0.25">
      <c r="B4817" s="8">
        <v>42411</v>
      </c>
      <c r="C4817" s="6">
        <f ca="1">IF(OR($C$7="",$B4817&gt;NOW()),"",IF(INDEX(Data!$A:$G,MATCH($B4817,Data!$A:$A,0),MATCH($C$7,Data!$4:$4,0))="","",INDEX(Data!$A:$G,MATCH($B4817,Data!$A:$A,0),MATCH($C$7,Data!$4:$4,0))))</f>
        <v>28.1</v>
      </c>
      <c r="D4817" s="148">
        <f t="shared" ca="1" si="154"/>
        <v>36.9</v>
      </c>
      <c r="E4817" s="148">
        <f t="shared" ca="1" si="155"/>
        <v>0</v>
      </c>
    </row>
    <row r="4818" spans="2:5" x14ac:dyDescent="0.25">
      <c r="B4818" s="8">
        <v>42412</v>
      </c>
      <c r="C4818" s="6">
        <f ca="1">IF(OR($C$7="",$B4818&gt;NOW()),"",IF(INDEX(Data!$A:$G,MATCH($B4818,Data!$A:$A,0),MATCH($C$7,Data!$4:$4,0))="","",INDEX(Data!$A:$G,MATCH($B4818,Data!$A:$A,0),MATCH($C$7,Data!$4:$4,0))))</f>
        <v>21.7</v>
      </c>
      <c r="D4818" s="148">
        <f t="shared" ca="1" si="154"/>
        <v>43.3</v>
      </c>
      <c r="E4818" s="148">
        <f t="shared" ca="1" si="155"/>
        <v>0</v>
      </c>
    </row>
    <row r="4819" spans="2:5" x14ac:dyDescent="0.25">
      <c r="B4819" s="8">
        <v>42413</v>
      </c>
      <c r="C4819" s="6">
        <f ca="1">IF(OR($C$7="",$B4819&gt;NOW()),"",IF(INDEX(Data!$A:$G,MATCH($B4819,Data!$A:$A,0),MATCH($C$7,Data!$4:$4,0))="","",INDEX(Data!$A:$G,MATCH($B4819,Data!$A:$A,0),MATCH($C$7,Data!$4:$4,0))))</f>
        <v>21.6</v>
      </c>
      <c r="D4819" s="148">
        <f t="shared" ca="1" si="154"/>
        <v>43.4</v>
      </c>
      <c r="E4819" s="148">
        <f t="shared" ca="1" si="155"/>
        <v>0</v>
      </c>
    </row>
    <row r="4820" spans="2:5" x14ac:dyDescent="0.25">
      <c r="B4820" s="8">
        <v>42414</v>
      </c>
      <c r="C4820" s="6">
        <f ca="1">IF(OR($C$7="",$B4820&gt;NOW()),"",IF(INDEX(Data!$A:$G,MATCH($B4820,Data!$A:$A,0),MATCH($C$7,Data!$4:$4,0))="","",INDEX(Data!$A:$G,MATCH($B4820,Data!$A:$A,0),MATCH($C$7,Data!$4:$4,0))))</f>
        <v>8.3000000000000007</v>
      </c>
      <c r="D4820" s="148">
        <f t="shared" ca="1" si="154"/>
        <v>56.7</v>
      </c>
      <c r="E4820" s="148">
        <f t="shared" ca="1" si="155"/>
        <v>0</v>
      </c>
    </row>
    <row r="4821" spans="2:5" x14ac:dyDescent="0.25">
      <c r="B4821" s="8">
        <v>42415</v>
      </c>
      <c r="C4821" s="6">
        <f ca="1">IF(OR($C$7="",$B4821&gt;NOW()),"",IF(INDEX(Data!$A:$G,MATCH($B4821,Data!$A:$A,0),MATCH($C$7,Data!$4:$4,0))="","",INDEX(Data!$A:$G,MATCH($B4821,Data!$A:$A,0),MATCH($C$7,Data!$4:$4,0))))</f>
        <v>19.100000000000001</v>
      </c>
      <c r="D4821" s="148">
        <f t="shared" ca="1" si="154"/>
        <v>45.9</v>
      </c>
      <c r="E4821" s="148">
        <f t="shared" ca="1" si="155"/>
        <v>0</v>
      </c>
    </row>
    <row r="4822" spans="2:5" x14ac:dyDescent="0.25">
      <c r="B4822" s="8">
        <v>42416</v>
      </c>
      <c r="C4822" s="6">
        <f ca="1">IF(OR($C$7="",$B4822&gt;NOW()),"",IF(INDEX(Data!$A:$G,MATCH($B4822,Data!$A:$A,0),MATCH($C$7,Data!$4:$4,0))="","",INDEX(Data!$A:$G,MATCH($B4822,Data!$A:$A,0),MATCH($C$7,Data!$4:$4,0))))</f>
        <v>46.1</v>
      </c>
      <c r="D4822" s="148">
        <f t="shared" ca="1" si="154"/>
        <v>18.899999999999999</v>
      </c>
      <c r="E4822" s="148">
        <f t="shared" ca="1" si="155"/>
        <v>0</v>
      </c>
    </row>
    <row r="4823" spans="2:5" x14ac:dyDescent="0.25">
      <c r="B4823" s="8">
        <v>42417</v>
      </c>
      <c r="C4823" s="6">
        <f ca="1">IF(OR($C$7="",$B4823&gt;NOW()),"",IF(INDEX(Data!$A:$G,MATCH($B4823,Data!$A:$A,0),MATCH($C$7,Data!$4:$4,0))="","",INDEX(Data!$A:$G,MATCH($B4823,Data!$A:$A,0),MATCH($C$7,Data!$4:$4,0))))</f>
        <v>39.9</v>
      </c>
      <c r="D4823" s="148">
        <f t="shared" ca="1" si="154"/>
        <v>25.1</v>
      </c>
      <c r="E4823" s="148">
        <f t="shared" ca="1" si="155"/>
        <v>0</v>
      </c>
    </row>
    <row r="4824" spans="2:5" x14ac:dyDescent="0.25">
      <c r="B4824" s="8">
        <v>42418</v>
      </c>
      <c r="C4824" s="6">
        <f ca="1">IF(OR($C$7="",$B4824&gt;NOW()),"",IF(INDEX(Data!$A:$G,MATCH($B4824,Data!$A:$A,0),MATCH($C$7,Data!$4:$4,0))="","",INDEX(Data!$A:$G,MATCH($B4824,Data!$A:$A,0),MATCH($C$7,Data!$4:$4,0))))</f>
        <v>33.9</v>
      </c>
      <c r="D4824" s="148">
        <f t="shared" ca="1" si="154"/>
        <v>31.1</v>
      </c>
      <c r="E4824" s="148">
        <f t="shared" ca="1" si="155"/>
        <v>0</v>
      </c>
    </row>
    <row r="4825" spans="2:5" x14ac:dyDescent="0.25">
      <c r="B4825" s="8">
        <v>42419</v>
      </c>
      <c r="C4825" s="6">
        <f ca="1">IF(OR($C$7="",$B4825&gt;NOW()),"",IF(INDEX(Data!$A:$G,MATCH($B4825,Data!$A:$A,0),MATCH($C$7,Data!$4:$4,0))="","",INDEX(Data!$A:$G,MATCH($B4825,Data!$A:$A,0),MATCH($C$7,Data!$4:$4,0))))</f>
        <v>30.2</v>
      </c>
      <c r="D4825" s="148">
        <f t="shared" ca="1" si="154"/>
        <v>34.799999999999997</v>
      </c>
      <c r="E4825" s="148">
        <f t="shared" ca="1" si="155"/>
        <v>0</v>
      </c>
    </row>
    <row r="4826" spans="2:5" x14ac:dyDescent="0.25">
      <c r="B4826" s="8">
        <v>42420</v>
      </c>
      <c r="C4826" s="6">
        <f ca="1">IF(OR($C$7="",$B4826&gt;NOW()),"",IF(INDEX(Data!$A:$G,MATCH($B4826,Data!$A:$A,0),MATCH($C$7,Data!$4:$4,0))="","",INDEX(Data!$A:$G,MATCH($B4826,Data!$A:$A,0),MATCH($C$7,Data!$4:$4,0))))</f>
        <v>47.4</v>
      </c>
      <c r="D4826" s="148">
        <f t="shared" ca="1" si="154"/>
        <v>17.600000000000001</v>
      </c>
      <c r="E4826" s="148">
        <f t="shared" ca="1" si="155"/>
        <v>0</v>
      </c>
    </row>
    <row r="4827" spans="2:5" x14ac:dyDescent="0.25">
      <c r="B4827" s="8">
        <v>42421</v>
      </c>
      <c r="C4827" s="6">
        <f ca="1">IF(OR($C$7="",$B4827&gt;NOW()),"",IF(INDEX(Data!$A:$G,MATCH($B4827,Data!$A:$A,0),MATCH($C$7,Data!$4:$4,0))="","",INDEX(Data!$A:$G,MATCH($B4827,Data!$A:$A,0),MATCH($C$7,Data!$4:$4,0))))</f>
        <v>53.1</v>
      </c>
      <c r="D4827" s="148">
        <f t="shared" ca="1" si="154"/>
        <v>11.899999999999999</v>
      </c>
      <c r="E4827" s="148">
        <f t="shared" ca="1" si="155"/>
        <v>0</v>
      </c>
    </row>
    <row r="4828" spans="2:5" x14ac:dyDescent="0.25">
      <c r="B4828" s="8">
        <v>42422</v>
      </c>
      <c r="C4828" s="6">
        <f ca="1">IF(OR($C$7="",$B4828&gt;NOW()),"",IF(INDEX(Data!$A:$G,MATCH($B4828,Data!$A:$A,0),MATCH($C$7,Data!$4:$4,0))="","",INDEX(Data!$A:$G,MATCH($B4828,Data!$A:$A,0),MATCH($C$7,Data!$4:$4,0))))</f>
        <v>46</v>
      </c>
      <c r="D4828" s="148">
        <f t="shared" ca="1" si="154"/>
        <v>19</v>
      </c>
      <c r="E4828" s="148">
        <f t="shared" ca="1" si="155"/>
        <v>0</v>
      </c>
    </row>
    <row r="4829" spans="2:5" x14ac:dyDescent="0.25">
      <c r="B4829" s="8">
        <v>42423</v>
      </c>
      <c r="C4829" s="6">
        <f ca="1">IF(OR($C$7="",$B4829&gt;NOW()),"",IF(INDEX(Data!$A:$G,MATCH($B4829,Data!$A:$A,0),MATCH($C$7,Data!$4:$4,0))="","",INDEX(Data!$A:$G,MATCH($B4829,Data!$A:$A,0),MATCH($C$7,Data!$4:$4,0))))</f>
        <v>38.799999999999997</v>
      </c>
      <c r="D4829" s="148">
        <f t="shared" ref="D4829:D4892" ca="1" si="156">IF($C4829="","",IF($C4829&gt;$D$26,0,$D$26-$C4829))</f>
        <v>26.200000000000003</v>
      </c>
      <c r="E4829" s="148">
        <f t="shared" ref="E4829:E4892" ca="1" si="157">IF($C4829="","",IF($C4829&lt;$E$26,0,$C4829-$E$26))</f>
        <v>0</v>
      </c>
    </row>
    <row r="4830" spans="2:5" x14ac:dyDescent="0.25">
      <c r="B4830" s="8">
        <v>42424</v>
      </c>
      <c r="C4830" s="6">
        <f ca="1">IF(OR($C$7="",$B4830&gt;NOW()),"",IF(INDEX(Data!$A:$G,MATCH($B4830,Data!$A:$A,0),MATCH($C$7,Data!$4:$4,0))="","",INDEX(Data!$A:$G,MATCH($B4830,Data!$A:$A,0),MATCH($C$7,Data!$4:$4,0))))</f>
        <v>39.799999999999997</v>
      </c>
      <c r="D4830" s="148">
        <f t="shared" ca="1" si="156"/>
        <v>25.200000000000003</v>
      </c>
      <c r="E4830" s="148">
        <f t="shared" ca="1" si="157"/>
        <v>0</v>
      </c>
    </row>
    <row r="4831" spans="2:5" x14ac:dyDescent="0.25">
      <c r="B4831" s="8">
        <v>42425</v>
      </c>
      <c r="C4831" s="6">
        <f ca="1">IF(OR($C$7="",$B4831&gt;NOW()),"",IF(INDEX(Data!$A:$G,MATCH($B4831,Data!$A:$A,0),MATCH($C$7,Data!$4:$4,0))="","",INDEX(Data!$A:$G,MATCH($B4831,Data!$A:$A,0),MATCH($C$7,Data!$4:$4,0))))</f>
        <v>52.7</v>
      </c>
      <c r="D4831" s="148">
        <f t="shared" ca="1" si="156"/>
        <v>12.299999999999997</v>
      </c>
      <c r="E4831" s="148">
        <f t="shared" ca="1" si="157"/>
        <v>0</v>
      </c>
    </row>
    <row r="4832" spans="2:5" x14ac:dyDescent="0.25">
      <c r="B4832" s="8">
        <v>42426</v>
      </c>
      <c r="C4832" s="6">
        <f ca="1">IF(OR($C$7="",$B4832&gt;NOW()),"",IF(INDEX(Data!$A:$G,MATCH($B4832,Data!$A:$A,0),MATCH($C$7,Data!$4:$4,0))="","",INDEX(Data!$A:$G,MATCH($B4832,Data!$A:$A,0),MATCH($C$7,Data!$4:$4,0))))</f>
        <v>36.6</v>
      </c>
      <c r="D4832" s="148">
        <f t="shared" ca="1" si="156"/>
        <v>28.4</v>
      </c>
      <c r="E4832" s="148">
        <f t="shared" ca="1" si="157"/>
        <v>0</v>
      </c>
    </row>
    <row r="4833" spans="2:5" x14ac:dyDescent="0.25">
      <c r="B4833" s="8">
        <v>42427</v>
      </c>
      <c r="C4833" s="6">
        <f ca="1">IF(OR($C$7="",$B4833&gt;NOW()),"",IF(INDEX(Data!$A:$G,MATCH($B4833,Data!$A:$A,0),MATCH($C$7,Data!$4:$4,0))="","",INDEX(Data!$A:$G,MATCH($B4833,Data!$A:$A,0),MATCH($C$7,Data!$4:$4,0))))</f>
        <v>32.6</v>
      </c>
      <c r="D4833" s="148">
        <f t="shared" ca="1" si="156"/>
        <v>32.4</v>
      </c>
      <c r="E4833" s="148">
        <f t="shared" ca="1" si="157"/>
        <v>0</v>
      </c>
    </row>
    <row r="4834" spans="2:5" x14ac:dyDescent="0.25">
      <c r="B4834" s="8">
        <v>42428</v>
      </c>
      <c r="C4834" s="6">
        <f ca="1">IF(OR($C$7="",$B4834&gt;NOW()),"",IF(INDEX(Data!$A:$G,MATCH($B4834,Data!$A:$A,0),MATCH($C$7,Data!$4:$4,0))="","",INDEX(Data!$A:$G,MATCH($B4834,Data!$A:$A,0),MATCH($C$7,Data!$4:$4,0))))</f>
        <v>46.3</v>
      </c>
      <c r="D4834" s="148">
        <f t="shared" ca="1" si="156"/>
        <v>18.700000000000003</v>
      </c>
      <c r="E4834" s="148">
        <f t="shared" ca="1" si="157"/>
        <v>0</v>
      </c>
    </row>
    <row r="4835" spans="2:5" x14ac:dyDescent="0.25">
      <c r="B4835" s="8">
        <v>42429</v>
      </c>
      <c r="C4835" s="6">
        <f ca="1">IF(OR($C$7="",$B4835&gt;NOW()),"",IF(INDEX(Data!$A:$G,MATCH($B4835,Data!$A:$A,0),MATCH($C$7,Data!$4:$4,0))="","",INDEX(Data!$A:$G,MATCH($B4835,Data!$A:$A,0),MATCH($C$7,Data!$4:$4,0))))</f>
        <v>51.2</v>
      </c>
      <c r="D4835" s="148">
        <f t="shared" ca="1" si="156"/>
        <v>13.799999999999997</v>
      </c>
      <c r="E4835" s="148">
        <f t="shared" ca="1" si="157"/>
        <v>0</v>
      </c>
    </row>
    <row r="4836" spans="2:5" x14ac:dyDescent="0.25">
      <c r="B4836" s="8">
        <v>42430</v>
      </c>
      <c r="C4836" s="6">
        <f ca="1">IF(OR($C$7="",$B4836&gt;NOW()),"",IF(INDEX(Data!$A:$G,MATCH($B4836,Data!$A:$A,0),MATCH($C$7,Data!$4:$4,0))="","",INDEX(Data!$A:$G,MATCH($B4836,Data!$A:$A,0),MATCH($C$7,Data!$4:$4,0))))</f>
        <v>46.6</v>
      </c>
      <c r="D4836" s="148">
        <f t="shared" ca="1" si="156"/>
        <v>18.399999999999999</v>
      </c>
      <c r="E4836" s="148">
        <f t="shared" ca="1" si="157"/>
        <v>0</v>
      </c>
    </row>
    <row r="4837" spans="2:5" x14ac:dyDescent="0.25">
      <c r="B4837" s="8">
        <v>42431</v>
      </c>
      <c r="C4837" s="6">
        <f ca="1">IF(OR($C$7="",$B4837&gt;NOW()),"",IF(INDEX(Data!$A:$G,MATCH($B4837,Data!$A:$A,0),MATCH($C$7,Data!$4:$4,0))="","",INDEX(Data!$A:$G,MATCH($B4837,Data!$A:$A,0),MATCH($C$7,Data!$4:$4,0))))</f>
        <v>46.5</v>
      </c>
      <c r="D4837" s="148">
        <f t="shared" ca="1" si="156"/>
        <v>18.5</v>
      </c>
      <c r="E4837" s="148">
        <f t="shared" ca="1" si="157"/>
        <v>0</v>
      </c>
    </row>
    <row r="4838" spans="2:5" x14ac:dyDescent="0.25">
      <c r="B4838" s="8">
        <v>42432</v>
      </c>
      <c r="C4838" s="6">
        <f ca="1">IF(OR($C$7="",$B4838&gt;NOW()),"",IF(INDEX(Data!$A:$G,MATCH($B4838,Data!$A:$A,0),MATCH($C$7,Data!$4:$4,0))="","",INDEX(Data!$A:$G,MATCH($B4838,Data!$A:$A,0),MATCH($C$7,Data!$4:$4,0))))</f>
        <v>31.5</v>
      </c>
      <c r="D4838" s="148">
        <f t="shared" ca="1" si="156"/>
        <v>33.5</v>
      </c>
      <c r="E4838" s="148">
        <f t="shared" ca="1" si="157"/>
        <v>0</v>
      </c>
    </row>
    <row r="4839" spans="2:5" x14ac:dyDescent="0.25">
      <c r="B4839" s="8">
        <v>42433</v>
      </c>
      <c r="C4839" s="6">
        <f ca="1">IF(OR($C$7="",$B4839&gt;NOW()),"",IF(INDEX(Data!$A:$G,MATCH($B4839,Data!$A:$A,0),MATCH($C$7,Data!$4:$4,0))="","",INDEX(Data!$A:$G,MATCH($B4839,Data!$A:$A,0),MATCH($C$7,Data!$4:$4,0))))</f>
        <v>33.700000000000003</v>
      </c>
      <c r="D4839" s="148">
        <f t="shared" ca="1" si="156"/>
        <v>31.299999999999997</v>
      </c>
      <c r="E4839" s="148">
        <f t="shared" ca="1" si="157"/>
        <v>0</v>
      </c>
    </row>
    <row r="4840" spans="2:5" x14ac:dyDescent="0.25">
      <c r="B4840" s="8">
        <v>42434</v>
      </c>
      <c r="C4840" s="6">
        <f ca="1">IF(OR($C$7="",$B4840&gt;NOW()),"",IF(INDEX(Data!$A:$G,MATCH($B4840,Data!$A:$A,0),MATCH($C$7,Data!$4:$4,0))="","",INDEX(Data!$A:$G,MATCH($B4840,Data!$A:$A,0),MATCH($C$7,Data!$4:$4,0))))</f>
        <v>34.799999999999997</v>
      </c>
      <c r="D4840" s="148">
        <f t="shared" ca="1" si="156"/>
        <v>30.200000000000003</v>
      </c>
      <c r="E4840" s="148">
        <f t="shared" ca="1" si="157"/>
        <v>0</v>
      </c>
    </row>
    <row r="4841" spans="2:5" x14ac:dyDescent="0.25">
      <c r="B4841" s="8">
        <v>42435</v>
      </c>
      <c r="C4841" s="6">
        <f ca="1">IF(OR($C$7="",$B4841&gt;NOW()),"",IF(INDEX(Data!$A:$G,MATCH($B4841,Data!$A:$A,0),MATCH($C$7,Data!$4:$4,0))="","",INDEX(Data!$A:$G,MATCH($B4841,Data!$A:$A,0),MATCH($C$7,Data!$4:$4,0))))</f>
        <v>37.799999999999997</v>
      </c>
      <c r="D4841" s="148">
        <f t="shared" ca="1" si="156"/>
        <v>27.200000000000003</v>
      </c>
      <c r="E4841" s="148">
        <f t="shared" ca="1" si="157"/>
        <v>0</v>
      </c>
    </row>
    <row r="4842" spans="2:5" x14ac:dyDescent="0.25">
      <c r="B4842" s="8">
        <v>42436</v>
      </c>
      <c r="C4842" s="6">
        <f ca="1">IF(OR($C$7="",$B4842&gt;NOW()),"",IF(INDEX(Data!$A:$G,MATCH($B4842,Data!$A:$A,0),MATCH($C$7,Data!$4:$4,0))="","",INDEX(Data!$A:$G,MATCH($B4842,Data!$A:$A,0),MATCH($C$7,Data!$4:$4,0))))</f>
        <v>45.1</v>
      </c>
      <c r="D4842" s="148">
        <f t="shared" ca="1" si="156"/>
        <v>19.899999999999999</v>
      </c>
      <c r="E4842" s="148">
        <f t="shared" ca="1" si="157"/>
        <v>0</v>
      </c>
    </row>
    <row r="4843" spans="2:5" x14ac:dyDescent="0.25">
      <c r="B4843" s="8">
        <v>42437</v>
      </c>
      <c r="C4843" s="6">
        <f ca="1">IF(OR($C$7="",$B4843&gt;NOW()),"",IF(INDEX(Data!$A:$G,MATCH($B4843,Data!$A:$A,0),MATCH($C$7,Data!$4:$4,0))="","",INDEX(Data!$A:$G,MATCH($B4843,Data!$A:$A,0),MATCH($C$7,Data!$4:$4,0))))</f>
        <v>53.9</v>
      </c>
      <c r="D4843" s="148">
        <f t="shared" ca="1" si="156"/>
        <v>11.100000000000001</v>
      </c>
      <c r="E4843" s="148">
        <f t="shared" ca="1" si="157"/>
        <v>0</v>
      </c>
    </row>
    <row r="4844" spans="2:5" x14ac:dyDescent="0.25">
      <c r="B4844" s="8">
        <v>42438</v>
      </c>
      <c r="C4844" s="6">
        <f ca="1">IF(OR($C$7="",$B4844&gt;NOW()),"",IF(INDEX(Data!$A:$G,MATCH($B4844,Data!$A:$A,0),MATCH($C$7,Data!$4:$4,0))="","",INDEX(Data!$A:$G,MATCH($B4844,Data!$A:$A,0),MATCH($C$7,Data!$4:$4,0))))</f>
        <v>54</v>
      </c>
      <c r="D4844" s="148">
        <f t="shared" ca="1" si="156"/>
        <v>11</v>
      </c>
      <c r="E4844" s="148">
        <f t="shared" ca="1" si="157"/>
        <v>0</v>
      </c>
    </row>
    <row r="4845" spans="2:5" x14ac:dyDescent="0.25">
      <c r="B4845" s="8">
        <v>42439</v>
      </c>
      <c r="C4845" s="6">
        <f ca="1">IF(OR($C$7="",$B4845&gt;NOW()),"",IF(INDEX(Data!$A:$G,MATCH($B4845,Data!$A:$A,0),MATCH($C$7,Data!$4:$4,0))="","",INDEX(Data!$A:$G,MATCH($B4845,Data!$A:$A,0),MATCH($C$7,Data!$4:$4,0))))</f>
        <v>70</v>
      </c>
      <c r="D4845" s="148">
        <f t="shared" ca="1" si="156"/>
        <v>0</v>
      </c>
      <c r="E4845" s="148">
        <f t="shared" ca="1" si="157"/>
        <v>5</v>
      </c>
    </row>
    <row r="4846" spans="2:5" x14ac:dyDescent="0.25">
      <c r="B4846" s="8">
        <v>42440</v>
      </c>
      <c r="C4846" s="6">
        <f ca="1">IF(OR($C$7="",$B4846&gt;NOW()),"",IF(INDEX(Data!$A:$G,MATCH($B4846,Data!$A:$A,0),MATCH($C$7,Data!$4:$4,0))="","",INDEX(Data!$A:$G,MATCH($B4846,Data!$A:$A,0),MATCH($C$7,Data!$4:$4,0))))</f>
        <v>61.2</v>
      </c>
      <c r="D4846" s="148">
        <f t="shared" ca="1" si="156"/>
        <v>3.7999999999999972</v>
      </c>
      <c r="E4846" s="148">
        <f t="shared" ca="1" si="157"/>
        <v>0</v>
      </c>
    </row>
    <row r="4847" spans="2:5" x14ac:dyDescent="0.25">
      <c r="B4847" s="8">
        <v>42441</v>
      </c>
      <c r="C4847" s="6">
        <f ca="1">IF(OR($C$7="",$B4847&gt;NOW()),"",IF(INDEX(Data!$A:$G,MATCH($B4847,Data!$A:$A,0),MATCH($C$7,Data!$4:$4,0))="","",INDEX(Data!$A:$G,MATCH($B4847,Data!$A:$A,0),MATCH($C$7,Data!$4:$4,0))))</f>
        <v>49.6</v>
      </c>
      <c r="D4847" s="148">
        <f t="shared" ca="1" si="156"/>
        <v>15.399999999999999</v>
      </c>
      <c r="E4847" s="148">
        <f t="shared" ca="1" si="157"/>
        <v>0</v>
      </c>
    </row>
    <row r="4848" spans="2:5" x14ac:dyDescent="0.25">
      <c r="B4848" s="8">
        <v>42442</v>
      </c>
      <c r="C4848" s="6">
        <f ca="1">IF(OR($C$7="",$B4848&gt;NOW()),"",IF(INDEX(Data!$A:$G,MATCH($B4848,Data!$A:$A,0),MATCH($C$7,Data!$4:$4,0))="","",INDEX(Data!$A:$G,MATCH($B4848,Data!$A:$A,0),MATCH($C$7,Data!$4:$4,0))))</f>
        <v>56.7</v>
      </c>
      <c r="D4848" s="148">
        <f t="shared" ca="1" si="156"/>
        <v>8.2999999999999972</v>
      </c>
      <c r="E4848" s="148">
        <f t="shared" ca="1" si="157"/>
        <v>0</v>
      </c>
    </row>
    <row r="4849" spans="2:5" x14ac:dyDescent="0.25">
      <c r="B4849" s="8">
        <v>42443</v>
      </c>
      <c r="C4849" s="6">
        <f ca="1">IF(OR($C$7="",$B4849&gt;NOW()),"",IF(INDEX(Data!$A:$G,MATCH($B4849,Data!$A:$A,0),MATCH($C$7,Data!$4:$4,0))="","",INDEX(Data!$A:$G,MATCH($B4849,Data!$A:$A,0),MATCH($C$7,Data!$4:$4,0))))</f>
        <v>47.6</v>
      </c>
      <c r="D4849" s="148">
        <f t="shared" ca="1" si="156"/>
        <v>17.399999999999999</v>
      </c>
      <c r="E4849" s="148">
        <f t="shared" ca="1" si="157"/>
        <v>0</v>
      </c>
    </row>
    <row r="4850" spans="2:5" x14ac:dyDescent="0.25">
      <c r="B4850" s="8">
        <v>42444</v>
      </c>
      <c r="C4850" s="6">
        <f ca="1">IF(OR($C$7="",$B4850&gt;NOW()),"",IF(INDEX(Data!$A:$G,MATCH($B4850,Data!$A:$A,0),MATCH($C$7,Data!$4:$4,0))="","",INDEX(Data!$A:$G,MATCH($B4850,Data!$A:$A,0),MATCH($C$7,Data!$4:$4,0))))</f>
        <v>48</v>
      </c>
      <c r="D4850" s="148">
        <f t="shared" ca="1" si="156"/>
        <v>17</v>
      </c>
      <c r="E4850" s="148">
        <f t="shared" ca="1" si="157"/>
        <v>0</v>
      </c>
    </row>
    <row r="4851" spans="2:5" x14ac:dyDescent="0.25">
      <c r="B4851" s="8">
        <v>42445</v>
      </c>
      <c r="C4851" s="6">
        <f ca="1">IF(OR($C$7="",$B4851&gt;NOW()),"",IF(INDEX(Data!$A:$G,MATCH($B4851,Data!$A:$A,0),MATCH($C$7,Data!$4:$4,0))="","",INDEX(Data!$A:$G,MATCH($B4851,Data!$A:$A,0),MATCH($C$7,Data!$4:$4,0))))</f>
        <v>53.5</v>
      </c>
      <c r="D4851" s="148">
        <f t="shared" ca="1" si="156"/>
        <v>11.5</v>
      </c>
      <c r="E4851" s="148">
        <f t="shared" ca="1" si="157"/>
        <v>0</v>
      </c>
    </row>
    <row r="4852" spans="2:5" x14ac:dyDescent="0.25">
      <c r="B4852" s="8">
        <v>42446</v>
      </c>
      <c r="C4852" s="6">
        <f ca="1">IF(OR($C$7="",$B4852&gt;NOW()),"",IF(INDEX(Data!$A:$G,MATCH($B4852,Data!$A:$A,0),MATCH($C$7,Data!$4:$4,0))="","",INDEX(Data!$A:$G,MATCH($B4852,Data!$A:$A,0),MATCH($C$7,Data!$4:$4,0))))</f>
        <v>52.2</v>
      </c>
      <c r="D4852" s="148">
        <f t="shared" ca="1" si="156"/>
        <v>12.799999999999997</v>
      </c>
      <c r="E4852" s="148">
        <f t="shared" ca="1" si="157"/>
        <v>0</v>
      </c>
    </row>
    <row r="4853" spans="2:5" x14ac:dyDescent="0.25">
      <c r="B4853" s="8">
        <v>42447</v>
      </c>
      <c r="C4853" s="6">
        <f ca="1">IF(OR($C$7="",$B4853&gt;NOW()),"",IF(INDEX(Data!$A:$G,MATCH($B4853,Data!$A:$A,0),MATCH($C$7,Data!$4:$4,0))="","",INDEX(Data!$A:$G,MATCH($B4853,Data!$A:$A,0),MATCH($C$7,Data!$4:$4,0))))</f>
        <v>53</v>
      </c>
      <c r="D4853" s="148">
        <f t="shared" ca="1" si="156"/>
        <v>12</v>
      </c>
      <c r="E4853" s="148">
        <f t="shared" ca="1" si="157"/>
        <v>0</v>
      </c>
    </row>
    <row r="4854" spans="2:5" x14ac:dyDescent="0.25">
      <c r="B4854" s="8">
        <v>42448</v>
      </c>
      <c r="C4854" s="6">
        <f ca="1">IF(OR($C$7="",$B4854&gt;NOW()),"",IF(INDEX(Data!$A:$G,MATCH($B4854,Data!$A:$A,0),MATCH($C$7,Data!$4:$4,0))="","",INDEX(Data!$A:$G,MATCH($B4854,Data!$A:$A,0),MATCH($C$7,Data!$4:$4,0))))</f>
        <v>43.5</v>
      </c>
      <c r="D4854" s="148">
        <f t="shared" ca="1" si="156"/>
        <v>21.5</v>
      </c>
      <c r="E4854" s="148">
        <f t="shared" ca="1" si="157"/>
        <v>0</v>
      </c>
    </row>
    <row r="4855" spans="2:5" x14ac:dyDescent="0.25">
      <c r="B4855" s="8">
        <v>42449</v>
      </c>
      <c r="C4855" s="6">
        <f ca="1">IF(OR($C$7="",$B4855&gt;NOW()),"",IF(INDEX(Data!$A:$G,MATCH($B4855,Data!$A:$A,0),MATCH($C$7,Data!$4:$4,0))="","",INDEX(Data!$A:$G,MATCH($B4855,Data!$A:$A,0),MATCH($C$7,Data!$4:$4,0))))</f>
        <v>38.9</v>
      </c>
      <c r="D4855" s="148">
        <f t="shared" ca="1" si="156"/>
        <v>26.1</v>
      </c>
      <c r="E4855" s="148">
        <f t="shared" ca="1" si="157"/>
        <v>0</v>
      </c>
    </row>
    <row r="4856" spans="2:5" x14ac:dyDescent="0.25">
      <c r="B4856" s="8">
        <v>42450</v>
      </c>
      <c r="C4856" s="6">
        <f ca="1">IF(OR($C$7="",$B4856&gt;NOW()),"",IF(INDEX(Data!$A:$G,MATCH($B4856,Data!$A:$A,0),MATCH($C$7,Data!$4:$4,0))="","",INDEX(Data!$A:$G,MATCH($B4856,Data!$A:$A,0),MATCH($C$7,Data!$4:$4,0))))</f>
        <v>39.6</v>
      </c>
      <c r="D4856" s="148">
        <f t="shared" ca="1" si="156"/>
        <v>25.4</v>
      </c>
      <c r="E4856" s="148">
        <f t="shared" ca="1" si="157"/>
        <v>0</v>
      </c>
    </row>
    <row r="4857" spans="2:5" x14ac:dyDescent="0.25">
      <c r="B4857" s="8">
        <v>42451</v>
      </c>
      <c r="C4857" s="6">
        <f ca="1">IF(OR($C$7="",$B4857&gt;NOW()),"",IF(INDEX(Data!$A:$G,MATCH($B4857,Data!$A:$A,0),MATCH($C$7,Data!$4:$4,0))="","",INDEX(Data!$A:$G,MATCH($B4857,Data!$A:$A,0),MATCH($C$7,Data!$4:$4,0))))</f>
        <v>43.8</v>
      </c>
      <c r="D4857" s="148">
        <f t="shared" ca="1" si="156"/>
        <v>21.200000000000003</v>
      </c>
      <c r="E4857" s="148">
        <f t="shared" ca="1" si="157"/>
        <v>0</v>
      </c>
    </row>
    <row r="4858" spans="2:5" x14ac:dyDescent="0.25">
      <c r="B4858" s="8">
        <v>42452</v>
      </c>
      <c r="C4858" s="6">
        <f ca="1">IF(OR($C$7="",$B4858&gt;NOW()),"",IF(INDEX(Data!$A:$G,MATCH($B4858,Data!$A:$A,0),MATCH($C$7,Data!$4:$4,0))="","",INDEX(Data!$A:$G,MATCH($B4858,Data!$A:$A,0),MATCH($C$7,Data!$4:$4,0))))</f>
        <v>57.4</v>
      </c>
      <c r="D4858" s="148">
        <f t="shared" ca="1" si="156"/>
        <v>7.6000000000000014</v>
      </c>
      <c r="E4858" s="148">
        <f t="shared" ca="1" si="157"/>
        <v>0</v>
      </c>
    </row>
    <row r="4859" spans="2:5" x14ac:dyDescent="0.25">
      <c r="B4859" s="8">
        <v>42453</v>
      </c>
      <c r="C4859" s="6">
        <f ca="1">IF(OR($C$7="",$B4859&gt;NOW()),"",IF(INDEX(Data!$A:$G,MATCH($B4859,Data!$A:$A,0),MATCH($C$7,Data!$4:$4,0))="","",INDEX(Data!$A:$G,MATCH($B4859,Data!$A:$A,0),MATCH($C$7,Data!$4:$4,0))))</f>
        <v>50.1</v>
      </c>
      <c r="D4859" s="148">
        <f t="shared" ca="1" si="156"/>
        <v>14.899999999999999</v>
      </c>
      <c r="E4859" s="148">
        <f t="shared" ca="1" si="157"/>
        <v>0</v>
      </c>
    </row>
    <row r="4860" spans="2:5" x14ac:dyDescent="0.25">
      <c r="B4860" s="8">
        <v>42454</v>
      </c>
      <c r="C4860" s="6">
        <f ca="1">IF(OR($C$7="",$B4860&gt;NOW()),"",IF(INDEX(Data!$A:$G,MATCH($B4860,Data!$A:$A,0),MATCH($C$7,Data!$4:$4,0))="","",INDEX(Data!$A:$G,MATCH($B4860,Data!$A:$A,0),MATCH($C$7,Data!$4:$4,0))))</f>
        <v>55.9</v>
      </c>
      <c r="D4860" s="148">
        <f t="shared" ca="1" si="156"/>
        <v>9.1000000000000014</v>
      </c>
      <c r="E4860" s="148">
        <f t="shared" ca="1" si="157"/>
        <v>0</v>
      </c>
    </row>
    <row r="4861" spans="2:5" x14ac:dyDescent="0.25">
      <c r="B4861" s="8">
        <v>42455</v>
      </c>
      <c r="C4861" s="6">
        <f ca="1">IF(OR($C$7="",$B4861&gt;NOW()),"",IF(INDEX(Data!$A:$G,MATCH($B4861,Data!$A:$A,0),MATCH($C$7,Data!$4:$4,0))="","",INDEX(Data!$A:$G,MATCH($B4861,Data!$A:$A,0),MATCH($C$7,Data!$4:$4,0))))</f>
        <v>47</v>
      </c>
      <c r="D4861" s="148">
        <f t="shared" ca="1" si="156"/>
        <v>18</v>
      </c>
      <c r="E4861" s="148">
        <f t="shared" ca="1" si="157"/>
        <v>0</v>
      </c>
    </row>
    <row r="4862" spans="2:5" x14ac:dyDescent="0.25">
      <c r="B4862" s="8">
        <v>42456</v>
      </c>
      <c r="C4862" s="6">
        <f ca="1">IF(OR($C$7="",$B4862&gt;NOW()),"",IF(INDEX(Data!$A:$G,MATCH($B4862,Data!$A:$A,0),MATCH($C$7,Data!$4:$4,0))="","",INDEX(Data!$A:$G,MATCH($B4862,Data!$A:$A,0),MATCH($C$7,Data!$4:$4,0))))</f>
        <v>45.8</v>
      </c>
      <c r="D4862" s="148">
        <f t="shared" ca="1" si="156"/>
        <v>19.200000000000003</v>
      </c>
      <c r="E4862" s="148">
        <f t="shared" ca="1" si="157"/>
        <v>0</v>
      </c>
    </row>
    <row r="4863" spans="2:5" x14ac:dyDescent="0.25">
      <c r="B4863" s="8">
        <v>42457</v>
      </c>
      <c r="C4863" s="6">
        <f ca="1">IF(OR($C$7="",$B4863&gt;NOW()),"",IF(INDEX(Data!$A:$G,MATCH($B4863,Data!$A:$A,0),MATCH($C$7,Data!$4:$4,0))="","",INDEX(Data!$A:$G,MATCH($B4863,Data!$A:$A,0),MATCH($C$7,Data!$4:$4,0))))</f>
        <v>47.3</v>
      </c>
      <c r="D4863" s="148">
        <f t="shared" ca="1" si="156"/>
        <v>17.700000000000003</v>
      </c>
      <c r="E4863" s="148">
        <f t="shared" ca="1" si="157"/>
        <v>0</v>
      </c>
    </row>
    <row r="4864" spans="2:5" x14ac:dyDescent="0.25">
      <c r="B4864" s="8">
        <v>42458</v>
      </c>
      <c r="C4864" s="6">
        <f ca="1">IF(OR($C$7="",$B4864&gt;NOW()),"",IF(INDEX(Data!$A:$G,MATCH($B4864,Data!$A:$A,0),MATCH($C$7,Data!$4:$4,0))="","",INDEX(Data!$A:$G,MATCH($B4864,Data!$A:$A,0),MATCH($C$7,Data!$4:$4,0))))</f>
        <v>49.7</v>
      </c>
      <c r="D4864" s="148">
        <f t="shared" ca="1" si="156"/>
        <v>15.299999999999997</v>
      </c>
      <c r="E4864" s="148">
        <f t="shared" ca="1" si="157"/>
        <v>0</v>
      </c>
    </row>
    <row r="4865" spans="2:5" x14ac:dyDescent="0.25">
      <c r="B4865" s="8">
        <v>42459</v>
      </c>
      <c r="C4865" s="6">
        <f ca="1">IF(OR($C$7="",$B4865&gt;NOW()),"",IF(INDEX(Data!$A:$G,MATCH($B4865,Data!$A:$A,0),MATCH($C$7,Data!$4:$4,0))="","",INDEX(Data!$A:$G,MATCH($B4865,Data!$A:$A,0),MATCH($C$7,Data!$4:$4,0))))</f>
        <v>45.4</v>
      </c>
      <c r="D4865" s="148">
        <f t="shared" ca="1" si="156"/>
        <v>19.600000000000001</v>
      </c>
      <c r="E4865" s="148">
        <f t="shared" ca="1" si="157"/>
        <v>0</v>
      </c>
    </row>
    <row r="4866" spans="2:5" x14ac:dyDescent="0.25">
      <c r="B4866" s="8">
        <v>42460</v>
      </c>
      <c r="C4866" s="6">
        <f ca="1">IF(OR($C$7="",$B4866&gt;NOW()),"",IF(INDEX(Data!$A:$G,MATCH($B4866,Data!$A:$A,0),MATCH($C$7,Data!$4:$4,0))="","",INDEX(Data!$A:$G,MATCH($B4866,Data!$A:$A,0),MATCH($C$7,Data!$4:$4,0))))</f>
        <v>57.2</v>
      </c>
      <c r="D4866" s="148">
        <f t="shared" ca="1" si="156"/>
        <v>7.7999999999999972</v>
      </c>
      <c r="E4866" s="148">
        <f t="shared" ca="1" si="157"/>
        <v>0</v>
      </c>
    </row>
    <row r="4867" spans="2:5" x14ac:dyDescent="0.25">
      <c r="B4867" s="8">
        <v>42461</v>
      </c>
      <c r="C4867" s="6">
        <f ca="1">IF(OR($C$7="",$B4867&gt;NOW()),"",IF(INDEX(Data!$A:$G,MATCH($B4867,Data!$A:$A,0),MATCH($C$7,Data!$4:$4,0))="","",INDEX(Data!$A:$G,MATCH($B4867,Data!$A:$A,0),MATCH($C$7,Data!$4:$4,0))))</f>
        <v>62.6</v>
      </c>
      <c r="D4867" s="148">
        <f t="shared" ca="1" si="156"/>
        <v>2.3999999999999986</v>
      </c>
      <c r="E4867" s="148">
        <f t="shared" ca="1" si="157"/>
        <v>0</v>
      </c>
    </row>
    <row r="4868" spans="2:5" x14ac:dyDescent="0.25">
      <c r="B4868" s="8">
        <v>42462</v>
      </c>
      <c r="C4868" s="6">
        <f ca="1">IF(OR($C$7="",$B4868&gt;NOW()),"",IF(INDEX(Data!$A:$G,MATCH($B4868,Data!$A:$A,0),MATCH($C$7,Data!$4:$4,0))="","",INDEX(Data!$A:$G,MATCH($B4868,Data!$A:$A,0),MATCH($C$7,Data!$4:$4,0))))</f>
        <v>56.3</v>
      </c>
      <c r="D4868" s="148">
        <f t="shared" ca="1" si="156"/>
        <v>8.7000000000000028</v>
      </c>
      <c r="E4868" s="148">
        <f t="shared" ca="1" si="157"/>
        <v>0</v>
      </c>
    </row>
    <row r="4869" spans="2:5" x14ac:dyDescent="0.25">
      <c r="B4869" s="8">
        <v>42463</v>
      </c>
      <c r="C4869" s="6">
        <f ca="1">IF(OR($C$7="",$B4869&gt;NOW()),"",IF(INDEX(Data!$A:$G,MATCH($B4869,Data!$A:$A,0),MATCH($C$7,Data!$4:$4,0))="","",INDEX(Data!$A:$G,MATCH($B4869,Data!$A:$A,0),MATCH($C$7,Data!$4:$4,0))))</f>
        <v>42.3</v>
      </c>
      <c r="D4869" s="148">
        <f t="shared" ca="1" si="156"/>
        <v>22.700000000000003</v>
      </c>
      <c r="E4869" s="148">
        <f t="shared" ca="1" si="157"/>
        <v>0</v>
      </c>
    </row>
    <row r="4870" spans="2:5" x14ac:dyDescent="0.25">
      <c r="B4870" s="8">
        <v>42464</v>
      </c>
      <c r="C4870" s="6">
        <f ca="1">IF(OR($C$7="",$B4870&gt;NOW()),"",IF(INDEX(Data!$A:$G,MATCH($B4870,Data!$A:$A,0),MATCH($C$7,Data!$4:$4,0))="","",INDEX(Data!$A:$G,MATCH($B4870,Data!$A:$A,0),MATCH($C$7,Data!$4:$4,0))))</f>
        <v>39.700000000000003</v>
      </c>
      <c r="D4870" s="148">
        <f t="shared" ca="1" si="156"/>
        <v>25.299999999999997</v>
      </c>
      <c r="E4870" s="148">
        <f t="shared" ca="1" si="157"/>
        <v>0</v>
      </c>
    </row>
    <row r="4871" spans="2:5" x14ac:dyDescent="0.25">
      <c r="B4871" s="8">
        <v>42465</v>
      </c>
      <c r="C4871" s="6">
        <f ca="1">IF(OR($C$7="",$B4871&gt;NOW()),"",IF(INDEX(Data!$A:$G,MATCH($B4871,Data!$A:$A,0),MATCH($C$7,Data!$4:$4,0))="","",INDEX(Data!$A:$G,MATCH($B4871,Data!$A:$A,0),MATCH($C$7,Data!$4:$4,0))))</f>
        <v>33.299999999999997</v>
      </c>
      <c r="D4871" s="148">
        <f t="shared" ca="1" si="156"/>
        <v>31.700000000000003</v>
      </c>
      <c r="E4871" s="148">
        <f t="shared" ca="1" si="157"/>
        <v>0</v>
      </c>
    </row>
    <row r="4872" spans="2:5" x14ac:dyDescent="0.25">
      <c r="B4872" s="8">
        <v>42466</v>
      </c>
      <c r="C4872" s="6">
        <f ca="1">IF(OR($C$7="",$B4872&gt;NOW()),"",IF(INDEX(Data!$A:$G,MATCH($B4872,Data!$A:$A,0),MATCH($C$7,Data!$4:$4,0))="","",INDEX(Data!$A:$G,MATCH($B4872,Data!$A:$A,0),MATCH($C$7,Data!$4:$4,0))))</f>
        <v>39</v>
      </c>
      <c r="D4872" s="148">
        <f t="shared" ca="1" si="156"/>
        <v>26</v>
      </c>
      <c r="E4872" s="148">
        <f t="shared" ca="1" si="157"/>
        <v>0</v>
      </c>
    </row>
    <row r="4873" spans="2:5" x14ac:dyDescent="0.25">
      <c r="B4873" s="8">
        <v>42467</v>
      </c>
      <c r="C4873" s="6">
        <f ca="1">IF(OR($C$7="",$B4873&gt;NOW()),"",IF(INDEX(Data!$A:$G,MATCH($B4873,Data!$A:$A,0),MATCH($C$7,Data!$4:$4,0))="","",INDEX(Data!$A:$G,MATCH($B4873,Data!$A:$A,0),MATCH($C$7,Data!$4:$4,0))))</f>
        <v>52</v>
      </c>
      <c r="D4873" s="148">
        <f t="shared" ca="1" si="156"/>
        <v>13</v>
      </c>
      <c r="E4873" s="148">
        <f t="shared" ca="1" si="157"/>
        <v>0</v>
      </c>
    </row>
    <row r="4874" spans="2:5" x14ac:dyDescent="0.25">
      <c r="B4874" s="8">
        <v>42468</v>
      </c>
      <c r="C4874" s="6">
        <f ca="1">IF(OR($C$7="",$B4874&gt;NOW()),"",IF(INDEX(Data!$A:$G,MATCH($B4874,Data!$A:$A,0),MATCH($C$7,Data!$4:$4,0))="","",INDEX(Data!$A:$G,MATCH($B4874,Data!$A:$A,0),MATCH($C$7,Data!$4:$4,0))))</f>
        <v>48.9</v>
      </c>
      <c r="D4874" s="148">
        <f t="shared" ca="1" si="156"/>
        <v>16.100000000000001</v>
      </c>
      <c r="E4874" s="148">
        <f t="shared" ca="1" si="157"/>
        <v>0</v>
      </c>
    </row>
    <row r="4875" spans="2:5" x14ac:dyDescent="0.25">
      <c r="B4875" s="8">
        <v>42469</v>
      </c>
      <c r="C4875" s="6">
        <f ca="1">IF(OR($C$7="",$B4875&gt;NOW()),"",IF(INDEX(Data!$A:$G,MATCH($B4875,Data!$A:$A,0),MATCH($C$7,Data!$4:$4,0))="","",INDEX(Data!$A:$G,MATCH($B4875,Data!$A:$A,0),MATCH($C$7,Data!$4:$4,0))))</f>
        <v>41.1</v>
      </c>
      <c r="D4875" s="148">
        <f t="shared" ca="1" si="156"/>
        <v>23.9</v>
      </c>
      <c r="E4875" s="148">
        <f t="shared" ca="1" si="157"/>
        <v>0</v>
      </c>
    </row>
    <row r="4876" spans="2:5" x14ac:dyDescent="0.25">
      <c r="B4876" s="8">
        <v>42470</v>
      </c>
      <c r="C4876" s="6">
        <f ca="1">IF(OR($C$7="",$B4876&gt;NOW()),"",IF(INDEX(Data!$A:$G,MATCH($B4876,Data!$A:$A,0),MATCH($C$7,Data!$4:$4,0))="","",INDEX(Data!$A:$G,MATCH($B4876,Data!$A:$A,0),MATCH($C$7,Data!$4:$4,0))))</f>
        <v>40.5</v>
      </c>
      <c r="D4876" s="148">
        <f t="shared" ca="1" si="156"/>
        <v>24.5</v>
      </c>
      <c r="E4876" s="148">
        <f t="shared" ca="1" si="157"/>
        <v>0</v>
      </c>
    </row>
    <row r="4877" spans="2:5" x14ac:dyDescent="0.25">
      <c r="B4877" s="8">
        <v>42471</v>
      </c>
      <c r="C4877" s="6">
        <f ca="1">IF(OR($C$7="",$B4877&gt;NOW()),"",IF(INDEX(Data!$A:$G,MATCH($B4877,Data!$A:$A,0),MATCH($C$7,Data!$4:$4,0))="","",INDEX(Data!$A:$G,MATCH($B4877,Data!$A:$A,0),MATCH($C$7,Data!$4:$4,0))))</f>
        <v>50.2</v>
      </c>
      <c r="D4877" s="148">
        <f t="shared" ca="1" si="156"/>
        <v>14.799999999999997</v>
      </c>
      <c r="E4877" s="148">
        <f t="shared" ca="1" si="157"/>
        <v>0</v>
      </c>
    </row>
    <row r="4878" spans="2:5" x14ac:dyDescent="0.25">
      <c r="B4878" s="8">
        <v>42472</v>
      </c>
      <c r="C4878" s="6">
        <f ca="1">IF(OR($C$7="",$B4878&gt;NOW()),"",IF(INDEX(Data!$A:$G,MATCH($B4878,Data!$A:$A,0),MATCH($C$7,Data!$4:$4,0))="","",INDEX(Data!$A:$G,MATCH($B4878,Data!$A:$A,0),MATCH($C$7,Data!$4:$4,0))))</f>
        <v>53.2</v>
      </c>
      <c r="D4878" s="148">
        <f t="shared" ca="1" si="156"/>
        <v>11.799999999999997</v>
      </c>
      <c r="E4878" s="148">
        <f t="shared" ca="1" si="157"/>
        <v>0</v>
      </c>
    </row>
    <row r="4879" spans="2:5" x14ac:dyDescent="0.25">
      <c r="B4879" s="8">
        <v>42473</v>
      </c>
      <c r="C4879" s="6">
        <f ca="1">IF(OR($C$7="",$B4879&gt;NOW()),"",IF(INDEX(Data!$A:$G,MATCH($B4879,Data!$A:$A,0),MATCH($C$7,Data!$4:$4,0))="","",INDEX(Data!$A:$G,MATCH($B4879,Data!$A:$A,0),MATCH($C$7,Data!$4:$4,0))))</f>
        <v>48.4</v>
      </c>
      <c r="D4879" s="148">
        <f t="shared" ca="1" si="156"/>
        <v>16.600000000000001</v>
      </c>
      <c r="E4879" s="148">
        <f t="shared" ca="1" si="157"/>
        <v>0</v>
      </c>
    </row>
    <row r="4880" spans="2:5" x14ac:dyDescent="0.25">
      <c r="B4880" s="8">
        <v>42474</v>
      </c>
      <c r="C4880" s="6">
        <f ca="1">IF(OR($C$7="",$B4880&gt;NOW()),"",IF(INDEX(Data!$A:$G,MATCH($B4880,Data!$A:$A,0),MATCH($C$7,Data!$4:$4,0))="","",INDEX(Data!$A:$G,MATCH($B4880,Data!$A:$A,0),MATCH($C$7,Data!$4:$4,0))))</f>
        <v>49.9</v>
      </c>
      <c r="D4880" s="148">
        <f t="shared" ca="1" si="156"/>
        <v>15.100000000000001</v>
      </c>
      <c r="E4880" s="148">
        <f t="shared" ca="1" si="157"/>
        <v>0</v>
      </c>
    </row>
    <row r="4881" spans="2:5" x14ac:dyDescent="0.25">
      <c r="B4881" s="8">
        <v>42475</v>
      </c>
      <c r="C4881" s="6">
        <f ca="1">IF(OR($C$7="",$B4881&gt;NOW()),"",IF(INDEX(Data!$A:$G,MATCH($B4881,Data!$A:$A,0),MATCH($C$7,Data!$4:$4,0))="","",INDEX(Data!$A:$G,MATCH($B4881,Data!$A:$A,0),MATCH($C$7,Data!$4:$4,0))))</f>
        <v>50.8</v>
      </c>
      <c r="D4881" s="148">
        <f t="shared" ca="1" si="156"/>
        <v>14.200000000000003</v>
      </c>
      <c r="E4881" s="148">
        <f t="shared" ca="1" si="157"/>
        <v>0</v>
      </c>
    </row>
    <row r="4882" spans="2:5" x14ac:dyDescent="0.25">
      <c r="B4882" s="8">
        <v>42476</v>
      </c>
      <c r="C4882" s="6">
        <f ca="1">IF(OR($C$7="",$B4882&gt;NOW()),"",IF(INDEX(Data!$A:$G,MATCH($B4882,Data!$A:$A,0),MATCH($C$7,Data!$4:$4,0))="","",INDEX(Data!$A:$G,MATCH($B4882,Data!$A:$A,0),MATCH($C$7,Data!$4:$4,0))))</f>
        <v>52.6</v>
      </c>
      <c r="D4882" s="148">
        <f t="shared" ca="1" si="156"/>
        <v>12.399999999999999</v>
      </c>
      <c r="E4882" s="148">
        <f t="shared" ca="1" si="157"/>
        <v>0</v>
      </c>
    </row>
    <row r="4883" spans="2:5" x14ac:dyDescent="0.25">
      <c r="B4883" s="8">
        <v>42477</v>
      </c>
      <c r="C4883" s="6">
        <f ca="1">IF(OR($C$7="",$B4883&gt;NOW()),"",IF(INDEX(Data!$A:$G,MATCH($B4883,Data!$A:$A,0),MATCH($C$7,Data!$4:$4,0))="","",INDEX(Data!$A:$G,MATCH($B4883,Data!$A:$A,0),MATCH($C$7,Data!$4:$4,0))))</f>
        <v>55.8</v>
      </c>
      <c r="D4883" s="148">
        <f t="shared" ca="1" si="156"/>
        <v>9.2000000000000028</v>
      </c>
      <c r="E4883" s="148">
        <f t="shared" ca="1" si="157"/>
        <v>0</v>
      </c>
    </row>
    <row r="4884" spans="2:5" x14ac:dyDescent="0.25">
      <c r="B4884" s="8">
        <v>42478</v>
      </c>
      <c r="C4884" s="6">
        <f ca="1">IF(OR($C$7="",$B4884&gt;NOW()),"",IF(INDEX(Data!$A:$G,MATCH($B4884,Data!$A:$A,0),MATCH($C$7,Data!$4:$4,0))="","",INDEX(Data!$A:$G,MATCH($B4884,Data!$A:$A,0),MATCH($C$7,Data!$4:$4,0))))</f>
        <v>62.5</v>
      </c>
      <c r="D4884" s="148">
        <f t="shared" ca="1" si="156"/>
        <v>2.5</v>
      </c>
      <c r="E4884" s="148">
        <f t="shared" ca="1" si="157"/>
        <v>0</v>
      </c>
    </row>
    <row r="4885" spans="2:5" x14ac:dyDescent="0.25">
      <c r="B4885" s="8">
        <v>42479</v>
      </c>
      <c r="C4885" s="6">
        <f ca="1">IF(OR($C$7="",$B4885&gt;NOW()),"",IF(INDEX(Data!$A:$G,MATCH($B4885,Data!$A:$A,0),MATCH($C$7,Data!$4:$4,0))="","",INDEX(Data!$A:$G,MATCH($B4885,Data!$A:$A,0),MATCH($C$7,Data!$4:$4,0))))</f>
        <v>65.5</v>
      </c>
      <c r="D4885" s="148">
        <f t="shared" ca="1" si="156"/>
        <v>0</v>
      </c>
      <c r="E4885" s="148">
        <f t="shared" ca="1" si="157"/>
        <v>0.5</v>
      </c>
    </row>
    <row r="4886" spans="2:5" x14ac:dyDescent="0.25">
      <c r="B4886" s="8">
        <v>42480</v>
      </c>
      <c r="C4886" s="6">
        <f ca="1">IF(OR($C$7="",$B4886&gt;NOW()),"",IF(INDEX(Data!$A:$G,MATCH($B4886,Data!$A:$A,0),MATCH($C$7,Data!$4:$4,0))="","",INDEX(Data!$A:$G,MATCH($B4886,Data!$A:$A,0),MATCH($C$7,Data!$4:$4,0))))</f>
        <v>58.8</v>
      </c>
      <c r="D4886" s="148">
        <f t="shared" ca="1" si="156"/>
        <v>6.2000000000000028</v>
      </c>
      <c r="E4886" s="148">
        <f t="shared" ca="1" si="157"/>
        <v>0</v>
      </c>
    </row>
    <row r="4887" spans="2:5" x14ac:dyDescent="0.25">
      <c r="B4887" s="8">
        <v>42481</v>
      </c>
      <c r="C4887" s="6">
        <f ca="1">IF(OR($C$7="",$B4887&gt;NOW()),"",IF(INDEX(Data!$A:$G,MATCH($B4887,Data!$A:$A,0),MATCH($C$7,Data!$4:$4,0))="","",INDEX(Data!$A:$G,MATCH($B4887,Data!$A:$A,0),MATCH($C$7,Data!$4:$4,0))))</f>
        <v>58.8</v>
      </c>
      <c r="D4887" s="148">
        <f t="shared" ca="1" si="156"/>
        <v>6.2000000000000028</v>
      </c>
      <c r="E4887" s="148">
        <f t="shared" ca="1" si="157"/>
        <v>0</v>
      </c>
    </row>
    <row r="4888" spans="2:5" x14ac:dyDescent="0.25">
      <c r="B4888" s="8">
        <v>42482</v>
      </c>
      <c r="C4888" s="6">
        <f ca="1">IF(OR($C$7="",$B4888&gt;NOW()),"",IF(INDEX(Data!$A:$G,MATCH($B4888,Data!$A:$A,0),MATCH($C$7,Data!$4:$4,0))="","",INDEX(Data!$A:$G,MATCH($B4888,Data!$A:$A,0),MATCH($C$7,Data!$4:$4,0))))</f>
        <v>70</v>
      </c>
      <c r="D4888" s="148">
        <f t="shared" ca="1" si="156"/>
        <v>0</v>
      </c>
      <c r="E4888" s="148">
        <f t="shared" ca="1" si="157"/>
        <v>5</v>
      </c>
    </row>
    <row r="4889" spans="2:5" x14ac:dyDescent="0.25">
      <c r="B4889" s="8">
        <v>42483</v>
      </c>
      <c r="C4889" s="6">
        <f ca="1">IF(OR($C$7="",$B4889&gt;NOW()),"",IF(INDEX(Data!$A:$G,MATCH($B4889,Data!$A:$A,0),MATCH($C$7,Data!$4:$4,0))="","",INDEX(Data!$A:$G,MATCH($B4889,Data!$A:$A,0),MATCH($C$7,Data!$4:$4,0))))</f>
        <v>66.5</v>
      </c>
      <c r="D4889" s="148">
        <f t="shared" ca="1" si="156"/>
        <v>0</v>
      </c>
      <c r="E4889" s="148">
        <f t="shared" ca="1" si="157"/>
        <v>1.5</v>
      </c>
    </row>
    <row r="4890" spans="2:5" x14ac:dyDescent="0.25">
      <c r="B4890" s="8">
        <v>42484</v>
      </c>
      <c r="C4890" s="6">
        <f ca="1">IF(OR($C$7="",$B4890&gt;NOW()),"",IF(INDEX(Data!$A:$G,MATCH($B4890,Data!$A:$A,0),MATCH($C$7,Data!$4:$4,0))="","",INDEX(Data!$A:$G,MATCH($B4890,Data!$A:$A,0),MATCH($C$7,Data!$4:$4,0))))</f>
        <v>56.5</v>
      </c>
      <c r="D4890" s="148">
        <f t="shared" ca="1" si="156"/>
        <v>8.5</v>
      </c>
      <c r="E4890" s="148">
        <f t="shared" ca="1" si="157"/>
        <v>0</v>
      </c>
    </row>
    <row r="4891" spans="2:5" x14ac:dyDescent="0.25">
      <c r="B4891" s="8">
        <v>42485</v>
      </c>
      <c r="C4891" s="6">
        <f ca="1">IF(OR($C$7="",$B4891&gt;NOW()),"",IF(INDEX(Data!$A:$G,MATCH($B4891,Data!$A:$A,0),MATCH($C$7,Data!$4:$4,0))="","",INDEX(Data!$A:$G,MATCH($B4891,Data!$A:$A,0),MATCH($C$7,Data!$4:$4,0))))</f>
        <v>56.6</v>
      </c>
      <c r="D4891" s="148">
        <f t="shared" ca="1" si="156"/>
        <v>8.3999999999999986</v>
      </c>
      <c r="E4891" s="148">
        <f t="shared" ca="1" si="157"/>
        <v>0</v>
      </c>
    </row>
    <row r="4892" spans="2:5" x14ac:dyDescent="0.25">
      <c r="B4892" s="8">
        <v>42486</v>
      </c>
      <c r="C4892" s="6">
        <f ca="1">IF(OR($C$7="",$B4892&gt;NOW()),"",IF(INDEX(Data!$A:$G,MATCH($B4892,Data!$A:$A,0),MATCH($C$7,Data!$4:$4,0))="","",INDEX(Data!$A:$G,MATCH($B4892,Data!$A:$A,0),MATCH($C$7,Data!$4:$4,0))))</f>
        <v>54.4</v>
      </c>
      <c r="D4892" s="148">
        <f t="shared" ca="1" si="156"/>
        <v>10.600000000000001</v>
      </c>
      <c r="E4892" s="148">
        <f t="shared" ca="1" si="157"/>
        <v>0</v>
      </c>
    </row>
    <row r="4893" spans="2:5" x14ac:dyDescent="0.25">
      <c r="B4893" s="8">
        <v>42487</v>
      </c>
      <c r="C4893" s="6">
        <f ca="1">IF(OR($C$7="",$B4893&gt;NOW()),"",IF(INDEX(Data!$A:$G,MATCH($B4893,Data!$A:$A,0),MATCH($C$7,Data!$4:$4,0))="","",INDEX(Data!$A:$G,MATCH($B4893,Data!$A:$A,0),MATCH($C$7,Data!$4:$4,0))))</f>
        <v>51.1</v>
      </c>
      <c r="D4893" s="148">
        <f t="shared" ref="D4893:D4956" ca="1" si="158">IF($C4893="","",IF($C4893&gt;$D$26,0,$D$26-$C4893))</f>
        <v>13.899999999999999</v>
      </c>
      <c r="E4893" s="148">
        <f t="shared" ref="E4893:E4956" ca="1" si="159">IF($C4893="","",IF($C4893&lt;$E$26,0,$C4893-$E$26))</f>
        <v>0</v>
      </c>
    </row>
    <row r="4894" spans="2:5" x14ac:dyDescent="0.25">
      <c r="B4894" s="8">
        <v>42488</v>
      </c>
      <c r="C4894" s="6">
        <f ca="1">IF(OR($C$7="",$B4894&gt;NOW()),"",IF(INDEX(Data!$A:$G,MATCH($B4894,Data!$A:$A,0),MATCH($C$7,Data!$4:$4,0))="","",INDEX(Data!$A:$G,MATCH($B4894,Data!$A:$A,0),MATCH($C$7,Data!$4:$4,0))))</f>
        <v>53.3</v>
      </c>
      <c r="D4894" s="148">
        <f t="shared" ca="1" si="158"/>
        <v>11.700000000000003</v>
      </c>
      <c r="E4894" s="148">
        <f t="shared" ca="1" si="159"/>
        <v>0</v>
      </c>
    </row>
    <row r="4895" spans="2:5" x14ac:dyDescent="0.25">
      <c r="B4895" s="8">
        <v>42489</v>
      </c>
      <c r="C4895" s="6">
        <f ca="1">IF(OR($C$7="",$B4895&gt;NOW()),"",IF(INDEX(Data!$A:$G,MATCH($B4895,Data!$A:$A,0),MATCH($C$7,Data!$4:$4,0))="","",INDEX(Data!$A:$G,MATCH($B4895,Data!$A:$A,0),MATCH($C$7,Data!$4:$4,0))))</f>
        <v>52</v>
      </c>
      <c r="D4895" s="148">
        <f t="shared" ca="1" si="158"/>
        <v>13</v>
      </c>
      <c r="E4895" s="148">
        <f t="shared" ca="1" si="159"/>
        <v>0</v>
      </c>
    </row>
    <row r="4896" spans="2:5" x14ac:dyDescent="0.25">
      <c r="B4896" s="8">
        <v>42490</v>
      </c>
      <c r="C4896" s="6">
        <f ca="1">IF(OR($C$7="",$B4896&gt;NOW()),"",IF(INDEX(Data!$A:$G,MATCH($B4896,Data!$A:$A,0),MATCH($C$7,Data!$4:$4,0))="","",INDEX(Data!$A:$G,MATCH($B4896,Data!$A:$A,0),MATCH($C$7,Data!$4:$4,0))))</f>
        <v>52.8</v>
      </c>
      <c r="D4896" s="148">
        <f t="shared" ca="1" si="158"/>
        <v>12.200000000000003</v>
      </c>
      <c r="E4896" s="148">
        <f t="shared" ca="1" si="159"/>
        <v>0</v>
      </c>
    </row>
    <row r="4897" spans="2:5" x14ac:dyDescent="0.25">
      <c r="B4897" s="8">
        <v>42491</v>
      </c>
      <c r="C4897" s="6">
        <f ca="1">IF(OR($C$7="",$B4897&gt;NOW()),"",IF(INDEX(Data!$A:$G,MATCH($B4897,Data!$A:$A,0),MATCH($C$7,Data!$4:$4,0))="","",INDEX(Data!$A:$G,MATCH($B4897,Data!$A:$A,0),MATCH($C$7,Data!$4:$4,0))))</f>
        <v>50.1</v>
      </c>
      <c r="D4897" s="148">
        <f t="shared" ca="1" si="158"/>
        <v>14.899999999999999</v>
      </c>
      <c r="E4897" s="148">
        <f t="shared" ca="1" si="159"/>
        <v>0</v>
      </c>
    </row>
    <row r="4898" spans="2:5" x14ac:dyDescent="0.25">
      <c r="B4898" s="8">
        <v>42492</v>
      </c>
      <c r="C4898" s="6">
        <f ca="1">IF(OR($C$7="",$B4898&gt;NOW()),"",IF(INDEX(Data!$A:$G,MATCH($B4898,Data!$A:$A,0),MATCH($C$7,Data!$4:$4,0))="","",INDEX(Data!$A:$G,MATCH($B4898,Data!$A:$A,0),MATCH($C$7,Data!$4:$4,0))))</f>
        <v>50.6</v>
      </c>
      <c r="D4898" s="148">
        <f t="shared" ca="1" si="158"/>
        <v>14.399999999999999</v>
      </c>
      <c r="E4898" s="148">
        <f t="shared" ca="1" si="159"/>
        <v>0</v>
      </c>
    </row>
    <row r="4899" spans="2:5" x14ac:dyDescent="0.25">
      <c r="B4899" s="8">
        <v>42493</v>
      </c>
      <c r="C4899" s="6">
        <f ca="1">IF(OR($C$7="",$B4899&gt;NOW()),"",IF(INDEX(Data!$A:$G,MATCH($B4899,Data!$A:$A,0),MATCH($C$7,Data!$4:$4,0))="","",INDEX(Data!$A:$G,MATCH($B4899,Data!$A:$A,0),MATCH($C$7,Data!$4:$4,0))))</f>
        <v>54.5</v>
      </c>
      <c r="D4899" s="148">
        <f t="shared" ca="1" si="158"/>
        <v>10.5</v>
      </c>
      <c r="E4899" s="148">
        <f t="shared" ca="1" si="159"/>
        <v>0</v>
      </c>
    </row>
    <row r="4900" spans="2:5" x14ac:dyDescent="0.25">
      <c r="B4900" s="8">
        <v>42494</v>
      </c>
      <c r="C4900" s="6">
        <f ca="1">IF(OR($C$7="",$B4900&gt;NOW()),"",IF(INDEX(Data!$A:$G,MATCH($B4900,Data!$A:$A,0),MATCH($C$7,Data!$4:$4,0))="","",INDEX(Data!$A:$G,MATCH($B4900,Data!$A:$A,0),MATCH($C$7,Data!$4:$4,0))))</f>
        <v>51.3</v>
      </c>
      <c r="D4900" s="148">
        <f t="shared" ca="1" si="158"/>
        <v>13.700000000000003</v>
      </c>
      <c r="E4900" s="148">
        <f t="shared" ca="1" si="159"/>
        <v>0</v>
      </c>
    </row>
    <row r="4901" spans="2:5" x14ac:dyDescent="0.25">
      <c r="B4901" s="8">
        <v>42495</v>
      </c>
      <c r="C4901" s="6">
        <f ca="1">IF(OR($C$7="",$B4901&gt;NOW()),"",IF(INDEX(Data!$A:$G,MATCH($B4901,Data!$A:$A,0),MATCH($C$7,Data!$4:$4,0))="","",INDEX(Data!$A:$G,MATCH($B4901,Data!$A:$A,0),MATCH($C$7,Data!$4:$4,0))))</f>
        <v>51.8</v>
      </c>
      <c r="D4901" s="148">
        <f t="shared" ca="1" si="158"/>
        <v>13.200000000000003</v>
      </c>
      <c r="E4901" s="148">
        <f t="shared" ca="1" si="159"/>
        <v>0</v>
      </c>
    </row>
    <row r="4902" spans="2:5" x14ac:dyDescent="0.25">
      <c r="B4902" s="8">
        <v>42496</v>
      </c>
      <c r="C4902" s="6">
        <f ca="1">IF(OR($C$7="",$B4902&gt;NOW()),"",IF(INDEX(Data!$A:$G,MATCH($B4902,Data!$A:$A,0),MATCH($C$7,Data!$4:$4,0))="","",INDEX(Data!$A:$G,MATCH($B4902,Data!$A:$A,0),MATCH($C$7,Data!$4:$4,0))))</f>
        <v>52.2</v>
      </c>
      <c r="D4902" s="148">
        <f t="shared" ca="1" si="158"/>
        <v>12.799999999999997</v>
      </c>
      <c r="E4902" s="148">
        <f t="shared" ca="1" si="159"/>
        <v>0</v>
      </c>
    </row>
    <row r="4903" spans="2:5" x14ac:dyDescent="0.25">
      <c r="B4903" s="8">
        <v>42497</v>
      </c>
      <c r="C4903" s="6">
        <f ca="1">IF(OR($C$7="",$B4903&gt;NOW()),"",IF(INDEX(Data!$A:$G,MATCH($B4903,Data!$A:$A,0),MATCH($C$7,Data!$4:$4,0))="","",INDEX(Data!$A:$G,MATCH($B4903,Data!$A:$A,0),MATCH($C$7,Data!$4:$4,0))))</f>
        <v>52.3</v>
      </c>
      <c r="D4903" s="148">
        <f t="shared" ca="1" si="158"/>
        <v>12.700000000000003</v>
      </c>
      <c r="E4903" s="148">
        <f t="shared" ca="1" si="159"/>
        <v>0</v>
      </c>
    </row>
    <row r="4904" spans="2:5" x14ac:dyDescent="0.25">
      <c r="B4904" s="8">
        <v>42498</v>
      </c>
      <c r="C4904" s="6">
        <f ca="1">IF(OR($C$7="",$B4904&gt;NOW()),"",IF(INDEX(Data!$A:$G,MATCH($B4904,Data!$A:$A,0),MATCH($C$7,Data!$4:$4,0))="","",INDEX(Data!$A:$G,MATCH($B4904,Data!$A:$A,0),MATCH($C$7,Data!$4:$4,0))))</f>
        <v>55.4</v>
      </c>
      <c r="D4904" s="148">
        <f t="shared" ca="1" si="158"/>
        <v>9.6000000000000014</v>
      </c>
      <c r="E4904" s="148">
        <f t="shared" ca="1" si="159"/>
        <v>0</v>
      </c>
    </row>
    <row r="4905" spans="2:5" x14ac:dyDescent="0.25">
      <c r="B4905" s="8">
        <v>42499</v>
      </c>
      <c r="C4905" s="6">
        <f ca="1">IF(OR($C$7="",$B4905&gt;NOW()),"",IF(INDEX(Data!$A:$G,MATCH($B4905,Data!$A:$A,0),MATCH($C$7,Data!$4:$4,0))="","",INDEX(Data!$A:$G,MATCH($B4905,Data!$A:$A,0),MATCH($C$7,Data!$4:$4,0))))</f>
        <v>62.9</v>
      </c>
      <c r="D4905" s="148">
        <f t="shared" ca="1" si="158"/>
        <v>2.1000000000000014</v>
      </c>
      <c r="E4905" s="148">
        <f t="shared" ca="1" si="159"/>
        <v>0</v>
      </c>
    </row>
    <row r="4906" spans="2:5" x14ac:dyDescent="0.25">
      <c r="B4906" s="8">
        <v>42500</v>
      </c>
      <c r="C4906" s="6">
        <f ca="1">IF(OR($C$7="",$B4906&gt;NOW()),"",IF(INDEX(Data!$A:$G,MATCH($B4906,Data!$A:$A,0),MATCH($C$7,Data!$4:$4,0))="","",INDEX(Data!$A:$G,MATCH($B4906,Data!$A:$A,0),MATCH($C$7,Data!$4:$4,0))))</f>
        <v>59.1</v>
      </c>
      <c r="D4906" s="148">
        <f t="shared" ca="1" si="158"/>
        <v>5.8999999999999986</v>
      </c>
      <c r="E4906" s="148">
        <f t="shared" ca="1" si="159"/>
        <v>0</v>
      </c>
    </row>
    <row r="4907" spans="2:5" x14ac:dyDescent="0.25">
      <c r="B4907" s="8">
        <v>42501</v>
      </c>
      <c r="C4907" s="6">
        <f ca="1">IF(OR($C$7="",$B4907&gt;NOW()),"",IF(INDEX(Data!$A:$G,MATCH($B4907,Data!$A:$A,0),MATCH($C$7,Data!$4:$4,0))="","",INDEX(Data!$A:$G,MATCH($B4907,Data!$A:$A,0),MATCH($C$7,Data!$4:$4,0))))</f>
        <v>63</v>
      </c>
      <c r="D4907" s="148">
        <f t="shared" ca="1" si="158"/>
        <v>2</v>
      </c>
      <c r="E4907" s="148">
        <f t="shared" ca="1" si="159"/>
        <v>0</v>
      </c>
    </row>
    <row r="4908" spans="2:5" x14ac:dyDescent="0.25">
      <c r="B4908" s="8">
        <v>42502</v>
      </c>
      <c r="C4908" s="6">
        <f ca="1">IF(OR($C$7="",$B4908&gt;NOW()),"",IF(INDEX(Data!$A:$G,MATCH($B4908,Data!$A:$A,0),MATCH($C$7,Data!$4:$4,0))="","",INDEX(Data!$A:$G,MATCH($B4908,Data!$A:$A,0),MATCH($C$7,Data!$4:$4,0))))</f>
        <v>66.2</v>
      </c>
      <c r="D4908" s="148">
        <f t="shared" ca="1" si="158"/>
        <v>0</v>
      </c>
      <c r="E4908" s="148">
        <f t="shared" ca="1" si="159"/>
        <v>1.2000000000000028</v>
      </c>
    </row>
    <row r="4909" spans="2:5" x14ac:dyDescent="0.25">
      <c r="B4909" s="8">
        <v>42503</v>
      </c>
      <c r="C4909" s="6">
        <f ca="1">IF(OR($C$7="",$B4909&gt;NOW()),"",IF(INDEX(Data!$A:$G,MATCH($B4909,Data!$A:$A,0),MATCH($C$7,Data!$4:$4,0))="","",INDEX(Data!$A:$G,MATCH($B4909,Data!$A:$A,0),MATCH($C$7,Data!$4:$4,0))))</f>
        <v>61.6</v>
      </c>
      <c r="D4909" s="148">
        <f t="shared" ca="1" si="158"/>
        <v>3.3999999999999986</v>
      </c>
      <c r="E4909" s="148">
        <f t="shared" ca="1" si="159"/>
        <v>0</v>
      </c>
    </row>
    <row r="4910" spans="2:5" x14ac:dyDescent="0.25">
      <c r="B4910" s="8">
        <v>42504</v>
      </c>
      <c r="C4910" s="6">
        <f ca="1">IF(OR($C$7="",$B4910&gt;NOW()),"",IF(INDEX(Data!$A:$G,MATCH($B4910,Data!$A:$A,0),MATCH($C$7,Data!$4:$4,0))="","",INDEX(Data!$A:$G,MATCH($B4910,Data!$A:$A,0),MATCH($C$7,Data!$4:$4,0))))</f>
        <v>66.2</v>
      </c>
      <c r="D4910" s="148">
        <f t="shared" ca="1" si="158"/>
        <v>0</v>
      </c>
      <c r="E4910" s="148">
        <f t="shared" ca="1" si="159"/>
        <v>1.2000000000000028</v>
      </c>
    </row>
    <row r="4911" spans="2:5" x14ac:dyDescent="0.25">
      <c r="B4911" s="8">
        <v>42505</v>
      </c>
      <c r="C4911" s="6">
        <f ca="1">IF(OR($C$7="",$B4911&gt;NOW()),"",IF(INDEX(Data!$A:$G,MATCH($B4911,Data!$A:$A,0),MATCH($C$7,Data!$4:$4,0))="","",INDEX(Data!$A:$G,MATCH($B4911,Data!$A:$A,0),MATCH($C$7,Data!$4:$4,0))))</f>
        <v>56</v>
      </c>
      <c r="D4911" s="148">
        <f t="shared" ca="1" si="158"/>
        <v>9</v>
      </c>
      <c r="E4911" s="148">
        <f t="shared" ca="1" si="159"/>
        <v>0</v>
      </c>
    </row>
    <row r="4912" spans="2:5" x14ac:dyDescent="0.25">
      <c r="B4912" s="8">
        <v>42506</v>
      </c>
      <c r="C4912" s="6">
        <f ca="1">IF(OR($C$7="",$B4912&gt;NOW()),"",IF(INDEX(Data!$A:$G,MATCH($B4912,Data!$A:$A,0),MATCH($C$7,Data!$4:$4,0))="","",INDEX(Data!$A:$G,MATCH($B4912,Data!$A:$A,0),MATCH($C$7,Data!$4:$4,0))))</f>
        <v>52.8</v>
      </c>
      <c r="D4912" s="148">
        <f t="shared" ca="1" si="158"/>
        <v>12.200000000000003</v>
      </c>
      <c r="E4912" s="148">
        <f t="shared" ca="1" si="159"/>
        <v>0</v>
      </c>
    </row>
    <row r="4913" spans="2:5" x14ac:dyDescent="0.25">
      <c r="B4913" s="8">
        <v>42507</v>
      </c>
      <c r="C4913" s="6">
        <f ca="1">IF(OR($C$7="",$B4913&gt;NOW()),"",IF(INDEX(Data!$A:$G,MATCH($B4913,Data!$A:$A,0),MATCH($C$7,Data!$4:$4,0))="","",INDEX(Data!$A:$G,MATCH($B4913,Data!$A:$A,0),MATCH($C$7,Data!$4:$4,0))))</f>
        <v>62.3</v>
      </c>
      <c r="D4913" s="148">
        <f t="shared" ca="1" si="158"/>
        <v>2.7000000000000028</v>
      </c>
      <c r="E4913" s="148">
        <f t="shared" ca="1" si="159"/>
        <v>0</v>
      </c>
    </row>
    <row r="4914" spans="2:5" x14ac:dyDescent="0.25">
      <c r="B4914" s="8">
        <v>42508</v>
      </c>
      <c r="C4914" s="6">
        <f ca="1">IF(OR($C$7="",$B4914&gt;NOW()),"",IF(INDEX(Data!$A:$G,MATCH($B4914,Data!$A:$A,0),MATCH($C$7,Data!$4:$4,0))="","",INDEX(Data!$A:$G,MATCH($B4914,Data!$A:$A,0),MATCH($C$7,Data!$4:$4,0))))</f>
        <v>59.3</v>
      </c>
      <c r="D4914" s="148">
        <f t="shared" ca="1" si="158"/>
        <v>5.7000000000000028</v>
      </c>
      <c r="E4914" s="148">
        <f t="shared" ca="1" si="159"/>
        <v>0</v>
      </c>
    </row>
    <row r="4915" spans="2:5" x14ac:dyDescent="0.25">
      <c r="B4915" s="8">
        <v>42509</v>
      </c>
      <c r="C4915" s="6">
        <f ca="1">IF(OR($C$7="",$B4915&gt;NOW()),"",IF(INDEX(Data!$A:$G,MATCH($B4915,Data!$A:$A,0),MATCH($C$7,Data!$4:$4,0))="","",INDEX(Data!$A:$G,MATCH($B4915,Data!$A:$A,0),MATCH($C$7,Data!$4:$4,0))))</f>
        <v>60.9</v>
      </c>
      <c r="D4915" s="148">
        <f t="shared" ca="1" si="158"/>
        <v>4.1000000000000014</v>
      </c>
      <c r="E4915" s="148">
        <f t="shared" ca="1" si="159"/>
        <v>0</v>
      </c>
    </row>
    <row r="4916" spans="2:5" x14ac:dyDescent="0.25">
      <c r="B4916" s="8">
        <v>42510</v>
      </c>
      <c r="C4916" s="6">
        <f ca="1">IF(OR($C$7="",$B4916&gt;NOW()),"",IF(INDEX(Data!$A:$G,MATCH($B4916,Data!$A:$A,0),MATCH($C$7,Data!$4:$4,0))="","",INDEX(Data!$A:$G,MATCH($B4916,Data!$A:$A,0),MATCH($C$7,Data!$4:$4,0))))</f>
        <v>64.400000000000006</v>
      </c>
      <c r="D4916" s="148">
        <f t="shared" ca="1" si="158"/>
        <v>0.59999999999999432</v>
      </c>
      <c r="E4916" s="148">
        <f t="shared" ca="1" si="159"/>
        <v>0</v>
      </c>
    </row>
    <row r="4917" spans="2:5" x14ac:dyDescent="0.25">
      <c r="B4917" s="8">
        <v>42511</v>
      </c>
      <c r="C4917" s="6">
        <f ca="1">IF(OR($C$7="",$B4917&gt;NOW()),"",IF(INDEX(Data!$A:$G,MATCH($B4917,Data!$A:$A,0),MATCH($C$7,Data!$4:$4,0))="","",INDEX(Data!$A:$G,MATCH($B4917,Data!$A:$A,0),MATCH($C$7,Data!$4:$4,0))))</f>
        <v>62.4</v>
      </c>
      <c r="D4917" s="148">
        <f t="shared" ca="1" si="158"/>
        <v>2.6000000000000014</v>
      </c>
      <c r="E4917" s="148">
        <f t="shared" ca="1" si="159"/>
        <v>0</v>
      </c>
    </row>
    <row r="4918" spans="2:5" x14ac:dyDescent="0.25">
      <c r="B4918" s="8">
        <v>42512</v>
      </c>
      <c r="C4918" s="6">
        <f ca="1">IF(OR($C$7="",$B4918&gt;NOW()),"",IF(INDEX(Data!$A:$G,MATCH($B4918,Data!$A:$A,0),MATCH($C$7,Data!$4:$4,0))="","",INDEX(Data!$A:$G,MATCH($B4918,Data!$A:$A,0),MATCH($C$7,Data!$4:$4,0))))</f>
        <v>60.7</v>
      </c>
      <c r="D4918" s="148">
        <f t="shared" ca="1" si="158"/>
        <v>4.2999999999999972</v>
      </c>
      <c r="E4918" s="148">
        <f t="shared" ca="1" si="159"/>
        <v>0</v>
      </c>
    </row>
    <row r="4919" spans="2:5" x14ac:dyDescent="0.25">
      <c r="B4919" s="8">
        <v>42513</v>
      </c>
      <c r="C4919" s="6">
        <f ca="1">IF(OR($C$7="",$B4919&gt;NOW()),"",IF(INDEX(Data!$A:$G,MATCH($B4919,Data!$A:$A,0),MATCH($C$7,Data!$4:$4,0))="","",INDEX(Data!$A:$G,MATCH($B4919,Data!$A:$A,0),MATCH($C$7,Data!$4:$4,0))))</f>
        <v>65</v>
      </c>
      <c r="D4919" s="148">
        <f t="shared" ca="1" si="158"/>
        <v>0</v>
      </c>
      <c r="E4919" s="148">
        <f t="shared" ca="1" si="159"/>
        <v>0</v>
      </c>
    </row>
    <row r="4920" spans="2:5" x14ac:dyDescent="0.25">
      <c r="B4920" s="8">
        <v>42514</v>
      </c>
      <c r="C4920" s="6">
        <f ca="1">IF(OR($C$7="",$B4920&gt;NOW()),"",IF(INDEX(Data!$A:$G,MATCH($B4920,Data!$A:$A,0),MATCH($C$7,Data!$4:$4,0))="","",INDEX(Data!$A:$G,MATCH($B4920,Data!$A:$A,0),MATCH($C$7,Data!$4:$4,0))))</f>
        <v>65.5</v>
      </c>
      <c r="D4920" s="148">
        <f t="shared" ca="1" si="158"/>
        <v>0</v>
      </c>
      <c r="E4920" s="148">
        <f t="shared" ca="1" si="159"/>
        <v>0.5</v>
      </c>
    </row>
    <row r="4921" spans="2:5" x14ac:dyDescent="0.25">
      <c r="B4921" s="8">
        <v>42515</v>
      </c>
      <c r="C4921" s="6">
        <f ca="1">IF(OR($C$7="",$B4921&gt;NOW()),"",IF(INDEX(Data!$A:$G,MATCH($B4921,Data!$A:$A,0),MATCH($C$7,Data!$4:$4,0))="","",INDEX(Data!$A:$G,MATCH($B4921,Data!$A:$A,0),MATCH($C$7,Data!$4:$4,0))))</f>
        <v>65.8</v>
      </c>
      <c r="D4921" s="148">
        <f t="shared" ca="1" si="158"/>
        <v>0</v>
      </c>
      <c r="E4921" s="148">
        <f t="shared" ca="1" si="159"/>
        <v>0.79999999999999716</v>
      </c>
    </row>
    <row r="4922" spans="2:5" x14ac:dyDescent="0.25">
      <c r="B4922" s="8">
        <v>42516</v>
      </c>
      <c r="C4922" s="6" t="str">
        <f ca="1">IF(OR($C$7="",$B4922&gt;NOW()),"",IF(INDEX(Data!$A:$G,MATCH($B4922,Data!$A:$A,0),MATCH($C$7,Data!$4:$4,0))="","",INDEX(Data!$A:$G,MATCH($B4922,Data!$A:$A,0),MATCH($C$7,Data!$4:$4,0))))</f>
        <v/>
      </c>
      <c r="D4922" s="148" t="str">
        <f t="shared" ca="1" si="158"/>
        <v/>
      </c>
      <c r="E4922" s="148" t="str">
        <f t="shared" ca="1" si="159"/>
        <v/>
      </c>
    </row>
    <row r="4923" spans="2:5" x14ac:dyDescent="0.25">
      <c r="B4923" s="8">
        <v>42517</v>
      </c>
      <c r="C4923" s="6" t="str">
        <f ca="1">IF(OR($C$7="",$B4923&gt;NOW()),"",IF(INDEX(Data!$A:$G,MATCH($B4923,Data!$A:$A,0),MATCH($C$7,Data!$4:$4,0))="","",INDEX(Data!$A:$G,MATCH($B4923,Data!$A:$A,0),MATCH($C$7,Data!$4:$4,0))))</f>
        <v/>
      </c>
      <c r="D4923" s="148" t="str">
        <f t="shared" ca="1" si="158"/>
        <v/>
      </c>
      <c r="E4923" s="148" t="str">
        <f t="shared" ca="1" si="159"/>
        <v/>
      </c>
    </row>
    <row r="4924" spans="2:5" x14ac:dyDescent="0.25">
      <c r="B4924" s="8">
        <v>42518</v>
      </c>
      <c r="C4924" s="6" t="str">
        <f ca="1">IF(OR($C$7="",$B4924&gt;NOW()),"",IF(INDEX(Data!$A:$G,MATCH($B4924,Data!$A:$A,0),MATCH($C$7,Data!$4:$4,0))="","",INDEX(Data!$A:$G,MATCH($B4924,Data!$A:$A,0),MATCH($C$7,Data!$4:$4,0))))</f>
        <v/>
      </c>
      <c r="D4924" s="148" t="str">
        <f t="shared" ca="1" si="158"/>
        <v/>
      </c>
      <c r="E4924" s="148" t="str">
        <f t="shared" ca="1" si="159"/>
        <v/>
      </c>
    </row>
    <row r="4925" spans="2:5" x14ac:dyDescent="0.25">
      <c r="B4925" s="8">
        <v>42519</v>
      </c>
      <c r="C4925" s="6" t="str">
        <f ca="1">IF(OR($C$7="",$B4925&gt;NOW()),"",IF(INDEX(Data!$A:$G,MATCH($B4925,Data!$A:$A,0),MATCH($C$7,Data!$4:$4,0))="","",INDEX(Data!$A:$G,MATCH($B4925,Data!$A:$A,0),MATCH($C$7,Data!$4:$4,0))))</f>
        <v/>
      </c>
      <c r="D4925" s="148" t="str">
        <f t="shared" ca="1" si="158"/>
        <v/>
      </c>
      <c r="E4925" s="148" t="str">
        <f t="shared" ca="1" si="159"/>
        <v/>
      </c>
    </row>
    <row r="4926" spans="2:5" x14ac:dyDescent="0.25">
      <c r="B4926" s="8">
        <v>42520</v>
      </c>
      <c r="C4926" s="6" t="str">
        <f ca="1">IF(OR($C$7="",$B4926&gt;NOW()),"",IF(INDEX(Data!$A:$G,MATCH($B4926,Data!$A:$A,0),MATCH($C$7,Data!$4:$4,0))="","",INDEX(Data!$A:$G,MATCH($B4926,Data!$A:$A,0),MATCH($C$7,Data!$4:$4,0))))</f>
        <v/>
      </c>
      <c r="D4926" s="148" t="str">
        <f t="shared" ca="1" si="158"/>
        <v/>
      </c>
      <c r="E4926" s="148" t="str">
        <f t="shared" ca="1" si="159"/>
        <v/>
      </c>
    </row>
    <row r="4927" spans="2:5" x14ac:dyDescent="0.25">
      <c r="B4927" s="8">
        <v>42521</v>
      </c>
      <c r="C4927" s="6" t="str">
        <f ca="1">IF(OR($C$7="",$B4927&gt;NOW()),"",IF(INDEX(Data!$A:$G,MATCH($B4927,Data!$A:$A,0),MATCH($C$7,Data!$4:$4,0))="","",INDEX(Data!$A:$G,MATCH($B4927,Data!$A:$A,0),MATCH($C$7,Data!$4:$4,0))))</f>
        <v/>
      </c>
      <c r="D4927" s="148" t="str">
        <f t="shared" ca="1" si="158"/>
        <v/>
      </c>
      <c r="E4927" s="148" t="str">
        <f t="shared" ca="1" si="159"/>
        <v/>
      </c>
    </row>
    <row r="4928" spans="2:5" x14ac:dyDescent="0.25">
      <c r="B4928" s="8">
        <v>42522</v>
      </c>
      <c r="C4928" s="6" t="str">
        <f ca="1">IF(OR($C$7="",$B4928&gt;NOW()),"",IF(INDEX(Data!$A:$G,MATCH($B4928,Data!$A:$A,0),MATCH($C$7,Data!$4:$4,0))="","",INDEX(Data!$A:$G,MATCH($B4928,Data!$A:$A,0),MATCH($C$7,Data!$4:$4,0))))</f>
        <v/>
      </c>
      <c r="D4928" s="148" t="str">
        <f t="shared" ca="1" si="158"/>
        <v/>
      </c>
      <c r="E4928" s="148" t="str">
        <f t="shared" ca="1" si="159"/>
        <v/>
      </c>
    </row>
    <row r="4929" spans="2:5" x14ac:dyDescent="0.25">
      <c r="B4929" s="8">
        <v>42523</v>
      </c>
      <c r="C4929" s="6" t="str">
        <f ca="1">IF(OR($C$7="",$B4929&gt;NOW()),"",IF(INDEX(Data!$A:$G,MATCH($B4929,Data!$A:$A,0),MATCH($C$7,Data!$4:$4,0))="","",INDEX(Data!$A:$G,MATCH($B4929,Data!$A:$A,0),MATCH($C$7,Data!$4:$4,0))))</f>
        <v/>
      </c>
      <c r="D4929" s="148" t="str">
        <f t="shared" ca="1" si="158"/>
        <v/>
      </c>
      <c r="E4929" s="148" t="str">
        <f t="shared" ca="1" si="159"/>
        <v/>
      </c>
    </row>
    <row r="4930" spans="2:5" x14ac:dyDescent="0.25">
      <c r="B4930" s="8">
        <v>42524</v>
      </c>
      <c r="C4930" s="6" t="str">
        <f ca="1">IF(OR($C$7="",$B4930&gt;NOW()),"",IF(INDEX(Data!$A:$G,MATCH($B4930,Data!$A:$A,0),MATCH($C$7,Data!$4:$4,0))="","",INDEX(Data!$A:$G,MATCH($B4930,Data!$A:$A,0),MATCH($C$7,Data!$4:$4,0))))</f>
        <v/>
      </c>
      <c r="D4930" s="148" t="str">
        <f t="shared" ca="1" si="158"/>
        <v/>
      </c>
      <c r="E4930" s="148" t="str">
        <f t="shared" ca="1" si="159"/>
        <v/>
      </c>
    </row>
    <row r="4931" spans="2:5" x14ac:dyDescent="0.25">
      <c r="B4931" s="8">
        <v>42525</v>
      </c>
      <c r="C4931" s="6" t="str">
        <f ca="1">IF(OR($C$7="",$B4931&gt;NOW()),"",IF(INDEX(Data!$A:$G,MATCH($B4931,Data!$A:$A,0),MATCH($C$7,Data!$4:$4,0))="","",INDEX(Data!$A:$G,MATCH($B4931,Data!$A:$A,0),MATCH($C$7,Data!$4:$4,0))))</f>
        <v/>
      </c>
      <c r="D4931" s="148" t="str">
        <f t="shared" ca="1" si="158"/>
        <v/>
      </c>
      <c r="E4931" s="148" t="str">
        <f t="shared" ca="1" si="159"/>
        <v/>
      </c>
    </row>
    <row r="4932" spans="2:5" x14ac:dyDescent="0.25">
      <c r="B4932" s="8">
        <v>42526</v>
      </c>
      <c r="C4932" s="6" t="str">
        <f ca="1">IF(OR($C$7="",$B4932&gt;NOW()),"",IF(INDEX(Data!$A:$G,MATCH($B4932,Data!$A:$A,0),MATCH($C$7,Data!$4:$4,0))="","",INDEX(Data!$A:$G,MATCH($B4932,Data!$A:$A,0),MATCH($C$7,Data!$4:$4,0))))</f>
        <v/>
      </c>
      <c r="D4932" s="148" t="str">
        <f t="shared" ca="1" si="158"/>
        <v/>
      </c>
      <c r="E4932" s="148" t="str">
        <f t="shared" ca="1" si="159"/>
        <v/>
      </c>
    </row>
    <row r="4933" spans="2:5" x14ac:dyDescent="0.25">
      <c r="B4933" s="8">
        <v>42527</v>
      </c>
      <c r="C4933" s="6" t="str">
        <f ca="1">IF(OR($C$7="",$B4933&gt;NOW()),"",IF(INDEX(Data!$A:$G,MATCH($B4933,Data!$A:$A,0),MATCH($C$7,Data!$4:$4,0))="","",INDEX(Data!$A:$G,MATCH($B4933,Data!$A:$A,0),MATCH($C$7,Data!$4:$4,0))))</f>
        <v/>
      </c>
      <c r="D4933" s="148" t="str">
        <f t="shared" ca="1" si="158"/>
        <v/>
      </c>
      <c r="E4933" s="148" t="str">
        <f t="shared" ca="1" si="159"/>
        <v/>
      </c>
    </row>
    <row r="4934" spans="2:5" x14ac:dyDescent="0.25">
      <c r="B4934" s="8">
        <v>42528</v>
      </c>
      <c r="C4934" s="6" t="str">
        <f ca="1">IF(OR($C$7="",$B4934&gt;NOW()),"",IF(INDEX(Data!$A:$G,MATCH($B4934,Data!$A:$A,0),MATCH($C$7,Data!$4:$4,0))="","",INDEX(Data!$A:$G,MATCH($B4934,Data!$A:$A,0),MATCH($C$7,Data!$4:$4,0))))</f>
        <v/>
      </c>
      <c r="D4934" s="148" t="str">
        <f t="shared" ca="1" si="158"/>
        <v/>
      </c>
      <c r="E4934" s="148" t="str">
        <f t="shared" ca="1" si="159"/>
        <v/>
      </c>
    </row>
    <row r="4935" spans="2:5" x14ac:dyDescent="0.25">
      <c r="B4935" s="8">
        <v>42529</v>
      </c>
      <c r="C4935" s="6" t="str">
        <f ca="1">IF(OR($C$7="",$B4935&gt;NOW()),"",IF(INDEX(Data!$A:$G,MATCH($B4935,Data!$A:$A,0),MATCH($C$7,Data!$4:$4,0))="","",INDEX(Data!$A:$G,MATCH($B4935,Data!$A:$A,0),MATCH($C$7,Data!$4:$4,0))))</f>
        <v/>
      </c>
      <c r="D4935" s="148" t="str">
        <f t="shared" ca="1" si="158"/>
        <v/>
      </c>
      <c r="E4935" s="148" t="str">
        <f t="shared" ca="1" si="159"/>
        <v/>
      </c>
    </row>
    <row r="4936" spans="2:5" x14ac:dyDescent="0.25">
      <c r="B4936" s="8">
        <v>42530</v>
      </c>
      <c r="C4936" s="6" t="str">
        <f ca="1">IF(OR($C$7="",$B4936&gt;NOW()),"",IF(INDEX(Data!$A:$G,MATCH($B4936,Data!$A:$A,0),MATCH($C$7,Data!$4:$4,0))="","",INDEX(Data!$A:$G,MATCH($B4936,Data!$A:$A,0),MATCH($C$7,Data!$4:$4,0))))</f>
        <v/>
      </c>
      <c r="D4936" s="148" t="str">
        <f t="shared" ca="1" si="158"/>
        <v/>
      </c>
      <c r="E4936" s="148" t="str">
        <f t="shared" ca="1" si="159"/>
        <v/>
      </c>
    </row>
    <row r="4937" spans="2:5" x14ac:dyDescent="0.25">
      <c r="B4937" s="8">
        <v>42531</v>
      </c>
      <c r="C4937" s="6" t="str">
        <f ca="1">IF(OR($C$7="",$B4937&gt;NOW()),"",IF(INDEX(Data!$A:$G,MATCH($B4937,Data!$A:$A,0),MATCH($C$7,Data!$4:$4,0))="","",INDEX(Data!$A:$G,MATCH($B4937,Data!$A:$A,0),MATCH($C$7,Data!$4:$4,0))))</f>
        <v/>
      </c>
      <c r="D4937" s="148" t="str">
        <f t="shared" ca="1" si="158"/>
        <v/>
      </c>
      <c r="E4937" s="148" t="str">
        <f t="shared" ca="1" si="159"/>
        <v/>
      </c>
    </row>
    <row r="4938" spans="2:5" x14ac:dyDescent="0.25">
      <c r="B4938" s="8">
        <v>42532</v>
      </c>
      <c r="C4938" s="6" t="str">
        <f ca="1">IF(OR($C$7="",$B4938&gt;NOW()),"",IF(INDEX(Data!$A:$G,MATCH($B4938,Data!$A:$A,0),MATCH($C$7,Data!$4:$4,0))="","",INDEX(Data!$A:$G,MATCH($B4938,Data!$A:$A,0),MATCH($C$7,Data!$4:$4,0))))</f>
        <v/>
      </c>
      <c r="D4938" s="148" t="str">
        <f t="shared" ca="1" si="158"/>
        <v/>
      </c>
      <c r="E4938" s="148" t="str">
        <f t="shared" ca="1" si="159"/>
        <v/>
      </c>
    </row>
    <row r="4939" spans="2:5" x14ac:dyDescent="0.25">
      <c r="B4939" s="8">
        <v>42533</v>
      </c>
      <c r="C4939" s="6" t="str">
        <f ca="1">IF(OR($C$7="",$B4939&gt;NOW()),"",IF(INDEX(Data!$A:$G,MATCH($B4939,Data!$A:$A,0),MATCH($C$7,Data!$4:$4,0))="","",INDEX(Data!$A:$G,MATCH($B4939,Data!$A:$A,0),MATCH($C$7,Data!$4:$4,0))))</f>
        <v/>
      </c>
      <c r="D4939" s="148" t="str">
        <f t="shared" ca="1" si="158"/>
        <v/>
      </c>
      <c r="E4939" s="148" t="str">
        <f t="shared" ca="1" si="159"/>
        <v/>
      </c>
    </row>
    <row r="4940" spans="2:5" x14ac:dyDescent="0.25">
      <c r="B4940" s="8">
        <v>42534</v>
      </c>
      <c r="C4940" s="6" t="str">
        <f ca="1">IF(OR($C$7="",$B4940&gt;NOW()),"",IF(INDEX(Data!$A:$G,MATCH($B4940,Data!$A:$A,0),MATCH($C$7,Data!$4:$4,0))="","",INDEX(Data!$A:$G,MATCH($B4940,Data!$A:$A,0),MATCH($C$7,Data!$4:$4,0))))</f>
        <v/>
      </c>
      <c r="D4940" s="148" t="str">
        <f t="shared" ca="1" si="158"/>
        <v/>
      </c>
      <c r="E4940" s="148" t="str">
        <f t="shared" ca="1" si="159"/>
        <v/>
      </c>
    </row>
    <row r="4941" spans="2:5" x14ac:dyDescent="0.25">
      <c r="B4941" s="8">
        <v>42535</v>
      </c>
      <c r="C4941" s="6" t="str">
        <f ca="1">IF(OR($C$7="",$B4941&gt;NOW()),"",IF(INDEX(Data!$A:$G,MATCH($B4941,Data!$A:$A,0),MATCH($C$7,Data!$4:$4,0))="","",INDEX(Data!$A:$G,MATCH($B4941,Data!$A:$A,0),MATCH($C$7,Data!$4:$4,0))))</f>
        <v/>
      </c>
      <c r="D4941" s="148" t="str">
        <f t="shared" ca="1" si="158"/>
        <v/>
      </c>
      <c r="E4941" s="148" t="str">
        <f t="shared" ca="1" si="159"/>
        <v/>
      </c>
    </row>
    <row r="4942" spans="2:5" x14ac:dyDescent="0.25">
      <c r="B4942" s="8">
        <v>42536</v>
      </c>
      <c r="C4942" s="6" t="str">
        <f ca="1">IF(OR($C$7="",$B4942&gt;NOW()),"",IF(INDEX(Data!$A:$G,MATCH($B4942,Data!$A:$A,0),MATCH($C$7,Data!$4:$4,0))="","",INDEX(Data!$A:$G,MATCH($B4942,Data!$A:$A,0),MATCH($C$7,Data!$4:$4,0))))</f>
        <v/>
      </c>
      <c r="D4942" s="148" t="str">
        <f t="shared" ca="1" si="158"/>
        <v/>
      </c>
      <c r="E4942" s="148" t="str">
        <f t="shared" ca="1" si="159"/>
        <v/>
      </c>
    </row>
    <row r="4943" spans="2:5" x14ac:dyDescent="0.25">
      <c r="B4943" s="8">
        <v>42537</v>
      </c>
      <c r="C4943" s="6" t="str">
        <f ca="1">IF(OR($C$7="",$B4943&gt;NOW()),"",IF(INDEX(Data!$A:$G,MATCH($B4943,Data!$A:$A,0),MATCH($C$7,Data!$4:$4,0))="","",INDEX(Data!$A:$G,MATCH($B4943,Data!$A:$A,0),MATCH($C$7,Data!$4:$4,0))))</f>
        <v/>
      </c>
      <c r="D4943" s="148" t="str">
        <f t="shared" ca="1" si="158"/>
        <v/>
      </c>
      <c r="E4943" s="148" t="str">
        <f t="shared" ca="1" si="159"/>
        <v/>
      </c>
    </row>
    <row r="4944" spans="2:5" x14ac:dyDescent="0.25">
      <c r="B4944" s="8">
        <v>42538</v>
      </c>
      <c r="C4944" s="6" t="str">
        <f ca="1">IF(OR($C$7="",$B4944&gt;NOW()),"",IF(INDEX(Data!$A:$G,MATCH($B4944,Data!$A:$A,0),MATCH($C$7,Data!$4:$4,0))="","",INDEX(Data!$A:$G,MATCH($B4944,Data!$A:$A,0),MATCH($C$7,Data!$4:$4,0))))</f>
        <v/>
      </c>
      <c r="D4944" s="148" t="str">
        <f t="shared" ca="1" si="158"/>
        <v/>
      </c>
      <c r="E4944" s="148" t="str">
        <f t="shared" ca="1" si="159"/>
        <v/>
      </c>
    </row>
    <row r="4945" spans="2:5" x14ac:dyDescent="0.25">
      <c r="B4945" s="8">
        <v>42539</v>
      </c>
      <c r="C4945" s="6" t="str">
        <f ca="1">IF(OR($C$7="",$B4945&gt;NOW()),"",IF(INDEX(Data!$A:$G,MATCH($B4945,Data!$A:$A,0),MATCH($C$7,Data!$4:$4,0))="","",INDEX(Data!$A:$G,MATCH($B4945,Data!$A:$A,0),MATCH($C$7,Data!$4:$4,0))))</f>
        <v/>
      </c>
      <c r="D4945" s="148" t="str">
        <f t="shared" ca="1" si="158"/>
        <v/>
      </c>
      <c r="E4945" s="148" t="str">
        <f t="shared" ca="1" si="159"/>
        <v/>
      </c>
    </row>
    <row r="4946" spans="2:5" x14ac:dyDescent="0.25">
      <c r="B4946" s="8">
        <v>42540</v>
      </c>
      <c r="C4946" s="6" t="str">
        <f ca="1">IF(OR($C$7="",$B4946&gt;NOW()),"",IF(INDEX(Data!$A:$G,MATCH($B4946,Data!$A:$A,0),MATCH($C$7,Data!$4:$4,0))="","",INDEX(Data!$A:$G,MATCH($B4946,Data!$A:$A,0),MATCH($C$7,Data!$4:$4,0))))</f>
        <v/>
      </c>
      <c r="D4946" s="148" t="str">
        <f t="shared" ca="1" si="158"/>
        <v/>
      </c>
      <c r="E4946" s="148" t="str">
        <f t="shared" ca="1" si="159"/>
        <v/>
      </c>
    </row>
    <row r="4947" spans="2:5" x14ac:dyDescent="0.25">
      <c r="B4947" s="8">
        <v>42541</v>
      </c>
      <c r="C4947" s="6" t="str">
        <f ca="1">IF(OR($C$7="",$B4947&gt;NOW()),"",IF(INDEX(Data!$A:$G,MATCH($B4947,Data!$A:$A,0),MATCH($C$7,Data!$4:$4,0))="","",INDEX(Data!$A:$G,MATCH($B4947,Data!$A:$A,0),MATCH($C$7,Data!$4:$4,0))))</f>
        <v/>
      </c>
      <c r="D4947" s="148" t="str">
        <f t="shared" ca="1" si="158"/>
        <v/>
      </c>
      <c r="E4947" s="148" t="str">
        <f t="shared" ca="1" si="159"/>
        <v/>
      </c>
    </row>
    <row r="4948" spans="2:5" x14ac:dyDescent="0.25">
      <c r="B4948" s="8">
        <v>42542</v>
      </c>
      <c r="C4948" s="6" t="str">
        <f ca="1">IF(OR($C$7="",$B4948&gt;NOW()),"",IF(INDEX(Data!$A:$G,MATCH($B4948,Data!$A:$A,0),MATCH($C$7,Data!$4:$4,0))="","",INDEX(Data!$A:$G,MATCH($B4948,Data!$A:$A,0),MATCH($C$7,Data!$4:$4,0))))</f>
        <v/>
      </c>
      <c r="D4948" s="148" t="str">
        <f t="shared" ca="1" si="158"/>
        <v/>
      </c>
      <c r="E4948" s="148" t="str">
        <f t="shared" ca="1" si="159"/>
        <v/>
      </c>
    </row>
    <row r="4949" spans="2:5" x14ac:dyDescent="0.25">
      <c r="B4949" s="8">
        <v>42543</v>
      </c>
      <c r="C4949" s="6" t="str">
        <f ca="1">IF(OR($C$7="",$B4949&gt;NOW()),"",IF(INDEX(Data!$A:$G,MATCH($B4949,Data!$A:$A,0),MATCH($C$7,Data!$4:$4,0))="","",INDEX(Data!$A:$G,MATCH($B4949,Data!$A:$A,0),MATCH($C$7,Data!$4:$4,0))))</f>
        <v/>
      </c>
      <c r="D4949" s="148" t="str">
        <f t="shared" ca="1" si="158"/>
        <v/>
      </c>
      <c r="E4949" s="148" t="str">
        <f t="shared" ca="1" si="159"/>
        <v/>
      </c>
    </row>
    <row r="4950" spans="2:5" x14ac:dyDescent="0.25">
      <c r="B4950" s="8">
        <v>42544</v>
      </c>
      <c r="C4950" s="6" t="str">
        <f ca="1">IF(OR($C$7="",$B4950&gt;NOW()),"",IF(INDEX(Data!$A:$G,MATCH($B4950,Data!$A:$A,0),MATCH($C$7,Data!$4:$4,0))="","",INDEX(Data!$A:$G,MATCH($B4950,Data!$A:$A,0),MATCH($C$7,Data!$4:$4,0))))</f>
        <v/>
      </c>
      <c r="D4950" s="148" t="str">
        <f t="shared" ca="1" si="158"/>
        <v/>
      </c>
      <c r="E4950" s="148" t="str">
        <f t="shared" ca="1" si="159"/>
        <v/>
      </c>
    </row>
    <row r="4951" spans="2:5" x14ac:dyDescent="0.25">
      <c r="B4951" s="8">
        <v>42545</v>
      </c>
      <c r="C4951" s="6" t="str">
        <f ca="1">IF(OR($C$7="",$B4951&gt;NOW()),"",IF(INDEX(Data!$A:$G,MATCH($B4951,Data!$A:$A,0),MATCH($C$7,Data!$4:$4,0))="","",INDEX(Data!$A:$G,MATCH($B4951,Data!$A:$A,0),MATCH($C$7,Data!$4:$4,0))))</f>
        <v/>
      </c>
      <c r="D4951" s="148" t="str">
        <f t="shared" ca="1" si="158"/>
        <v/>
      </c>
      <c r="E4951" s="148" t="str">
        <f t="shared" ca="1" si="159"/>
        <v/>
      </c>
    </row>
    <row r="4952" spans="2:5" x14ac:dyDescent="0.25">
      <c r="B4952" s="8">
        <v>42546</v>
      </c>
      <c r="C4952" s="6" t="str">
        <f ca="1">IF(OR($C$7="",$B4952&gt;NOW()),"",IF(INDEX(Data!$A:$G,MATCH($B4952,Data!$A:$A,0),MATCH($C$7,Data!$4:$4,0))="","",INDEX(Data!$A:$G,MATCH($B4952,Data!$A:$A,0),MATCH($C$7,Data!$4:$4,0))))</f>
        <v/>
      </c>
      <c r="D4952" s="148" t="str">
        <f t="shared" ca="1" si="158"/>
        <v/>
      </c>
      <c r="E4952" s="148" t="str">
        <f t="shared" ca="1" si="159"/>
        <v/>
      </c>
    </row>
    <row r="4953" spans="2:5" x14ac:dyDescent="0.25">
      <c r="B4953" s="8">
        <v>42547</v>
      </c>
      <c r="C4953" s="6" t="str">
        <f ca="1">IF(OR($C$7="",$B4953&gt;NOW()),"",IF(INDEX(Data!$A:$G,MATCH($B4953,Data!$A:$A,0),MATCH($C$7,Data!$4:$4,0))="","",INDEX(Data!$A:$G,MATCH($B4953,Data!$A:$A,0),MATCH($C$7,Data!$4:$4,0))))</f>
        <v/>
      </c>
      <c r="D4953" s="148" t="str">
        <f t="shared" ca="1" si="158"/>
        <v/>
      </c>
      <c r="E4953" s="148" t="str">
        <f t="shared" ca="1" si="159"/>
        <v/>
      </c>
    </row>
    <row r="4954" spans="2:5" x14ac:dyDescent="0.25">
      <c r="B4954" s="8">
        <v>42548</v>
      </c>
      <c r="C4954" s="6" t="str">
        <f ca="1">IF(OR($C$7="",$B4954&gt;NOW()),"",IF(INDEX(Data!$A:$G,MATCH($B4954,Data!$A:$A,0),MATCH($C$7,Data!$4:$4,0))="","",INDEX(Data!$A:$G,MATCH($B4954,Data!$A:$A,0),MATCH($C$7,Data!$4:$4,0))))</f>
        <v/>
      </c>
      <c r="D4954" s="148" t="str">
        <f t="shared" ca="1" si="158"/>
        <v/>
      </c>
      <c r="E4954" s="148" t="str">
        <f t="shared" ca="1" si="159"/>
        <v/>
      </c>
    </row>
    <row r="4955" spans="2:5" x14ac:dyDescent="0.25">
      <c r="B4955" s="8">
        <v>42549</v>
      </c>
      <c r="C4955" s="6" t="str">
        <f ca="1">IF(OR($C$7="",$B4955&gt;NOW()),"",IF(INDEX(Data!$A:$G,MATCH($B4955,Data!$A:$A,0),MATCH($C$7,Data!$4:$4,0))="","",INDEX(Data!$A:$G,MATCH($B4955,Data!$A:$A,0),MATCH($C$7,Data!$4:$4,0))))</f>
        <v/>
      </c>
      <c r="D4955" s="148" t="str">
        <f t="shared" ca="1" si="158"/>
        <v/>
      </c>
      <c r="E4955" s="148" t="str">
        <f t="shared" ca="1" si="159"/>
        <v/>
      </c>
    </row>
    <row r="4956" spans="2:5" x14ac:dyDescent="0.25">
      <c r="B4956" s="8">
        <v>42550</v>
      </c>
      <c r="C4956" s="6" t="str">
        <f ca="1">IF(OR($C$7="",$B4956&gt;NOW()),"",IF(INDEX(Data!$A:$G,MATCH($B4956,Data!$A:$A,0),MATCH($C$7,Data!$4:$4,0))="","",INDEX(Data!$A:$G,MATCH($B4956,Data!$A:$A,0),MATCH($C$7,Data!$4:$4,0))))</f>
        <v/>
      </c>
      <c r="D4956" s="148" t="str">
        <f t="shared" ca="1" si="158"/>
        <v/>
      </c>
      <c r="E4956" s="148" t="str">
        <f t="shared" ca="1" si="159"/>
        <v/>
      </c>
    </row>
    <row r="4957" spans="2:5" x14ac:dyDescent="0.25">
      <c r="B4957" s="8">
        <v>42551</v>
      </c>
      <c r="C4957" s="6" t="str">
        <f ca="1">IF(OR($C$7="",$B4957&gt;NOW()),"",IF(INDEX(Data!$A:$G,MATCH($B4957,Data!$A:$A,0),MATCH($C$7,Data!$4:$4,0))="","",INDEX(Data!$A:$G,MATCH($B4957,Data!$A:$A,0),MATCH($C$7,Data!$4:$4,0))))</f>
        <v/>
      </c>
      <c r="D4957" s="148" t="str">
        <f t="shared" ref="D4957:D5020" ca="1" si="160">IF($C4957="","",IF($C4957&gt;$D$26,0,$D$26-$C4957))</f>
        <v/>
      </c>
      <c r="E4957" s="148" t="str">
        <f t="shared" ref="E4957:E5020" ca="1" si="161">IF($C4957="","",IF($C4957&lt;$E$26,0,$C4957-$E$26))</f>
        <v/>
      </c>
    </row>
    <row r="4958" spans="2:5" x14ac:dyDescent="0.25">
      <c r="B4958" s="8">
        <v>42552</v>
      </c>
      <c r="C4958" s="6" t="str">
        <f ca="1">IF(OR($C$7="",$B4958&gt;NOW()),"",IF(INDEX(Data!$A:$G,MATCH($B4958,Data!$A:$A,0),MATCH($C$7,Data!$4:$4,0))="","",INDEX(Data!$A:$G,MATCH($B4958,Data!$A:$A,0),MATCH($C$7,Data!$4:$4,0))))</f>
        <v/>
      </c>
      <c r="D4958" s="148" t="str">
        <f t="shared" ca="1" si="160"/>
        <v/>
      </c>
      <c r="E4958" s="148" t="str">
        <f t="shared" ca="1" si="161"/>
        <v/>
      </c>
    </row>
    <row r="4959" spans="2:5" x14ac:dyDescent="0.25">
      <c r="B4959" s="8">
        <v>42553</v>
      </c>
      <c r="C4959" s="6" t="str">
        <f ca="1">IF(OR($C$7="",$B4959&gt;NOW()),"",IF(INDEX(Data!$A:$G,MATCH($B4959,Data!$A:$A,0),MATCH($C$7,Data!$4:$4,0))="","",INDEX(Data!$A:$G,MATCH($B4959,Data!$A:$A,0),MATCH($C$7,Data!$4:$4,0))))</f>
        <v/>
      </c>
      <c r="D4959" s="148" t="str">
        <f t="shared" ca="1" si="160"/>
        <v/>
      </c>
      <c r="E4959" s="148" t="str">
        <f t="shared" ca="1" si="161"/>
        <v/>
      </c>
    </row>
    <row r="4960" spans="2:5" x14ac:dyDescent="0.25">
      <c r="B4960" s="8">
        <v>42554</v>
      </c>
      <c r="C4960" s="6" t="str">
        <f ca="1">IF(OR($C$7="",$B4960&gt;NOW()),"",IF(INDEX(Data!$A:$G,MATCH($B4960,Data!$A:$A,0),MATCH($C$7,Data!$4:$4,0))="","",INDEX(Data!$A:$G,MATCH($B4960,Data!$A:$A,0),MATCH($C$7,Data!$4:$4,0))))</f>
        <v/>
      </c>
      <c r="D4960" s="148" t="str">
        <f t="shared" ca="1" si="160"/>
        <v/>
      </c>
      <c r="E4960" s="148" t="str">
        <f t="shared" ca="1" si="161"/>
        <v/>
      </c>
    </row>
    <row r="4961" spans="2:5" x14ac:dyDescent="0.25">
      <c r="B4961" s="8">
        <v>42555</v>
      </c>
      <c r="C4961" s="6" t="str">
        <f ca="1">IF(OR($C$7="",$B4961&gt;NOW()),"",IF(INDEX(Data!$A:$G,MATCH($B4961,Data!$A:$A,0),MATCH($C$7,Data!$4:$4,0))="","",INDEX(Data!$A:$G,MATCH($B4961,Data!$A:$A,0),MATCH($C$7,Data!$4:$4,0))))</f>
        <v/>
      </c>
      <c r="D4961" s="148" t="str">
        <f t="shared" ca="1" si="160"/>
        <v/>
      </c>
      <c r="E4961" s="148" t="str">
        <f t="shared" ca="1" si="161"/>
        <v/>
      </c>
    </row>
    <row r="4962" spans="2:5" x14ac:dyDescent="0.25">
      <c r="B4962" s="8">
        <v>42556</v>
      </c>
      <c r="C4962" s="6" t="str">
        <f ca="1">IF(OR($C$7="",$B4962&gt;NOW()),"",IF(INDEX(Data!$A:$G,MATCH($B4962,Data!$A:$A,0),MATCH($C$7,Data!$4:$4,0))="","",INDEX(Data!$A:$G,MATCH($B4962,Data!$A:$A,0),MATCH($C$7,Data!$4:$4,0))))</f>
        <v/>
      </c>
      <c r="D4962" s="148" t="str">
        <f t="shared" ca="1" si="160"/>
        <v/>
      </c>
      <c r="E4962" s="148" t="str">
        <f t="shared" ca="1" si="161"/>
        <v/>
      </c>
    </row>
    <row r="4963" spans="2:5" x14ac:dyDescent="0.25">
      <c r="B4963" s="8">
        <v>42557</v>
      </c>
      <c r="C4963" s="6" t="str">
        <f ca="1">IF(OR($C$7="",$B4963&gt;NOW()),"",IF(INDEX(Data!$A:$G,MATCH($B4963,Data!$A:$A,0),MATCH($C$7,Data!$4:$4,0))="","",INDEX(Data!$A:$G,MATCH($B4963,Data!$A:$A,0),MATCH($C$7,Data!$4:$4,0))))</f>
        <v/>
      </c>
      <c r="D4963" s="148" t="str">
        <f t="shared" ca="1" si="160"/>
        <v/>
      </c>
      <c r="E4963" s="148" t="str">
        <f t="shared" ca="1" si="161"/>
        <v/>
      </c>
    </row>
    <row r="4964" spans="2:5" x14ac:dyDescent="0.25">
      <c r="B4964" s="8">
        <v>42558</v>
      </c>
      <c r="C4964" s="6" t="str">
        <f ca="1">IF(OR($C$7="",$B4964&gt;NOW()),"",IF(INDEX(Data!$A:$G,MATCH($B4964,Data!$A:$A,0),MATCH($C$7,Data!$4:$4,0))="","",INDEX(Data!$A:$G,MATCH($B4964,Data!$A:$A,0),MATCH($C$7,Data!$4:$4,0))))</f>
        <v/>
      </c>
      <c r="D4964" s="148" t="str">
        <f t="shared" ca="1" si="160"/>
        <v/>
      </c>
      <c r="E4964" s="148" t="str">
        <f t="shared" ca="1" si="161"/>
        <v/>
      </c>
    </row>
    <row r="4965" spans="2:5" x14ac:dyDescent="0.25">
      <c r="B4965" s="8">
        <v>42559</v>
      </c>
      <c r="C4965" s="6" t="str">
        <f ca="1">IF(OR($C$7="",$B4965&gt;NOW()),"",IF(INDEX(Data!$A:$G,MATCH($B4965,Data!$A:$A,0),MATCH($C$7,Data!$4:$4,0))="","",INDEX(Data!$A:$G,MATCH($B4965,Data!$A:$A,0),MATCH($C$7,Data!$4:$4,0))))</f>
        <v/>
      </c>
      <c r="D4965" s="148" t="str">
        <f t="shared" ca="1" si="160"/>
        <v/>
      </c>
      <c r="E4965" s="148" t="str">
        <f t="shared" ca="1" si="161"/>
        <v/>
      </c>
    </row>
    <row r="4966" spans="2:5" x14ac:dyDescent="0.25">
      <c r="B4966" s="8">
        <v>42560</v>
      </c>
      <c r="C4966" s="6" t="str">
        <f ca="1">IF(OR($C$7="",$B4966&gt;NOW()),"",IF(INDEX(Data!$A:$G,MATCH($B4966,Data!$A:$A,0),MATCH($C$7,Data!$4:$4,0))="","",INDEX(Data!$A:$G,MATCH($B4966,Data!$A:$A,0),MATCH($C$7,Data!$4:$4,0))))</f>
        <v/>
      </c>
      <c r="D4966" s="148" t="str">
        <f t="shared" ca="1" si="160"/>
        <v/>
      </c>
      <c r="E4966" s="148" t="str">
        <f t="shared" ca="1" si="161"/>
        <v/>
      </c>
    </row>
    <row r="4967" spans="2:5" x14ac:dyDescent="0.25">
      <c r="B4967" s="8">
        <v>42561</v>
      </c>
      <c r="C4967" s="6" t="str">
        <f ca="1">IF(OR($C$7="",$B4967&gt;NOW()),"",IF(INDEX(Data!$A:$G,MATCH($B4967,Data!$A:$A,0),MATCH($C$7,Data!$4:$4,0))="","",INDEX(Data!$A:$G,MATCH($B4967,Data!$A:$A,0),MATCH($C$7,Data!$4:$4,0))))</f>
        <v/>
      </c>
      <c r="D4967" s="148" t="str">
        <f t="shared" ca="1" si="160"/>
        <v/>
      </c>
      <c r="E4967" s="148" t="str">
        <f t="shared" ca="1" si="161"/>
        <v/>
      </c>
    </row>
    <row r="4968" spans="2:5" x14ac:dyDescent="0.25">
      <c r="B4968" s="8">
        <v>42562</v>
      </c>
      <c r="C4968" s="6" t="str">
        <f ca="1">IF(OR($C$7="",$B4968&gt;NOW()),"",IF(INDEX(Data!$A:$G,MATCH($B4968,Data!$A:$A,0),MATCH($C$7,Data!$4:$4,0))="","",INDEX(Data!$A:$G,MATCH($B4968,Data!$A:$A,0),MATCH($C$7,Data!$4:$4,0))))</f>
        <v/>
      </c>
      <c r="D4968" s="148" t="str">
        <f t="shared" ca="1" si="160"/>
        <v/>
      </c>
      <c r="E4968" s="148" t="str">
        <f t="shared" ca="1" si="161"/>
        <v/>
      </c>
    </row>
    <row r="4969" spans="2:5" x14ac:dyDescent="0.25">
      <c r="B4969" s="8">
        <v>42563</v>
      </c>
      <c r="C4969" s="6" t="str">
        <f ca="1">IF(OR($C$7="",$B4969&gt;NOW()),"",IF(INDEX(Data!$A:$G,MATCH($B4969,Data!$A:$A,0),MATCH($C$7,Data!$4:$4,0))="","",INDEX(Data!$A:$G,MATCH($B4969,Data!$A:$A,0),MATCH($C$7,Data!$4:$4,0))))</f>
        <v/>
      </c>
      <c r="D4969" s="148" t="str">
        <f t="shared" ca="1" si="160"/>
        <v/>
      </c>
      <c r="E4969" s="148" t="str">
        <f t="shared" ca="1" si="161"/>
        <v/>
      </c>
    </row>
    <row r="4970" spans="2:5" x14ac:dyDescent="0.25">
      <c r="B4970" s="8">
        <v>42564</v>
      </c>
      <c r="C4970" s="6" t="str">
        <f ca="1">IF(OR($C$7="",$B4970&gt;NOW()),"",IF(INDEX(Data!$A:$G,MATCH($B4970,Data!$A:$A,0),MATCH($C$7,Data!$4:$4,0))="","",INDEX(Data!$A:$G,MATCH($B4970,Data!$A:$A,0),MATCH($C$7,Data!$4:$4,0))))</f>
        <v/>
      </c>
      <c r="D4970" s="148" t="str">
        <f t="shared" ca="1" si="160"/>
        <v/>
      </c>
      <c r="E4970" s="148" t="str">
        <f t="shared" ca="1" si="161"/>
        <v/>
      </c>
    </row>
    <row r="4971" spans="2:5" x14ac:dyDescent="0.25">
      <c r="B4971" s="8">
        <v>42565</v>
      </c>
      <c r="C4971" s="6" t="str">
        <f ca="1">IF(OR($C$7="",$B4971&gt;NOW()),"",IF(INDEX(Data!$A:$G,MATCH($B4971,Data!$A:$A,0),MATCH($C$7,Data!$4:$4,0))="","",INDEX(Data!$A:$G,MATCH($B4971,Data!$A:$A,0),MATCH($C$7,Data!$4:$4,0))))</f>
        <v/>
      </c>
      <c r="D4971" s="148" t="str">
        <f t="shared" ca="1" si="160"/>
        <v/>
      </c>
      <c r="E4971" s="148" t="str">
        <f t="shared" ca="1" si="161"/>
        <v/>
      </c>
    </row>
    <row r="4972" spans="2:5" x14ac:dyDescent="0.25">
      <c r="B4972" s="8">
        <v>42566</v>
      </c>
      <c r="C4972" s="6" t="str">
        <f ca="1">IF(OR($C$7="",$B4972&gt;NOW()),"",IF(INDEX(Data!$A:$G,MATCH($B4972,Data!$A:$A,0),MATCH($C$7,Data!$4:$4,0))="","",INDEX(Data!$A:$G,MATCH($B4972,Data!$A:$A,0),MATCH($C$7,Data!$4:$4,0))))</f>
        <v/>
      </c>
      <c r="D4972" s="148" t="str">
        <f t="shared" ca="1" si="160"/>
        <v/>
      </c>
      <c r="E4972" s="148" t="str">
        <f t="shared" ca="1" si="161"/>
        <v/>
      </c>
    </row>
    <row r="4973" spans="2:5" x14ac:dyDescent="0.25">
      <c r="B4973" s="8">
        <v>42567</v>
      </c>
      <c r="C4973" s="6" t="str">
        <f ca="1">IF(OR($C$7="",$B4973&gt;NOW()),"",IF(INDEX(Data!$A:$G,MATCH($B4973,Data!$A:$A,0),MATCH($C$7,Data!$4:$4,0))="","",INDEX(Data!$A:$G,MATCH($B4973,Data!$A:$A,0),MATCH($C$7,Data!$4:$4,0))))</f>
        <v/>
      </c>
      <c r="D4973" s="148" t="str">
        <f t="shared" ca="1" si="160"/>
        <v/>
      </c>
      <c r="E4973" s="148" t="str">
        <f t="shared" ca="1" si="161"/>
        <v/>
      </c>
    </row>
    <row r="4974" spans="2:5" x14ac:dyDescent="0.25">
      <c r="B4974" s="8">
        <v>42568</v>
      </c>
      <c r="C4974" s="6" t="str">
        <f ca="1">IF(OR($C$7="",$B4974&gt;NOW()),"",IF(INDEX(Data!$A:$G,MATCH($B4974,Data!$A:$A,0),MATCH($C$7,Data!$4:$4,0))="","",INDEX(Data!$A:$G,MATCH($B4974,Data!$A:$A,0),MATCH($C$7,Data!$4:$4,0))))</f>
        <v/>
      </c>
      <c r="D4974" s="148" t="str">
        <f t="shared" ca="1" si="160"/>
        <v/>
      </c>
      <c r="E4974" s="148" t="str">
        <f t="shared" ca="1" si="161"/>
        <v/>
      </c>
    </row>
    <row r="4975" spans="2:5" x14ac:dyDescent="0.25">
      <c r="B4975" s="8">
        <v>42569</v>
      </c>
      <c r="C4975" s="6" t="str">
        <f ca="1">IF(OR($C$7="",$B4975&gt;NOW()),"",IF(INDEX(Data!$A:$G,MATCH($B4975,Data!$A:$A,0),MATCH($C$7,Data!$4:$4,0))="","",INDEX(Data!$A:$G,MATCH($B4975,Data!$A:$A,0),MATCH($C$7,Data!$4:$4,0))))</f>
        <v/>
      </c>
      <c r="D4975" s="148" t="str">
        <f t="shared" ca="1" si="160"/>
        <v/>
      </c>
      <c r="E4975" s="148" t="str">
        <f t="shared" ca="1" si="161"/>
        <v/>
      </c>
    </row>
    <row r="4976" spans="2:5" x14ac:dyDescent="0.25">
      <c r="B4976" s="8">
        <v>42570</v>
      </c>
      <c r="C4976" s="6" t="str">
        <f ca="1">IF(OR($C$7="",$B4976&gt;NOW()),"",IF(INDEX(Data!$A:$G,MATCH($B4976,Data!$A:$A,0),MATCH($C$7,Data!$4:$4,0))="","",INDEX(Data!$A:$G,MATCH($B4976,Data!$A:$A,0),MATCH($C$7,Data!$4:$4,0))))</f>
        <v/>
      </c>
      <c r="D4976" s="148" t="str">
        <f t="shared" ca="1" si="160"/>
        <v/>
      </c>
      <c r="E4976" s="148" t="str">
        <f t="shared" ca="1" si="161"/>
        <v/>
      </c>
    </row>
    <row r="4977" spans="2:5" x14ac:dyDescent="0.25">
      <c r="B4977" s="8">
        <v>42571</v>
      </c>
      <c r="C4977" s="6" t="str">
        <f ca="1">IF(OR($C$7="",$B4977&gt;NOW()),"",IF(INDEX(Data!$A:$G,MATCH($B4977,Data!$A:$A,0),MATCH($C$7,Data!$4:$4,0))="","",INDEX(Data!$A:$G,MATCH($B4977,Data!$A:$A,0),MATCH($C$7,Data!$4:$4,0))))</f>
        <v/>
      </c>
      <c r="D4977" s="148" t="str">
        <f t="shared" ca="1" si="160"/>
        <v/>
      </c>
      <c r="E4977" s="148" t="str">
        <f t="shared" ca="1" si="161"/>
        <v/>
      </c>
    </row>
    <row r="4978" spans="2:5" x14ac:dyDescent="0.25">
      <c r="B4978" s="8">
        <v>42572</v>
      </c>
      <c r="C4978" s="6" t="str">
        <f ca="1">IF(OR($C$7="",$B4978&gt;NOW()),"",IF(INDEX(Data!$A:$G,MATCH($B4978,Data!$A:$A,0),MATCH($C$7,Data!$4:$4,0))="","",INDEX(Data!$A:$G,MATCH($B4978,Data!$A:$A,0),MATCH($C$7,Data!$4:$4,0))))</f>
        <v/>
      </c>
      <c r="D4978" s="148" t="str">
        <f t="shared" ca="1" si="160"/>
        <v/>
      </c>
      <c r="E4978" s="148" t="str">
        <f t="shared" ca="1" si="161"/>
        <v/>
      </c>
    </row>
    <row r="4979" spans="2:5" x14ac:dyDescent="0.25">
      <c r="B4979" s="8">
        <v>42573</v>
      </c>
      <c r="C4979" s="6" t="str">
        <f ca="1">IF(OR($C$7="",$B4979&gt;NOW()),"",IF(INDEX(Data!$A:$G,MATCH($B4979,Data!$A:$A,0),MATCH($C$7,Data!$4:$4,0))="","",INDEX(Data!$A:$G,MATCH($B4979,Data!$A:$A,0),MATCH($C$7,Data!$4:$4,0))))</f>
        <v/>
      </c>
      <c r="D4979" s="148" t="str">
        <f t="shared" ca="1" si="160"/>
        <v/>
      </c>
      <c r="E4979" s="148" t="str">
        <f t="shared" ca="1" si="161"/>
        <v/>
      </c>
    </row>
    <row r="4980" spans="2:5" x14ac:dyDescent="0.25">
      <c r="B4980" s="8">
        <v>42574</v>
      </c>
      <c r="C4980" s="6" t="str">
        <f ca="1">IF(OR($C$7="",$B4980&gt;NOW()),"",IF(INDEX(Data!$A:$G,MATCH($B4980,Data!$A:$A,0),MATCH($C$7,Data!$4:$4,0))="","",INDEX(Data!$A:$G,MATCH($B4980,Data!$A:$A,0),MATCH($C$7,Data!$4:$4,0))))</f>
        <v/>
      </c>
      <c r="D4980" s="148" t="str">
        <f t="shared" ca="1" si="160"/>
        <v/>
      </c>
      <c r="E4980" s="148" t="str">
        <f t="shared" ca="1" si="161"/>
        <v/>
      </c>
    </row>
    <row r="4981" spans="2:5" x14ac:dyDescent="0.25">
      <c r="B4981" s="8">
        <v>42575</v>
      </c>
      <c r="C4981" s="6" t="str">
        <f ca="1">IF(OR($C$7="",$B4981&gt;NOW()),"",IF(INDEX(Data!$A:$G,MATCH($B4981,Data!$A:$A,0),MATCH($C$7,Data!$4:$4,0))="","",INDEX(Data!$A:$G,MATCH($B4981,Data!$A:$A,0),MATCH($C$7,Data!$4:$4,0))))</f>
        <v/>
      </c>
      <c r="D4981" s="148" t="str">
        <f t="shared" ca="1" si="160"/>
        <v/>
      </c>
      <c r="E4981" s="148" t="str">
        <f t="shared" ca="1" si="161"/>
        <v/>
      </c>
    </row>
    <row r="4982" spans="2:5" x14ac:dyDescent="0.25">
      <c r="B4982" s="8">
        <v>42576</v>
      </c>
      <c r="C4982" s="6" t="str">
        <f ca="1">IF(OR($C$7="",$B4982&gt;NOW()),"",IF(INDEX(Data!$A:$G,MATCH($B4982,Data!$A:$A,0),MATCH($C$7,Data!$4:$4,0))="","",INDEX(Data!$A:$G,MATCH($B4982,Data!$A:$A,0),MATCH($C$7,Data!$4:$4,0))))</f>
        <v/>
      </c>
      <c r="D4982" s="148" t="str">
        <f t="shared" ca="1" si="160"/>
        <v/>
      </c>
      <c r="E4982" s="148" t="str">
        <f t="shared" ca="1" si="161"/>
        <v/>
      </c>
    </row>
    <row r="4983" spans="2:5" x14ac:dyDescent="0.25">
      <c r="B4983" s="8">
        <v>42577</v>
      </c>
      <c r="C4983" s="6" t="str">
        <f ca="1">IF(OR($C$7="",$B4983&gt;NOW()),"",IF(INDEX(Data!$A:$G,MATCH($B4983,Data!$A:$A,0),MATCH($C$7,Data!$4:$4,0))="","",INDEX(Data!$A:$G,MATCH($B4983,Data!$A:$A,0),MATCH($C$7,Data!$4:$4,0))))</f>
        <v/>
      </c>
      <c r="D4983" s="148" t="str">
        <f t="shared" ca="1" si="160"/>
        <v/>
      </c>
      <c r="E4983" s="148" t="str">
        <f t="shared" ca="1" si="161"/>
        <v/>
      </c>
    </row>
    <row r="4984" spans="2:5" x14ac:dyDescent="0.25">
      <c r="B4984" s="8">
        <v>42578</v>
      </c>
      <c r="C4984" s="6" t="str">
        <f ca="1">IF(OR($C$7="",$B4984&gt;NOW()),"",IF(INDEX(Data!$A:$G,MATCH($B4984,Data!$A:$A,0),MATCH($C$7,Data!$4:$4,0))="","",INDEX(Data!$A:$G,MATCH($B4984,Data!$A:$A,0),MATCH($C$7,Data!$4:$4,0))))</f>
        <v/>
      </c>
      <c r="D4984" s="148" t="str">
        <f t="shared" ca="1" si="160"/>
        <v/>
      </c>
      <c r="E4984" s="148" t="str">
        <f t="shared" ca="1" si="161"/>
        <v/>
      </c>
    </row>
    <row r="4985" spans="2:5" x14ac:dyDescent="0.25">
      <c r="B4985" s="8">
        <v>42579</v>
      </c>
      <c r="C4985" s="6" t="str">
        <f ca="1">IF(OR($C$7="",$B4985&gt;NOW()),"",IF(INDEX(Data!$A:$G,MATCH($B4985,Data!$A:$A,0),MATCH($C$7,Data!$4:$4,0))="","",INDEX(Data!$A:$G,MATCH($B4985,Data!$A:$A,0),MATCH($C$7,Data!$4:$4,0))))</f>
        <v/>
      </c>
      <c r="D4985" s="148" t="str">
        <f t="shared" ca="1" si="160"/>
        <v/>
      </c>
      <c r="E4985" s="148" t="str">
        <f t="shared" ca="1" si="161"/>
        <v/>
      </c>
    </row>
    <row r="4986" spans="2:5" x14ac:dyDescent="0.25">
      <c r="B4986" s="8">
        <v>42580</v>
      </c>
      <c r="C4986" s="6" t="str">
        <f ca="1">IF(OR($C$7="",$B4986&gt;NOW()),"",IF(INDEX(Data!$A:$G,MATCH($B4986,Data!$A:$A,0),MATCH($C$7,Data!$4:$4,0))="","",INDEX(Data!$A:$G,MATCH($B4986,Data!$A:$A,0),MATCH($C$7,Data!$4:$4,0))))</f>
        <v/>
      </c>
      <c r="D4986" s="148" t="str">
        <f t="shared" ca="1" si="160"/>
        <v/>
      </c>
      <c r="E4986" s="148" t="str">
        <f t="shared" ca="1" si="161"/>
        <v/>
      </c>
    </row>
    <row r="4987" spans="2:5" x14ac:dyDescent="0.25">
      <c r="B4987" s="8">
        <v>42581</v>
      </c>
      <c r="C4987" s="6" t="str">
        <f ca="1">IF(OR($C$7="",$B4987&gt;NOW()),"",IF(INDEX(Data!$A:$G,MATCH($B4987,Data!$A:$A,0),MATCH($C$7,Data!$4:$4,0))="","",INDEX(Data!$A:$G,MATCH($B4987,Data!$A:$A,0),MATCH($C$7,Data!$4:$4,0))))</f>
        <v/>
      </c>
      <c r="D4987" s="148" t="str">
        <f t="shared" ca="1" si="160"/>
        <v/>
      </c>
      <c r="E4987" s="148" t="str">
        <f t="shared" ca="1" si="161"/>
        <v/>
      </c>
    </row>
    <row r="4988" spans="2:5" x14ac:dyDescent="0.25">
      <c r="B4988" s="8">
        <v>42582</v>
      </c>
      <c r="C4988" s="6" t="str">
        <f ca="1">IF(OR($C$7="",$B4988&gt;NOW()),"",IF(INDEX(Data!$A:$G,MATCH($B4988,Data!$A:$A,0),MATCH($C$7,Data!$4:$4,0))="","",INDEX(Data!$A:$G,MATCH($B4988,Data!$A:$A,0),MATCH($C$7,Data!$4:$4,0))))</f>
        <v/>
      </c>
      <c r="D4988" s="148" t="str">
        <f t="shared" ca="1" si="160"/>
        <v/>
      </c>
      <c r="E4988" s="148" t="str">
        <f t="shared" ca="1" si="161"/>
        <v/>
      </c>
    </row>
    <row r="4989" spans="2:5" x14ac:dyDescent="0.25">
      <c r="B4989" s="8">
        <v>42583</v>
      </c>
      <c r="C4989" s="6" t="str">
        <f ca="1">IF(OR($C$7="",$B4989&gt;NOW()),"",IF(INDEX(Data!$A:$G,MATCH($B4989,Data!$A:$A,0),MATCH($C$7,Data!$4:$4,0))="","",INDEX(Data!$A:$G,MATCH($B4989,Data!$A:$A,0),MATCH($C$7,Data!$4:$4,0))))</f>
        <v/>
      </c>
      <c r="D4989" s="148" t="str">
        <f t="shared" ca="1" si="160"/>
        <v/>
      </c>
      <c r="E4989" s="148" t="str">
        <f t="shared" ca="1" si="161"/>
        <v/>
      </c>
    </row>
    <row r="4990" spans="2:5" x14ac:dyDescent="0.25">
      <c r="B4990" s="8">
        <v>42584</v>
      </c>
      <c r="C4990" s="6" t="str">
        <f ca="1">IF(OR($C$7="",$B4990&gt;NOW()),"",IF(INDEX(Data!$A:$G,MATCH($B4990,Data!$A:$A,0),MATCH($C$7,Data!$4:$4,0))="","",INDEX(Data!$A:$G,MATCH($B4990,Data!$A:$A,0),MATCH($C$7,Data!$4:$4,0))))</f>
        <v/>
      </c>
      <c r="D4990" s="148" t="str">
        <f t="shared" ca="1" si="160"/>
        <v/>
      </c>
      <c r="E4990" s="148" t="str">
        <f t="shared" ca="1" si="161"/>
        <v/>
      </c>
    </row>
    <row r="4991" spans="2:5" x14ac:dyDescent="0.25">
      <c r="B4991" s="8">
        <v>42585</v>
      </c>
      <c r="C4991" s="6" t="str">
        <f ca="1">IF(OR($C$7="",$B4991&gt;NOW()),"",IF(INDEX(Data!$A:$G,MATCH($B4991,Data!$A:$A,0),MATCH($C$7,Data!$4:$4,0))="","",INDEX(Data!$A:$G,MATCH($B4991,Data!$A:$A,0),MATCH($C$7,Data!$4:$4,0))))</f>
        <v/>
      </c>
      <c r="D4991" s="148" t="str">
        <f t="shared" ca="1" si="160"/>
        <v/>
      </c>
      <c r="E4991" s="148" t="str">
        <f t="shared" ca="1" si="161"/>
        <v/>
      </c>
    </row>
    <row r="4992" spans="2:5" x14ac:dyDescent="0.25">
      <c r="B4992" s="8">
        <v>42586</v>
      </c>
      <c r="C4992" s="6" t="str">
        <f ca="1">IF(OR($C$7="",$B4992&gt;NOW()),"",IF(INDEX(Data!$A:$G,MATCH($B4992,Data!$A:$A,0),MATCH($C$7,Data!$4:$4,0))="","",INDEX(Data!$A:$G,MATCH($B4992,Data!$A:$A,0),MATCH($C$7,Data!$4:$4,0))))</f>
        <v/>
      </c>
      <c r="D4992" s="148" t="str">
        <f t="shared" ca="1" si="160"/>
        <v/>
      </c>
      <c r="E4992" s="148" t="str">
        <f t="shared" ca="1" si="161"/>
        <v/>
      </c>
    </row>
    <row r="4993" spans="2:5" x14ac:dyDescent="0.25">
      <c r="B4993" s="8">
        <v>42587</v>
      </c>
      <c r="C4993" s="6" t="str">
        <f ca="1">IF(OR($C$7="",$B4993&gt;NOW()),"",IF(INDEX(Data!$A:$G,MATCH($B4993,Data!$A:$A,0),MATCH($C$7,Data!$4:$4,0))="","",INDEX(Data!$A:$G,MATCH($B4993,Data!$A:$A,0),MATCH($C$7,Data!$4:$4,0))))</f>
        <v/>
      </c>
      <c r="D4993" s="148" t="str">
        <f t="shared" ca="1" si="160"/>
        <v/>
      </c>
      <c r="E4993" s="148" t="str">
        <f t="shared" ca="1" si="161"/>
        <v/>
      </c>
    </row>
    <row r="4994" spans="2:5" x14ac:dyDescent="0.25">
      <c r="B4994" s="8">
        <v>42588</v>
      </c>
      <c r="C4994" s="6" t="str">
        <f ca="1">IF(OR($C$7="",$B4994&gt;NOW()),"",IF(INDEX(Data!$A:$G,MATCH($B4994,Data!$A:$A,0),MATCH($C$7,Data!$4:$4,0))="","",INDEX(Data!$A:$G,MATCH($B4994,Data!$A:$A,0),MATCH($C$7,Data!$4:$4,0))))</f>
        <v/>
      </c>
      <c r="D4994" s="148" t="str">
        <f t="shared" ca="1" si="160"/>
        <v/>
      </c>
      <c r="E4994" s="148" t="str">
        <f t="shared" ca="1" si="161"/>
        <v/>
      </c>
    </row>
    <row r="4995" spans="2:5" x14ac:dyDescent="0.25">
      <c r="B4995" s="8">
        <v>42589</v>
      </c>
      <c r="C4995" s="6" t="str">
        <f ca="1">IF(OR($C$7="",$B4995&gt;NOW()),"",IF(INDEX(Data!$A:$G,MATCH($B4995,Data!$A:$A,0),MATCH($C$7,Data!$4:$4,0))="","",INDEX(Data!$A:$G,MATCH($B4995,Data!$A:$A,0),MATCH($C$7,Data!$4:$4,0))))</f>
        <v/>
      </c>
      <c r="D4995" s="148" t="str">
        <f t="shared" ca="1" si="160"/>
        <v/>
      </c>
      <c r="E4995" s="148" t="str">
        <f t="shared" ca="1" si="161"/>
        <v/>
      </c>
    </row>
    <row r="4996" spans="2:5" x14ac:dyDescent="0.25">
      <c r="B4996" s="8">
        <v>42590</v>
      </c>
      <c r="C4996" s="6" t="str">
        <f ca="1">IF(OR($C$7="",$B4996&gt;NOW()),"",IF(INDEX(Data!$A:$G,MATCH($B4996,Data!$A:$A,0),MATCH($C$7,Data!$4:$4,0))="","",INDEX(Data!$A:$G,MATCH($B4996,Data!$A:$A,0),MATCH($C$7,Data!$4:$4,0))))</f>
        <v/>
      </c>
      <c r="D4996" s="148" t="str">
        <f t="shared" ca="1" si="160"/>
        <v/>
      </c>
      <c r="E4996" s="148" t="str">
        <f t="shared" ca="1" si="161"/>
        <v/>
      </c>
    </row>
    <row r="4997" spans="2:5" x14ac:dyDescent="0.25">
      <c r="B4997" s="8">
        <v>42591</v>
      </c>
      <c r="C4997" s="6" t="str">
        <f ca="1">IF(OR($C$7="",$B4997&gt;NOW()),"",IF(INDEX(Data!$A:$G,MATCH($B4997,Data!$A:$A,0),MATCH($C$7,Data!$4:$4,0))="","",INDEX(Data!$A:$G,MATCH($B4997,Data!$A:$A,0),MATCH($C$7,Data!$4:$4,0))))</f>
        <v/>
      </c>
      <c r="D4997" s="148" t="str">
        <f t="shared" ca="1" si="160"/>
        <v/>
      </c>
      <c r="E4997" s="148" t="str">
        <f t="shared" ca="1" si="161"/>
        <v/>
      </c>
    </row>
    <row r="4998" spans="2:5" x14ac:dyDescent="0.25">
      <c r="B4998" s="8">
        <v>42592</v>
      </c>
      <c r="C4998" s="6" t="str">
        <f ca="1">IF(OR($C$7="",$B4998&gt;NOW()),"",IF(INDEX(Data!$A:$G,MATCH($B4998,Data!$A:$A,0),MATCH($C$7,Data!$4:$4,0))="","",INDEX(Data!$A:$G,MATCH($B4998,Data!$A:$A,0),MATCH($C$7,Data!$4:$4,0))))</f>
        <v/>
      </c>
      <c r="D4998" s="148" t="str">
        <f t="shared" ca="1" si="160"/>
        <v/>
      </c>
      <c r="E4998" s="148" t="str">
        <f t="shared" ca="1" si="161"/>
        <v/>
      </c>
    </row>
    <row r="4999" spans="2:5" x14ac:dyDescent="0.25">
      <c r="B4999" s="8">
        <v>42593</v>
      </c>
      <c r="C4999" s="6" t="str">
        <f ca="1">IF(OR($C$7="",$B4999&gt;NOW()),"",IF(INDEX(Data!$A:$G,MATCH($B4999,Data!$A:$A,0),MATCH($C$7,Data!$4:$4,0))="","",INDEX(Data!$A:$G,MATCH($B4999,Data!$A:$A,0),MATCH($C$7,Data!$4:$4,0))))</f>
        <v/>
      </c>
      <c r="D4999" s="148" t="str">
        <f t="shared" ca="1" si="160"/>
        <v/>
      </c>
      <c r="E4999" s="148" t="str">
        <f t="shared" ca="1" si="161"/>
        <v/>
      </c>
    </row>
    <row r="5000" spans="2:5" x14ac:dyDescent="0.25">
      <c r="B5000" s="8">
        <v>42594</v>
      </c>
      <c r="C5000" s="6" t="str">
        <f ca="1">IF(OR($C$7="",$B5000&gt;NOW()),"",IF(INDEX(Data!$A:$G,MATCH($B5000,Data!$A:$A,0),MATCH($C$7,Data!$4:$4,0))="","",INDEX(Data!$A:$G,MATCH($B5000,Data!$A:$A,0),MATCH($C$7,Data!$4:$4,0))))</f>
        <v/>
      </c>
      <c r="D5000" s="148" t="str">
        <f t="shared" ca="1" si="160"/>
        <v/>
      </c>
      <c r="E5000" s="148" t="str">
        <f t="shared" ca="1" si="161"/>
        <v/>
      </c>
    </row>
    <row r="5001" spans="2:5" x14ac:dyDescent="0.25">
      <c r="B5001" s="8">
        <v>42595</v>
      </c>
      <c r="C5001" s="6" t="str">
        <f ca="1">IF(OR($C$7="",$B5001&gt;NOW()),"",IF(INDEX(Data!$A:$G,MATCH($B5001,Data!$A:$A,0),MATCH($C$7,Data!$4:$4,0))="","",INDEX(Data!$A:$G,MATCH($B5001,Data!$A:$A,0),MATCH($C$7,Data!$4:$4,0))))</f>
        <v/>
      </c>
      <c r="D5001" s="148" t="str">
        <f t="shared" ca="1" si="160"/>
        <v/>
      </c>
      <c r="E5001" s="148" t="str">
        <f t="shared" ca="1" si="161"/>
        <v/>
      </c>
    </row>
    <row r="5002" spans="2:5" x14ac:dyDescent="0.25">
      <c r="B5002" s="8">
        <v>42596</v>
      </c>
      <c r="C5002" s="6" t="str">
        <f ca="1">IF(OR($C$7="",$B5002&gt;NOW()),"",IF(INDEX(Data!$A:$G,MATCH($B5002,Data!$A:$A,0),MATCH($C$7,Data!$4:$4,0))="","",INDEX(Data!$A:$G,MATCH($B5002,Data!$A:$A,0),MATCH($C$7,Data!$4:$4,0))))</f>
        <v/>
      </c>
      <c r="D5002" s="148" t="str">
        <f t="shared" ca="1" si="160"/>
        <v/>
      </c>
      <c r="E5002" s="148" t="str">
        <f t="shared" ca="1" si="161"/>
        <v/>
      </c>
    </row>
    <row r="5003" spans="2:5" x14ac:dyDescent="0.25">
      <c r="B5003" s="8">
        <v>42597</v>
      </c>
      <c r="C5003" s="6" t="str">
        <f ca="1">IF(OR($C$7="",$B5003&gt;NOW()),"",IF(INDEX(Data!$A:$G,MATCH($B5003,Data!$A:$A,0),MATCH($C$7,Data!$4:$4,0))="","",INDEX(Data!$A:$G,MATCH($B5003,Data!$A:$A,0),MATCH($C$7,Data!$4:$4,0))))</f>
        <v/>
      </c>
      <c r="D5003" s="148" t="str">
        <f t="shared" ca="1" si="160"/>
        <v/>
      </c>
      <c r="E5003" s="148" t="str">
        <f t="shared" ca="1" si="161"/>
        <v/>
      </c>
    </row>
    <row r="5004" spans="2:5" x14ac:dyDescent="0.25">
      <c r="B5004" s="8">
        <v>42598</v>
      </c>
      <c r="C5004" s="6" t="str">
        <f ca="1">IF(OR($C$7="",$B5004&gt;NOW()),"",IF(INDEX(Data!$A:$G,MATCH($B5004,Data!$A:$A,0),MATCH($C$7,Data!$4:$4,0))="","",INDEX(Data!$A:$G,MATCH($B5004,Data!$A:$A,0),MATCH($C$7,Data!$4:$4,0))))</f>
        <v/>
      </c>
      <c r="D5004" s="148" t="str">
        <f t="shared" ca="1" si="160"/>
        <v/>
      </c>
      <c r="E5004" s="148" t="str">
        <f t="shared" ca="1" si="161"/>
        <v/>
      </c>
    </row>
    <row r="5005" spans="2:5" x14ac:dyDescent="0.25">
      <c r="B5005" s="8">
        <v>42599</v>
      </c>
      <c r="C5005" s="6" t="str">
        <f ca="1">IF(OR($C$7="",$B5005&gt;NOW()),"",IF(INDEX(Data!$A:$G,MATCH($B5005,Data!$A:$A,0),MATCH($C$7,Data!$4:$4,0))="","",INDEX(Data!$A:$G,MATCH($B5005,Data!$A:$A,0),MATCH($C$7,Data!$4:$4,0))))</f>
        <v/>
      </c>
      <c r="D5005" s="148" t="str">
        <f t="shared" ca="1" si="160"/>
        <v/>
      </c>
      <c r="E5005" s="148" t="str">
        <f t="shared" ca="1" si="161"/>
        <v/>
      </c>
    </row>
    <row r="5006" spans="2:5" x14ac:dyDescent="0.25">
      <c r="B5006" s="8">
        <v>42600</v>
      </c>
      <c r="C5006" s="6" t="str">
        <f ca="1">IF(OR($C$7="",$B5006&gt;NOW()),"",IF(INDEX(Data!$A:$G,MATCH($B5006,Data!$A:$A,0),MATCH($C$7,Data!$4:$4,0))="","",INDEX(Data!$A:$G,MATCH($B5006,Data!$A:$A,0),MATCH($C$7,Data!$4:$4,0))))</f>
        <v/>
      </c>
      <c r="D5006" s="148" t="str">
        <f t="shared" ca="1" si="160"/>
        <v/>
      </c>
      <c r="E5006" s="148" t="str">
        <f t="shared" ca="1" si="161"/>
        <v/>
      </c>
    </row>
    <row r="5007" spans="2:5" x14ac:dyDescent="0.25">
      <c r="B5007" s="8">
        <v>42601</v>
      </c>
      <c r="C5007" s="6" t="str">
        <f ca="1">IF(OR($C$7="",$B5007&gt;NOW()),"",IF(INDEX(Data!$A:$G,MATCH($B5007,Data!$A:$A,0),MATCH($C$7,Data!$4:$4,0))="","",INDEX(Data!$A:$G,MATCH($B5007,Data!$A:$A,0),MATCH($C$7,Data!$4:$4,0))))</f>
        <v/>
      </c>
      <c r="D5007" s="148" t="str">
        <f t="shared" ca="1" si="160"/>
        <v/>
      </c>
      <c r="E5007" s="148" t="str">
        <f t="shared" ca="1" si="161"/>
        <v/>
      </c>
    </row>
    <row r="5008" spans="2:5" x14ac:dyDescent="0.25">
      <c r="B5008" s="8">
        <v>42602</v>
      </c>
      <c r="C5008" s="6" t="str">
        <f ca="1">IF(OR($C$7="",$B5008&gt;NOW()),"",IF(INDEX(Data!$A:$G,MATCH($B5008,Data!$A:$A,0),MATCH($C$7,Data!$4:$4,0))="","",INDEX(Data!$A:$G,MATCH($B5008,Data!$A:$A,0),MATCH($C$7,Data!$4:$4,0))))</f>
        <v/>
      </c>
      <c r="D5008" s="148" t="str">
        <f t="shared" ca="1" si="160"/>
        <v/>
      </c>
      <c r="E5008" s="148" t="str">
        <f t="shared" ca="1" si="161"/>
        <v/>
      </c>
    </row>
    <row r="5009" spans="2:5" x14ac:dyDescent="0.25">
      <c r="B5009" s="8">
        <v>42603</v>
      </c>
      <c r="C5009" s="6" t="str">
        <f ca="1">IF(OR($C$7="",$B5009&gt;NOW()),"",IF(INDEX(Data!$A:$G,MATCH($B5009,Data!$A:$A,0),MATCH($C$7,Data!$4:$4,0))="","",INDEX(Data!$A:$G,MATCH($B5009,Data!$A:$A,0),MATCH($C$7,Data!$4:$4,0))))</f>
        <v/>
      </c>
      <c r="D5009" s="148" t="str">
        <f t="shared" ca="1" si="160"/>
        <v/>
      </c>
      <c r="E5009" s="148" t="str">
        <f t="shared" ca="1" si="161"/>
        <v/>
      </c>
    </row>
    <row r="5010" spans="2:5" x14ac:dyDescent="0.25">
      <c r="B5010" s="8">
        <v>42604</v>
      </c>
      <c r="C5010" s="6" t="str">
        <f ca="1">IF(OR($C$7="",$B5010&gt;NOW()),"",IF(INDEX(Data!$A:$G,MATCH($B5010,Data!$A:$A,0),MATCH($C$7,Data!$4:$4,0))="","",INDEX(Data!$A:$G,MATCH($B5010,Data!$A:$A,0),MATCH($C$7,Data!$4:$4,0))))</f>
        <v/>
      </c>
      <c r="D5010" s="148" t="str">
        <f t="shared" ca="1" si="160"/>
        <v/>
      </c>
      <c r="E5010" s="148" t="str">
        <f t="shared" ca="1" si="161"/>
        <v/>
      </c>
    </row>
    <row r="5011" spans="2:5" x14ac:dyDescent="0.25">
      <c r="B5011" s="8">
        <v>42605</v>
      </c>
      <c r="C5011" s="6" t="str">
        <f ca="1">IF(OR($C$7="",$B5011&gt;NOW()),"",IF(INDEX(Data!$A:$G,MATCH($B5011,Data!$A:$A,0),MATCH($C$7,Data!$4:$4,0))="","",INDEX(Data!$A:$G,MATCH($B5011,Data!$A:$A,0),MATCH($C$7,Data!$4:$4,0))))</f>
        <v/>
      </c>
      <c r="D5011" s="148" t="str">
        <f t="shared" ca="1" si="160"/>
        <v/>
      </c>
      <c r="E5011" s="148" t="str">
        <f t="shared" ca="1" si="161"/>
        <v/>
      </c>
    </row>
    <row r="5012" spans="2:5" x14ac:dyDescent="0.25">
      <c r="B5012" s="8">
        <v>42606</v>
      </c>
      <c r="C5012" s="6" t="str">
        <f ca="1">IF(OR($C$7="",$B5012&gt;NOW()),"",IF(INDEX(Data!$A:$G,MATCH($B5012,Data!$A:$A,0),MATCH($C$7,Data!$4:$4,0))="","",INDEX(Data!$A:$G,MATCH($B5012,Data!$A:$A,0),MATCH($C$7,Data!$4:$4,0))))</f>
        <v/>
      </c>
      <c r="D5012" s="148" t="str">
        <f t="shared" ca="1" si="160"/>
        <v/>
      </c>
      <c r="E5012" s="148" t="str">
        <f t="shared" ca="1" si="161"/>
        <v/>
      </c>
    </row>
    <row r="5013" spans="2:5" x14ac:dyDescent="0.25">
      <c r="B5013" s="8">
        <v>42607</v>
      </c>
      <c r="C5013" s="6" t="str">
        <f ca="1">IF(OR($C$7="",$B5013&gt;NOW()),"",IF(INDEX(Data!$A:$G,MATCH($B5013,Data!$A:$A,0),MATCH($C$7,Data!$4:$4,0))="","",INDEX(Data!$A:$G,MATCH($B5013,Data!$A:$A,0),MATCH($C$7,Data!$4:$4,0))))</f>
        <v/>
      </c>
      <c r="D5013" s="148" t="str">
        <f t="shared" ca="1" si="160"/>
        <v/>
      </c>
      <c r="E5013" s="148" t="str">
        <f t="shared" ca="1" si="161"/>
        <v/>
      </c>
    </row>
    <row r="5014" spans="2:5" x14ac:dyDescent="0.25">
      <c r="B5014" s="8">
        <v>42608</v>
      </c>
      <c r="C5014" s="6" t="str">
        <f ca="1">IF(OR($C$7="",$B5014&gt;NOW()),"",IF(INDEX(Data!$A:$G,MATCH($B5014,Data!$A:$A,0),MATCH($C$7,Data!$4:$4,0))="","",INDEX(Data!$A:$G,MATCH($B5014,Data!$A:$A,0),MATCH($C$7,Data!$4:$4,0))))</f>
        <v/>
      </c>
      <c r="D5014" s="148" t="str">
        <f t="shared" ca="1" si="160"/>
        <v/>
      </c>
      <c r="E5014" s="148" t="str">
        <f t="shared" ca="1" si="161"/>
        <v/>
      </c>
    </row>
    <row r="5015" spans="2:5" x14ac:dyDescent="0.25">
      <c r="B5015" s="8">
        <v>42609</v>
      </c>
      <c r="C5015" s="6" t="str">
        <f ca="1">IF(OR($C$7="",$B5015&gt;NOW()),"",IF(INDEX(Data!$A:$G,MATCH($B5015,Data!$A:$A,0),MATCH($C$7,Data!$4:$4,0))="","",INDEX(Data!$A:$G,MATCH($B5015,Data!$A:$A,0),MATCH($C$7,Data!$4:$4,0))))</f>
        <v/>
      </c>
      <c r="D5015" s="148" t="str">
        <f t="shared" ca="1" si="160"/>
        <v/>
      </c>
      <c r="E5015" s="148" t="str">
        <f t="shared" ca="1" si="161"/>
        <v/>
      </c>
    </row>
    <row r="5016" spans="2:5" x14ac:dyDescent="0.25">
      <c r="B5016" s="8">
        <v>42610</v>
      </c>
      <c r="C5016" s="6" t="str">
        <f ca="1">IF(OR($C$7="",$B5016&gt;NOW()),"",IF(INDEX(Data!$A:$G,MATCH($B5016,Data!$A:$A,0),MATCH($C$7,Data!$4:$4,0))="","",INDEX(Data!$A:$G,MATCH($B5016,Data!$A:$A,0),MATCH($C$7,Data!$4:$4,0))))</f>
        <v/>
      </c>
      <c r="D5016" s="148" t="str">
        <f t="shared" ca="1" si="160"/>
        <v/>
      </c>
      <c r="E5016" s="148" t="str">
        <f t="shared" ca="1" si="161"/>
        <v/>
      </c>
    </row>
    <row r="5017" spans="2:5" x14ac:dyDescent="0.25">
      <c r="B5017" s="8">
        <v>42611</v>
      </c>
      <c r="C5017" s="6" t="str">
        <f ca="1">IF(OR($C$7="",$B5017&gt;NOW()),"",IF(INDEX(Data!$A:$G,MATCH($B5017,Data!$A:$A,0),MATCH($C$7,Data!$4:$4,0))="","",INDEX(Data!$A:$G,MATCH($B5017,Data!$A:$A,0),MATCH($C$7,Data!$4:$4,0))))</f>
        <v/>
      </c>
      <c r="D5017" s="148" t="str">
        <f t="shared" ca="1" si="160"/>
        <v/>
      </c>
      <c r="E5017" s="148" t="str">
        <f t="shared" ca="1" si="161"/>
        <v/>
      </c>
    </row>
    <row r="5018" spans="2:5" x14ac:dyDescent="0.25">
      <c r="B5018" s="8">
        <v>42612</v>
      </c>
      <c r="C5018" s="6" t="str">
        <f ca="1">IF(OR($C$7="",$B5018&gt;NOW()),"",IF(INDEX(Data!$A:$G,MATCH($B5018,Data!$A:$A,0),MATCH($C$7,Data!$4:$4,0))="","",INDEX(Data!$A:$G,MATCH($B5018,Data!$A:$A,0),MATCH($C$7,Data!$4:$4,0))))</f>
        <v/>
      </c>
      <c r="D5018" s="148" t="str">
        <f t="shared" ca="1" si="160"/>
        <v/>
      </c>
      <c r="E5018" s="148" t="str">
        <f t="shared" ca="1" si="161"/>
        <v/>
      </c>
    </row>
    <row r="5019" spans="2:5" x14ac:dyDescent="0.25">
      <c r="B5019" s="8">
        <v>42613</v>
      </c>
      <c r="C5019" s="6" t="str">
        <f ca="1">IF(OR($C$7="",$B5019&gt;NOW()),"",IF(INDEX(Data!$A:$G,MATCH($B5019,Data!$A:$A,0),MATCH($C$7,Data!$4:$4,0))="","",INDEX(Data!$A:$G,MATCH($B5019,Data!$A:$A,0),MATCH($C$7,Data!$4:$4,0))))</f>
        <v/>
      </c>
      <c r="D5019" s="148" t="str">
        <f t="shared" ca="1" si="160"/>
        <v/>
      </c>
      <c r="E5019" s="148" t="str">
        <f t="shared" ca="1" si="161"/>
        <v/>
      </c>
    </row>
    <row r="5020" spans="2:5" x14ac:dyDescent="0.25">
      <c r="B5020" s="8">
        <v>42614</v>
      </c>
      <c r="C5020" s="6" t="str">
        <f ca="1">IF(OR($C$7="",$B5020&gt;NOW()),"",IF(INDEX(Data!$A:$G,MATCH($B5020,Data!$A:$A,0),MATCH($C$7,Data!$4:$4,0))="","",INDEX(Data!$A:$G,MATCH($B5020,Data!$A:$A,0),MATCH($C$7,Data!$4:$4,0))))</f>
        <v/>
      </c>
      <c r="D5020" s="148" t="str">
        <f t="shared" ca="1" si="160"/>
        <v/>
      </c>
      <c r="E5020" s="148" t="str">
        <f t="shared" ca="1" si="161"/>
        <v/>
      </c>
    </row>
    <row r="5021" spans="2:5" x14ac:dyDescent="0.25">
      <c r="B5021" s="8">
        <v>42615</v>
      </c>
      <c r="C5021" s="6" t="str">
        <f ca="1">IF(OR($C$7="",$B5021&gt;NOW()),"",IF(INDEX(Data!$A:$G,MATCH($B5021,Data!$A:$A,0),MATCH($C$7,Data!$4:$4,0))="","",INDEX(Data!$A:$G,MATCH($B5021,Data!$A:$A,0),MATCH($C$7,Data!$4:$4,0))))</f>
        <v/>
      </c>
      <c r="D5021" s="148" t="str">
        <f t="shared" ref="D5021:D5084" ca="1" si="162">IF($C5021="","",IF($C5021&gt;$D$26,0,$D$26-$C5021))</f>
        <v/>
      </c>
      <c r="E5021" s="148" t="str">
        <f t="shared" ref="E5021:E5084" ca="1" si="163">IF($C5021="","",IF($C5021&lt;$E$26,0,$C5021-$E$26))</f>
        <v/>
      </c>
    </row>
    <row r="5022" spans="2:5" x14ac:dyDescent="0.25">
      <c r="B5022" s="8">
        <v>42616</v>
      </c>
      <c r="C5022" s="6" t="str">
        <f ca="1">IF(OR($C$7="",$B5022&gt;NOW()),"",IF(INDEX(Data!$A:$G,MATCH($B5022,Data!$A:$A,0),MATCH($C$7,Data!$4:$4,0))="","",INDEX(Data!$A:$G,MATCH($B5022,Data!$A:$A,0),MATCH($C$7,Data!$4:$4,0))))</f>
        <v/>
      </c>
      <c r="D5022" s="148" t="str">
        <f t="shared" ca="1" si="162"/>
        <v/>
      </c>
      <c r="E5022" s="148" t="str">
        <f t="shared" ca="1" si="163"/>
        <v/>
      </c>
    </row>
    <row r="5023" spans="2:5" x14ac:dyDescent="0.25">
      <c r="B5023" s="8">
        <v>42617</v>
      </c>
      <c r="C5023" s="6" t="str">
        <f ca="1">IF(OR($C$7="",$B5023&gt;NOW()),"",IF(INDEX(Data!$A:$G,MATCH($B5023,Data!$A:$A,0),MATCH($C$7,Data!$4:$4,0))="","",INDEX(Data!$A:$G,MATCH($B5023,Data!$A:$A,0),MATCH($C$7,Data!$4:$4,0))))</f>
        <v/>
      </c>
      <c r="D5023" s="148" t="str">
        <f t="shared" ca="1" si="162"/>
        <v/>
      </c>
      <c r="E5023" s="148" t="str">
        <f t="shared" ca="1" si="163"/>
        <v/>
      </c>
    </row>
    <row r="5024" spans="2:5" x14ac:dyDescent="0.25">
      <c r="B5024" s="8">
        <v>42618</v>
      </c>
      <c r="C5024" s="6" t="str">
        <f ca="1">IF(OR($C$7="",$B5024&gt;NOW()),"",IF(INDEX(Data!$A:$G,MATCH($B5024,Data!$A:$A,0),MATCH($C$7,Data!$4:$4,0))="","",INDEX(Data!$A:$G,MATCH($B5024,Data!$A:$A,0),MATCH($C$7,Data!$4:$4,0))))</f>
        <v/>
      </c>
      <c r="D5024" s="148" t="str">
        <f t="shared" ca="1" si="162"/>
        <v/>
      </c>
      <c r="E5024" s="148" t="str">
        <f t="shared" ca="1" si="163"/>
        <v/>
      </c>
    </row>
    <row r="5025" spans="2:5" x14ac:dyDescent="0.25">
      <c r="B5025" s="8">
        <v>42619</v>
      </c>
      <c r="C5025" s="6" t="str">
        <f ca="1">IF(OR($C$7="",$B5025&gt;NOW()),"",IF(INDEX(Data!$A:$G,MATCH($B5025,Data!$A:$A,0),MATCH($C$7,Data!$4:$4,0))="","",INDEX(Data!$A:$G,MATCH($B5025,Data!$A:$A,0),MATCH($C$7,Data!$4:$4,0))))</f>
        <v/>
      </c>
      <c r="D5025" s="148" t="str">
        <f t="shared" ca="1" si="162"/>
        <v/>
      </c>
      <c r="E5025" s="148" t="str">
        <f t="shared" ca="1" si="163"/>
        <v/>
      </c>
    </row>
    <row r="5026" spans="2:5" x14ac:dyDescent="0.25">
      <c r="B5026" s="8">
        <v>42620</v>
      </c>
      <c r="C5026" s="6" t="str">
        <f ca="1">IF(OR($C$7="",$B5026&gt;NOW()),"",IF(INDEX(Data!$A:$G,MATCH($B5026,Data!$A:$A,0),MATCH($C$7,Data!$4:$4,0))="","",INDEX(Data!$A:$G,MATCH($B5026,Data!$A:$A,0),MATCH($C$7,Data!$4:$4,0))))</f>
        <v/>
      </c>
      <c r="D5026" s="148" t="str">
        <f t="shared" ca="1" si="162"/>
        <v/>
      </c>
      <c r="E5026" s="148" t="str">
        <f t="shared" ca="1" si="163"/>
        <v/>
      </c>
    </row>
    <row r="5027" spans="2:5" x14ac:dyDescent="0.25">
      <c r="B5027" s="8">
        <v>42621</v>
      </c>
      <c r="C5027" s="6" t="str">
        <f ca="1">IF(OR($C$7="",$B5027&gt;NOW()),"",IF(INDEX(Data!$A:$G,MATCH($B5027,Data!$A:$A,0),MATCH($C$7,Data!$4:$4,0))="","",INDEX(Data!$A:$G,MATCH($B5027,Data!$A:$A,0),MATCH($C$7,Data!$4:$4,0))))</f>
        <v/>
      </c>
      <c r="D5027" s="148" t="str">
        <f t="shared" ca="1" si="162"/>
        <v/>
      </c>
      <c r="E5027" s="148" t="str">
        <f t="shared" ca="1" si="163"/>
        <v/>
      </c>
    </row>
    <row r="5028" spans="2:5" x14ac:dyDescent="0.25">
      <c r="B5028" s="8">
        <v>42622</v>
      </c>
      <c r="C5028" s="6" t="str">
        <f ca="1">IF(OR($C$7="",$B5028&gt;NOW()),"",IF(INDEX(Data!$A:$G,MATCH($B5028,Data!$A:$A,0),MATCH($C$7,Data!$4:$4,0))="","",INDEX(Data!$A:$G,MATCH($B5028,Data!$A:$A,0),MATCH($C$7,Data!$4:$4,0))))</f>
        <v/>
      </c>
      <c r="D5028" s="148" t="str">
        <f t="shared" ca="1" si="162"/>
        <v/>
      </c>
      <c r="E5028" s="148" t="str">
        <f t="shared" ca="1" si="163"/>
        <v/>
      </c>
    </row>
    <row r="5029" spans="2:5" x14ac:dyDescent="0.25">
      <c r="B5029" s="8">
        <v>42623</v>
      </c>
      <c r="C5029" s="6" t="str">
        <f ca="1">IF(OR($C$7="",$B5029&gt;NOW()),"",IF(INDEX(Data!$A:$G,MATCH($B5029,Data!$A:$A,0),MATCH($C$7,Data!$4:$4,0))="","",INDEX(Data!$A:$G,MATCH($B5029,Data!$A:$A,0),MATCH($C$7,Data!$4:$4,0))))</f>
        <v/>
      </c>
      <c r="D5029" s="148" t="str">
        <f t="shared" ca="1" si="162"/>
        <v/>
      </c>
      <c r="E5029" s="148" t="str">
        <f t="shared" ca="1" si="163"/>
        <v/>
      </c>
    </row>
    <row r="5030" spans="2:5" x14ac:dyDescent="0.25">
      <c r="B5030" s="8">
        <v>42624</v>
      </c>
      <c r="C5030" s="6" t="str">
        <f ca="1">IF(OR($C$7="",$B5030&gt;NOW()),"",IF(INDEX(Data!$A:$G,MATCH($B5030,Data!$A:$A,0),MATCH($C$7,Data!$4:$4,0))="","",INDEX(Data!$A:$G,MATCH($B5030,Data!$A:$A,0),MATCH($C$7,Data!$4:$4,0))))</f>
        <v/>
      </c>
      <c r="D5030" s="148" t="str">
        <f t="shared" ca="1" si="162"/>
        <v/>
      </c>
      <c r="E5030" s="148" t="str">
        <f t="shared" ca="1" si="163"/>
        <v/>
      </c>
    </row>
    <row r="5031" spans="2:5" x14ac:dyDescent="0.25">
      <c r="B5031" s="8">
        <v>42625</v>
      </c>
      <c r="C5031" s="6" t="str">
        <f ca="1">IF(OR($C$7="",$B5031&gt;NOW()),"",IF(INDEX(Data!$A:$G,MATCH($B5031,Data!$A:$A,0),MATCH($C$7,Data!$4:$4,0))="","",INDEX(Data!$A:$G,MATCH($B5031,Data!$A:$A,0),MATCH($C$7,Data!$4:$4,0))))</f>
        <v/>
      </c>
      <c r="D5031" s="148" t="str">
        <f t="shared" ca="1" si="162"/>
        <v/>
      </c>
      <c r="E5031" s="148" t="str">
        <f t="shared" ca="1" si="163"/>
        <v/>
      </c>
    </row>
    <row r="5032" spans="2:5" x14ac:dyDescent="0.25">
      <c r="B5032" s="8">
        <v>42626</v>
      </c>
      <c r="C5032" s="6" t="str">
        <f ca="1">IF(OR($C$7="",$B5032&gt;NOW()),"",IF(INDEX(Data!$A:$G,MATCH($B5032,Data!$A:$A,0),MATCH($C$7,Data!$4:$4,0))="","",INDEX(Data!$A:$G,MATCH($B5032,Data!$A:$A,0),MATCH($C$7,Data!$4:$4,0))))</f>
        <v/>
      </c>
      <c r="D5032" s="148" t="str">
        <f t="shared" ca="1" si="162"/>
        <v/>
      </c>
      <c r="E5032" s="148" t="str">
        <f t="shared" ca="1" si="163"/>
        <v/>
      </c>
    </row>
    <row r="5033" spans="2:5" x14ac:dyDescent="0.25">
      <c r="B5033" s="8">
        <v>42627</v>
      </c>
      <c r="C5033" s="6" t="str">
        <f ca="1">IF(OR($C$7="",$B5033&gt;NOW()),"",IF(INDEX(Data!$A:$G,MATCH($B5033,Data!$A:$A,0),MATCH($C$7,Data!$4:$4,0))="","",INDEX(Data!$A:$G,MATCH($B5033,Data!$A:$A,0),MATCH($C$7,Data!$4:$4,0))))</f>
        <v/>
      </c>
      <c r="D5033" s="148" t="str">
        <f t="shared" ca="1" si="162"/>
        <v/>
      </c>
      <c r="E5033" s="148" t="str">
        <f t="shared" ca="1" si="163"/>
        <v/>
      </c>
    </row>
    <row r="5034" spans="2:5" x14ac:dyDescent="0.25">
      <c r="B5034" s="8">
        <v>42628</v>
      </c>
      <c r="C5034" s="6" t="str">
        <f ca="1">IF(OR($C$7="",$B5034&gt;NOW()),"",IF(INDEX(Data!$A:$G,MATCH($B5034,Data!$A:$A,0),MATCH($C$7,Data!$4:$4,0))="","",INDEX(Data!$A:$G,MATCH($B5034,Data!$A:$A,0),MATCH($C$7,Data!$4:$4,0))))</f>
        <v/>
      </c>
      <c r="D5034" s="148" t="str">
        <f t="shared" ca="1" si="162"/>
        <v/>
      </c>
      <c r="E5034" s="148" t="str">
        <f t="shared" ca="1" si="163"/>
        <v/>
      </c>
    </row>
    <row r="5035" spans="2:5" x14ac:dyDescent="0.25">
      <c r="B5035" s="8">
        <v>42629</v>
      </c>
      <c r="C5035" s="6" t="str">
        <f ca="1">IF(OR($C$7="",$B5035&gt;NOW()),"",IF(INDEX(Data!$A:$G,MATCH($B5035,Data!$A:$A,0),MATCH($C$7,Data!$4:$4,0))="","",INDEX(Data!$A:$G,MATCH($B5035,Data!$A:$A,0),MATCH($C$7,Data!$4:$4,0))))</f>
        <v/>
      </c>
      <c r="D5035" s="148" t="str">
        <f t="shared" ca="1" si="162"/>
        <v/>
      </c>
      <c r="E5035" s="148" t="str">
        <f t="shared" ca="1" si="163"/>
        <v/>
      </c>
    </row>
    <row r="5036" spans="2:5" x14ac:dyDescent="0.25">
      <c r="B5036" s="8">
        <v>42630</v>
      </c>
      <c r="C5036" s="6" t="str">
        <f ca="1">IF(OR($C$7="",$B5036&gt;NOW()),"",IF(INDEX(Data!$A:$G,MATCH($B5036,Data!$A:$A,0),MATCH($C$7,Data!$4:$4,0))="","",INDEX(Data!$A:$G,MATCH($B5036,Data!$A:$A,0),MATCH($C$7,Data!$4:$4,0))))</f>
        <v/>
      </c>
      <c r="D5036" s="148" t="str">
        <f t="shared" ca="1" si="162"/>
        <v/>
      </c>
      <c r="E5036" s="148" t="str">
        <f t="shared" ca="1" si="163"/>
        <v/>
      </c>
    </row>
    <row r="5037" spans="2:5" x14ac:dyDescent="0.25">
      <c r="B5037" s="8">
        <v>42631</v>
      </c>
      <c r="C5037" s="6" t="str">
        <f ca="1">IF(OR($C$7="",$B5037&gt;NOW()),"",IF(INDEX(Data!$A:$G,MATCH($B5037,Data!$A:$A,0),MATCH($C$7,Data!$4:$4,0))="","",INDEX(Data!$A:$G,MATCH($B5037,Data!$A:$A,0),MATCH($C$7,Data!$4:$4,0))))</f>
        <v/>
      </c>
      <c r="D5037" s="148" t="str">
        <f t="shared" ca="1" si="162"/>
        <v/>
      </c>
      <c r="E5037" s="148" t="str">
        <f t="shared" ca="1" si="163"/>
        <v/>
      </c>
    </row>
    <row r="5038" spans="2:5" x14ac:dyDescent="0.25">
      <c r="B5038" s="8">
        <v>42632</v>
      </c>
      <c r="C5038" s="6" t="str">
        <f ca="1">IF(OR($C$7="",$B5038&gt;NOW()),"",IF(INDEX(Data!$A:$G,MATCH($B5038,Data!$A:$A,0),MATCH($C$7,Data!$4:$4,0))="","",INDEX(Data!$A:$G,MATCH($B5038,Data!$A:$A,0),MATCH($C$7,Data!$4:$4,0))))</f>
        <v/>
      </c>
      <c r="D5038" s="148" t="str">
        <f t="shared" ca="1" si="162"/>
        <v/>
      </c>
      <c r="E5038" s="148" t="str">
        <f t="shared" ca="1" si="163"/>
        <v/>
      </c>
    </row>
    <row r="5039" spans="2:5" x14ac:dyDescent="0.25">
      <c r="B5039" s="8">
        <v>42633</v>
      </c>
      <c r="C5039" s="6" t="str">
        <f ca="1">IF(OR($C$7="",$B5039&gt;NOW()),"",IF(INDEX(Data!$A:$G,MATCH($B5039,Data!$A:$A,0),MATCH($C$7,Data!$4:$4,0))="","",INDEX(Data!$A:$G,MATCH($B5039,Data!$A:$A,0),MATCH($C$7,Data!$4:$4,0))))</f>
        <v/>
      </c>
      <c r="D5039" s="148" t="str">
        <f t="shared" ca="1" si="162"/>
        <v/>
      </c>
      <c r="E5039" s="148" t="str">
        <f t="shared" ca="1" si="163"/>
        <v/>
      </c>
    </row>
    <row r="5040" spans="2:5" x14ac:dyDescent="0.25">
      <c r="B5040" s="8">
        <v>42634</v>
      </c>
      <c r="C5040" s="6" t="str">
        <f ca="1">IF(OR($C$7="",$B5040&gt;NOW()),"",IF(INDEX(Data!$A:$G,MATCH($B5040,Data!$A:$A,0),MATCH($C$7,Data!$4:$4,0))="","",INDEX(Data!$A:$G,MATCH($B5040,Data!$A:$A,0),MATCH($C$7,Data!$4:$4,0))))</f>
        <v/>
      </c>
      <c r="D5040" s="148" t="str">
        <f t="shared" ca="1" si="162"/>
        <v/>
      </c>
      <c r="E5040" s="148" t="str">
        <f t="shared" ca="1" si="163"/>
        <v/>
      </c>
    </row>
    <row r="5041" spans="2:5" x14ac:dyDescent="0.25">
      <c r="B5041" s="8">
        <v>42635</v>
      </c>
      <c r="C5041" s="6" t="str">
        <f ca="1">IF(OR($C$7="",$B5041&gt;NOW()),"",IF(INDEX(Data!$A:$G,MATCH($B5041,Data!$A:$A,0),MATCH($C$7,Data!$4:$4,0))="","",INDEX(Data!$A:$G,MATCH($B5041,Data!$A:$A,0),MATCH($C$7,Data!$4:$4,0))))</f>
        <v/>
      </c>
      <c r="D5041" s="148" t="str">
        <f t="shared" ca="1" si="162"/>
        <v/>
      </c>
      <c r="E5041" s="148" t="str">
        <f t="shared" ca="1" si="163"/>
        <v/>
      </c>
    </row>
    <row r="5042" spans="2:5" x14ac:dyDescent="0.25">
      <c r="B5042" s="8">
        <v>42636</v>
      </c>
      <c r="C5042" s="6" t="str">
        <f ca="1">IF(OR($C$7="",$B5042&gt;NOW()),"",IF(INDEX(Data!$A:$G,MATCH($B5042,Data!$A:$A,0),MATCH($C$7,Data!$4:$4,0))="","",INDEX(Data!$A:$G,MATCH($B5042,Data!$A:$A,0),MATCH($C$7,Data!$4:$4,0))))</f>
        <v/>
      </c>
      <c r="D5042" s="148" t="str">
        <f t="shared" ca="1" si="162"/>
        <v/>
      </c>
      <c r="E5042" s="148" t="str">
        <f t="shared" ca="1" si="163"/>
        <v/>
      </c>
    </row>
    <row r="5043" spans="2:5" x14ac:dyDescent="0.25">
      <c r="B5043" s="8">
        <v>42637</v>
      </c>
      <c r="C5043" s="6" t="str">
        <f ca="1">IF(OR($C$7="",$B5043&gt;NOW()),"",IF(INDEX(Data!$A:$G,MATCH($B5043,Data!$A:$A,0),MATCH($C$7,Data!$4:$4,0))="","",INDEX(Data!$A:$G,MATCH($B5043,Data!$A:$A,0),MATCH($C$7,Data!$4:$4,0))))</f>
        <v/>
      </c>
      <c r="D5043" s="148" t="str">
        <f t="shared" ca="1" si="162"/>
        <v/>
      </c>
      <c r="E5043" s="148" t="str">
        <f t="shared" ca="1" si="163"/>
        <v/>
      </c>
    </row>
    <row r="5044" spans="2:5" x14ac:dyDescent="0.25">
      <c r="B5044" s="8">
        <v>42638</v>
      </c>
      <c r="C5044" s="6" t="str">
        <f ca="1">IF(OR($C$7="",$B5044&gt;NOW()),"",IF(INDEX(Data!$A:$G,MATCH($B5044,Data!$A:$A,0),MATCH($C$7,Data!$4:$4,0))="","",INDEX(Data!$A:$G,MATCH($B5044,Data!$A:$A,0),MATCH($C$7,Data!$4:$4,0))))</f>
        <v/>
      </c>
      <c r="D5044" s="148" t="str">
        <f t="shared" ca="1" si="162"/>
        <v/>
      </c>
      <c r="E5044" s="148" t="str">
        <f t="shared" ca="1" si="163"/>
        <v/>
      </c>
    </row>
    <row r="5045" spans="2:5" x14ac:dyDescent="0.25">
      <c r="B5045" s="8">
        <v>42639</v>
      </c>
      <c r="C5045" s="6" t="str">
        <f ca="1">IF(OR($C$7="",$B5045&gt;NOW()),"",IF(INDEX(Data!$A:$G,MATCH($B5045,Data!$A:$A,0),MATCH($C$7,Data!$4:$4,0))="","",INDEX(Data!$A:$G,MATCH($B5045,Data!$A:$A,0),MATCH($C$7,Data!$4:$4,0))))</f>
        <v/>
      </c>
      <c r="D5045" s="148" t="str">
        <f t="shared" ca="1" si="162"/>
        <v/>
      </c>
      <c r="E5045" s="148" t="str">
        <f t="shared" ca="1" si="163"/>
        <v/>
      </c>
    </row>
    <row r="5046" spans="2:5" x14ac:dyDescent="0.25">
      <c r="B5046" s="8">
        <v>42640</v>
      </c>
      <c r="C5046" s="6" t="str">
        <f ca="1">IF(OR($C$7="",$B5046&gt;NOW()),"",IF(INDEX(Data!$A:$G,MATCH($B5046,Data!$A:$A,0),MATCH($C$7,Data!$4:$4,0))="","",INDEX(Data!$A:$G,MATCH($B5046,Data!$A:$A,0),MATCH($C$7,Data!$4:$4,0))))</f>
        <v/>
      </c>
      <c r="D5046" s="148" t="str">
        <f t="shared" ca="1" si="162"/>
        <v/>
      </c>
      <c r="E5046" s="148" t="str">
        <f t="shared" ca="1" si="163"/>
        <v/>
      </c>
    </row>
    <row r="5047" spans="2:5" x14ac:dyDescent="0.25">
      <c r="B5047" s="8">
        <v>42641</v>
      </c>
      <c r="C5047" s="6" t="str">
        <f ca="1">IF(OR($C$7="",$B5047&gt;NOW()),"",IF(INDEX(Data!$A:$G,MATCH($B5047,Data!$A:$A,0),MATCH($C$7,Data!$4:$4,0))="","",INDEX(Data!$A:$G,MATCH($B5047,Data!$A:$A,0),MATCH($C$7,Data!$4:$4,0))))</f>
        <v/>
      </c>
      <c r="D5047" s="148" t="str">
        <f t="shared" ca="1" si="162"/>
        <v/>
      </c>
      <c r="E5047" s="148" t="str">
        <f t="shared" ca="1" si="163"/>
        <v/>
      </c>
    </row>
    <row r="5048" spans="2:5" x14ac:dyDescent="0.25">
      <c r="B5048" s="8">
        <v>42642</v>
      </c>
      <c r="C5048" s="6" t="str">
        <f ca="1">IF(OR($C$7="",$B5048&gt;NOW()),"",IF(INDEX(Data!$A:$G,MATCH($B5048,Data!$A:$A,0),MATCH($C$7,Data!$4:$4,0))="","",INDEX(Data!$A:$G,MATCH($B5048,Data!$A:$A,0),MATCH($C$7,Data!$4:$4,0))))</f>
        <v/>
      </c>
      <c r="D5048" s="148" t="str">
        <f t="shared" ca="1" si="162"/>
        <v/>
      </c>
      <c r="E5048" s="148" t="str">
        <f t="shared" ca="1" si="163"/>
        <v/>
      </c>
    </row>
    <row r="5049" spans="2:5" x14ac:dyDescent="0.25">
      <c r="B5049" s="8">
        <v>42643</v>
      </c>
      <c r="C5049" s="6" t="str">
        <f ca="1">IF(OR($C$7="",$B5049&gt;NOW()),"",IF(INDEX(Data!$A:$G,MATCH($B5049,Data!$A:$A,0),MATCH($C$7,Data!$4:$4,0))="","",INDEX(Data!$A:$G,MATCH($B5049,Data!$A:$A,0),MATCH($C$7,Data!$4:$4,0))))</f>
        <v/>
      </c>
      <c r="D5049" s="148" t="str">
        <f t="shared" ca="1" si="162"/>
        <v/>
      </c>
      <c r="E5049" s="148" t="str">
        <f t="shared" ca="1" si="163"/>
        <v/>
      </c>
    </row>
    <row r="5050" spans="2:5" x14ac:dyDescent="0.25">
      <c r="B5050" s="8">
        <v>42644</v>
      </c>
      <c r="C5050" s="6" t="str">
        <f ca="1">IF(OR($C$7="",$B5050&gt;NOW()),"",IF(INDEX(Data!$A:$G,MATCH($B5050,Data!$A:$A,0),MATCH($C$7,Data!$4:$4,0))="","",INDEX(Data!$A:$G,MATCH($B5050,Data!$A:$A,0),MATCH($C$7,Data!$4:$4,0))))</f>
        <v/>
      </c>
      <c r="D5050" s="148" t="str">
        <f t="shared" ca="1" si="162"/>
        <v/>
      </c>
      <c r="E5050" s="148" t="str">
        <f t="shared" ca="1" si="163"/>
        <v/>
      </c>
    </row>
    <row r="5051" spans="2:5" x14ac:dyDescent="0.25">
      <c r="B5051" s="8">
        <v>42645</v>
      </c>
      <c r="C5051" s="6" t="str">
        <f ca="1">IF(OR($C$7="",$B5051&gt;NOW()),"",IF(INDEX(Data!$A:$G,MATCH($B5051,Data!$A:$A,0),MATCH($C$7,Data!$4:$4,0))="","",INDEX(Data!$A:$G,MATCH($B5051,Data!$A:$A,0),MATCH($C$7,Data!$4:$4,0))))</f>
        <v/>
      </c>
      <c r="D5051" s="148" t="str">
        <f t="shared" ca="1" si="162"/>
        <v/>
      </c>
      <c r="E5051" s="148" t="str">
        <f t="shared" ca="1" si="163"/>
        <v/>
      </c>
    </row>
    <row r="5052" spans="2:5" x14ac:dyDescent="0.25">
      <c r="B5052" s="8">
        <v>42646</v>
      </c>
      <c r="C5052" s="6" t="str">
        <f ca="1">IF(OR($C$7="",$B5052&gt;NOW()),"",IF(INDEX(Data!$A:$G,MATCH($B5052,Data!$A:$A,0),MATCH($C$7,Data!$4:$4,0))="","",INDEX(Data!$A:$G,MATCH($B5052,Data!$A:$A,0),MATCH($C$7,Data!$4:$4,0))))</f>
        <v/>
      </c>
      <c r="D5052" s="148" t="str">
        <f t="shared" ca="1" si="162"/>
        <v/>
      </c>
      <c r="E5052" s="148" t="str">
        <f t="shared" ca="1" si="163"/>
        <v/>
      </c>
    </row>
    <row r="5053" spans="2:5" x14ac:dyDescent="0.25">
      <c r="B5053" s="8">
        <v>42647</v>
      </c>
      <c r="C5053" s="6" t="str">
        <f ca="1">IF(OR($C$7="",$B5053&gt;NOW()),"",IF(INDEX(Data!$A:$G,MATCH($B5053,Data!$A:$A,0),MATCH($C$7,Data!$4:$4,0))="","",INDEX(Data!$A:$G,MATCH($B5053,Data!$A:$A,0),MATCH($C$7,Data!$4:$4,0))))</f>
        <v/>
      </c>
      <c r="D5053" s="148" t="str">
        <f t="shared" ca="1" si="162"/>
        <v/>
      </c>
      <c r="E5053" s="148" t="str">
        <f t="shared" ca="1" si="163"/>
        <v/>
      </c>
    </row>
    <row r="5054" spans="2:5" x14ac:dyDescent="0.25">
      <c r="B5054" s="8">
        <v>42648</v>
      </c>
      <c r="C5054" s="6" t="str">
        <f ca="1">IF(OR($C$7="",$B5054&gt;NOW()),"",IF(INDEX(Data!$A:$G,MATCH($B5054,Data!$A:$A,0),MATCH($C$7,Data!$4:$4,0))="","",INDEX(Data!$A:$G,MATCH($B5054,Data!$A:$A,0),MATCH($C$7,Data!$4:$4,0))))</f>
        <v/>
      </c>
      <c r="D5054" s="148" t="str">
        <f t="shared" ca="1" si="162"/>
        <v/>
      </c>
      <c r="E5054" s="148" t="str">
        <f t="shared" ca="1" si="163"/>
        <v/>
      </c>
    </row>
    <row r="5055" spans="2:5" x14ac:dyDescent="0.25">
      <c r="B5055" s="8">
        <v>42649</v>
      </c>
      <c r="C5055" s="6" t="str">
        <f ca="1">IF(OR($C$7="",$B5055&gt;NOW()),"",IF(INDEX(Data!$A:$G,MATCH($B5055,Data!$A:$A,0),MATCH($C$7,Data!$4:$4,0))="","",INDEX(Data!$A:$G,MATCH($B5055,Data!$A:$A,0),MATCH($C$7,Data!$4:$4,0))))</f>
        <v/>
      </c>
      <c r="D5055" s="148" t="str">
        <f t="shared" ca="1" si="162"/>
        <v/>
      </c>
      <c r="E5055" s="148" t="str">
        <f t="shared" ca="1" si="163"/>
        <v/>
      </c>
    </row>
    <row r="5056" spans="2:5" x14ac:dyDescent="0.25">
      <c r="B5056" s="8">
        <v>42650</v>
      </c>
      <c r="C5056" s="6" t="str">
        <f ca="1">IF(OR($C$7="",$B5056&gt;NOW()),"",IF(INDEX(Data!$A:$G,MATCH($B5056,Data!$A:$A,0),MATCH($C$7,Data!$4:$4,0))="","",INDEX(Data!$A:$G,MATCH($B5056,Data!$A:$A,0),MATCH($C$7,Data!$4:$4,0))))</f>
        <v/>
      </c>
      <c r="D5056" s="148" t="str">
        <f t="shared" ca="1" si="162"/>
        <v/>
      </c>
      <c r="E5056" s="148" t="str">
        <f t="shared" ca="1" si="163"/>
        <v/>
      </c>
    </row>
    <row r="5057" spans="2:5" x14ac:dyDescent="0.25">
      <c r="B5057" s="8">
        <v>42651</v>
      </c>
      <c r="C5057" s="6" t="str">
        <f ca="1">IF(OR($C$7="",$B5057&gt;NOW()),"",IF(INDEX(Data!$A:$G,MATCH($B5057,Data!$A:$A,0),MATCH($C$7,Data!$4:$4,0))="","",INDEX(Data!$A:$G,MATCH($B5057,Data!$A:$A,0),MATCH($C$7,Data!$4:$4,0))))</f>
        <v/>
      </c>
      <c r="D5057" s="148" t="str">
        <f t="shared" ca="1" si="162"/>
        <v/>
      </c>
      <c r="E5057" s="148" t="str">
        <f t="shared" ca="1" si="163"/>
        <v/>
      </c>
    </row>
    <row r="5058" spans="2:5" x14ac:dyDescent="0.25">
      <c r="B5058" s="8">
        <v>42652</v>
      </c>
      <c r="C5058" s="6" t="str">
        <f ca="1">IF(OR($C$7="",$B5058&gt;NOW()),"",IF(INDEX(Data!$A:$G,MATCH($B5058,Data!$A:$A,0),MATCH($C$7,Data!$4:$4,0))="","",INDEX(Data!$A:$G,MATCH($B5058,Data!$A:$A,0),MATCH($C$7,Data!$4:$4,0))))</f>
        <v/>
      </c>
      <c r="D5058" s="148" t="str">
        <f t="shared" ca="1" si="162"/>
        <v/>
      </c>
      <c r="E5058" s="148" t="str">
        <f t="shared" ca="1" si="163"/>
        <v/>
      </c>
    </row>
    <row r="5059" spans="2:5" x14ac:dyDescent="0.25">
      <c r="B5059" s="8">
        <v>42653</v>
      </c>
      <c r="C5059" s="6" t="str">
        <f ca="1">IF(OR($C$7="",$B5059&gt;NOW()),"",IF(INDEX(Data!$A:$G,MATCH($B5059,Data!$A:$A,0),MATCH($C$7,Data!$4:$4,0))="","",INDEX(Data!$A:$G,MATCH($B5059,Data!$A:$A,0),MATCH($C$7,Data!$4:$4,0))))</f>
        <v/>
      </c>
      <c r="D5059" s="148" t="str">
        <f t="shared" ca="1" si="162"/>
        <v/>
      </c>
      <c r="E5059" s="148" t="str">
        <f t="shared" ca="1" si="163"/>
        <v/>
      </c>
    </row>
    <row r="5060" spans="2:5" x14ac:dyDescent="0.25">
      <c r="B5060" s="8">
        <v>42654</v>
      </c>
      <c r="C5060" s="6" t="str">
        <f ca="1">IF(OR($C$7="",$B5060&gt;NOW()),"",IF(INDEX(Data!$A:$G,MATCH($B5060,Data!$A:$A,0),MATCH($C$7,Data!$4:$4,0))="","",INDEX(Data!$A:$G,MATCH($B5060,Data!$A:$A,0),MATCH($C$7,Data!$4:$4,0))))</f>
        <v/>
      </c>
      <c r="D5060" s="148" t="str">
        <f t="shared" ca="1" si="162"/>
        <v/>
      </c>
      <c r="E5060" s="148" t="str">
        <f t="shared" ca="1" si="163"/>
        <v/>
      </c>
    </row>
    <row r="5061" spans="2:5" x14ac:dyDescent="0.25">
      <c r="B5061" s="8">
        <v>42655</v>
      </c>
      <c r="C5061" s="6" t="str">
        <f ca="1">IF(OR($C$7="",$B5061&gt;NOW()),"",IF(INDEX(Data!$A:$G,MATCH($B5061,Data!$A:$A,0),MATCH($C$7,Data!$4:$4,0))="","",INDEX(Data!$A:$G,MATCH($B5061,Data!$A:$A,0),MATCH($C$7,Data!$4:$4,0))))</f>
        <v/>
      </c>
      <c r="D5061" s="148" t="str">
        <f t="shared" ca="1" si="162"/>
        <v/>
      </c>
      <c r="E5061" s="148" t="str">
        <f t="shared" ca="1" si="163"/>
        <v/>
      </c>
    </row>
    <row r="5062" spans="2:5" x14ac:dyDescent="0.25">
      <c r="B5062" s="8">
        <v>42656</v>
      </c>
      <c r="C5062" s="6" t="str">
        <f ca="1">IF(OR($C$7="",$B5062&gt;NOW()),"",IF(INDEX(Data!$A:$G,MATCH($B5062,Data!$A:$A,0),MATCH($C$7,Data!$4:$4,0))="","",INDEX(Data!$A:$G,MATCH($B5062,Data!$A:$A,0),MATCH($C$7,Data!$4:$4,0))))</f>
        <v/>
      </c>
      <c r="D5062" s="148" t="str">
        <f t="shared" ca="1" si="162"/>
        <v/>
      </c>
      <c r="E5062" s="148" t="str">
        <f t="shared" ca="1" si="163"/>
        <v/>
      </c>
    </row>
    <row r="5063" spans="2:5" x14ac:dyDescent="0.25">
      <c r="B5063" s="8">
        <v>42657</v>
      </c>
      <c r="C5063" s="6" t="str">
        <f ca="1">IF(OR($C$7="",$B5063&gt;NOW()),"",IF(INDEX(Data!$A:$G,MATCH($B5063,Data!$A:$A,0),MATCH($C$7,Data!$4:$4,0))="","",INDEX(Data!$A:$G,MATCH($B5063,Data!$A:$A,0),MATCH($C$7,Data!$4:$4,0))))</f>
        <v/>
      </c>
      <c r="D5063" s="148" t="str">
        <f t="shared" ca="1" si="162"/>
        <v/>
      </c>
      <c r="E5063" s="148" t="str">
        <f t="shared" ca="1" si="163"/>
        <v/>
      </c>
    </row>
    <row r="5064" spans="2:5" x14ac:dyDescent="0.25">
      <c r="B5064" s="8">
        <v>42658</v>
      </c>
      <c r="C5064" s="6" t="str">
        <f ca="1">IF(OR($C$7="",$B5064&gt;NOW()),"",IF(INDEX(Data!$A:$G,MATCH($B5064,Data!$A:$A,0),MATCH($C$7,Data!$4:$4,0))="","",INDEX(Data!$A:$G,MATCH($B5064,Data!$A:$A,0),MATCH($C$7,Data!$4:$4,0))))</f>
        <v/>
      </c>
      <c r="D5064" s="148" t="str">
        <f t="shared" ca="1" si="162"/>
        <v/>
      </c>
      <c r="E5064" s="148" t="str">
        <f t="shared" ca="1" si="163"/>
        <v/>
      </c>
    </row>
    <row r="5065" spans="2:5" x14ac:dyDescent="0.25">
      <c r="B5065" s="8">
        <v>42659</v>
      </c>
      <c r="C5065" s="6" t="str">
        <f ca="1">IF(OR($C$7="",$B5065&gt;NOW()),"",IF(INDEX(Data!$A:$G,MATCH($B5065,Data!$A:$A,0),MATCH($C$7,Data!$4:$4,0))="","",INDEX(Data!$A:$G,MATCH($B5065,Data!$A:$A,0),MATCH($C$7,Data!$4:$4,0))))</f>
        <v/>
      </c>
      <c r="D5065" s="148" t="str">
        <f t="shared" ca="1" si="162"/>
        <v/>
      </c>
      <c r="E5065" s="148" t="str">
        <f t="shared" ca="1" si="163"/>
        <v/>
      </c>
    </row>
    <row r="5066" spans="2:5" x14ac:dyDescent="0.25">
      <c r="B5066" s="8">
        <v>42660</v>
      </c>
      <c r="C5066" s="6" t="str">
        <f ca="1">IF(OR($C$7="",$B5066&gt;NOW()),"",IF(INDEX(Data!$A:$G,MATCH($B5066,Data!$A:$A,0),MATCH($C$7,Data!$4:$4,0))="","",INDEX(Data!$A:$G,MATCH($B5066,Data!$A:$A,0),MATCH($C$7,Data!$4:$4,0))))</f>
        <v/>
      </c>
      <c r="D5066" s="148" t="str">
        <f t="shared" ca="1" si="162"/>
        <v/>
      </c>
      <c r="E5066" s="148" t="str">
        <f t="shared" ca="1" si="163"/>
        <v/>
      </c>
    </row>
    <row r="5067" spans="2:5" x14ac:dyDescent="0.25">
      <c r="B5067" s="8">
        <v>42661</v>
      </c>
      <c r="C5067" s="6" t="str">
        <f ca="1">IF(OR($C$7="",$B5067&gt;NOW()),"",IF(INDEX(Data!$A:$G,MATCH($B5067,Data!$A:$A,0),MATCH($C$7,Data!$4:$4,0))="","",INDEX(Data!$A:$G,MATCH($B5067,Data!$A:$A,0),MATCH($C$7,Data!$4:$4,0))))</f>
        <v/>
      </c>
      <c r="D5067" s="148" t="str">
        <f t="shared" ca="1" si="162"/>
        <v/>
      </c>
      <c r="E5067" s="148" t="str">
        <f t="shared" ca="1" si="163"/>
        <v/>
      </c>
    </row>
    <row r="5068" spans="2:5" x14ac:dyDescent="0.25">
      <c r="B5068" s="8">
        <v>42662</v>
      </c>
      <c r="C5068" s="6" t="str">
        <f ca="1">IF(OR($C$7="",$B5068&gt;NOW()),"",IF(INDEX(Data!$A:$G,MATCH($B5068,Data!$A:$A,0),MATCH($C$7,Data!$4:$4,0))="","",INDEX(Data!$A:$G,MATCH($B5068,Data!$A:$A,0),MATCH($C$7,Data!$4:$4,0))))</f>
        <v/>
      </c>
      <c r="D5068" s="148" t="str">
        <f t="shared" ca="1" si="162"/>
        <v/>
      </c>
      <c r="E5068" s="148" t="str">
        <f t="shared" ca="1" si="163"/>
        <v/>
      </c>
    </row>
    <row r="5069" spans="2:5" x14ac:dyDescent="0.25">
      <c r="B5069" s="8">
        <v>42663</v>
      </c>
      <c r="C5069" s="6" t="str">
        <f ca="1">IF(OR($C$7="",$B5069&gt;NOW()),"",IF(INDEX(Data!$A:$G,MATCH($B5069,Data!$A:$A,0),MATCH($C$7,Data!$4:$4,0))="","",INDEX(Data!$A:$G,MATCH($B5069,Data!$A:$A,0),MATCH($C$7,Data!$4:$4,0))))</f>
        <v/>
      </c>
      <c r="D5069" s="148" t="str">
        <f t="shared" ca="1" si="162"/>
        <v/>
      </c>
      <c r="E5069" s="148" t="str">
        <f t="shared" ca="1" si="163"/>
        <v/>
      </c>
    </row>
    <row r="5070" spans="2:5" x14ac:dyDescent="0.25">
      <c r="B5070" s="8">
        <v>42664</v>
      </c>
      <c r="C5070" s="6" t="str">
        <f ca="1">IF(OR($C$7="",$B5070&gt;NOW()),"",IF(INDEX(Data!$A:$G,MATCH($B5070,Data!$A:$A,0),MATCH($C$7,Data!$4:$4,0))="","",INDEX(Data!$A:$G,MATCH($B5070,Data!$A:$A,0),MATCH($C$7,Data!$4:$4,0))))</f>
        <v/>
      </c>
      <c r="D5070" s="148" t="str">
        <f t="shared" ca="1" si="162"/>
        <v/>
      </c>
      <c r="E5070" s="148" t="str">
        <f t="shared" ca="1" si="163"/>
        <v/>
      </c>
    </row>
    <row r="5071" spans="2:5" x14ac:dyDescent="0.25">
      <c r="B5071" s="8">
        <v>42665</v>
      </c>
      <c r="C5071" s="6" t="str">
        <f ca="1">IF(OR($C$7="",$B5071&gt;NOW()),"",IF(INDEX(Data!$A:$G,MATCH($B5071,Data!$A:$A,0),MATCH($C$7,Data!$4:$4,0))="","",INDEX(Data!$A:$G,MATCH($B5071,Data!$A:$A,0),MATCH($C$7,Data!$4:$4,0))))</f>
        <v/>
      </c>
      <c r="D5071" s="148" t="str">
        <f t="shared" ca="1" si="162"/>
        <v/>
      </c>
      <c r="E5071" s="148" t="str">
        <f t="shared" ca="1" si="163"/>
        <v/>
      </c>
    </row>
    <row r="5072" spans="2:5" x14ac:dyDescent="0.25">
      <c r="B5072" s="8">
        <v>42666</v>
      </c>
      <c r="C5072" s="6" t="str">
        <f ca="1">IF(OR($C$7="",$B5072&gt;NOW()),"",IF(INDEX(Data!$A:$G,MATCH($B5072,Data!$A:$A,0),MATCH($C$7,Data!$4:$4,0))="","",INDEX(Data!$A:$G,MATCH($B5072,Data!$A:$A,0),MATCH($C$7,Data!$4:$4,0))))</f>
        <v/>
      </c>
      <c r="D5072" s="148" t="str">
        <f t="shared" ca="1" si="162"/>
        <v/>
      </c>
      <c r="E5072" s="148" t="str">
        <f t="shared" ca="1" si="163"/>
        <v/>
      </c>
    </row>
    <row r="5073" spans="2:5" x14ac:dyDescent="0.25">
      <c r="B5073" s="8">
        <v>42667</v>
      </c>
      <c r="C5073" s="6" t="str">
        <f ca="1">IF(OR($C$7="",$B5073&gt;NOW()),"",IF(INDEX(Data!$A:$G,MATCH($B5073,Data!$A:$A,0),MATCH($C$7,Data!$4:$4,0))="","",INDEX(Data!$A:$G,MATCH($B5073,Data!$A:$A,0),MATCH($C$7,Data!$4:$4,0))))</f>
        <v/>
      </c>
      <c r="D5073" s="148" t="str">
        <f t="shared" ca="1" si="162"/>
        <v/>
      </c>
      <c r="E5073" s="148" t="str">
        <f t="shared" ca="1" si="163"/>
        <v/>
      </c>
    </row>
    <row r="5074" spans="2:5" x14ac:dyDescent="0.25">
      <c r="B5074" s="8">
        <v>42668</v>
      </c>
      <c r="C5074" s="6" t="str">
        <f ca="1">IF(OR($C$7="",$B5074&gt;NOW()),"",IF(INDEX(Data!$A:$G,MATCH($B5074,Data!$A:$A,0),MATCH($C$7,Data!$4:$4,0))="","",INDEX(Data!$A:$G,MATCH($B5074,Data!$A:$A,0),MATCH($C$7,Data!$4:$4,0))))</f>
        <v/>
      </c>
      <c r="D5074" s="148" t="str">
        <f t="shared" ca="1" si="162"/>
        <v/>
      </c>
      <c r="E5074" s="148" t="str">
        <f t="shared" ca="1" si="163"/>
        <v/>
      </c>
    </row>
    <row r="5075" spans="2:5" x14ac:dyDescent="0.25">
      <c r="B5075" s="8">
        <v>42669</v>
      </c>
      <c r="C5075" s="6" t="str">
        <f ca="1">IF(OR($C$7="",$B5075&gt;NOW()),"",IF(INDEX(Data!$A:$G,MATCH($B5075,Data!$A:$A,0),MATCH($C$7,Data!$4:$4,0))="","",INDEX(Data!$A:$G,MATCH($B5075,Data!$A:$A,0),MATCH($C$7,Data!$4:$4,0))))</f>
        <v/>
      </c>
      <c r="D5075" s="148" t="str">
        <f t="shared" ca="1" si="162"/>
        <v/>
      </c>
      <c r="E5075" s="148" t="str">
        <f t="shared" ca="1" si="163"/>
        <v/>
      </c>
    </row>
    <row r="5076" spans="2:5" x14ac:dyDescent="0.25">
      <c r="B5076" s="8">
        <v>42670</v>
      </c>
      <c r="C5076" s="6" t="str">
        <f ca="1">IF(OR($C$7="",$B5076&gt;NOW()),"",IF(INDEX(Data!$A:$G,MATCH($B5076,Data!$A:$A,0),MATCH($C$7,Data!$4:$4,0))="","",INDEX(Data!$A:$G,MATCH($B5076,Data!$A:$A,0),MATCH($C$7,Data!$4:$4,0))))</f>
        <v/>
      </c>
      <c r="D5076" s="148" t="str">
        <f t="shared" ca="1" si="162"/>
        <v/>
      </c>
      <c r="E5076" s="148" t="str">
        <f t="shared" ca="1" si="163"/>
        <v/>
      </c>
    </row>
    <row r="5077" spans="2:5" x14ac:dyDescent="0.25">
      <c r="B5077" s="8">
        <v>42671</v>
      </c>
      <c r="C5077" s="6" t="str">
        <f ca="1">IF(OR($C$7="",$B5077&gt;NOW()),"",IF(INDEX(Data!$A:$G,MATCH($B5077,Data!$A:$A,0),MATCH($C$7,Data!$4:$4,0))="","",INDEX(Data!$A:$G,MATCH($B5077,Data!$A:$A,0),MATCH($C$7,Data!$4:$4,0))))</f>
        <v/>
      </c>
      <c r="D5077" s="148" t="str">
        <f t="shared" ca="1" si="162"/>
        <v/>
      </c>
      <c r="E5077" s="148" t="str">
        <f t="shared" ca="1" si="163"/>
        <v/>
      </c>
    </row>
    <row r="5078" spans="2:5" x14ac:dyDescent="0.25">
      <c r="B5078" s="8">
        <v>42672</v>
      </c>
      <c r="C5078" s="6" t="str">
        <f ca="1">IF(OR($C$7="",$B5078&gt;NOW()),"",IF(INDEX(Data!$A:$G,MATCH($B5078,Data!$A:$A,0),MATCH($C$7,Data!$4:$4,0))="","",INDEX(Data!$A:$G,MATCH($B5078,Data!$A:$A,0),MATCH($C$7,Data!$4:$4,0))))</f>
        <v/>
      </c>
      <c r="D5078" s="148" t="str">
        <f t="shared" ca="1" si="162"/>
        <v/>
      </c>
      <c r="E5078" s="148" t="str">
        <f t="shared" ca="1" si="163"/>
        <v/>
      </c>
    </row>
    <row r="5079" spans="2:5" x14ac:dyDescent="0.25">
      <c r="B5079" s="8">
        <v>42673</v>
      </c>
      <c r="C5079" s="6" t="str">
        <f ca="1">IF(OR($C$7="",$B5079&gt;NOW()),"",IF(INDEX(Data!$A:$G,MATCH($B5079,Data!$A:$A,0),MATCH($C$7,Data!$4:$4,0))="","",INDEX(Data!$A:$G,MATCH($B5079,Data!$A:$A,0),MATCH($C$7,Data!$4:$4,0))))</f>
        <v/>
      </c>
      <c r="D5079" s="148" t="str">
        <f t="shared" ca="1" si="162"/>
        <v/>
      </c>
      <c r="E5079" s="148" t="str">
        <f t="shared" ca="1" si="163"/>
        <v/>
      </c>
    </row>
    <row r="5080" spans="2:5" x14ac:dyDescent="0.25">
      <c r="B5080" s="8">
        <v>42674</v>
      </c>
      <c r="C5080" s="6" t="str">
        <f ca="1">IF(OR($C$7="",$B5080&gt;NOW()),"",IF(INDEX(Data!$A:$G,MATCH($B5080,Data!$A:$A,0),MATCH($C$7,Data!$4:$4,0))="","",INDEX(Data!$A:$G,MATCH($B5080,Data!$A:$A,0),MATCH($C$7,Data!$4:$4,0))))</f>
        <v/>
      </c>
      <c r="D5080" s="148" t="str">
        <f t="shared" ca="1" si="162"/>
        <v/>
      </c>
      <c r="E5080" s="148" t="str">
        <f t="shared" ca="1" si="163"/>
        <v/>
      </c>
    </row>
    <row r="5081" spans="2:5" x14ac:dyDescent="0.25">
      <c r="B5081" s="8">
        <v>42675</v>
      </c>
      <c r="C5081" s="6" t="str">
        <f ca="1">IF(OR($C$7="",$B5081&gt;NOW()),"",IF(INDEX(Data!$A:$G,MATCH($B5081,Data!$A:$A,0),MATCH($C$7,Data!$4:$4,0))="","",INDEX(Data!$A:$G,MATCH($B5081,Data!$A:$A,0),MATCH($C$7,Data!$4:$4,0))))</f>
        <v/>
      </c>
      <c r="D5081" s="148" t="str">
        <f t="shared" ca="1" si="162"/>
        <v/>
      </c>
      <c r="E5081" s="148" t="str">
        <f t="shared" ca="1" si="163"/>
        <v/>
      </c>
    </row>
    <row r="5082" spans="2:5" x14ac:dyDescent="0.25">
      <c r="B5082" s="8">
        <v>42676</v>
      </c>
      <c r="C5082" s="6" t="str">
        <f ca="1">IF(OR($C$7="",$B5082&gt;NOW()),"",IF(INDEX(Data!$A:$G,MATCH($B5082,Data!$A:$A,0),MATCH($C$7,Data!$4:$4,0))="","",INDEX(Data!$A:$G,MATCH($B5082,Data!$A:$A,0),MATCH($C$7,Data!$4:$4,0))))</f>
        <v/>
      </c>
      <c r="D5082" s="148" t="str">
        <f t="shared" ca="1" si="162"/>
        <v/>
      </c>
      <c r="E5082" s="148" t="str">
        <f t="shared" ca="1" si="163"/>
        <v/>
      </c>
    </row>
    <row r="5083" spans="2:5" x14ac:dyDescent="0.25">
      <c r="B5083" s="8">
        <v>42677</v>
      </c>
      <c r="C5083" s="6" t="str">
        <f ca="1">IF(OR($C$7="",$B5083&gt;NOW()),"",IF(INDEX(Data!$A:$G,MATCH($B5083,Data!$A:$A,0),MATCH($C$7,Data!$4:$4,0))="","",INDEX(Data!$A:$G,MATCH($B5083,Data!$A:$A,0),MATCH($C$7,Data!$4:$4,0))))</f>
        <v/>
      </c>
      <c r="D5083" s="148" t="str">
        <f t="shared" ca="1" si="162"/>
        <v/>
      </c>
      <c r="E5083" s="148" t="str">
        <f t="shared" ca="1" si="163"/>
        <v/>
      </c>
    </row>
    <row r="5084" spans="2:5" x14ac:dyDescent="0.25">
      <c r="B5084" s="8">
        <v>42678</v>
      </c>
      <c r="C5084" s="6" t="str">
        <f ca="1">IF(OR($C$7="",$B5084&gt;NOW()),"",IF(INDEX(Data!$A:$G,MATCH($B5084,Data!$A:$A,0),MATCH($C$7,Data!$4:$4,0))="","",INDEX(Data!$A:$G,MATCH($B5084,Data!$A:$A,0),MATCH($C$7,Data!$4:$4,0))))</f>
        <v/>
      </c>
      <c r="D5084" s="148" t="str">
        <f t="shared" ca="1" si="162"/>
        <v/>
      </c>
      <c r="E5084" s="148" t="str">
        <f t="shared" ca="1" si="163"/>
        <v/>
      </c>
    </row>
    <row r="5085" spans="2:5" x14ac:dyDescent="0.25">
      <c r="B5085" s="8">
        <v>42679</v>
      </c>
      <c r="C5085" s="6" t="str">
        <f ca="1">IF(OR($C$7="",$B5085&gt;NOW()),"",IF(INDEX(Data!$A:$G,MATCH($B5085,Data!$A:$A,0),MATCH($C$7,Data!$4:$4,0))="","",INDEX(Data!$A:$G,MATCH($B5085,Data!$A:$A,0),MATCH($C$7,Data!$4:$4,0))))</f>
        <v/>
      </c>
      <c r="D5085" s="148" t="str">
        <f t="shared" ref="D5085:D5148" ca="1" si="164">IF($C5085="","",IF($C5085&gt;$D$26,0,$D$26-$C5085))</f>
        <v/>
      </c>
      <c r="E5085" s="148" t="str">
        <f t="shared" ref="E5085:E5148" ca="1" si="165">IF($C5085="","",IF($C5085&lt;$E$26,0,$C5085-$E$26))</f>
        <v/>
      </c>
    </row>
    <row r="5086" spans="2:5" x14ac:dyDescent="0.25">
      <c r="B5086" s="8">
        <v>42680</v>
      </c>
      <c r="C5086" s="6" t="str">
        <f ca="1">IF(OR($C$7="",$B5086&gt;NOW()),"",IF(INDEX(Data!$A:$G,MATCH($B5086,Data!$A:$A,0),MATCH($C$7,Data!$4:$4,0))="","",INDEX(Data!$A:$G,MATCH($B5086,Data!$A:$A,0),MATCH($C$7,Data!$4:$4,0))))</f>
        <v/>
      </c>
      <c r="D5086" s="148" t="str">
        <f t="shared" ca="1" si="164"/>
        <v/>
      </c>
      <c r="E5086" s="148" t="str">
        <f t="shared" ca="1" si="165"/>
        <v/>
      </c>
    </row>
    <row r="5087" spans="2:5" x14ac:dyDescent="0.25">
      <c r="B5087" s="8">
        <v>42681</v>
      </c>
      <c r="C5087" s="6" t="str">
        <f ca="1">IF(OR($C$7="",$B5087&gt;NOW()),"",IF(INDEX(Data!$A:$G,MATCH($B5087,Data!$A:$A,0),MATCH($C$7,Data!$4:$4,0))="","",INDEX(Data!$A:$G,MATCH($B5087,Data!$A:$A,0),MATCH($C$7,Data!$4:$4,0))))</f>
        <v/>
      </c>
      <c r="D5087" s="148" t="str">
        <f t="shared" ca="1" si="164"/>
        <v/>
      </c>
      <c r="E5087" s="148" t="str">
        <f t="shared" ca="1" si="165"/>
        <v/>
      </c>
    </row>
    <row r="5088" spans="2:5" x14ac:dyDescent="0.25">
      <c r="B5088" s="8">
        <v>42682</v>
      </c>
      <c r="C5088" s="6" t="str">
        <f ca="1">IF(OR($C$7="",$B5088&gt;NOW()),"",IF(INDEX(Data!$A:$G,MATCH($B5088,Data!$A:$A,0),MATCH($C$7,Data!$4:$4,0))="","",INDEX(Data!$A:$G,MATCH($B5088,Data!$A:$A,0),MATCH($C$7,Data!$4:$4,0))))</f>
        <v/>
      </c>
      <c r="D5088" s="148" t="str">
        <f t="shared" ca="1" si="164"/>
        <v/>
      </c>
      <c r="E5088" s="148" t="str">
        <f t="shared" ca="1" si="165"/>
        <v/>
      </c>
    </row>
    <row r="5089" spans="2:5" x14ac:dyDescent="0.25">
      <c r="B5089" s="8">
        <v>42683</v>
      </c>
      <c r="C5089" s="6" t="str">
        <f ca="1">IF(OR($C$7="",$B5089&gt;NOW()),"",IF(INDEX(Data!$A:$G,MATCH($B5089,Data!$A:$A,0),MATCH($C$7,Data!$4:$4,0))="","",INDEX(Data!$A:$G,MATCH($B5089,Data!$A:$A,0),MATCH($C$7,Data!$4:$4,0))))</f>
        <v/>
      </c>
      <c r="D5089" s="148" t="str">
        <f t="shared" ca="1" si="164"/>
        <v/>
      </c>
      <c r="E5089" s="148" t="str">
        <f t="shared" ca="1" si="165"/>
        <v/>
      </c>
    </row>
    <row r="5090" spans="2:5" x14ac:dyDescent="0.25">
      <c r="B5090" s="8">
        <v>42684</v>
      </c>
      <c r="C5090" s="6" t="str">
        <f ca="1">IF(OR($C$7="",$B5090&gt;NOW()),"",IF(INDEX(Data!$A:$G,MATCH($B5090,Data!$A:$A,0),MATCH($C$7,Data!$4:$4,0))="","",INDEX(Data!$A:$G,MATCH($B5090,Data!$A:$A,0),MATCH($C$7,Data!$4:$4,0))))</f>
        <v/>
      </c>
      <c r="D5090" s="148" t="str">
        <f t="shared" ca="1" si="164"/>
        <v/>
      </c>
      <c r="E5090" s="148" t="str">
        <f t="shared" ca="1" si="165"/>
        <v/>
      </c>
    </row>
    <row r="5091" spans="2:5" x14ac:dyDescent="0.25">
      <c r="B5091" s="8">
        <v>42685</v>
      </c>
      <c r="C5091" s="6" t="str">
        <f ca="1">IF(OR($C$7="",$B5091&gt;NOW()),"",IF(INDEX(Data!$A:$G,MATCH($B5091,Data!$A:$A,0),MATCH($C$7,Data!$4:$4,0))="","",INDEX(Data!$A:$G,MATCH($B5091,Data!$A:$A,0),MATCH($C$7,Data!$4:$4,0))))</f>
        <v/>
      </c>
      <c r="D5091" s="148" t="str">
        <f t="shared" ca="1" si="164"/>
        <v/>
      </c>
      <c r="E5091" s="148" t="str">
        <f t="shared" ca="1" si="165"/>
        <v/>
      </c>
    </row>
    <row r="5092" spans="2:5" x14ac:dyDescent="0.25">
      <c r="B5092" s="8">
        <v>42686</v>
      </c>
      <c r="C5092" s="6" t="str">
        <f ca="1">IF(OR($C$7="",$B5092&gt;NOW()),"",IF(INDEX(Data!$A:$G,MATCH($B5092,Data!$A:$A,0),MATCH($C$7,Data!$4:$4,0))="","",INDEX(Data!$A:$G,MATCH($B5092,Data!$A:$A,0),MATCH($C$7,Data!$4:$4,0))))</f>
        <v/>
      </c>
      <c r="D5092" s="148" t="str">
        <f t="shared" ca="1" si="164"/>
        <v/>
      </c>
      <c r="E5092" s="148" t="str">
        <f t="shared" ca="1" si="165"/>
        <v/>
      </c>
    </row>
    <row r="5093" spans="2:5" x14ac:dyDescent="0.25">
      <c r="B5093" s="8">
        <v>42687</v>
      </c>
      <c r="C5093" s="6" t="str">
        <f ca="1">IF(OR($C$7="",$B5093&gt;NOW()),"",IF(INDEX(Data!$A:$G,MATCH($B5093,Data!$A:$A,0),MATCH($C$7,Data!$4:$4,0))="","",INDEX(Data!$A:$G,MATCH($B5093,Data!$A:$A,0),MATCH($C$7,Data!$4:$4,0))))</f>
        <v/>
      </c>
      <c r="D5093" s="148" t="str">
        <f t="shared" ca="1" si="164"/>
        <v/>
      </c>
      <c r="E5093" s="148" t="str">
        <f t="shared" ca="1" si="165"/>
        <v/>
      </c>
    </row>
    <row r="5094" spans="2:5" x14ac:dyDescent="0.25">
      <c r="B5094" s="8">
        <v>42688</v>
      </c>
      <c r="C5094" s="6" t="str">
        <f ca="1">IF(OR($C$7="",$B5094&gt;NOW()),"",IF(INDEX(Data!$A:$G,MATCH($B5094,Data!$A:$A,0),MATCH($C$7,Data!$4:$4,0))="","",INDEX(Data!$A:$G,MATCH($B5094,Data!$A:$A,0),MATCH($C$7,Data!$4:$4,0))))</f>
        <v/>
      </c>
      <c r="D5094" s="148" t="str">
        <f t="shared" ca="1" si="164"/>
        <v/>
      </c>
      <c r="E5094" s="148" t="str">
        <f t="shared" ca="1" si="165"/>
        <v/>
      </c>
    </row>
    <row r="5095" spans="2:5" x14ac:dyDescent="0.25">
      <c r="B5095" s="8">
        <v>42689</v>
      </c>
      <c r="C5095" s="6" t="str">
        <f ca="1">IF(OR($C$7="",$B5095&gt;NOW()),"",IF(INDEX(Data!$A:$G,MATCH($B5095,Data!$A:$A,0),MATCH($C$7,Data!$4:$4,0))="","",INDEX(Data!$A:$G,MATCH($B5095,Data!$A:$A,0),MATCH($C$7,Data!$4:$4,0))))</f>
        <v/>
      </c>
      <c r="D5095" s="148" t="str">
        <f t="shared" ca="1" si="164"/>
        <v/>
      </c>
      <c r="E5095" s="148" t="str">
        <f t="shared" ca="1" si="165"/>
        <v/>
      </c>
    </row>
    <row r="5096" spans="2:5" x14ac:dyDescent="0.25">
      <c r="B5096" s="8">
        <v>42690</v>
      </c>
      <c r="C5096" s="6" t="str">
        <f ca="1">IF(OR($C$7="",$B5096&gt;NOW()),"",IF(INDEX(Data!$A:$G,MATCH($B5096,Data!$A:$A,0),MATCH($C$7,Data!$4:$4,0))="","",INDEX(Data!$A:$G,MATCH($B5096,Data!$A:$A,0),MATCH($C$7,Data!$4:$4,0))))</f>
        <v/>
      </c>
      <c r="D5096" s="148" t="str">
        <f t="shared" ca="1" si="164"/>
        <v/>
      </c>
      <c r="E5096" s="148" t="str">
        <f t="shared" ca="1" si="165"/>
        <v/>
      </c>
    </row>
    <row r="5097" spans="2:5" x14ac:dyDescent="0.25">
      <c r="B5097" s="8">
        <v>42691</v>
      </c>
      <c r="C5097" s="6" t="str">
        <f ca="1">IF(OR($C$7="",$B5097&gt;NOW()),"",IF(INDEX(Data!$A:$G,MATCH($B5097,Data!$A:$A,0),MATCH($C$7,Data!$4:$4,0))="","",INDEX(Data!$A:$G,MATCH($B5097,Data!$A:$A,0),MATCH($C$7,Data!$4:$4,0))))</f>
        <v/>
      </c>
      <c r="D5097" s="148" t="str">
        <f t="shared" ca="1" si="164"/>
        <v/>
      </c>
      <c r="E5097" s="148" t="str">
        <f t="shared" ca="1" si="165"/>
        <v/>
      </c>
    </row>
    <row r="5098" spans="2:5" x14ac:dyDescent="0.25">
      <c r="B5098" s="8">
        <v>42692</v>
      </c>
      <c r="C5098" s="6" t="str">
        <f ca="1">IF(OR($C$7="",$B5098&gt;NOW()),"",IF(INDEX(Data!$A:$G,MATCH($B5098,Data!$A:$A,0),MATCH($C$7,Data!$4:$4,0))="","",INDEX(Data!$A:$G,MATCH($B5098,Data!$A:$A,0),MATCH($C$7,Data!$4:$4,0))))</f>
        <v/>
      </c>
      <c r="D5098" s="148" t="str">
        <f t="shared" ca="1" si="164"/>
        <v/>
      </c>
      <c r="E5098" s="148" t="str">
        <f t="shared" ca="1" si="165"/>
        <v/>
      </c>
    </row>
    <row r="5099" spans="2:5" x14ac:dyDescent="0.25">
      <c r="B5099" s="8">
        <v>42693</v>
      </c>
      <c r="C5099" s="6" t="str">
        <f ca="1">IF(OR($C$7="",$B5099&gt;NOW()),"",IF(INDEX(Data!$A:$G,MATCH($B5099,Data!$A:$A,0),MATCH($C$7,Data!$4:$4,0))="","",INDEX(Data!$A:$G,MATCH($B5099,Data!$A:$A,0),MATCH($C$7,Data!$4:$4,0))))</f>
        <v/>
      </c>
      <c r="D5099" s="148" t="str">
        <f t="shared" ca="1" si="164"/>
        <v/>
      </c>
      <c r="E5099" s="148" t="str">
        <f t="shared" ca="1" si="165"/>
        <v/>
      </c>
    </row>
    <row r="5100" spans="2:5" x14ac:dyDescent="0.25">
      <c r="B5100" s="8">
        <v>42694</v>
      </c>
      <c r="C5100" s="6" t="str">
        <f ca="1">IF(OR($C$7="",$B5100&gt;NOW()),"",IF(INDEX(Data!$A:$G,MATCH($B5100,Data!$A:$A,0),MATCH($C$7,Data!$4:$4,0))="","",INDEX(Data!$A:$G,MATCH($B5100,Data!$A:$A,0),MATCH($C$7,Data!$4:$4,0))))</f>
        <v/>
      </c>
      <c r="D5100" s="148" t="str">
        <f t="shared" ca="1" si="164"/>
        <v/>
      </c>
      <c r="E5100" s="148" t="str">
        <f t="shared" ca="1" si="165"/>
        <v/>
      </c>
    </row>
    <row r="5101" spans="2:5" x14ac:dyDescent="0.25">
      <c r="B5101" s="8">
        <v>42695</v>
      </c>
      <c r="C5101" s="6" t="str">
        <f ca="1">IF(OR($C$7="",$B5101&gt;NOW()),"",IF(INDEX(Data!$A:$G,MATCH($B5101,Data!$A:$A,0),MATCH($C$7,Data!$4:$4,0))="","",INDEX(Data!$A:$G,MATCH($B5101,Data!$A:$A,0),MATCH($C$7,Data!$4:$4,0))))</f>
        <v/>
      </c>
      <c r="D5101" s="148" t="str">
        <f t="shared" ca="1" si="164"/>
        <v/>
      </c>
      <c r="E5101" s="148" t="str">
        <f t="shared" ca="1" si="165"/>
        <v/>
      </c>
    </row>
    <row r="5102" spans="2:5" x14ac:dyDescent="0.25">
      <c r="B5102" s="8">
        <v>42696</v>
      </c>
      <c r="C5102" s="6" t="str">
        <f ca="1">IF(OR($C$7="",$B5102&gt;NOW()),"",IF(INDEX(Data!$A:$G,MATCH($B5102,Data!$A:$A,0),MATCH($C$7,Data!$4:$4,0))="","",INDEX(Data!$A:$G,MATCH($B5102,Data!$A:$A,0),MATCH($C$7,Data!$4:$4,0))))</f>
        <v/>
      </c>
      <c r="D5102" s="148" t="str">
        <f t="shared" ca="1" si="164"/>
        <v/>
      </c>
      <c r="E5102" s="148" t="str">
        <f t="shared" ca="1" si="165"/>
        <v/>
      </c>
    </row>
    <row r="5103" spans="2:5" x14ac:dyDescent="0.25">
      <c r="B5103" s="8">
        <v>42697</v>
      </c>
      <c r="C5103" s="6" t="str">
        <f ca="1">IF(OR($C$7="",$B5103&gt;NOW()),"",IF(INDEX(Data!$A:$G,MATCH($B5103,Data!$A:$A,0),MATCH($C$7,Data!$4:$4,0))="","",INDEX(Data!$A:$G,MATCH($B5103,Data!$A:$A,0),MATCH($C$7,Data!$4:$4,0))))</f>
        <v/>
      </c>
      <c r="D5103" s="148" t="str">
        <f t="shared" ca="1" si="164"/>
        <v/>
      </c>
      <c r="E5103" s="148" t="str">
        <f t="shared" ca="1" si="165"/>
        <v/>
      </c>
    </row>
    <row r="5104" spans="2:5" x14ac:dyDescent="0.25">
      <c r="B5104" s="8">
        <v>42698</v>
      </c>
      <c r="C5104" s="6" t="str">
        <f ca="1">IF(OR($C$7="",$B5104&gt;NOW()),"",IF(INDEX(Data!$A:$G,MATCH($B5104,Data!$A:$A,0),MATCH($C$7,Data!$4:$4,0))="","",INDEX(Data!$A:$G,MATCH($B5104,Data!$A:$A,0),MATCH($C$7,Data!$4:$4,0))))</f>
        <v/>
      </c>
      <c r="D5104" s="148" t="str">
        <f t="shared" ca="1" si="164"/>
        <v/>
      </c>
      <c r="E5104" s="148" t="str">
        <f t="shared" ca="1" si="165"/>
        <v/>
      </c>
    </row>
    <row r="5105" spans="2:5" x14ac:dyDescent="0.25">
      <c r="B5105" s="8">
        <v>42699</v>
      </c>
      <c r="C5105" s="6" t="str">
        <f ca="1">IF(OR($C$7="",$B5105&gt;NOW()),"",IF(INDEX(Data!$A:$G,MATCH($B5105,Data!$A:$A,0),MATCH($C$7,Data!$4:$4,0))="","",INDEX(Data!$A:$G,MATCH($B5105,Data!$A:$A,0),MATCH($C$7,Data!$4:$4,0))))</f>
        <v/>
      </c>
      <c r="D5105" s="148" t="str">
        <f t="shared" ca="1" si="164"/>
        <v/>
      </c>
      <c r="E5105" s="148" t="str">
        <f t="shared" ca="1" si="165"/>
        <v/>
      </c>
    </row>
    <row r="5106" spans="2:5" x14ac:dyDescent="0.25">
      <c r="B5106" s="8">
        <v>42700</v>
      </c>
      <c r="C5106" s="6" t="str">
        <f ca="1">IF(OR($C$7="",$B5106&gt;NOW()),"",IF(INDEX(Data!$A:$G,MATCH($B5106,Data!$A:$A,0),MATCH($C$7,Data!$4:$4,0))="","",INDEX(Data!$A:$G,MATCH($B5106,Data!$A:$A,0),MATCH($C$7,Data!$4:$4,0))))</f>
        <v/>
      </c>
      <c r="D5106" s="148" t="str">
        <f t="shared" ca="1" si="164"/>
        <v/>
      </c>
      <c r="E5106" s="148" t="str">
        <f t="shared" ca="1" si="165"/>
        <v/>
      </c>
    </row>
    <row r="5107" spans="2:5" x14ac:dyDescent="0.25">
      <c r="B5107" s="8">
        <v>42701</v>
      </c>
      <c r="C5107" s="6" t="str">
        <f ca="1">IF(OR($C$7="",$B5107&gt;NOW()),"",IF(INDEX(Data!$A:$G,MATCH($B5107,Data!$A:$A,0),MATCH($C$7,Data!$4:$4,0))="","",INDEX(Data!$A:$G,MATCH($B5107,Data!$A:$A,0),MATCH($C$7,Data!$4:$4,0))))</f>
        <v/>
      </c>
      <c r="D5107" s="148" t="str">
        <f t="shared" ca="1" si="164"/>
        <v/>
      </c>
      <c r="E5107" s="148" t="str">
        <f t="shared" ca="1" si="165"/>
        <v/>
      </c>
    </row>
    <row r="5108" spans="2:5" x14ac:dyDescent="0.25">
      <c r="B5108" s="8">
        <v>42702</v>
      </c>
      <c r="C5108" s="6" t="str">
        <f ca="1">IF(OR($C$7="",$B5108&gt;NOW()),"",IF(INDEX(Data!$A:$G,MATCH($B5108,Data!$A:$A,0),MATCH($C$7,Data!$4:$4,0))="","",INDEX(Data!$A:$G,MATCH($B5108,Data!$A:$A,0),MATCH($C$7,Data!$4:$4,0))))</f>
        <v/>
      </c>
      <c r="D5108" s="148" t="str">
        <f t="shared" ca="1" si="164"/>
        <v/>
      </c>
      <c r="E5108" s="148" t="str">
        <f t="shared" ca="1" si="165"/>
        <v/>
      </c>
    </row>
    <row r="5109" spans="2:5" x14ac:dyDescent="0.25">
      <c r="B5109" s="8">
        <v>42703</v>
      </c>
      <c r="C5109" s="6" t="str">
        <f ca="1">IF(OR($C$7="",$B5109&gt;NOW()),"",IF(INDEX(Data!$A:$G,MATCH($B5109,Data!$A:$A,0),MATCH($C$7,Data!$4:$4,0))="","",INDEX(Data!$A:$G,MATCH($B5109,Data!$A:$A,0),MATCH($C$7,Data!$4:$4,0))))</f>
        <v/>
      </c>
      <c r="D5109" s="148" t="str">
        <f t="shared" ca="1" si="164"/>
        <v/>
      </c>
      <c r="E5109" s="148" t="str">
        <f t="shared" ca="1" si="165"/>
        <v/>
      </c>
    </row>
    <row r="5110" spans="2:5" x14ac:dyDescent="0.25">
      <c r="B5110" s="8">
        <v>42704</v>
      </c>
      <c r="C5110" s="6" t="str">
        <f ca="1">IF(OR($C$7="",$B5110&gt;NOW()),"",IF(INDEX(Data!$A:$G,MATCH($B5110,Data!$A:$A,0),MATCH($C$7,Data!$4:$4,0))="","",INDEX(Data!$A:$G,MATCH($B5110,Data!$A:$A,0),MATCH($C$7,Data!$4:$4,0))))</f>
        <v/>
      </c>
      <c r="D5110" s="148" t="str">
        <f t="shared" ca="1" si="164"/>
        <v/>
      </c>
      <c r="E5110" s="148" t="str">
        <f t="shared" ca="1" si="165"/>
        <v/>
      </c>
    </row>
    <row r="5111" spans="2:5" x14ac:dyDescent="0.25">
      <c r="B5111" s="8">
        <v>42705</v>
      </c>
      <c r="C5111" s="6" t="str">
        <f ca="1">IF(OR($C$7="",$B5111&gt;NOW()),"",IF(INDEX(Data!$A:$G,MATCH($B5111,Data!$A:$A,0),MATCH($C$7,Data!$4:$4,0))="","",INDEX(Data!$A:$G,MATCH($B5111,Data!$A:$A,0),MATCH($C$7,Data!$4:$4,0))))</f>
        <v/>
      </c>
      <c r="D5111" s="148" t="str">
        <f t="shared" ca="1" si="164"/>
        <v/>
      </c>
      <c r="E5111" s="148" t="str">
        <f t="shared" ca="1" si="165"/>
        <v/>
      </c>
    </row>
    <row r="5112" spans="2:5" x14ac:dyDescent="0.25">
      <c r="B5112" s="8">
        <v>42706</v>
      </c>
      <c r="C5112" s="6" t="str">
        <f ca="1">IF(OR($C$7="",$B5112&gt;NOW()),"",IF(INDEX(Data!$A:$G,MATCH($B5112,Data!$A:$A,0),MATCH($C$7,Data!$4:$4,0))="","",INDEX(Data!$A:$G,MATCH($B5112,Data!$A:$A,0),MATCH($C$7,Data!$4:$4,0))))</f>
        <v/>
      </c>
      <c r="D5112" s="148" t="str">
        <f t="shared" ca="1" si="164"/>
        <v/>
      </c>
      <c r="E5112" s="148" t="str">
        <f t="shared" ca="1" si="165"/>
        <v/>
      </c>
    </row>
    <row r="5113" spans="2:5" x14ac:dyDescent="0.25">
      <c r="B5113" s="8">
        <v>42707</v>
      </c>
      <c r="C5113" s="6" t="str">
        <f ca="1">IF(OR($C$7="",$B5113&gt;NOW()),"",IF(INDEX(Data!$A:$G,MATCH($B5113,Data!$A:$A,0),MATCH($C$7,Data!$4:$4,0))="","",INDEX(Data!$A:$G,MATCH($B5113,Data!$A:$A,0),MATCH($C$7,Data!$4:$4,0))))</f>
        <v/>
      </c>
      <c r="D5113" s="148" t="str">
        <f t="shared" ca="1" si="164"/>
        <v/>
      </c>
      <c r="E5113" s="148" t="str">
        <f t="shared" ca="1" si="165"/>
        <v/>
      </c>
    </row>
    <row r="5114" spans="2:5" x14ac:dyDescent="0.25">
      <c r="B5114" s="8">
        <v>42708</v>
      </c>
      <c r="C5114" s="6" t="str">
        <f ca="1">IF(OR($C$7="",$B5114&gt;NOW()),"",IF(INDEX(Data!$A:$G,MATCH($B5114,Data!$A:$A,0),MATCH($C$7,Data!$4:$4,0))="","",INDEX(Data!$A:$G,MATCH($B5114,Data!$A:$A,0),MATCH($C$7,Data!$4:$4,0))))</f>
        <v/>
      </c>
      <c r="D5114" s="148" t="str">
        <f t="shared" ca="1" si="164"/>
        <v/>
      </c>
      <c r="E5114" s="148" t="str">
        <f t="shared" ca="1" si="165"/>
        <v/>
      </c>
    </row>
    <row r="5115" spans="2:5" x14ac:dyDescent="0.25">
      <c r="B5115" s="8">
        <v>42709</v>
      </c>
      <c r="C5115" s="6" t="str">
        <f ca="1">IF(OR($C$7="",$B5115&gt;NOW()),"",IF(INDEX(Data!$A:$G,MATCH($B5115,Data!$A:$A,0),MATCH($C$7,Data!$4:$4,0))="","",INDEX(Data!$A:$G,MATCH($B5115,Data!$A:$A,0),MATCH($C$7,Data!$4:$4,0))))</f>
        <v/>
      </c>
      <c r="D5115" s="148" t="str">
        <f t="shared" ca="1" si="164"/>
        <v/>
      </c>
      <c r="E5115" s="148" t="str">
        <f t="shared" ca="1" si="165"/>
        <v/>
      </c>
    </row>
    <row r="5116" spans="2:5" x14ac:dyDescent="0.25">
      <c r="B5116" s="8">
        <v>42710</v>
      </c>
      <c r="C5116" s="6" t="str">
        <f ca="1">IF(OR($C$7="",$B5116&gt;NOW()),"",IF(INDEX(Data!$A:$G,MATCH($B5116,Data!$A:$A,0),MATCH($C$7,Data!$4:$4,0))="","",INDEX(Data!$A:$G,MATCH($B5116,Data!$A:$A,0),MATCH($C$7,Data!$4:$4,0))))</f>
        <v/>
      </c>
      <c r="D5116" s="148" t="str">
        <f t="shared" ca="1" si="164"/>
        <v/>
      </c>
      <c r="E5116" s="148" t="str">
        <f t="shared" ca="1" si="165"/>
        <v/>
      </c>
    </row>
    <row r="5117" spans="2:5" x14ac:dyDescent="0.25">
      <c r="B5117" s="8">
        <v>42711</v>
      </c>
      <c r="C5117" s="6" t="str">
        <f ca="1">IF(OR($C$7="",$B5117&gt;NOW()),"",IF(INDEX(Data!$A:$G,MATCH($B5117,Data!$A:$A,0),MATCH($C$7,Data!$4:$4,0))="","",INDEX(Data!$A:$G,MATCH($B5117,Data!$A:$A,0),MATCH($C$7,Data!$4:$4,0))))</f>
        <v/>
      </c>
      <c r="D5117" s="148" t="str">
        <f t="shared" ca="1" si="164"/>
        <v/>
      </c>
      <c r="E5117" s="148" t="str">
        <f t="shared" ca="1" si="165"/>
        <v/>
      </c>
    </row>
    <row r="5118" spans="2:5" x14ac:dyDescent="0.25">
      <c r="B5118" s="8">
        <v>42712</v>
      </c>
      <c r="C5118" s="6" t="str">
        <f ca="1">IF(OR($C$7="",$B5118&gt;NOW()),"",IF(INDEX(Data!$A:$G,MATCH($B5118,Data!$A:$A,0),MATCH($C$7,Data!$4:$4,0))="","",INDEX(Data!$A:$G,MATCH($B5118,Data!$A:$A,0),MATCH($C$7,Data!$4:$4,0))))</f>
        <v/>
      </c>
      <c r="D5118" s="148" t="str">
        <f t="shared" ca="1" si="164"/>
        <v/>
      </c>
      <c r="E5118" s="148" t="str">
        <f t="shared" ca="1" si="165"/>
        <v/>
      </c>
    </row>
    <row r="5119" spans="2:5" x14ac:dyDescent="0.25">
      <c r="B5119" s="8">
        <v>42713</v>
      </c>
      <c r="C5119" s="6" t="str">
        <f ca="1">IF(OR($C$7="",$B5119&gt;NOW()),"",IF(INDEX(Data!$A:$G,MATCH($B5119,Data!$A:$A,0),MATCH($C$7,Data!$4:$4,0))="","",INDEX(Data!$A:$G,MATCH($B5119,Data!$A:$A,0),MATCH($C$7,Data!$4:$4,0))))</f>
        <v/>
      </c>
      <c r="D5119" s="148" t="str">
        <f t="shared" ca="1" si="164"/>
        <v/>
      </c>
      <c r="E5119" s="148" t="str">
        <f t="shared" ca="1" si="165"/>
        <v/>
      </c>
    </row>
    <row r="5120" spans="2:5" x14ac:dyDescent="0.25">
      <c r="B5120" s="8">
        <v>42714</v>
      </c>
      <c r="C5120" s="6" t="str">
        <f ca="1">IF(OR($C$7="",$B5120&gt;NOW()),"",IF(INDEX(Data!$A:$G,MATCH($B5120,Data!$A:$A,0),MATCH($C$7,Data!$4:$4,0))="","",INDEX(Data!$A:$G,MATCH($B5120,Data!$A:$A,0),MATCH($C$7,Data!$4:$4,0))))</f>
        <v/>
      </c>
      <c r="D5120" s="148" t="str">
        <f t="shared" ca="1" si="164"/>
        <v/>
      </c>
      <c r="E5120" s="148" t="str">
        <f t="shared" ca="1" si="165"/>
        <v/>
      </c>
    </row>
    <row r="5121" spans="2:5" x14ac:dyDescent="0.25">
      <c r="B5121" s="8">
        <v>42715</v>
      </c>
      <c r="C5121" s="6" t="str">
        <f ca="1">IF(OR($C$7="",$B5121&gt;NOW()),"",IF(INDEX(Data!$A:$G,MATCH($B5121,Data!$A:$A,0),MATCH($C$7,Data!$4:$4,0))="","",INDEX(Data!$A:$G,MATCH($B5121,Data!$A:$A,0),MATCH($C$7,Data!$4:$4,0))))</f>
        <v/>
      </c>
      <c r="D5121" s="148" t="str">
        <f t="shared" ca="1" si="164"/>
        <v/>
      </c>
      <c r="E5121" s="148" t="str">
        <f t="shared" ca="1" si="165"/>
        <v/>
      </c>
    </row>
    <row r="5122" spans="2:5" x14ac:dyDescent="0.25">
      <c r="B5122" s="8">
        <v>42716</v>
      </c>
      <c r="C5122" s="6" t="str">
        <f ca="1">IF(OR($C$7="",$B5122&gt;NOW()),"",IF(INDEX(Data!$A:$G,MATCH($B5122,Data!$A:$A,0),MATCH($C$7,Data!$4:$4,0))="","",INDEX(Data!$A:$G,MATCH($B5122,Data!$A:$A,0),MATCH($C$7,Data!$4:$4,0))))</f>
        <v/>
      </c>
      <c r="D5122" s="148" t="str">
        <f t="shared" ca="1" si="164"/>
        <v/>
      </c>
      <c r="E5122" s="148" t="str">
        <f t="shared" ca="1" si="165"/>
        <v/>
      </c>
    </row>
    <row r="5123" spans="2:5" x14ac:dyDescent="0.25">
      <c r="B5123" s="8">
        <v>42717</v>
      </c>
      <c r="C5123" s="6" t="str">
        <f ca="1">IF(OR($C$7="",$B5123&gt;NOW()),"",IF(INDEX(Data!$A:$G,MATCH($B5123,Data!$A:$A,0),MATCH($C$7,Data!$4:$4,0))="","",INDEX(Data!$A:$G,MATCH($B5123,Data!$A:$A,0),MATCH($C$7,Data!$4:$4,0))))</f>
        <v/>
      </c>
      <c r="D5123" s="148" t="str">
        <f t="shared" ca="1" si="164"/>
        <v/>
      </c>
      <c r="E5123" s="148" t="str">
        <f t="shared" ca="1" si="165"/>
        <v/>
      </c>
    </row>
    <row r="5124" spans="2:5" x14ac:dyDescent="0.25">
      <c r="B5124" s="8">
        <v>42718</v>
      </c>
      <c r="C5124" s="6" t="str">
        <f ca="1">IF(OR($C$7="",$B5124&gt;NOW()),"",IF(INDEX(Data!$A:$G,MATCH($B5124,Data!$A:$A,0),MATCH($C$7,Data!$4:$4,0))="","",INDEX(Data!$A:$G,MATCH($B5124,Data!$A:$A,0),MATCH($C$7,Data!$4:$4,0))))</f>
        <v/>
      </c>
      <c r="D5124" s="148" t="str">
        <f t="shared" ca="1" si="164"/>
        <v/>
      </c>
      <c r="E5124" s="148" t="str">
        <f t="shared" ca="1" si="165"/>
        <v/>
      </c>
    </row>
    <row r="5125" spans="2:5" x14ac:dyDescent="0.25">
      <c r="B5125" s="8">
        <v>42719</v>
      </c>
      <c r="C5125" s="6" t="str">
        <f ca="1">IF(OR($C$7="",$B5125&gt;NOW()),"",IF(INDEX(Data!$A:$G,MATCH($B5125,Data!$A:$A,0),MATCH($C$7,Data!$4:$4,0))="","",INDEX(Data!$A:$G,MATCH($B5125,Data!$A:$A,0),MATCH($C$7,Data!$4:$4,0))))</f>
        <v/>
      </c>
      <c r="D5125" s="148" t="str">
        <f t="shared" ca="1" si="164"/>
        <v/>
      </c>
      <c r="E5125" s="148" t="str">
        <f t="shared" ca="1" si="165"/>
        <v/>
      </c>
    </row>
    <row r="5126" spans="2:5" x14ac:dyDescent="0.25">
      <c r="B5126" s="8">
        <v>42720</v>
      </c>
      <c r="C5126" s="6" t="str">
        <f ca="1">IF(OR($C$7="",$B5126&gt;NOW()),"",IF(INDEX(Data!$A:$G,MATCH($B5126,Data!$A:$A,0),MATCH($C$7,Data!$4:$4,0))="","",INDEX(Data!$A:$G,MATCH($B5126,Data!$A:$A,0),MATCH($C$7,Data!$4:$4,0))))</f>
        <v/>
      </c>
      <c r="D5126" s="148" t="str">
        <f t="shared" ca="1" si="164"/>
        <v/>
      </c>
      <c r="E5126" s="148" t="str">
        <f t="shared" ca="1" si="165"/>
        <v/>
      </c>
    </row>
    <row r="5127" spans="2:5" x14ac:dyDescent="0.25">
      <c r="B5127" s="8">
        <v>42721</v>
      </c>
      <c r="C5127" s="6" t="str">
        <f ca="1">IF(OR($C$7="",$B5127&gt;NOW()),"",IF(INDEX(Data!$A:$G,MATCH($B5127,Data!$A:$A,0),MATCH($C$7,Data!$4:$4,0))="","",INDEX(Data!$A:$G,MATCH($B5127,Data!$A:$A,0),MATCH($C$7,Data!$4:$4,0))))</f>
        <v/>
      </c>
      <c r="D5127" s="148" t="str">
        <f t="shared" ca="1" si="164"/>
        <v/>
      </c>
      <c r="E5127" s="148" t="str">
        <f t="shared" ca="1" si="165"/>
        <v/>
      </c>
    </row>
    <row r="5128" spans="2:5" x14ac:dyDescent="0.25">
      <c r="B5128" s="8">
        <v>42722</v>
      </c>
      <c r="C5128" s="6" t="str">
        <f ca="1">IF(OR($C$7="",$B5128&gt;NOW()),"",IF(INDEX(Data!$A:$G,MATCH($B5128,Data!$A:$A,0),MATCH($C$7,Data!$4:$4,0))="","",INDEX(Data!$A:$G,MATCH($B5128,Data!$A:$A,0),MATCH($C$7,Data!$4:$4,0))))</f>
        <v/>
      </c>
      <c r="D5128" s="148" t="str">
        <f t="shared" ca="1" si="164"/>
        <v/>
      </c>
      <c r="E5128" s="148" t="str">
        <f t="shared" ca="1" si="165"/>
        <v/>
      </c>
    </row>
    <row r="5129" spans="2:5" x14ac:dyDescent="0.25">
      <c r="B5129" s="8">
        <v>42723</v>
      </c>
      <c r="C5129" s="6" t="str">
        <f ca="1">IF(OR($C$7="",$B5129&gt;NOW()),"",IF(INDEX(Data!$A:$G,MATCH($B5129,Data!$A:$A,0),MATCH($C$7,Data!$4:$4,0))="","",INDEX(Data!$A:$G,MATCH($B5129,Data!$A:$A,0),MATCH($C$7,Data!$4:$4,0))))</f>
        <v/>
      </c>
      <c r="D5129" s="148" t="str">
        <f t="shared" ca="1" si="164"/>
        <v/>
      </c>
      <c r="E5129" s="148" t="str">
        <f t="shared" ca="1" si="165"/>
        <v/>
      </c>
    </row>
    <row r="5130" spans="2:5" x14ac:dyDescent="0.25">
      <c r="B5130" s="8">
        <v>42724</v>
      </c>
      <c r="C5130" s="6" t="str">
        <f ca="1">IF(OR($C$7="",$B5130&gt;NOW()),"",IF(INDEX(Data!$A:$G,MATCH($B5130,Data!$A:$A,0),MATCH($C$7,Data!$4:$4,0))="","",INDEX(Data!$A:$G,MATCH($B5130,Data!$A:$A,0),MATCH($C$7,Data!$4:$4,0))))</f>
        <v/>
      </c>
      <c r="D5130" s="148" t="str">
        <f t="shared" ca="1" si="164"/>
        <v/>
      </c>
      <c r="E5130" s="148" t="str">
        <f t="shared" ca="1" si="165"/>
        <v/>
      </c>
    </row>
    <row r="5131" spans="2:5" x14ac:dyDescent="0.25">
      <c r="B5131" s="8">
        <v>42725</v>
      </c>
      <c r="C5131" s="6" t="str">
        <f ca="1">IF(OR($C$7="",$B5131&gt;NOW()),"",IF(INDEX(Data!$A:$G,MATCH($B5131,Data!$A:$A,0),MATCH($C$7,Data!$4:$4,0))="","",INDEX(Data!$A:$G,MATCH($B5131,Data!$A:$A,0),MATCH($C$7,Data!$4:$4,0))))</f>
        <v/>
      </c>
      <c r="D5131" s="148" t="str">
        <f t="shared" ca="1" si="164"/>
        <v/>
      </c>
      <c r="E5131" s="148" t="str">
        <f t="shared" ca="1" si="165"/>
        <v/>
      </c>
    </row>
    <row r="5132" spans="2:5" x14ac:dyDescent="0.25">
      <c r="B5132" s="8">
        <v>42726</v>
      </c>
      <c r="C5132" s="6" t="str">
        <f ca="1">IF(OR($C$7="",$B5132&gt;NOW()),"",IF(INDEX(Data!$A:$G,MATCH($B5132,Data!$A:$A,0),MATCH($C$7,Data!$4:$4,0))="","",INDEX(Data!$A:$G,MATCH($B5132,Data!$A:$A,0),MATCH($C$7,Data!$4:$4,0))))</f>
        <v/>
      </c>
      <c r="D5132" s="148" t="str">
        <f t="shared" ca="1" si="164"/>
        <v/>
      </c>
      <c r="E5132" s="148" t="str">
        <f t="shared" ca="1" si="165"/>
        <v/>
      </c>
    </row>
    <row r="5133" spans="2:5" x14ac:dyDescent="0.25">
      <c r="B5133" s="8">
        <v>42727</v>
      </c>
      <c r="C5133" s="6" t="str">
        <f ca="1">IF(OR($C$7="",$B5133&gt;NOW()),"",IF(INDEX(Data!$A:$G,MATCH($B5133,Data!$A:$A,0),MATCH($C$7,Data!$4:$4,0))="","",INDEX(Data!$A:$G,MATCH($B5133,Data!$A:$A,0),MATCH($C$7,Data!$4:$4,0))))</f>
        <v/>
      </c>
      <c r="D5133" s="148" t="str">
        <f t="shared" ca="1" si="164"/>
        <v/>
      </c>
      <c r="E5133" s="148" t="str">
        <f t="shared" ca="1" si="165"/>
        <v/>
      </c>
    </row>
    <row r="5134" spans="2:5" x14ac:dyDescent="0.25">
      <c r="B5134" s="8">
        <v>42728</v>
      </c>
      <c r="C5134" s="6" t="str">
        <f ca="1">IF(OR($C$7="",$B5134&gt;NOW()),"",IF(INDEX(Data!$A:$G,MATCH($B5134,Data!$A:$A,0),MATCH($C$7,Data!$4:$4,0))="","",INDEX(Data!$A:$G,MATCH($B5134,Data!$A:$A,0),MATCH($C$7,Data!$4:$4,0))))</f>
        <v/>
      </c>
      <c r="D5134" s="148" t="str">
        <f t="shared" ca="1" si="164"/>
        <v/>
      </c>
      <c r="E5134" s="148" t="str">
        <f t="shared" ca="1" si="165"/>
        <v/>
      </c>
    </row>
    <row r="5135" spans="2:5" x14ac:dyDescent="0.25">
      <c r="B5135" s="8">
        <v>42729</v>
      </c>
      <c r="C5135" s="6" t="str">
        <f ca="1">IF(OR($C$7="",$B5135&gt;NOW()),"",IF(INDEX(Data!$A:$G,MATCH($B5135,Data!$A:$A,0),MATCH($C$7,Data!$4:$4,0))="","",INDEX(Data!$A:$G,MATCH($B5135,Data!$A:$A,0),MATCH($C$7,Data!$4:$4,0))))</f>
        <v/>
      </c>
      <c r="D5135" s="148" t="str">
        <f t="shared" ca="1" si="164"/>
        <v/>
      </c>
      <c r="E5135" s="148" t="str">
        <f t="shared" ca="1" si="165"/>
        <v/>
      </c>
    </row>
    <row r="5136" spans="2:5" x14ac:dyDescent="0.25">
      <c r="B5136" s="8">
        <v>42730</v>
      </c>
      <c r="C5136" s="6" t="str">
        <f ca="1">IF(OR($C$7="",$B5136&gt;NOW()),"",IF(INDEX(Data!$A:$G,MATCH($B5136,Data!$A:$A,0),MATCH($C$7,Data!$4:$4,0))="","",INDEX(Data!$A:$G,MATCH($B5136,Data!$A:$A,0),MATCH($C$7,Data!$4:$4,0))))</f>
        <v/>
      </c>
      <c r="D5136" s="148" t="str">
        <f t="shared" ca="1" si="164"/>
        <v/>
      </c>
      <c r="E5136" s="148" t="str">
        <f t="shared" ca="1" si="165"/>
        <v/>
      </c>
    </row>
    <row r="5137" spans="2:5" x14ac:dyDescent="0.25">
      <c r="B5137" s="8">
        <v>42731</v>
      </c>
      <c r="C5137" s="6" t="str">
        <f ca="1">IF(OR($C$7="",$B5137&gt;NOW()),"",IF(INDEX(Data!$A:$G,MATCH($B5137,Data!$A:$A,0),MATCH($C$7,Data!$4:$4,0))="","",INDEX(Data!$A:$G,MATCH($B5137,Data!$A:$A,0),MATCH($C$7,Data!$4:$4,0))))</f>
        <v/>
      </c>
      <c r="D5137" s="148" t="str">
        <f t="shared" ca="1" si="164"/>
        <v/>
      </c>
      <c r="E5137" s="148" t="str">
        <f t="shared" ca="1" si="165"/>
        <v/>
      </c>
    </row>
    <row r="5138" spans="2:5" x14ac:dyDescent="0.25">
      <c r="B5138" s="8">
        <v>42732</v>
      </c>
      <c r="C5138" s="6" t="str">
        <f ca="1">IF(OR($C$7="",$B5138&gt;NOW()),"",IF(INDEX(Data!$A:$G,MATCH($B5138,Data!$A:$A,0),MATCH($C$7,Data!$4:$4,0))="","",INDEX(Data!$A:$G,MATCH($B5138,Data!$A:$A,0),MATCH($C$7,Data!$4:$4,0))))</f>
        <v/>
      </c>
      <c r="D5138" s="148" t="str">
        <f t="shared" ca="1" si="164"/>
        <v/>
      </c>
      <c r="E5138" s="148" t="str">
        <f t="shared" ca="1" si="165"/>
        <v/>
      </c>
    </row>
    <row r="5139" spans="2:5" x14ac:dyDescent="0.25">
      <c r="B5139" s="8">
        <v>42733</v>
      </c>
      <c r="C5139" s="6" t="str">
        <f ca="1">IF(OR($C$7="",$B5139&gt;NOW()),"",IF(INDEX(Data!$A:$G,MATCH($B5139,Data!$A:$A,0),MATCH($C$7,Data!$4:$4,0))="","",INDEX(Data!$A:$G,MATCH($B5139,Data!$A:$A,0),MATCH($C$7,Data!$4:$4,0))))</f>
        <v/>
      </c>
      <c r="D5139" s="148" t="str">
        <f t="shared" ca="1" si="164"/>
        <v/>
      </c>
      <c r="E5139" s="148" t="str">
        <f t="shared" ca="1" si="165"/>
        <v/>
      </c>
    </row>
    <row r="5140" spans="2:5" x14ac:dyDescent="0.25">
      <c r="B5140" s="8">
        <v>42734</v>
      </c>
      <c r="C5140" s="6" t="str">
        <f ca="1">IF(OR($C$7="",$B5140&gt;NOW()),"",IF(INDEX(Data!$A:$G,MATCH($B5140,Data!$A:$A,0),MATCH($C$7,Data!$4:$4,0))="","",INDEX(Data!$A:$G,MATCH($B5140,Data!$A:$A,0),MATCH($C$7,Data!$4:$4,0))))</f>
        <v/>
      </c>
      <c r="D5140" s="148" t="str">
        <f t="shared" ca="1" si="164"/>
        <v/>
      </c>
      <c r="E5140" s="148" t="str">
        <f t="shared" ca="1" si="165"/>
        <v/>
      </c>
    </row>
    <row r="5141" spans="2:5" x14ac:dyDescent="0.25">
      <c r="B5141" s="8">
        <v>42735</v>
      </c>
      <c r="C5141" s="6" t="str">
        <f ca="1">IF(OR($C$7="",$B5141&gt;NOW()),"",IF(INDEX(Data!$A:$G,MATCH($B5141,Data!$A:$A,0),MATCH($C$7,Data!$4:$4,0))="","",INDEX(Data!$A:$G,MATCH($B5141,Data!$A:$A,0),MATCH($C$7,Data!$4:$4,0))))</f>
        <v/>
      </c>
      <c r="D5141" s="148" t="str">
        <f t="shared" ca="1" si="164"/>
        <v/>
      </c>
      <c r="E5141" s="148" t="str">
        <f t="shared" ca="1" si="165"/>
        <v/>
      </c>
    </row>
    <row r="5142" spans="2:5" x14ac:dyDescent="0.25">
      <c r="B5142" s="8">
        <v>42736</v>
      </c>
      <c r="C5142" s="6" t="str">
        <f ca="1">IF(OR($C$7="",$B5142&gt;NOW()),"",IF(INDEX(Data!$A:$G,MATCH($B5142,Data!$A:$A,0),MATCH($C$7,Data!$4:$4,0))="","",INDEX(Data!$A:$G,MATCH($B5142,Data!$A:$A,0),MATCH($C$7,Data!$4:$4,0))))</f>
        <v/>
      </c>
      <c r="D5142" s="148" t="str">
        <f t="shared" ca="1" si="164"/>
        <v/>
      </c>
      <c r="E5142" s="148" t="str">
        <f t="shared" ca="1" si="165"/>
        <v/>
      </c>
    </row>
    <row r="5143" spans="2:5" x14ac:dyDescent="0.25">
      <c r="B5143" s="8">
        <v>42737</v>
      </c>
      <c r="C5143" s="6" t="str">
        <f ca="1">IF(OR($C$7="",$B5143&gt;NOW()),"",IF(INDEX(Data!$A:$G,MATCH($B5143,Data!$A:$A,0),MATCH($C$7,Data!$4:$4,0))="","",INDEX(Data!$A:$G,MATCH($B5143,Data!$A:$A,0),MATCH($C$7,Data!$4:$4,0))))</f>
        <v/>
      </c>
      <c r="D5143" s="148" t="str">
        <f t="shared" ca="1" si="164"/>
        <v/>
      </c>
      <c r="E5143" s="148" t="str">
        <f t="shared" ca="1" si="165"/>
        <v/>
      </c>
    </row>
    <row r="5144" spans="2:5" x14ac:dyDescent="0.25">
      <c r="B5144" s="8">
        <v>42738</v>
      </c>
      <c r="C5144" s="6" t="str">
        <f ca="1">IF(OR($C$7="",$B5144&gt;NOW()),"",IF(INDEX(Data!$A:$G,MATCH($B5144,Data!$A:$A,0),MATCH($C$7,Data!$4:$4,0))="","",INDEX(Data!$A:$G,MATCH($B5144,Data!$A:$A,0),MATCH($C$7,Data!$4:$4,0))))</f>
        <v/>
      </c>
      <c r="D5144" s="148" t="str">
        <f t="shared" ca="1" si="164"/>
        <v/>
      </c>
      <c r="E5144" s="148" t="str">
        <f t="shared" ca="1" si="165"/>
        <v/>
      </c>
    </row>
    <row r="5145" spans="2:5" x14ac:dyDescent="0.25">
      <c r="B5145" s="8">
        <v>42739</v>
      </c>
      <c r="C5145" s="6" t="str">
        <f ca="1">IF(OR($C$7="",$B5145&gt;NOW()),"",IF(INDEX(Data!$A:$G,MATCH($B5145,Data!$A:$A,0),MATCH($C$7,Data!$4:$4,0))="","",INDEX(Data!$A:$G,MATCH($B5145,Data!$A:$A,0),MATCH($C$7,Data!$4:$4,0))))</f>
        <v/>
      </c>
      <c r="D5145" s="148" t="str">
        <f t="shared" ca="1" si="164"/>
        <v/>
      </c>
      <c r="E5145" s="148" t="str">
        <f t="shared" ca="1" si="165"/>
        <v/>
      </c>
    </row>
    <row r="5146" spans="2:5" x14ac:dyDescent="0.25">
      <c r="B5146" s="8">
        <v>42740</v>
      </c>
      <c r="C5146" s="6" t="str">
        <f ca="1">IF(OR($C$7="",$B5146&gt;NOW()),"",IF(INDEX(Data!$A:$G,MATCH($B5146,Data!$A:$A,0),MATCH($C$7,Data!$4:$4,0))="","",INDEX(Data!$A:$G,MATCH($B5146,Data!$A:$A,0),MATCH($C$7,Data!$4:$4,0))))</f>
        <v/>
      </c>
      <c r="D5146" s="148" t="str">
        <f t="shared" ca="1" si="164"/>
        <v/>
      </c>
      <c r="E5146" s="148" t="str">
        <f t="shared" ca="1" si="165"/>
        <v/>
      </c>
    </row>
    <row r="5147" spans="2:5" x14ac:dyDescent="0.25">
      <c r="B5147" s="8">
        <v>42741</v>
      </c>
      <c r="C5147" s="6" t="str">
        <f ca="1">IF(OR($C$7="",$B5147&gt;NOW()),"",IF(INDEX(Data!$A:$G,MATCH($B5147,Data!$A:$A,0),MATCH($C$7,Data!$4:$4,0))="","",INDEX(Data!$A:$G,MATCH($B5147,Data!$A:$A,0),MATCH($C$7,Data!$4:$4,0))))</f>
        <v/>
      </c>
      <c r="D5147" s="148" t="str">
        <f t="shared" ca="1" si="164"/>
        <v/>
      </c>
      <c r="E5147" s="148" t="str">
        <f t="shared" ca="1" si="165"/>
        <v/>
      </c>
    </row>
    <row r="5148" spans="2:5" x14ac:dyDescent="0.25">
      <c r="B5148" s="8">
        <v>42742</v>
      </c>
      <c r="C5148" s="6" t="str">
        <f ca="1">IF(OR($C$7="",$B5148&gt;NOW()),"",IF(INDEX(Data!$A:$G,MATCH($B5148,Data!$A:$A,0),MATCH($C$7,Data!$4:$4,0))="","",INDEX(Data!$A:$G,MATCH($B5148,Data!$A:$A,0),MATCH($C$7,Data!$4:$4,0))))</f>
        <v/>
      </c>
      <c r="D5148" s="148" t="str">
        <f t="shared" ca="1" si="164"/>
        <v/>
      </c>
      <c r="E5148" s="148" t="str">
        <f t="shared" ca="1" si="165"/>
        <v/>
      </c>
    </row>
    <row r="5149" spans="2:5" x14ac:dyDescent="0.25">
      <c r="B5149" s="8">
        <v>42743</v>
      </c>
      <c r="C5149" s="6" t="str">
        <f ca="1">IF(OR($C$7="",$B5149&gt;NOW()),"",IF(INDEX(Data!$A:$G,MATCH($B5149,Data!$A:$A,0),MATCH($C$7,Data!$4:$4,0))="","",INDEX(Data!$A:$G,MATCH($B5149,Data!$A:$A,0),MATCH($C$7,Data!$4:$4,0))))</f>
        <v/>
      </c>
      <c r="D5149" s="148" t="str">
        <f t="shared" ref="D5149:D5212" ca="1" si="166">IF($C5149="","",IF($C5149&gt;$D$26,0,$D$26-$C5149))</f>
        <v/>
      </c>
      <c r="E5149" s="148" t="str">
        <f t="shared" ref="E5149:E5212" ca="1" si="167">IF($C5149="","",IF($C5149&lt;$E$26,0,$C5149-$E$26))</f>
        <v/>
      </c>
    </row>
    <row r="5150" spans="2:5" x14ac:dyDescent="0.25">
      <c r="B5150" s="8">
        <v>42744</v>
      </c>
      <c r="C5150" s="6" t="str">
        <f ca="1">IF(OR($C$7="",$B5150&gt;NOW()),"",IF(INDEX(Data!$A:$G,MATCH($B5150,Data!$A:$A,0),MATCH($C$7,Data!$4:$4,0))="","",INDEX(Data!$A:$G,MATCH($B5150,Data!$A:$A,0),MATCH($C$7,Data!$4:$4,0))))</f>
        <v/>
      </c>
      <c r="D5150" s="148" t="str">
        <f t="shared" ca="1" si="166"/>
        <v/>
      </c>
      <c r="E5150" s="148" t="str">
        <f t="shared" ca="1" si="167"/>
        <v/>
      </c>
    </row>
    <row r="5151" spans="2:5" x14ac:dyDescent="0.25">
      <c r="B5151" s="8">
        <v>42745</v>
      </c>
      <c r="C5151" s="6" t="str">
        <f ca="1">IF(OR($C$7="",$B5151&gt;NOW()),"",IF(INDEX(Data!$A:$G,MATCH($B5151,Data!$A:$A,0),MATCH($C$7,Data!$4:$4,0))="","",INDEX(Data!$A:$G,MATCH($B5151,Data!$A:$A,0),MATCH($C$7,Data!$4:$4,0))))</f>
        <v/>
      </c>
      <c r="D5151" s="148" t="str">
        <f t="shared" ca="1" si="166"/>
        <v/>
      </c>
      <c r="E5151" s="148" t="str">
        <f t="shared" ca="1" si="167"/>
        <v/>
      </c>
    </row>
    <row r="5152" spans="2:5" x14ac:dyDescent="0.25">
      <c r="B5152" s="8">
        <v>42746</v>
      </c>
      <c r="C5152" s="6" t="str">
        <f ca="1">IF(OR($C$7="",$B5152&gt;NOW()),"",IF(INDEX(Data!$A:$G,MATCH($B5152,Data!$A:$A,0),MATCH($C$7,Data!$4:$4,0))="","",INDEX(Data!$A:$G,MATCH($B5152,Data!$A:$A,0),MATCH($C$7,Data!$4:$4,0))))</f>
        <v/>
      </c>
      <c r="D5152" s="148" t="str">
        <f t="shared" ca="1" si="166"/>
        <v/>
      </c>
      <c r="E5152" s="148" t="str">
        <f t="shared" ca="1" si="167"/>
        <v/>
      </c>
    </row>
    <row r="5153" spans="2:5" x14ac:dyDescent="0.25">
      <c r="B5153" s="8">
        <v>42747</v>
      </c>
      <c r="C5153" s="6" t="str">
        <f ca="1">IF(OR($C$7="",$B5153&gt;NOW()),"",IF(INDEX(Data!$A:$G,MATCH($B5153,Data!$A:$A,0),MATCH($C$7,Data!$4:$4,0))="","",INDEX(Data!$A:$G,MATCH($B5153,Data!$A:$A,0),MATCH($C$7,Data!$4:$4,0))))</f>
        <v/>
      </c>
      <c r="D5153" s="148" t="str">
        <f t="shared" ca="1" si="166"/>
        <v/>
      </c>
      <c r="E5153" s="148" t="str">
        <f t="shared" ca="1" si="167"/>
        <v/>
      </c>
    </row>
    <row r="5154" spans="2:5" x14ac:dyDescent="0.25">
      <c r="B5154" s="8">
        <v>42748</v>
      </c>
      <c r="C5154" s="6" t="str">
        <f ca="1">IF(OR($C$7="",$B5154&gt;NOW()),"",IF(INDEX(Data!$A:$G,MATCH($B5154,Data!$A:$A,0),MATCH($C$7,Data!$4:$4,0))="","",INDEX(Data!$A:$G,MATCH($B5154,Data!$A:$A,0),MATCH($C$7,Data!$4:$4,0))))</f>
        <v/>
      </c>
      <c r="D5154" s="148" t="str">
        <f t="shared" ca="1" si="166"/>
        <v/>
      </c>
      <c r="E5154" s="148" t="str">
        <f t="shared" ca="1" si="167"/>
        <v/>
      </c>
    </row>
    <row r="5155" spans="2:5" x14ac:dyDescent="0.25">
      <c r="B5155" s="8">
        <v>42749</v>
      </c>
      <c r="C5155" s="6" t="str">
        <f ca="1">IF(OR($C$7="",$B5155&gt;NOW()),"",IF(INDEX(Data!$A:$G,MATCH($B5155,Data!$A:$A,0),MATCH($C$7,Data!$4:$4,0))="","",INDEX(Data!$A:$G,MATCH($B5155,Data!$A:$A,0),MATCH($C$7,Data!$4:$4,0))))</f>
        <v/>
      </c>
      <c r="D5155" s="148" t="str">
        <f t="shared" ca="1" si="166"/>
        <v/>
      </c>
      <c r="E5155" s="148" t="str">
        <f t="shared" ca="1" si="167"/>
        <v/>
      </c>
    </row>
    <row r="5156" spans="2:5" x14ac:dyDescent="0.25">
      <c r="B5156" s="8">
        <v>42750</v>
      </c>
      <c r="C5156" s="6" t="str">
        <f ca="1">IF(OR($C$7="",$B5156&gt;NOW()),"",IF(INDEX(Data!$A:$G,MATCH($B5156,Data!$A:$A,0),MATCH($C$7,Data!$4:$4,0))="","",INDEX(Data!$A:$G,MATCH($B5156,Data!$A:$A,0),MATCH($C$7,Data!$4:$4,0))))</f>
        <v/>
      </c>
      <c r="D5156" s="148" t="str">
        <f t="shared" ca="1" si="166"/>
        <v/>
      </c>
      <c r="E5156" s="148" t="str">
        <f t="shared" ca="1" si="167"/>
        <v/>
      </c>
    </row>
    <row r="5157" spans="2:5" x14ac:dyDescent="0.25">
      <c r="B5157" s="8">
        <v>42751</v>
      </c>
      <c r="C5157" s="6" t="str">
        <f ca="1">IF(OR($C$7="",$B5157&gt;NOW()),"",IF(INDEX(Data!$A:$G,MATCH($B5157,Data!$A:$A,0),MATCH($C$7,Data!$4:$4,0))="","",INDEX(Data!$A:$G,MATCH($B5157,Data!$A:$A,0),MATCH($C$7,Data!$4:$4,0))))</f>
        <v/>
      </c>
      <c r="D5157" s="148" t="str">
        <f t="shared" ca="1" si="166"/>
        <v/>
      </c>
      <c r="E5157" s="148" t="str">
        <f t="shared" ca="1" si="167"/>
        <v/>
      </c>
    </row>
    <row r="5158" spans="2:5" x14ac:dyDescent="0.25">
      <c r="B5158" s="8">
        <v>42752</v>
      </c>
      <c r="C5158" s="6" t="str">
        <f ca="1">IF(OR($C$7="",$B5158&gt;NOW()),"",IF(INDEX(Data!$A:$G,MATCH($B5158,Data!$A:$A,0),MATCH($C$7,Data!$4:$4,0))="","",INDEX(Data!$A:$G,MATCH($B5158,Data!$A:$A,0),MATCH($C$7,Data!$4:$4,0))))</f>
        <v/>
      </c>
      <c r="D5158" s="148" t="str">
        <f t="shared" ca="1" si="166"/>
        <v/>
      </c>
      <c r="E5158" s="148" t="str">
        <f t="shared" ca="1" si="167"/>
        <v/>
      </c>
    </row>
    <row r="5159" spans="2:5" x14ac:dyDescent="0.25">
      <c r="B5159" s="8">
        <v>42753</v>
      </c>
      <c r="C5159" s="6" t="str">
        <f ca="1">IF(OR($C$7="",$B5159&gt;NOW()),"",IF(INDEX(Data!$A:$G,MATCH($B5159,Data!$A:$A,0),MATCH($C$7,Data!$4:$4,0))="","",INDEX(Data!$A:$G,MATCH($B5159,Data!$A:$A,0),MATCH($C$7,Data!$4:$4,0))))</f>
        <v/>
      </c>
      <c r="D5159" s="148" t="str">
        <f t="shared" ca="1" si="166"/>
        <v/>
      </c>
      <c r="E5159" s="148" t="str">
        <f t="shared" ca="1" si="167"/>
        <v/>
      </c>
    </row>
    <row r="5160" spans="2:5" x14ac:dyDescent="0.25">
      <c r="B5160" s="8">
        <v>42754</v>
      </c>
      <c r="C5160" s="6" t="str">
        <f ca="1">IF(OR($C$7="",$B5160&gt;NOW()),"",IF(INDEX(Data!$A:$G,MATCH($B5160,Data!$A:$A,0),MATCH($C$7,Data!$4:$4,0))="","",INDEX(Data!$A:$G,MATCH($B5160,Data!$A:$A,0),MATCH($C$7,Data!$4:$4,0))))</f>
        <v/>
      </c>
      <c r="D5160" s="148" t="str">
        <f t="shared" ca="1" si="166"/>
        <v/>
      </c>
      <c r="E5160" s="148" t="str">
        <f t="shared" ca="1" si="167"/>
        <v/>
      </c>
    </row>
    <row r="5161" spans="2:5" x14ac:dyDescent="0.25">
      <c r="B5161" s="8">
        <v>42755</v>
      </c>
      <c r="C5161" s="6" t="str">
        <f ca="1">IF(OR($C$7="",$B5161&gt;NOW()),"",IF(INDEX(Data!$A:$G,MATCH($B5161,Data!$A:$A,0),MATCH($C$7,Data!$4:$4,0))="","",INDEX(Data!$A:$G,MATCH($B5161,Data!$A:$A,0),MATCH($C$7,Data!$4:$4,0))))</f>
        <v/>
      </c>
      <c r="D5161" s="148" t="str">
        <f t="shared" ca="1" si="166"/>
        <v/>
      </c>
      <c r="E5161" s="148" t="str">
        <f t="shared" ca="1" si="167"/>
        <v/>
      </c>
    </row>
    <row r="5162" spans="2:5" x14ac:dyDescent="0.25">
      <c r="B5162" s="8">
        <v>42756</v>
      </c>
      <c r="C5162" s="6" t="str">
        <f ca="1">IF(OR($C$7="",$B5162&gt;NOW()),"",IF(INDEX(Data!$A:$G,MATCH($B5162,Data!$A:$A,0),MATCH($C$7,Data!$4:$4,0))="","",INDEX(Data!$A:$G,MATCH($B5162,Data!$A:$A,0),MATCH($C$7,Data!$4:$4,0))))</f>
        <v/>
      </c>
      <c r="D5162" s="148" t="str">
        <f t="shared" ca="1" si="166"/>
        <v/>
      </c>
      <c r="E5162" s="148" t="str">
        <f t="shared" ca="1" si="167"/>
        <v/>
      </c>
    </row>
    <row r="5163" spans="2:5" x14ac:dyDescent="0.25">
      <c r="B5163" s="8">
        <v>42757</v>
      </c>
      <c r="C5163" s="6" t="str">
        <f ca="1">IF(OR($C$7="",$B5163&gt;NOW()),"",IF(INDEX(Data!$A:$G,MATCH($B5163,Data!$A:$A,0),MATCH($C$7,Data!$4:$4,0))="","",INDEX(Data!$A:$G,MATCH($B5163,Data!$A:$A,0),MATCH($C$7,Data!$4:$4,0))))</f>
        <v/>
      </c>
      <c r="D5163" s="148" t="str">
        <f t="shared" ca="1" si="166"/>
        <v/>
      </c>
      <c r="E5163" s="148" t="str">
        <f t="shared" ca="1" si="167"/>
        <v/>
      </c>
    </row>
    <row r="5164" spans="2:5" x14ac:dyDescent="0.25">
      <c r="B5164" s="8">
        <v>42758</v>
      </c>
      <c r="C5164" s="6" t="str">
        <f ca="1">IF(OR($C$7="",$B5164&gt;NOW()),"",IF(INDEX(Data!$A:$G,MATCH($B5164,Data!$A:$A,0),MATCH($C$7,Data!$4:$4,0))="","",INDEX(Data!$A:$G,MATCH($B5164,Data!$A:$A,0),MATCH($C$7,Data!$4:$4,0))))</f>
        <v/>
      </c>
      <c r="D5164" s="148" t="str">
        <f t="shared" ca="1" si="166"/>
        <v/>
      </c>
      <c r="E5164" s="148" t="str">
        <f t="shared" ca="1" si="167"/>
        <v/>
      </c>
    </row>
    <row r="5165" spans="2:5" x14ac:dyDescent="0.25">
      <c r="B5165" s="8">
        <v>42759</v>
      </c>
      <c r="C5165" s="6" t="str">
        <f ca="1">IF(OR($C$7="",$B5165&gt;NOW()),"",IF(INDEX(Data!$A:$G,MATCH($B5165,Data!$A:$A,0),MATCH($C$7,Data!$4:$4,0))="","",INDEX(Data!$A:$G,MATCH($B5165,Data!$A:$A,0),MATCH($C$7,Data!$4:$4,0))))</f>
        <v/>
      </c>
      <c r="D5165" s="148" t="str">
        <f t="shared" ca="1" si="166"/>
        <v/>
      </c>
      <c r="E5165" s="148" t="str">
        <f t="shared" ca="1" si="167"/>
        <v/>
      </c>
    </row>
    <row r="5166" spans="2:5" x14ac:dyDescent="0.25">
      <c r="B5166" s="8">
        <v>42760</v>
      </c>
      <c r="C5166" s="6" t="str">
        <f ca="1">IF(OR($C$7="",$B5166&gt;NOW()),"",IF(INDEX(Data!$A:$G,MATCH($B5166,Data!$A:$A,0),MATCH($C$7,Data!$4:$4,0))="","",INDEX(Data!$A:$G,MATCH($B5166,Data!$A:$A,0),MATCH($C$7,Data!$4:$4,0))))</f>
        <v/>
      </c>
      <c r="D5166" s="148" t="str">
        <f t="shared" ca="1" si="166"/>
        <v/>
      </c>
      <c r="E5166" s="148" t="str">
        <f t="shared" ca="1" si="167"/>
        <v/>
      </c>
    </row>
    <row r="5167" spans="2:5" x14ac:dyDescent="0.25">
      <c r="B5167" s="8">
        <v>42761</v>
      </c>
      <c r="C5167" s="6" t="str">
        <f ca="1">IF(OR($C$7="",$B5167&gt;NOW()),"",IF(INDEX(Data!$A:$G,MATCH($B5167,Data!$A:$A,0),MATCH($C$7,Data!$4:$4,0))="","",INDEX(Data!$A:$G,MATCH($B5167,Data!$A:$A,0),MATCH($C$7,Data!$4:$4,0))))</f>
        <v/>
      </c>
      <c r="D5167" s="148" t="str">
        <f t="shared" ca="1" si="166"/>
        <v/>
      </c>
      <c r="E5167" s="148" t="str">
        <f t="shared" ca="1" si="167"/>
        <v/>
      </c>
    </row>
    <row r="5168" spans="2:5" x14ac:dyDescent="0.25">
      <c r="B5168" s="8">
        <v>42762</v>
      </c>
      <c r="C5168" s="6" t="str">
        <f ca="1">IF(OR($C$7="",$B5168&gt;NOW()),"",IF(INDEX(Data!$A:$G,MATCH($B5168,Data!$A:$A,0),MATCH($C$7,Data!$4:$4,0))="","",INDEX(Data!$A:$G,MATCH($B5168,Data!$A:$A,0),MATCH($C$7,Data!$4:$4,0))))</f>
        <v/>
      </c>
      <c r="D5168" s="148" t="str">
        <f t="shared" ca="1" si="166"/>
        <v/>
      </c>
      <c r="E5168" s="148" t="str">
        <f t="shared" ca="1" si="167"/>
        <v/>
      </c>
    </row>
    <row r="5169" spans="2:5" x14ac:dyDescent="0.25">
      <c r="B5169" s="8">
        <v>42763</v>
      </c>
      <c r="C5169" s="6" t="str">
        <f ca="1">IF(OR($C$7="",$B5169&gt;NOW()),"",IF(INDEX(Data!$A:$G,MATCH($B5169,Data!$A:$A,0),MATCH($C$7,Data!$4:$4,0))="","",INDEX(Data!$A:$G,MATCH($B5169,Data!$A:$A,0),MATCH($C$7,Data!$4:$4,0))))</f>
        <v/>
      </c>
      <c r="D5169" s="148" t="str">
        <f t="shared" ca="1" si="166"/>
        <v/>
      </c>
      <c r="E5169" s="148" t="str">
        <f t="shared" ca="1" si="167"/>
        <v/>
      </c>
    </row>
    <row r="5170" spans="2:5" x14ac:dyDescent="0.25">
      <c r="B5170" s="8">
        <v>42764</v>
      </c>
      <c r="C5170" s="6" t="str">
        <f ca="1">IF(OR($C$7="",$B5170&gt;NOW()),"",IF(INDEX(Data!$A:$G,MATCH($B5170,Data!$A:$A,0),MATCH($C$7,Data!$4:$4,0))="","",INDEX(Data!$A:$G,MATCH($B5170,Data!$A:$A,0),MATCH($C$7,Data!$4:$4,0))))</f>
        <v/>
      </c>
      <c r="D5170" s="148" t="str">
        <f t="shared" ca="1" si="166"/>
        <v/>
      </c>
      <c r="E5170" s="148" t="str">
        <f t="shared" ca="1" si="167"/>
        <v/>
      </c>
    </row>
    <row r="5171" spans="2:5" x14ac:dyDescent="0.25">
      <c r="B5171" s="8">
        <v>42765</v>
      </c>
      <c r="C5171" s="6" t="str">
        <f ca="1">IF(OR($C$7="",$B5171&gt;NOW()),"",IF(INDEX(Data!$A:$G,MATCH($B5171,Data!$A:$A,0),MATCH($C$7,Data!$4:$4,0))="","",INDEX(Data!$A:$G,MATCH($B5171,Data!$A:$A,0),MATCH($C$7,Data!$4:$4,0))))</f>
        <v/>
      </c>
      <c r="D5171" s="148" t="str">
        <f t="shared" ca="1" si="166"/>
        <v/>
      </c>
      <c r="E5171" s="148" t="str">
        <f t="shared" ca="1" si="167"/>
        <v/>
      </c>
    </row>
    <row r="5172" spans="2:5" x14ac:dyDescent="0.25">
      <c r="B5172" s="8">
        <v>42766</v>
      </c>
      <c r="C5172" s="6" t="str">
        <f ca="1">IF(OR($C$7="",$B5172&gt;NOW()),"",IF(INDEX(Data!$A:$G,MATCH($B5172,Data!$A:$A,0),MATCH($C$7,Data!$4:$4,0))="","",INDEX(Data!$A:$G,MATCH($B5172,Data!$A:$A,0),MATCH($C$7,Data!$4:$4,0))))</f>
        <v/>
      </c>
      <c r="D5172" s="148" t="str">
        <f t="shared" ca="1" si="166"/>
        <v/>
      </c>
      <c r="E5172" s="148" t="str">
        <f t="shared" ca="1" si="167"/>
        <v/>
      </c>
    </row>
    <row r="5173" spans="2:5" x14ac:dyDescent="0.25">
      <c r="B5173" s="8">
        <v>42767</v>
      </c>
      <c r="C5173" s="6" t="str">
        <f ca="1">IF(OR($C$7="",$B5173&gt;NOW()),"",IF(INDEX(Data!$A:$G,MATCH($B5173,Data!$A:$A,0),MATCH($C$7,Data!$4:$4,0))="","",INDEX(Data!$A:$G,MATCH($B5173,Data!$A:$A,0),MATCH($C$7,Data!$4:$4,0))))</f>
        <v/>
      </c>
      <c r="D5173" s="148" t="str">
        <f t="shared" ca="1" si="166"/>
        <v/>
      </c>
      <c r="E5173" s="148" t="str">
        <f t="shared" ca="1" si="167"/>
        <v/>
      </c>
    </row>
    <row r="5174" spans="2:5" x14ac:dyDescent="0.25">
      <c r="B5174" s="8">
        <v>42768</v>
      </c>
      <c r="C5174" s="6" t="str">
        <f ca="1">IF(OR($C$7="",$B5174&gt;NOW()),"",IF(INDEX(Data!$A:$G,MATCH($B5174,Data!$A:$A,0),MATCH($C$7,Data!$4:$4,0))="","",INDEX(Data!$A:$G,MATCH($B5174,Data!$A:$A,0),MATCH($C$7,Data!$4:$4,0))))</f>
        <v/>
      </c>
      <c r="D5174" s="148" t="str">
        <f t="shared" ca="1" si="166"/>
        <v/>
      </c>
      <c r="E5174" s="148" t="str">
        <f t="shared" ca="1" si="167"/>
        <v/>
      </c>
    </row>
    <row r="5175" spans="2:5" x14ac:dyDescent="0.25">
      <c r="B5175" s="8">
        <v>42769</v>
      </c>
      <c r="C5175" s="6" t="str">
        <f ca="1">IF(OR($C$7="",$B5175&gt;NOW()),"",IF(INDEX(Data!$A:$G,MATCH($B5175,Data!$A:$A,0),MATCH($C$7,Data!$4:$4,0))="","",INDEX(Data!$A:$G,MATCH($B5175,Data!$A:$A,0),MATCH($C$7,Data!$4:$4,0))))</f>
        <v/>
      </c>
      <c r="D5175" s="148" t="str">
        <f t="shared" ca="1" si="166"/>
        <v/>
      </c>
      <c r="E5175" s="148" t="str">
        <f t="shared" ca="1" si="167"/>
        <v/>
      </c>
    </row>
    <row r="5176" spans="2:5" x14ac:dyDescent="0.25">
      <c r="B5176" s="8">
        <v>42770</v>
      </c>
      <c r="C5176" s="6" t="str">
        <f ca="1">IF(OR($C$7="",$B5176&gt;NOW()),"",IF(INDEX(Data!$A:$G,MATCH($B5176,Data!$A:$A,0),MATCH($C$7,Data!$4:$4,0))="","",INDEX(Data!$A:$G,MATCH($B5176,Data!$A:$A,0),MATCH($C$7,Data!$4:$4,0))))</f>
        <v/>
      </c>
      <c r="D5176" s="148" t="str">
        <f t="shared" ca="1" si="166"/>
        <v/>
      </c>
      <c r="E5176" s="148" t="str">
        <f t="shared" ca="1" si="167"/>
        <v/>
      </c>
    </row>
    <row r="5177" spans="2:5" x14ac:dyDescent="0.25">
      <c r="B5177" s="8">
        <v>42771</v>
      </c>
      <c r="C5177" s="6" t="str">
        <f ca="1">IF(OR($C$7="",$B5177&gt;NOW()),"",IF(INDEX(Data!$A:$G,MATCH($B5177,Data!$A:$A,0),MATCH($C$7,Data!$4:$4,0))="","",INDEX(Data!$A:$G,MATCH($B5177,Data!$A:$A,0),MATCH($C$7,Data!$4:$4,0))))</f>
        <v/>
      </c>
      <c r="D5177" s="148" t="str">
        <f t="shared" ca="1" si="166"/>
        <v/>
      </c>
      <c r="E5177" s="148" t="str">
        <f t="shared" ca="1" si="167"/>
        <v/>
      </c>
    </row>
    <row r="5178" spans="2:5" x14ac:dyDescent="0.25">
      <c r="B5178" s="8">
        <v>42772</v>
      </c>
      <c r="C5178" s="6" t="str">
        <f ca="1">IF(OR($C$7="",$B5178&gt;NOW()),"",IF(INDEX(Data!$A:$G,MATCH($B5178,Data!$A:$A,0),MATCH($C$7,Data!$4:$4,0))="","",INDEX(Data!$A:$G,MATCH($B5178,Data!$A:$A,0),MATCH($C$7,Data!$4:$4,0))))</f>
        <v/>
      </c>
      <c r="D5178" s="148" t="str">
        <f t="shared" ca="1" si="166"/>
        <v/>
      </c>
      <c r="E5178" s="148" t="str">
        <f t="shared" ca="1" si="167"/>
        <v/>
      </c>
    </row>
    <row r="5179" spans="2:5" x14ac:dyDescent="0.25">
      <c r="B5179" s="8">
        <v>42773</v>
      </c>
      <c r="C5179" s="6" t="str">
        <f ca="1">IF(OR($C$7="",$B5179&gt;NOW()),"",IF(INDEX(Data!$A:$G,MATCH($B5179,Data!$A:$A,0),MATCH($C$7,Data!$4:$4,0))="","",INDEX(Data!$A:$G,MATCH($B5179,Data!$A:$A,0),MATCH($C$7,Data!$4:$4,0))))</f>
        <v/>
      </c>
      <c r="D5179" s="148" t="str">
        <f t="shared" ca="1" si="166"/>
        <v/>
      </c>
      <c r="E5179" s="148" t="str">
        <f t="shared" ca="1" si="167"/>
        <v/>
      </c>
    </row>
    <row r="5180" spans="2:5" x14ac:dyDescent="0.25">
      <c r="B5180" s="8">
        <v>42774</v>
      </c>
      <c r="C5180" s="6" t="str">
        <f ca="1">IF(OR($C$7="",$B5180&gt;NOW()),"",IF(INDEX(Data!$A:$G,MATCH($B5180,Data!$A:$A,0),MATCH($C$7,Data!$4:$4,0))="","",INDEX(Data!$A:$G,MATCH($B5180,Data!$A:$A,0),MATCH($C$7,Data!$4:$4,0))))</f>
        <v/>
      </c>
      <c r="D5180" s="148" t="str">
        <f t="shared" ca="1" si="166"/>
        <v/>
      </c>
      <c r="E5180" s="148" t="str">
        <f t="shared" ca="1" si="167"/>
        <v/>
      </c>
    </row>
    <row r="5181" spans="2:5" x14ac:dyDescent="0.25">
      <c r="B5181" s="8">
        <v>42775</v>
      </c>
      <c r="C5181" s="6" t="str">
        <f ca="1">IF(OR($C$7="",$B5181&gt;NOW()),"",IF(INDEX(Data!$A:$G,MATCH($B5181,Data!$A:$A,0),MATCH($C$7,Data!$4:$4,0))="","",INDEX(Data!$A:$G,MATCH($B5181,Data!$A:$A,0),MATCH($C$7,Data!$4:$4,0))))</f>
        <v/>
      </c>
      <c r="D5181" s="148" t="str">
        <f t="shared" ca="1" si="166"/>
        <v/>
      </c>
      <c r="E5181" s="148" t="str">
        <f t="shared" ca="1" si="167"/>
        <v/>
      </c>
    </row>
    <row r="5182" spans="2:5" x14ac:dyDescent="0.25">
      <c r="B5182" s="8">
        <v>42776</v>
      </c>
      <c r="C5182" s="6" t="str">
        <f ca="1">IF(OR($C$7="",$B5182&gt;NOW()),"",IF(INDEX(Data!$A:$G,MATCH($B5182,Data!$A:$A,0),MATCH($C$7,Data!$4:$4,0))="","",INDEX(Data!$A:$G,MATCH($B5182,Data!$A:$A,0),MATCH($C$7,Data!$4:$4,0))))</f>
        <v/>
      </c>
      <c r="D5182" s="148" t="str">
        <f t="shared" ca="1" si="166"/>
        <v/>
      </c>
      <c r="E5182" s="148" t="str">
        <f t="shared" ca="1" si="167"/>
        <v/>
      </c>
    </row>
    <row r="5183" spans="2:5" x14ac:dyDescent="0.25">
      <c r="B5183" s="8">
        <v>42777</v>
      </c>
      <c r="C5183" s="6" t="str">
        <f ca="1">IF(OR($C$7="",$B5183&gt;NOW()),"",IF(INDEX(Data!$A:$G,MATCH($B5183,Data!$A:$A,0),MATCH($C$7,Data!$4:$4,0))="","",INDEX(Data!$A:$G,MATCH($B5183,Data!$A:$A,0),MATCH($C$7,Data!$4:$4,0))))</f>
        <v/>
      </c>
      <c r="D5183" s="148" t="str">
        <f t="shared" ca="1" si="166"/>
        <v/>
      </c>
      <c r="E5183" s="148" t="str">
        <f t="shared" ca="1" si="167"/>
        <v/>
      </c>
    </row>
    <row r="5184" spans="2:5" x14ac:dyDescent="0.25">
      <c r="B5184" s="8">
        <v>42778</v>
      </c>
      <c r="C5184" s="6" t="str">
        <f ca="1">IF(OR($C$7="",$B5184&gt;NOW()),"",IF(INDEX(Data!$A:$G,MATCH($B5184,Data!$A:$A,0),MATCH($C$7,Data!$4:$4,0))="","",INDEX(Data!$A:$G,MATCH($B5184,Data!$A:$A,0),MATCH($C$7,Data!$4:$4,0))))</f>
        <v/>
      </c>
      <c r="D5184" s="148" t="str">
        <f t="shared" ca="1" si="166"/>
        <v/>
      </c>
      <c r="E5184" s="148" t="str">
        <f t="shared" ca="1" si="167"/>
        <v/>
      </c>
    </row>
    <row r="5185" spans="2:5" x14ac:dyDescent="0.25">
      <c r="B5185" s="8">
        <v>42779</v>
      </c>
      <c r="C5185" s="6" t="str">
        <f ca="1">IF(OR($C$7="",$B5185&gt;NOW()),"",IF(INDEX(Data!$A:$G,MATCH($B5185,Data!$A:$A,0),MATCH($C$7,Data!$4:$4,0))="","",INDEX(Data!$A:$G,MATCH($B5185,Data!$A:$A,0),MATCH($C$7,Data!$4:$4,0))))</f>
        <v/>
      </c>
      <c r="D5185" s="148" t="str">
        <f t="shared" ca="1" si="166"/>
        <v/>
      </c>
      <c r="E5185" s="148" t="str">
        <f t="shared" ca="1" si="167"/>
        <v/>
      </c>
    </row>
    <row r="5186" spans="2:5" x14ac:dyDescent="0.25">
      <c r="B5186" s="8">
        <v>42780</v>
      </c>
      <c r="C5186" s="6" t="str">
        <f ca="1">IF(OR($C$7="",$B5186&gt;NOW()),"",IF(INDEX(Data!$A:$G,MATCH($B5186,Data!$A:$A,0),MATCH($C$7,Data!$4:$4,0))="","",INDEX(Data!$A:$G,MATCH($B5186,Data!$A:$A,0),MATCH($C$7,Data!$4:$4,0))))</f>
        <v/>
      </c>
      <c r="D5186" s="148" t="str">
        <f t="shared" ca="1" si="166"/>
        <v/>
      </c>
      <c r="E5186" s="148" t="str">
        <f t="shared" ca="1" si="167"/>
        <v/>
      </c>
    </row>
    <row r="5187" spans="2:5" x14ac:dyDescent="0.25">
      <c r="B5187" s="8">
        <v>42781</v>
      </c>
      <c r="C5187" s="6" t="str">
        <f ca="1">IF(OR($C$7="",$B5187&gt;NOW()),"",IF(INDEX(Data!$A:$G,MATCH($B5187,Data!$A:$A,0),MATCH($C$7,Data!$4:$4,0))="","",INDEX(Data!$A:$G,MATCH($B5187,Data!$A:$A,0),MATCH($C$7,Data!$4:$4,0))))</f>
        <v/>
      </c>
      <c r="D5187" s="148" t="str">
        <f t="shared" ca="1" si="166"/>
        <v/>
      </c>
      <c r="E5187" s="148" t="str">
        <f t="shared" ca="1" si="167"/>
        <v/>
      </c>
    </row>
    <row r="5188" spans="2:5" x14ac:dyDescent="0.25">
      <c r="B5188" s="8">
        <v>42782</v>
      </c>
      <c r="C5188" s="6" t="str">
        <f ca="1">IF(OR($C$7="",$B5188&gt;NOW()),"",IF(INDEX(Data!$A:$G,MATCH($B5188,Data!$A:$A,0),MATCH($C$7,Data!$4:$4,0))="","",INDEX(Data!$A:$G,MATCH($B5188,Data!$A:$A,0),MATCH($C$7,Data!$4:$4,0))))</f>
        <v/>
      </c>
      <c r="D5188" s="148" t="str">
        <f t="shared" ca="1" si="166"/>
        <v/>
      </c>
      <c r="E5188" s="148" t="str">
        <f t="shared" ca="1" si="167"/>
        <v/>
      </c>
    </row>
    <row r="5189" spans="2:5" x14ac:dyDescent="0.25">
      <c r="B5189" s="8">
        <v>42783</v>
      </c>
      <c r="C5189" s="6" t="str">
        <f ca="1">IF(OR($C$7="",$B5189&gt;NOW()),"",IF(INDEX(Data!$A:$G,MATCH($B5189,Data!$A:$A,0),MATCH($C$7,Data!$4:$4,0))="","",INDEX(Data!$A:$G,MATCH($B5189,Data!$A:$A,0),MATCH($C$7,Data!$4:$4,0))))</f>
        <v/>
      </c>
      <c r="D5189" s="148" t="str">
        <f t="shared" ca="1" si="166"/>
        <v/>
      </c>
      <c r="E5189" s="148" t="str">
        <f t="shared" ca="1" si="167"/>
        <v/>
      </c>
    </row>
    <row r="5190" spans="2:5" x14ac:dyDescent="0.25">
      <c r="B5190" s="8">
        <v>42784</v>
      </c>
      <c r="C5190" s="6" t="str">
        <f ca="1">IF(OR($C$7="",$B5190&gt;NOW()),"",IF(INDEX(Data!$A:$G,MATCH($B5190,Data!$A:$A,0),MATCH($C$7,Data!$4:$4,0))="","",INDEX(Data!$A:$G,MATCH($B5190,Data!$A:$A,0),MATCH($C$7,Data!$4:$4,0))))</f>
        <v/>
      </c>
      <c r="D5190" s="148" t="str">
        <f t="shared" ca="1" si="166"/>
        <v/>
      </c>
      <c r="E5190" s="148" t="str">
        <f t="shared" ca="1" si="167"/>
        <v/>
      </c>
    </row>
    <row r="5191" spans="2:5" x14ac:dyDescent="0.25">
      <c r="B5191" s="8">
        <v>42785</v>
      </c>
      <c r="C5191" s="6" t="str">
        <f ca="1">IF(OR($C$7="",$B5191&gt;NOW()),"",IF(INDEX(Data!$A:$G,MATCH($B5191,Data!$A:$A,0),MATCH($C$7,Data!$4:$4,0))="","",INDEX(Data!$A:$G,MATCH($B5191,Data!$A:$A,0),MATCH($C$7,Data!$4:$4,0))))</f>
        <v/>
      </c>
      <c r="D5191" s="148" t="str">
        <f t="shared" ca="1" si="166"/>
        <v/>
      </c>
      <c r="E5191" s="148" t="str">
        <f t="shared" ca="1" si="167"/>
        <v/>
      </c>
    </row>
    <row r="5192" spans="2:5" x14ac:dyDescent="0.25">
      <c r="B5192" s="8">
        <v>42786</v>
      </c>
      <c r="C5192" s="6" t="str">
        <f ca="1">IF(OR($C$7="",$B5192&gt;NOW()),"",IF(INDEX(Data!$A:$G,MATCH($B5192,Data!$A:$A,0),MATCH($C$7,Data!$4:$4,0))="","",INDEX(Data!$A:$G,MATCH($B5192,Data!$A:$A,0),MATCH($C$7,Data!$4:$4,0))))</f>
        <v/>
      </c>
      <c r="D5192" s="148" t="str">
        <f t="shared" ca="1" si="166"/>
        <v/>
      </c>
      <c r="E5192" s="148" t="str">
        <f t="shared" ca="1" si="167"/>
        <v/>
      </c>
    </row>
    <row r="5193" spans="2:5" x14ac:dyDescent="0.25">
      <c r="B5193" s="8">
        <v>42787</v>
      </c>
      <c r="C5193" s="6" t="str">
        <f ca="1">IF(OR($C$7="",$B5193&gt;NOW()),"",IF(INDEX(Data!$A:$G,MATCH($B5193,Data!$A:$A,0),MATCH($C$7,Data!$4:$4,0))="","",INDEX(Data!$A:$G,MATCH($B5193,Data!$A:$A,0),MATCH($C$7,Data!$4:$4,0))))</f>
        <v/>
      </c>
      <c r="D5193" s="148" t="str">
        <f t="shared" ca="1" si="166"/>
        <v/>
      </c>
      <c r="E5193" s="148" t="str">
        <f t="shared" ca="1" si="167"/>
        <v/>
      </c>
    </row>
    <row r="5194" spans="2:5" x14ac:dyDescent="0.25">
      <c r="B5194" s="8">
        <v>42788</v>
      </c>
      <c r="C5194" s="6" t="str">
        <f ca="1">IF(OR($C$7="",$B5194&gt;NOW()),"",IF(INDEX(Data!$A:$G,MATCH($B5194,Data!$A:$A,0),MATCH($C$7,Data!$4:$4,0))="","",INDEX(Data!$A:$G,MATCH($B5194,Data!$A:$A,0),MATCH($C$7,Data!$4:$4,0))))</f>
        <v/>
      </c>
      <c r="D5194" s="148" t="str">
        <f t="shared" ca="1" si="166"/>
        <v/>
      </c>
      <c r="E5194" s="148" t="str">
        <f t="shared" ca="1" si="167"/>
        <v/>
      </c>
    </row>
    <row r="5195" spans="2:5" x14ac:dyDescent="0.25">
      <c r="B5195" s="8">
        <v>42789</v>
      </c>
      <c r="C5195" s="6" t="str">
        <f ca="1">IF(OR($C$7="",$B5195&gt;NOW()),"",IF(INDEX(Data!$A:$G,MATCH($B5195,Data!$A:$A,0),MATCH($C$7,Data!$4:$4,0))="","",INDEX(Data!$A:$G,MATCH($B5195,Data!$A:$A,0),MATCH($C$7,Data!$4:$4,0))))</f>
        <v/>
      </c>
      <c r="D5195" s="148" t="str">
        <f t="shared" ca="1" si="166"/>
        <v/>
      </c>
      <c r="E5195" s="148" t="str">
        <f t="shared" ca="1" si="167"/>
        <v/>
      </c>
    </row>
    <row r="5196" spans="2:5" x14ac:dyDescent="0.25">
      <c r="B5196" s="8">
        <v>42790</v>
      </c>
      <c r="C5196" s="6" t="str">
        <f ca="1">IF(OR($C$7="",$B5196&gt;NOW()),"",IF(INDEX(Data!$A:$G,MATCH($B5196,Data!$A:$A,0),MATCH($C$7,Data!$4:$4,0))="","",INDEX(Data!$A:$G,MATCH($B5196,Data!$A:$A,0),MATCH($C$7,Data!$4:$4,0))))</f>
        <v/>
      </c>
      <c r="D5196" s="148" t="str">
        <f t="shared" ca="1" si="166"/>
        <v/>
      </c>
      <c r="E5196" s="148" t="str">
        <f t="shared" ca="1" si="167"/>
        <v/>
      </c>
    </row>
    <row r="5197" spans="2:5" x14ac:dyDescent="0.25">
      <c r="B5197" s="8">
        <v>42791</v>
      </c>
      <c r="C5197" s="6" t="str">
        <f ca="1">IF(OR($C$7="",$B5197&gt;NOW()),"",IF(INDEX(Data!$A:$G,MATCH($B5197,Data!$A:$A,0),MATCH($C$7,Data!$4:$4,0))="","",INDEX(Data!$A:$G,MATCH($B5197,Data!$A:$A,0),MATCH($C$7,Data!$4:$4,0))))</f>
        <v/>
      </c>
      <c r="D5197" s="148" t="str">
        <f t="shared" ca="1" si="166"/>
        <v/>
      </c>
      <c r="E5197" s="148" t="str">
        <f t="shared" ca="1" si="167"/>
        <v/>
      </c>
    </row>
    <row r="5198" spans="2:5" x14ac:dyDescent="0.25">
      <c r="B5198" s="8">
        <v>42792</v>
      </c>
      <c r="C5198" s="6" t="str">
        <f ca="1">IF(OR($C$7="",$B5198&gt;NOW()),"",IF(INDEX(Data!$A:$G,MATCH($B5198,Data!$A:$A,0),MATCH($C$7,Data!$4:$4,0))="","",INDEX(Data!$A:$G,MATCH($B5198,Data!$A:$A,0),MATCH($C$7,Data!$4:$4,0))))</f>
        <v/>
      </c>
      <c r="D5198" s="148" t="str">
        <f t="shared" ca="1" si="166"/>
        <v/>
      </c>
      <c r="E5198" s="148" t="str">
        <f t="shared" ca="1" si="167"/>
        <v/>
      </c>
    </row>
    <row r="5199" spans="2:5" x14ac:dyDescent="0.25">
      <c r="B5199" s="8">
        <v>42793</v>
      </c>
      <c r="C5199" s="6" t="str">
        <f ca="1">IF(OR($C$7="",$B5199&gt;NOW()),"",IF(INDEX(Data!$A:$G,MATCH($B5199,Data!$A:$A,0),MATCH($C$7,Data!$4:$4,0))="","",INDEX(Data!$A:$G,MATCH($B5199,Data!$A:$A,0),MATCH($C$7,Data!$4:$4,0))))</f>
        <v/>
      </c>
      <c r="D5199" s="148" t="str">
        <f t="shared" ca="1" si="166"/>
        <v/>
      </c>
      <c r="E5199" s="148" t="str">
        <f t="shared" ca="1" si="167"/>
        <v/>
      </c>
    </row>
    <row r="5200" spans="2:5" x14ac:dyDescent="0.25">
      <c r="B5200" s="8">
        <v>42794</v>
      </c>
      <c r="C5200" s="6" t="str">
        <f ca="1">IF(OR($C$7="",$B5200&gt;NOW()),"",IF(INDEX(Data!$A:$G,MATCH($B5200,Data!$A:$A,0),MATCH($C$7,Data!$4:$4,0))="","",INDEX(Data!$A:$G,MATCH($B5200,Data!$A:$A,0),MATCH($C$7,Data!$4:$4,0))))</f>
        <v/>
      </c>
      <c r="D5200" s="148" t="str">
        <f t="shared" ca="1" si="166"/>
        <v/>
      </c>
      <c r="E5200" s="148" t="str">
        <f t="shared" ca="1" si="167"/>
        <v/>
      </c>
    </row>
    <row r="5201" spans="2:5" x14ac:dyDescent="0.25">
      <c r="B5201" s="8">
        <v>42795</v>
      </c>
      <c r="C5201" s="6" t="str">
        <f ca="1">IF(OR($C$7="",$B5201&gt;NOW()),"",IF(INDEX(Data!$A:$G,MATCH($B5201,Data!$A:$A,0),MATCH($C$7,Data!$4:$4,0))="","",INDEX(Data!$A:$G,MATCH($B5201,Data!$A:$A,0),MATCH($C$7,Data!$4:$4,0))))</f>
        <v/>
      </c>
      <c r="D5201" s="148" t="str">
        <f t="shared" ca="1" si="166"/>
        <v/>
      </c>
      <c r="E5201" s="148" t="str">
        <f t="shared" ca="1" si="167"/>
        <v/>
      </c>
    </row>
    <row r="5202" spans="2:5" x14ac:dyDescent="0.25">
      <c r="B5202" s="8">
        <v>42796</v>
      </c>
      <c r="C5202" s="6" t="str">
        <f ca="1">IF(OR($C$7="",$B5202&gt;NOW()),"",IF(INDEX(Data!$A:$G,MATCH($B5202,Data!$A:$A,0),MATCH($C$7,Data!$4:$4,0))="","",INDEX(Data!$A:$G,MATCH($B5202,Data!$A:$A,0),MATCH($C$7,Data!$4:$4,0))))</f>
        <v/>
      </c>
      <c r="D5202" s="148" t="str">
        <f t="shared" ca="1" si="166"/>
        <v/>
      </c>
      <c r="E5202" s="148" t="str">
        <f t="shared" ca="1" si="167"/>
        <v/>
      </c>
    </row>
    <row r="5203" spans="2:5" x14ac:dyDescent="0.25">
      <c r="B5203" s="8">
        <v>42797</v>
      </c>
      <c r="C5203" s="6" t="str">
        <f ca="1">IF(OR($C$7="",$B5203&gt;NOW()),"",IF(INDEX(Data!$A:$G,MATCH($B5203,Data!$A:$A,0),MATCH($C$7,Data!$4:$4,0))="","",INDEX(Data!$A:$G,MATCH($B5203,Data!$A:$A,0),MATCH($C$7,Data!$4:$4,0))))</f>
        <v/>
      </c>
      <c r="D5203" s="148" t="str">
        <f t="shared" ca="1" si="166"/>
        <v/>
      </c>
      <c r="E5203" s="148" t="str">
        <f t="shared" ca="1" si="167"/>
        <v/>
      </c>
    </row>
    <row r="5204" spans="2:5" x14ac:dyDescent="0.25">
      <c r="B5204" s="8">
        <v>42798</v>
      </c>
      <c r="C5204" s="6" t="str">
        <f ca="1">IF(OR($C$7="",$B5204&gt;NOW()),"",IF(INDEX(Data!$A:$G,MATCH($B5204,Data!$A:$A,0),MATCH($C$7,Data!$4:$4,0))="","",INDEX(Data!$A:$G,MATCH($B5204,Data!$A:$A,0),MATCH($C$7,Data!$4:$4,0))))</f>
        <v/>
      </c>
      <c r="D5204" s="148" t="str">
        <f t="shared" ca="1" si="166"/>
        <v/>
      </c>
      <c r="E5204" s="148" t="str">
        <f t="shared" ca="1" si="167"/>
        <v/>
      </c>
    </row>
    <row r="5205" spans="2:5" x14ac:dyDescent="0.25">
      <c r="B5205" s="8">
        <v>42799</v>
      </c>
      <c r="C5205" s="6" t="str">
        <f ca="1">IF(OR($C$7="",$B5205&gt;NOW()),"",IF(INDEX(Data!$A:$G,MATCH($B5205,Data!$A:$A,0),MATCH($C$7,Data!$4:$4,0))="","",INDEX(Data!$A:$G,MATCH($B5205,Data!$A:$A,0),MATCH($C$7,Data!$4:$4,0))))</f>
        <v/>
      </c>
      <c r="D5205" s="148" t="str">
        <f t="shared" ca="1" si="166"/>
        <v/>
      </c>
      <c r="E5205" s="148" t="str">
        <f t="shared" ca="1" si="167"/>
        <v/>
      </c>
    </row>
    <row r="5206" spans="2:5" x14ac:dyDescent="0.25">
      <c r="B5206" s="8">
        <v>42800</v>
      </c>
      <c r="C5206" s="6" t="str">
        <f ca="1">IF(OR($C$7="",$B5206&gt;NOW()),"",IF(INDEX(Data!$A:$G,MATCH($B5206,Data!$A:$A,0),MATCH($C$7,Data!$4:$4,0))="","",INDEX(Data!$A:$G,MATCH($B5206,Data!$A:$A,0),MATCH($C$7,Data!$4:$4,0))))</f>
        <v/>
      </c>
      <c r="D5206" s="148" t="str">
        <f t="shared" ca="1" si="166"/>
        <v/>
      </c>
      <c r="E5206" s="148" t="str">
        <f t="shared" ca="1" si="167"/>
        <v/>
      </c>
    </row>
    <row r="5207" spans="2:5" x14ac:dyDescent="0.25">
      <c r="B5207" s="8">
        <v>42801</v>
      </c>
      <c r="C5207" s="6" t="str">
        <f ca="1">IF(OR($C$7="",$B5207&gt;NOW()),"",IF(INDEX(Data!$A:$G,MATCH($B5207,Data!$A:$A,0),MATCH($C$7,Data!$4:$4,0))="","",INDEX(Data!$A:$G,MATCH($B5207,Data!$A:$A,0),MATCH($C$7,Data!$4:$4,0))))</f>
        <v/>
      </c>
      <c r="D5207" s="148" t="str">
        <f t="shared" ca="1" si="166"/>
        <v/>
      </c>
      <c r="E5207" s="148" t="str">
        <f t="shared" ca="1" si="167"/>
        <v/>
      </c>
    </row>
    <row r="5208" spans="2:5" x14ac:dyDescent="0.25">
      <c r="B5208" s="8">
        <v>42802</v>
      </c>
      <c r="C5208" s="6" t="str">
        <f ca="1">IF(OR($C$7="",$B5208&gt;NOW()),"",IF(INDEX(Data!$A:$G,MATCH($B5208,Data!$A:$A,0),MATCH($C$7,Data!$4:$4,0))="","",INDEX(Data!$A:$G,MATCH($B5208,Data!$A:$A,0),MATCH($C$7,Data!$4:$4,0))))</f>
        <v/>
      </c>
      <c r="D5208" s="148" t="str">
        <f t="shared" ca="1" si="166"/>
        <v/>
      </c>
      <c r="E5208" s="148" t="str">
        <f t="shared" ca="1" si="167"/>
        <v/>
      </c>
    </row>
    <row r="5209" spans="2:5" x14ac:dyDescent="0.25">
      <c r="B5209" s="8">
        <v>42803</v>
      </c>
      <c r="C5209" s="6" t="str">
        <f ca="1">IF(OR($C$7="",$B5209&gt;NOW()),"",IF(INDEX(Data!$A:$G,MATCH($B5209,Data!$A:$A,0),MATCH($C$7,Data!$4:$4,0))="","",INDEX(Data!$A:$G,MATCH($B5209,Data!$A:$A,0),MATCH($C$7,Data!$4:$4,0))))</f>
        <v/>
      </c>
      <c r="D5209" s="148" t="str">
        <f t="shared" ca="1" si="166"/>
        <v/>
      </c>
      <c r="E5209" s="148" t="str">
        <f t="shared" ca="1" si="167"/>
        <v/>
      </c>
    </row>
    <row r="5210" spans="2:5" x14ac:dyDescent="0.25">
      <c r="B5210" s="8">
        <v>42804</v>
      </c>
      <c r="C5210" s="6" t="str">
        <f ca="1">IF(OR($C$7="",$B5210&gt;NOW()),"",IF(INDEX(Data!$A:$G,MATCH($B5210,Data!$A:$A,0),MATCH($C$7,Data!$4:$4,0))="","",INDEX(Data!$A:$G,MATCH($B5210,Data!$A:$A,0),MATCH($C$7,Data!$4:$4,0))))</f>
        <v/>
      </c>
      <c r="D5210" s="148" t="str">
        <f t="shared" ca="1" si="166"/>
        <v/>
      </c>
      <c r="E5210" s="148" t="str">
        <f t="shared" ca="1" si="167"/>
        <v/>
      </c>
    </row>
    <row r="5211" spans="2:5" x14ac:dyDescent="0.25">
      <c r="B5211">
        <v>42805</v>
      </c>
      <c r="C5211" s="6" t="str">
        <f ca="1">IF(OR($C$7="",$B5211&gt;NOW()),"",IF(INDEX(Data!$A:$G,MATCH($B5211,Data!$A:$A,0),MATCH($C$7,Data!$4:$4,0))="","",INDEX(Data!$A:$G,MATCH($B5211,Data!$A:$A,0),MATCH($C$7,Data!$4:$4,0))))</f>
        <v/>
      </c>
      <c r="D5211" s="148" t="str">
        <f t="shared" ca="1" si="166"/>
        <v/>
      </c>
      <c r="E5211" s="148" t="str">
        <f t="shared" ca="1" si="167"/>
        <v/>
      </c>
    </row>
    <row r="5212" spans="2:5" x14ac:dyDescent="0.25">
      <c r="B5212">
        <v>42806</v>
      </c>
      <c r="C5212" s="6" t="str">
        <f ca="1">IF(OR($C$7="",$B5212&gt;NOW()),"",IF(INDEX(Data!$A:$G,MATCH($B5212,Data!$A:$A,0),MATCH($C$7,Data!$4:$4,0))="","",INDEX(Data!$A:$G,MATCH($B5212,Data!$A:$A,0),MATCH($C$7,Data!$4:$4,0))))</f>
        <v/>
      </c>
      <c r="D5212" s="148" t="str">
        <f t="shared" ca="1" si="166"/>
        <v/>
      </c>
      <c r="E5212" s="148" t="str">
        <f t="shared" ca="1" si="167"/>
        <v/>
      </c>
    </row>
    <row r="5213" spans="2:5" x14ac:dyDescent="0.25">
      <c r="B5213">
        <v>42807</v>
      </c>
      <c r="C5213" s="6" t="str">
        <f ca="1">IF(OR($C$7="",$B5213&gt;NOW()),"",IF(INDEX(Data!$A:$G,MATCH($B5213,Data!$A:$A,0),MATCH($C$7,Data!$4:$4,0))="","",INDEX(Data!$A:$G,MATCH($B5213,Data!$A:$A,0),MATCH($C$7,Data!$4:$4,0))))</f>
        <v/>
      </c>
      <c r="D5213" s="148" t="str">
        <f t="shared" ref="D5213:D5276" ca="1" si="168">IF($C5213="","",IF($C5213&gt;$D$26,0,$D$26-$C5213))</f>
        <v/>
      </c>
      <c r="E5213" s="148" t="str">
        <f t="shared" ref="E5213:E5276" ca="1" si="169">IF($C5213="","",IF($C5213&lt;$E$26,0,$C5213-$E$26))</f>
        <v/>
      </c>
    </row>
    <row r="5214" spans="2:5" x14ac:dyDescent="0.25">
      <c r="B5214">
        <v>42808</v>
      </c>
      <c r="C5214" s="6" t="str">
        <f ca="1">IF(OR($C$7="",$B5214&gt;NOW()),"",IF(INDEX(Data!$A:$G,MATCH($B5214,Data!$A:$A,0),MATCH($C$7,Data!$4:$4,0))="","",INDEX(Data!$A:$G,MATCH($B5214,Data!$A:$A,0),MATCH($C$7,Data!$4:$4,0))))</f>
        <v/>
      </c>
      <c r="D5214" s="148" t="str">
        <f t="shared" ca="1" si="168"/>
        <v/>
      </c>
      <c r="E5214" s="148" t="str">
        <f t="shared" ca="1" si="169"/>
        <v/>
      </c>
    </row>
    <row r="5215" spans="2:5" x14ac:dyDescent="0.25">
      <c r="B5215">
        <v>42809</v>
      </c>
      <c r="C5215" s="6" t="str">
        <f ca="1">IF(OR($C$7="",$B5215&gt;NOW()),"",IF(INDEX(Data!$A:$G,MATCH($B5215,Data!$A:$A,0),MATCH($C$7,Data!$4:$4,0))="","",INDEX(Data!$A:$G,MATCH($B5215,Data!$A:$A,0),MATCH($C$7,Data!$4:$4,0))))</f>
        <v/>
      </c>
      <c r="D5215" s="148" t="str">
        <f t="shared" ca="1" si="168"/>
        <v/>
      </c>
      <c r="E5215" s="148" t="str">
        <f t="shared" ca="1" si="169"/>
        <v/>
      </c>
    </row>
    <row r="5216" spans="2:5" x14ac:dyDescent="0.25">
      <c r="B5216">
        <v>42810</v>
      </c>
      <c r="C5216" s="6" t="str">
        <f ca="1">IF(OR($C$7="",$B5216&gt;NOW()),"",IF(INDEX(Data!$A:$G,MATCH($B5216,Data!$A:$A,0),MATCH($C$7,Data!$4:$4,0))="","",INDEX(Data!$A:$G,MATCH($B5216,Data!$A:$A,0),MATCH($C$7,Data!$4:$4,0))))</f>
        <v/>
      </c>
      <c r="D5216" s="148" t="str">
        <f t="shared" ca="1" si="168"/>
        <v/>
      </c>
      <c r="E5216" s="148" t="str">
        <f t="shared" ca="1" si="169"/>
        <v/>
      </c>
    </row>
    <row r="5217" spans="2:5" x14ac:dyDescent="0.25">
      <c r="B5217">
        <v>42811</v>
      </c>
      <c r="C5217" s="6" t="str">
        <f ca="1">IF(OR($C$7="",$B5217&gt;NOW()),"",IF(INDEX(Data!$A:$G,MATCH($B5217,Data!$A:$A,0),MATCH($C$7,Data!$4:$4,0))="","",INDEX(Data!$A:$G,MATCH($B5217,Data!$A:$A,0),MATCH($C$7,Data!$4:$4,0))))</f>
        <v/>
      </c>
      <c r="D5217" s="148" t="str">
        <f t="shared" ca="1" si="168"/>
        <v/>
      </c>
      <c r="E5217" s="148" t="str">
        <f t="shared" ca="1" si="169"/>
        <v/>
      </c>
    </row>
    <row r="5218" spans="2:5" x14ac:dyDescent="0.25">
      <c r="B5218">
        <v>42812</v>
      </c>
      <c r="C5218" s="6" t="str">
        <f ca="1">IF(OR($C$7="",$B5218&gt;NOW()),"",IF(INDEX(Data!$A:$G,MATCH($B5218,Data!$A:$A,0),MATCH($C$7,Data!$4:$4,0))="","",INDEX(Data!$A:$G,MATCH($B5218,Data!$A:$A,0),MATCH($C$7,Data!$4:$4,0))))</f>
        <v/>
      </c>
      <c r="D5218" s="148" t="str">
        <f t="shared" ca="1" si="168"/>
        <v/>
      </c>
      <c r="E5218" s="148" t="str">
        <f t="shared" ca="1" si="169"/>
        <v/>
      </c>
    </row>
    <row r="5219" spans="2:5" x14ac:dyDescent="0.25">
      <c r="B5219">
        <v>42813</v>
      </c>
      <c r="C5219" s="6" t="str">
        <f ca="1">IF(OR($C$7="",$B5219&gt;NOW()),"",IF(INDEX(Data!$A:$G,MATCH($B5219,Data!$A:$A,0),MATCH($C$7,Data!$4:$4,0))="","",INDEX(Data!$A:$G,MATCH($B5219,Data!$A:$A,0),MATCH($C$7,Data!$4:$4,0))))</f>
        <v/>
      </c>
      <c r="D5219" s="148" t="str">
        <f t="shared" ca="1" si="168"/>
        <v/>
      </c>
      <c r="E5219" s="148" t="str">
        <f t="shared" ca="1" si="169"/>
        <v/>
      </c>
    </row>
    <row r="5220" spans="2:5" x14ac:dyDescent="0.25">
      <c r="B5220">
        <v>42814</v>
      </c>
      <c r="C5220" s="6" t="str">
        <f ca="1">IF(OR($C$7="",$B5220&gt;NOW()),"",IF(INDEX(Data!$A:$G,MATCH($B5220,Data!$A:$A,0),MATCH($C$7,Data!$4:$4,0))="","",INDEX(Data!$A:$G,MATCH($B5220,Data!$A:$A,0),MATCH($C$7,Data!$4:$4,0))))</f>
        <v/>
      </c>
      <c r="D5220" s="148" t="str">
        <f t="shared" ca="1" si="168"/>
        <v/>
      </c>
      <c r="E5220" s="148" t="str">
        <f t="shared" ca="1" si="169"/>
        <v/>
      </c>
    </row>
    <row r="5221" spans="2:5" x14ac:dyDescent="0.25">
      <c r="B5221">
        <v>42815</v>
      </c>
      <c r="C5221" s="6" t="str">
        <f ca="1">IF(OR($C$7="",$B5221&gt;NOW()),"",IF(INDEX(Data!$A:$G,MATCH($B5221,Data!$A:$A,0),MATCH($C$7,Data!$4:$4,0))="","",INDEX(Data!$A:$G,MATCH($B5221,Data!$A:$A,0),MATCH($C$7,Data!$4:$4,0))))</f>
        <v/>
      </c>
      <c r="D5221" s="148" t="str">
        <f t="shared" ca="1" si="168"/>
        <v/>
      </c>
      <c r="E5221" s="148" t="str">
        <f t="shared" ca="1" si="169"/>
        <v/>
      </c>
    </row>
    <row r="5222" spans="2:5" x14ac:dyDescent="0.25">
      <c r="B5222">
        <v>42816</v>
      </c>
      <c r="C5222" s="6" t="str">
        <f ca="1">IF(OR($C$7="",$B5222&gt;NOW()),"",IF(INDEX(Data!$A:$G,MATCH($B5222,Data!$A:$A,0),MATCH($C$7,Data!$4:$4,0))="","",INDEX(Data!$A:$G,MATCH($B5222,Data!$A:$A,0),MATCH($C$7,Data!$4:$4,0))))</f>
        <v/>
      </c>
      <c r="D5222" s="148" t="str">
        <f t="shared" ca="1" si="168"/>
        <v/>
      </c>
      <c r="E5222" s="148" t="str">
        <f t="shared" ca="1" si="169"/>
        <v/>
      </c>
    </row>
    <row r="5223" spans="2:5" x14ac:dyDescent="0.25">
      <c r="B5223">
        <v>42817</v>
      </c>
      <c r="C5223" s="6" t="str">
        <f ca="1">IF(OR($C$7="",$B5223&gt;NOW()),"",IF(INDEX(Data!$A:$G,MATCH($B5223,Data!$A:$A,0),MATCH($C$7,Data!$4:$4,0))="","",INDEX(Data!$A:$G,MATCH($B5223,Data!$A:$A,0),MATCH($C$7,Data!$4:$4,0))))</f>
        <v/>
      </c>
      <c r="D5223" s="148" t="str">
        <f t="shared" ca="1" si="168"/>
        <v/>
      </c>
      <c r="E5223" s="148" t="str">
        <f t="shared" ca="1" si="169"/>
        <v/>
      </c>
    </row>
    <row r="5224" spans="2:5" x14ac:dyDescent="0.25">
      <c r="B5224">
        <v>42818</v>
      </c>
      <c r="C5224" s="6" t="str">
        <f ca="1">IF(OR($C$7="",$B5224&gt;NOW()),"",IF(INDEX(Data!$A:$G,MATCH($B5224,Data!$A:$A,0),MATCH($C$7,Data!$4:$4,0))="","",INDEX(Data!$A:$G,MATCH($B5224,Data!$A:$A,0),MATCH($C$7,Data!$4:$4,0))))</f>
        <v/>
      </c>
      <c r="D5224" s="148" t="str">
        <f t="shared" ca="1" si="168"/>
        <v/>
      </c>
      <c r="E5224" s="148" t="str">
        <f t="shared" ca="1" si="169"/>
        <v/>
      </c>
    </row>
    <row r="5225" spans="2:5" x14ac:dyDescent="0.25">
      <c r="B5225">
        <v>42819</v>
      </c>
      <c r="C5225" s="6" t="str">
        <f ca="1">IF(OR($C$7="",$B5225&gt;NOW()),"",IF(INDEX(Data!$A:$G,MATCH($B5225,Data!$A:$A,0),MATCH($C$7,Data!$4:$4,0))="","",INDEX(Data!$A:$G,MATCH($B5225,Data!$A:$A,0),MATCH($C$7,Data!$4:$4,0))))</f>
        <v/>
      </c>
      <c r="D5225" s="148" t="str">
        <f t="shared" ca="1" si="168"/>
        <v/>
      </c>
      <c r="E5225" s="148" t="str">
        <f t="shared" ca="1" si="169"/>
        <v/>
      </c>
    </row>
    <row r="5226" spans="2:5" x14ac:dyDescent="0.25">
      <c r="B5226">
        <v>42820</v>
      </c>
      <c r="C5226" s="6" t="str">
        <f ca="1">IF(OR($C$7="",$B5226&gt;NOW()),"",IF(INDEX(Data!$A:$G,MATCH($B5226,Data!$A:$A,0),MATCH($C$7,Data!$4:$4,0))="","",INDEX(Data!$A:$G,MATCH($B5226,Data!$A:$A,0),MATCH($C$7,Data!$4:$4,0))))</f>
        <v/>
      </c>
      <c r="D5226" s="148" t="str">
        <f t="shared" ca="1" si="168"/>
        <v/>
      </c>
      <c r="E5226" s="148" t="str">
        <f t="shared" ca="1" si="169"/>
        <v/>
      </c>
    </row>
    <row r="5227" spans="2:5" x14ac:dyDescent="0.25">
      <c r="B5227">
        <v>42821</v>
      </c>
      <c r="C5227" s="6" t="str">
        <f ca="1">IF(OR($C$7="",$B5227&gt;NOW()),"",IF(INDEX(Data!$A:$G,MATCH($B5227,Data!$A:$A,0),MATCH($C$7,Data!$4:$4,0))="","",INDEX(Data!$A:$G,MATCH($B5227,Data!$A:$A,0),MATCH($C$7,Data!$4:$4,0))))</f>
        <v/>
      </c>
      <c r="D5227" s="148" t="str">
        <f t="shared" ca="1" si="168"/>
        <v/>
      </c>
      <c r="E5227" s="148" t="str">
        <f t="shared" ca="1" si="169"/>
        <v/>
      </c>
    </row>
    <row r="5228" spans="2:5" x14ac:dyDescent="0.25">
      <c r="B5228">
        <v>42822</v>
      </c>
      <c r="C5228" s="6" t="str">
        <f ca="1">IF(OR($C$7="",$B5228&gt;NOW()),"",IF(INDEX(Data!$A:$G,MATCH($B5228,Data!$A:$A,0),MATCH($C$7,Data!$4:$4,0))="","",INDEX(Data!$A:$G,MATCH($B5228,Data!$A:$A,0),MATCH($C$7,Data!$4:$4,0))))</f>
        <v/>
      </c>
      <c r="D5228" s="148" t="str">
        <f t="shared" ca="1" si="168"/>
        <v/>
      </c>
      <c r="E5228" s="148" t="str">
        <f t="shared" ca="1" si="169"/>
        <v/>
      </c>
    </row>
    <row r="5229" spans="2:5" x14ac:dyDescent="0.25">
      <c r="B5229">
        <v>42823</v>
      </c>
      <c r="C5229" s="6" t="str">
        <f ca="1">IF(OR($C$7="",$B5229&gt;NOW()),"",IF(INDEX(Data!$A:$G,MATCH($B5229,Data!$A:$A,0),MATCH($C$7,Data!$4:$4,0))="","",INDEX(Data!$A:$G,MATCH($B5229,Data!$A:$A,0),MATCH($C$7,Data!$4:$4,0))))</f>
        <v/>
      </c>
      <c r="D5229" s="148" t="str">
        <f t="shared" ca="1" si="168"/>
        <v/>
      </c>
      <c r="E5229" s="148" t="str">
        <f t="shared" ca="1" si="169"/>
        <v/>
      </c>
    </row>
    <row r="5230" spans="2:5" x14ac:dyDescent="0.25">
      <c r="B5230">
        <v>42824</v>
      </c>
      <c r="C5230" s="6" t="str">
        <f ca="1">IF(OR($C$7="",$B5230&gt;NOW()),"",IF(INDEX(Data!$A:$G,MATCH($B5230,Data!$A:$A,0),MATCH($C$7,Data!$4:$4,0))="","",INDEX(Data!$A:$G,MATCH($B5230,Data!$A:$A,0),MATCH($C$7,Data!$4:$4,0))))</f>
        <v/>
      </c>
      <c r="D5230" s="148" t="str">
        <f t="shared" ca="1" si="168"/>
        <v/>
      </c>
      <c r="E5230" s="148" t="str">
        <f t="shared" ca="1" si="169"/>
        <v/>
      </c>
    </row>
    <row r="5231" spans="2:5" x14ac:dyDescent="0.25">
      <c r="B5231">
        <v>42825</v>
      </c>
      <c r="C5231" s="6" t="str">
        <f ca="1">IF(OR($C$7="",$B5231&gt;NOW()),"",IF(INDEX(Data!$A:$G,MATCH($B5231,Data!$A:$A,0),MATCH($C$7,Data!$4:$4,0))="","",INDEX(Data!$A:$G,MATCH($B5231,Data!$A:$A,0),MATCH($C$7,Data!$4:$4,0))))</f>
        <v/>
      </c>
      <c r="D5231" s="148" t="str">
        <f t="shared" ca="1" si="168"/>
        <v/>
      </c>
      <c r="E5231" s="148" t="str">
        <f t="shared" ca="1" si="169"/>
        <v/>
      </c>
    </row>
    <row r="5232" spans="2:5" x14ac:dyDescent="0.25">
      <c r="B5232">
        <v>42826</v>
      </c>
      <c r="C5232" s="6" t="str">
        <f ca="1">IF(OR($C$7="",$B5232&gt;NOW()),"",IF(INDEX(Data!$A:$G,MATCH($B5232,Data!$A:$A,0),MATCH($C$7,Data!$4:$4,0))="","",INDEX(Data!$A:$G,MATCH($B5232,Data!$A:$A,0),MATCH($C$7,Data!$4:$4,0))))</f>
        <v/>
      </c>
      <c r="D5232" s="148" t="str">
        <f t="shared" ca="1" si="168"/>
        <v/>
      </c>
      <c r="E5232" s="148" t="str">
        <f t="shared" ca="1" si="169"/>
        <v/>
      </c>
    </row>
    <row r="5233" spans="2:5" x14ac:dyDescent="0.25">
      <c r="B5233">
        <v>42827</v>
      </c>
      <c r="C5233" s="6" t="str">
        <f ca="1">IF(OR($C$7="",$B5233&gt;NOW()),"",IF(INDEX(Data!$A:$G,MATCH($B5233,Data!$A:$A,0),MATCH($C$7,Data!$4:$4,0))="","",INDEX(Data!$A:$G,MATCH($B5233,Data!$A:$A,0),MATCH($C$7,Data!$4:$4,0))))</f>
        <v/>
      </c>
      <c r="D5233" s="148" t="str">
        <f t="shared" ca="1" si="168"/>
        <v/>
      </c>
      <c r="E5233" s="148" t="str">
        <f t="shared" ca="1" si="169"/>
        <v/>
      </c>
    </row>
    <row r="5234" spans="2:5" x14ac:dyDescent="0.25">
      <c r="B5234">
        <v>42828</v>
      </c>
      <c r="C5234" s="6" t="str">
        <f ca="1">IF(OR($C$7="",$B5234&gt;NOW()),"",IF(INDEX(Data!$A:$G,MATCH($B5234,Data!$A:$A,0),MATCH($C$7,Data!$4:$4,0))="","",INDEX(Data!$A:$G,MATCH($B5234,Data!$A:$A,0),MATCH($C$7,Data!$4:$4,0))))</f>
        <v/>
      </c>
      <c r="D5234" s="148" t="str">
        <f t="shared" ca="1" si="168"/>
        <v/>
      </c>
      <c r="E5234" s="148" t="str">
        <f t="shared" ca="1" si="169"/>
        <v/>
      </c>
    </row>
    <row r="5235" spans="2:5" x14ac:dyDescent="0.25">
      <c r="B5235">
        <v>42829</v>
      </c>
      <c r="C5235" s="6" t="str">
        <f ca="1">IF(OR($C$7="",$B5235&gt;NOW()),"",IF(INDEX(Data!$A:$G,MATCH($B5235,Data!$A:$A,0),MATCH($C$7,Data!$4:$4,0))="","",INDEX(Data!$A:$G,MATCH($B5235,Data!$A:$A,0),MATCH($C$7,Data!$4:$4,0))))</f>
        <v/>
      </c>
      <c r="D5235" s="148" t="str">
        <f t="shared" ca="1" si="168"/>
        <v/>
      </c>
      <c r="E5235" s="148" t="str">
        <f t="shared" ca="1" si="169"/>
        <v/>
      </c>
    </row>
    <row r="5236" spans="2:5" x14ac:dyDescent="0.25">
      <c r="B5236">
        <v>42830</v>
      </c>
      <c r="C5236" s="6" t="str">
        <f ca="1">IF(OR($C$7="",$B5236&gt;NOW()),"",IF(INDEX(Data!$A:$G,MATCH($B5236,Data!$A:$A,0),MATCH($C$7,Data!$4:$4,0))="","",INDEX(Data!$A:$G,MATCH($B5236,Data!$A:$A,0),MATCH($C$7,Data!$4:$4,0))))</f>
        <v/>
      </c>
      <c r="D5236" s="148" t="str">
        <f t="shared" ca="1" si="168"/>
        <v/>
      </c>
      <c r="E5236" s="148" t="str">
        <f t="shared" ca="1" si="169"/>
        <v/>
      </c>
    </row>
    <row r="5237" spans="2:5" x14ac:dyDescent="0.25">
      <c r="B5237">
        <v>42831</v>
      </c>
      <c r="C5237" s="6" t="str">
        <f ca="1">IF(OR($C$7="",$B5237&gt;NOW()),"",IF(INDEX(Data!$A:$G,MATCH($B5237,Data!$A:$A,0),MATCH($C$7,Data!$4:$4,0))="","",INDEX(Data!$A:$G,MATCH($B5237,Data!$A:$A,0),MATCH($C$7,Data!$4:$4,0))))</f>
        <v/>
      </c>
      <c r="D5237" s="148" t="str">
        <f t="shared" ca="1" si="168"/>
        <v/>
      </c>
      <c r="E5237" s="148" t="str">
        <f t="shared" ca="1" si="169"/>
        <v/>
      </c>
    </row>
    <row r="5238" spans="2:5" x14ac:dyDescent="0.25">
      <c r="B5238">
        <v>42832</v>
      </c>
      <c r="C5238" s="6" t="str">
        <f ca="1">IF(OR($C$7="",$B5238&gt;NOW()),"",IF(INDEX(Data!$A:$G,MATCH($B5238,Data!$A:$A,0),MATCH($C$7,Data!$4:$4,0))="","",INDEX(Data!$A:$G,MATCH($B5238,Data!$A:$A,0),MATCH($C$7,Data!$4:$4,0))))</f>
        <v/>
      </c>
      <c r="D5238" s="148" t="str">
        <f t="shared" ca="1" si="168"/>
        <v/>
      </c>
      <c r="E5238" s="148" t="str">
        <f t="shared" ca="1" si="169"/>
        <v/>
      </c>
    </row>
    <row r="5239" spans="2:5" x14ac:dyDescent="0.25">
      <c r="B5239">
        <v>42833</v>
      </c>
      <c r="C5239" s="6" t="str">
        <f ca="1">IF(OR($C$7="",$B5239&gt;NOW()),"",IF(INDEX(Data!$A:$G,MATCH($B5239,Data!$A:$A,0),MATCH($C$7,Data!$4:$4,0))="","",INDEX(Data!$A:$G,MATCH($B5239,Data!$A:$A,0),MATCH($C$7,Data!$4:$4,0))))</f>
        <v/>
      </c>
      <c r="D5239" s="148" t="str">
        <f t="shared" ca="1" si="168"/>
        <v/>
      </c>
      <c r="E5239" s="148" t="str">
        <f t="shared" ca="1" si="169"/>
        <v/>
      </c>
    </row>
    <row r="5240" spans="2:5" x14ac:dyDescent="0.25">
      <c r="B5240">
        <v>42834</v>
      </c>
      <c r="C5240" s="6" t="str">
        <f ca="1">IF(OR($C$7="",$B5240&gt;NOW()),"",IF(INDEX(Data!$A:$G,MATCH($B5240,Data!$A:$A,0),MATCH($C$7,Data!$4:$4,0))="","",INDEX(Data!$A:$G,MATCH($B5240,Data!$A:$A,0),MATCH($C$7,Data!$4:$4,0))))</f>
        <v/>
      </c>
      <c r="D5240" s="148" t="str">
        <f t="shared" ca="1" si="168"/>
        <v/>
      </c>
      <c r="E5240" s="148" t="str">
        <f t="shared" ca="1" si="169"/>
        <v/>
      </c>
    </row>
    <row r="5241" spans="2:5" x14ac:dyDescent="0.25">
      <c r="B5241">
        <v>42835</v>
      </c>
      <c r="C5241" s="6" t="str">
        <f ca="1">IF(OR($C$7="",$B5241&gt;NOW()),"",IF(INDEX(Data!$A:$G,MATCH($B5241,Data!$A:$A,0),MATCH($C$7,Data!$4:$4,0))="","",INDEX(Data!$A:$G,MATCH($B5241,Data!$A:$A,0),MATCH($C$7,Data!$4:$4,0))))</f>
        <v/>
      </c>
      <c r="D5241" s="148" t="str">
        <f t="shared" ca="1" si="168"/>
        <v/>
      </c>
      <c r="E5241" s="148" t="str">
        <f t="shared" ca="1" si="169"/>
        <v/>
      </c>
    </row>
    <row r="5242" spans="2:5" x14ac:dyDescent="0.25">
      <c r="B5242">
        <v>42836</v>
      </c>
      <c r="C5242" s="6" t="str">
        <f ca="1">IF(OR($C$7="",$B5242&gt;NOW()),"",IF(INDEX(Data!$A:$G,MATCH($B5242,Data!$A:$A,0),MATCH($C$7,Data!$4:$4,0))="","",INDEX(Data!$A:$G,MATCH($B5242,Data!$A:$A,0),MATCH($C$7,Data!$4:$4,0))))</f>
        <v/>
      </c>
      <c r="D5242" s="148" t="str">
        <f t="shared" ca="1" si="168"/>
        <v/>
      </c>
      <c r="E5242" s="148" t="str">
        <f t="shared" ca="1" si="169"/>
        <v/>
      </c>
    </row>
    <row r="5243" spans="2:5" x14ac:dyDescent="0.25">
      <c r="B5243">
        <v>42837</v>
      </c>
      <c r="C5243" s="6" t="str">
        <f ca="1">IF(OR($C$7="",$B5243&gt;NOW()),"",IF(INDEX(Data!$A:$G,MATCH($B5243,Data!$A:$A,0),MATCH($C$7,Data!$4:$4,0))="","",INDEX(Data!$A:$G,MATCH($B5243,Data!$A:$A,0),MATCH($C$7,Data!$4:$4,0))))</f>
        <v/>
      </c>
      <c r="D5243" s="148" t="str">
        <f t="shared" ca="1" si="168"/>
        <v/>
      </c>
      <c r="E5243" s="148" t="str">
        <f t="shared" ca="1" si="169"/>
        <v/>
      </c>
    </row>
    <row r="5244" spans="2:5" x14ac:dyDescent="0.25">
      <c r="B5244">
        <v>42838</v>
      </c>
      <c r="C5244" s="6" t="str">
        <f ca="1">IF(OR($C$7="",$B5244&gt;NOW()),"",IF(INDEX(Data!$A:$G,MATCH($B5244,Data!$A:$A,0),MATCH($C$7,Data!$4:$4,0))="","",INDEX(Data!$A:$G,MATCH($B5244,Data!$A:$A,0),MATCH($C$7,Data!$4:$4,0))))</f>
        <v/>
      </c>
      <c r="D5244" s="148" t="str">
        <f t="shared" ca="1" si="168"/>
        <v/>
      </c>
      <c r="E5244" s="148" t="str">
        <f t="shared" ca="1" si="169"/>
        <v/>
      </c>
    </row>
    <row r="5245" spans="2:5" x14ac:dyDescent="0.25">
      <c r="B5245">
        <v>42839</v>
      </c>
      <c r="C5245" s="6" t="str">
        <f ca="1">IF(OR($C$7="",$B5245&gt;NOW()),"",IF(INDEX(Data!$A:$G,MATCH($B5245,Data!$A:$A,0),MATCH($C$7,Data!$4:$4,0))="","",INDEX(Data!$A:$G,MATCH($B5245,Data!$A:$A,0),MATCH($C$7,Data!$4:$4,0))))</f>
        <v/>
      </c>
      <c r="D5245" s="148" t="str">
        <f t="shared" ca="1" si="168"/>
        <v/>
      </c>
      <c r="E5245" s="148" t="str">
        <f t="shared" ca="1" si="169"/>
        <v/>
      </c>
    </row>
    <row r="5246" spans="2:5" x14ac:dyDescent="0.25">
      <c r="B5246">
        <v>42840</v>
      </c>
      <c r="C5246" s="6" t="str">
        <f ca="1">IF(OR($C$7="",$B5246&gt;NOW()),"",IF(INDEX(Data!$A:$G,MATCH($B5246,Data!$A:$A,0),MATCH($C$7,Data!$4:$4,0))="","",INDEX(Data!$A:$G,MATCH($B5246,Data!$A:$A,0),MATCH($C$7,Data!$4:$4,0))))</f>
        <v/>
      </c>
      <c r="D5246" s="148" t="str">
        <f t="shared" ca="1" si="168"/>
        <v/>
      </c>
      <c r="E5246" s="148" t="str">
        <f t="shared" ca="1" si="169"/>
        <v/>
      </c>
    </row>
    <row r="5247" spans="2:5" x14ac:dyDescent="0.25">
      <c r="B5247">
        <v>42841</v>
      </c>
      <c r="C5247" s="6" t="str">
        <f ca="1">IF(OR($C$7="",$B5247&gt;NOW()),"",IF(INDEX(Data!$A:$G,MATCH($B5247,Data!$A:$A,0),MATCH($C$7,Data!$4:$4,0))="","",INDEX(Data!$A:$G,MATCH($B5247,Data!$A:$A,0),MATCH($C$7,Data!$4:$4,0))))</f>
        <v/>
      </c>
      <c r="D5247" s="148" t="str">
        <f t="shared" ca="1" si="168"/>
        <v/>
      </c>
      <c r="E5247" s="148" t="str">
        <f t="shared" ca="1" si="169"/>
        <v/>
      </c>
    </row>
    <row r="5248" spans="2:5" x14ac:dyDescent="0.25">
      <c r="B5248">
        <v>42842</v>
      </c>
      <c r="C5248" s="6" t="str">
        <f ca="1">IF(OR($C$7="",$B5248&gt;NOW()),"",IF(INDEX(Data!$A:$G,MATCH($B5248,Data!$A:$A,0),MATCH($C$7,Data!$4:$4,0))="","",INDEX(Data!$A:$G,MATCH($B5248,Data!$A:$A,0),MATCH($C$7,Data!$4:$4,0))))</f>
        <v/>
      </c>
      <c r="D5248" s="148" t="str">
        <f t="shared" ca="1" si="168"/>
        <v/>
      </c>
      <c r="E5248" s="148" t="str">
        <f t="shared" ca="1" si="169"/>
        <v/>
      </c>
    </row>
    <row r="5249" spans="2:5" x14ac:dyDescent="0.25">
      <c r="B5249">
        <v>42843</v>
      </c>
      <c r="C5249" s="6" t="str">
        <f ca="1">IF(OR($C$7="",$B5249&gt;NOW()),"",IF(INDEX(Data!$A:$G,MATCH($B5249,Data!$A:$A,0),MATCH($C$7,Data!$4:$4,0))="","",INDEX(Data!$A:$G,MATCH($B5249,Data!$A:$A,0),MATCH($C$7,Data!$4:$4,0))))</f>
        <v/>
      </c>
      <c r="D5249" s="148" t="str">
        <f t="shared" ca="1" si="168"/>
        <v/>
      </c>
      <c r="E5249" s="148" t="str">
        <f t="shared" ca="1" si="169"/>
        <v/>
      </c>
    </row>
    <row r="5250" spans="2:5" x14ac:dyDescent="0.25">
      <c r="B5250">
        <v>42844</v>
      </c>
      <c r="C5250" s="6" t="str">
        <f ca="1">IF(OR($C$7="",$B5250&gt;NOW()),"",IF(INDEX(Data!$A:$G,MATCH($B5250,Data!$A:$A,0),MATCH($C$7,Data!$4:$4,0))="","",INDEX(Data!$A:$G,MATCH($B5250,Data!$A:$A,0),MATCH($C$7,Data!$4:$4,0))))</f>
        <v/>
      </c>
      <c r="D5250" s="148" t="str">
        <f t="shared" ca="1" si="168"/>
        <v/>
      </c>
      <c r="E5250" s="148" t="str">
        <f t="shared" ca="1" si="169"/>
        <v/>
      </c>
    </row>
    <row r="5251" spans="2:5" x14ac:dyDescent="0.25">
      <c r="B5251">
        <v>42845</v>
      </c>
      <c r="C5251" s="6" t="str">
        <f ca="1">IF(OR($C$7="",$B5251&gt;NOW()),"",IF(INDEX(Data!$A:$G,MATCH($B5251,Data!$A:$A,0),MATCH($C$7,Data!$4:$4,0))="","",INDEX(Data!$A:$G,MATCH($B5251,Data!$A:$A,0),MATCH($C$7,Data!$4:$4,0))))</f>
        <v/>
      </c>
      <c r="D5251" s="148" t="str">
        <f t="shared" ca="1" si="168"/>
        <v/>
      </c>
      <c r="E5251" s="148" t="str">
        <f t="shared" ca="1" si="169"/>
        <v/>
      </c>
    </row>
    <row r="5252" spans="2:5" x14ac:dyDescent="0.25">
      <c r="B5252">
        <v>42846</v>
      </c>
      <c r="C5252" s="6" t="str">
        <f ca="1">IF(OR($C$7="",$B5252&gt;NOW()),"",IF(INDEX(Data!$A:$G,MATCH($B5252,Data!$A:$A,0),MATCH($C$7,Data!$4:$4,0))="","",INDEX(Data!$A:$G,MATCH($B5252,Data!$A:$A,0),MATCH($C$7,Data!$4:$4,0))))</f>
        <v/>
      </c>
      <c r="D5252" s="148" t="str">
        <f t="shared" ca="1" si="168"/>
        <v/>
      </c>
      <c r="E5252" s="148" t="str">
        <f t="shared" ca="1" si="169"/>
        <v/>
      </c>
    </row>
    <row r="5253" spans="2:5" x14ac:dyDescent="0.25">
      <c r="B5253">
        <v>42847</v>
      </c>
      <c r="C5253" s="6" t="str">
        <f ca="1">IF(OR($C$7="",$B5253&gt;NOW()),"",IF(INDEX(Data!$A:$G,MATCH($B5253,Data!$A:$A,0),MATCH($C$7,Data!$4:$4,0))="","",INDEX(Data!$A:$G,MATCH($B5253,Data!$A:$A,0),MATCH($C$7,Data!$4:$4,0))))</f>
        <v/>
      </c>
      <c r="D5253" s="148" t="str">
        <f t="shared" ca="1" si="168"/>
        <v/>
      </c>
      <c r="E5253" s="148" t="str">
        <f t="shared" ca="1" si="169"/>
        <v/>
      </c>
    </row>
    <row r="5254" spans="2:5" x14ac:dyDescent="0.25">
      <c r="B5254">
        <v>42848</v>
      </c>
      <c r="C5254" s="6" t="str">
        <f ca="1">IF(OR($C$7="",$B5254&gt;NOW()),"",IF(INDEX(Data!$A:$G,MATCH($B5254,Data!$A:$A,0),MATCH($C$7,Data!$4:$4,0))="","",INDEX(Data!$A:$G,MATCH($B5254,Data!$A:$A,0),MATCH($C$7,Data!$4:$4,0))))</f>
        <v/>
      </c>
      <c r="D5254" s="148" t="str">
        <f t="shared" ca="1" si="168"/>
        <v/>
      </c>
      <c r="E5254" s="148" t="str">
        <f t="shared" ca="1" si="169"/>
        <v/>
      </c>
    </row>
    <row r="5255" spans="2:5" x14ac:dyDescent="0.25">
      <c r="B5255">
        <v>42849</v>
      </c>
      <c r="C5255" s="6" t="str">
        <f ca="1">IF(OR($C$7="",$B5255&gt;NOW()),"",IF(INDEX(Data!$A:$G,MATCH($B5255,Data!$A:$A,0),MATCH($C$7,Data!$4:$4,0))="","",INDEX(Data!$A:$G,MATCH($B5255,Data!$A:$A,0),MATCH($C$7,Data!$4:$4,0))))</f>
        <v/>
      </c>
      <c r="D5255" s="148" t="str">
        <f t="shared" ca="1" si="168"/>
        <v/>
      </c>
      <c r="E5255" s="148" t="str">
        <f t="shared" ca="1" si="169"/>
        <v/>
      </c>
    </row>
    <row r="5256" spans="2:5" x14ac:dyDescent="0.25">
      <c r="B5256">
        <v>42850</v>
      </c>
      <c r="C5256" s="6" t="str">
        <f ca="1">IF(OR($C$7="",$B5256&gt;NOW()),"",IF(INDEX(Data!$A:$G,MATCH($B5256,Data!$A:$A,0),MATCH($C$7,Data!$4:$4,0))="","",INDEX(Data!$A:$G,MATCH($B5256,Data!$A:$A,0),MATCH($C$7,Data!$4:$4,0))))</f>
        <v/>
      </c>
      <c r="D5256" s="148" t="str">
        <f t="shared" ca="1" si="168"/>
        <v/>
      </c>
      <c r="E5256" s="148" t="str">
        <f t="shared" ca="1" si="169"/>
        <v/>
      </c>
    </row>
    <row r="5257" spans="2:5" x14ac:dyDescent="0.25">
      <c r="B5257">
        <v>42851</v>
      </c>
      <c r="C5257" s="6" t="str">
        <f ca="1">IF(OR($C$7="",$B5257&gt;NOW()),"",IF(INDEX(Data!$A:$G,MATCH($B5257,Data!$A:$A,0),MATCH($C$7,Data!$4:$4,0))="","",INDEX(Data!$A:$G,MATCH($B5257,Data!$A:$A,0),MATCH($C$7,Data!$4:$4,0))))</f>
        <v/>
      </c>
      <c r="D5257" s="148" t="str">
        <f t="shared" ca="1" si="168"/>
        <v/>
      </c>
      <c r="E5257" s="148" t="str">
        <f t="shared" ca="1" si="169"/>
        <v/>
      </c>
    </row>
    <row r="5258" spans="2:5" x14ac:dyDescent="0.25">
      <c r="B5258">
        <v>42852</v>
      </c>
      <c r="C5258" s="6" t="str">
        <f ca="1">IF(OR($C$7="",$B5258&gt;NOW()),"",IF(INDEX(Data!$A:$G,MATCH($B5258,Data!$A:$A,0),MATCH($C$7,Data!$4:$4,0))="","",INDEX(Data!$A:$G,MATCH($B5258,Data!$A:$A,0),MATCH($C$7,Data!$4:$4,0))))</f>
        <v/>
      </c>
      <c r="D5258" s="148" t="str">
        <f t="shared" ca="1" si="168"/>
        <v/>
      </c>
      <c r="E5258" s="148" t="str">
        <f t="shared" ca="1" si="169"/>
        <v/>
      </c>
    </row>
    <row r="5259" spans="2:5" x14ac:dyDescent="0.25">
      <c r="B5259">
        <v>42853</v>
      </c>
      <c r="C5259" s="6" t="str">
        <f ca="1">IF(OR($C$7="",$B5259&gt;NOW()),"",IF(INDEX(Data!$A:$G,MATCH($B5259,Data!$A:$A,0),MATCH($C$7,Data!$4:$4,0))="","",INDEX(Data!$A:$G,MATCH($B5259,Data!$A:$A,0),MATCH($C$7,Data!$4:$4,0))))</f>
        <v/>
      </c>
      <c r="D5259" s="148" t="str">
        <f t="shared" ca="1" si="168"/>
        <v/>
      </c>
      <c r="E5259" s="148" t="str">
        <f t="shared" ca="1" si="169"/>
        <v/>
      </c>
    </row>
    <row r="5260" spans="2:5" x14ac:dyDescent="0.25">
      <c r="B5260">
        <v>42854</v>
      </c>
      <c r="C5260" s="6" t="str">
        <f ca="1">IF(OR($C$7="",$B5260&gt;NOW()),"",IF(INDEX(Data!$A:$G,MATCH($B5260,Data!$A:$A,0),MATCH($C$7,Data!$4:$4,0))="","",INDEX(Data!$A:$G,MATCH($B5260,Data!$A:$A,0),MATCH($C$7,Data!$4:$4,0))))</f>
        <v/>
      </c>
      <c r="D5260" s="148" t="str">
        <f t="shared" ca="1" si="168"/>
        <v/>
      </c>
      <c r="E5260" s="148" t="str">
        <f t="shared" ca="1" si="169"/>
        <v/>
      </c>
    </row>
    <row r="5261" spans="2:5" x14ac:dyDescent="0.25">
      <c r="B5261">
        <v>42855</v>
      </c>
      <c r="C5261" s="6" t="str">
        <f ca="1">IF(OR($C$7="",$B5261&gt;NOW()),"",IF(INDEX(Data!$A:$G,MATCH($B5261,Data!$A:$A,0),MATCH($C$7,Data!$4:$4,0))="","",INDEX(Data!$A:$G,MATCH($B5261,Data!$A:$A,0),MATCH($C$7,Data!$4:$4,0))))</f>
        <v/>
      </c>
      <c r="D5261" s="148" t="str">
        <f t="shared" ca="1" si="168"/>
        <v/>
      </c>
      <c r="E5261" s="148" t="str">
        <f t="shared" ca="1" si="169"/>
        <v/>
      </c>
    </row>
    <row r="5262" spans="2:5" x14ac:dyDescent="0.25">
      <c r="B5262">
        <v>42856</v>
      </c>
      <c r="C5262" s="6" t="str">
        <f ca="1">IF(OR($C$7="",$B5262&gt;NOW()),"",IF(INDEX(Data!$A:$G,MATCH($B5262,Data!$A:$A,0),MATCH($C$7,Data!$4:$4,0))="","",INDEX(Data!$A:$G,MATCH($B5262,Data!$A:$A,0),MATCH($C$7,Data!$4:$4,0))))</f>
        <v/>
      </c>
      <c r="D5262" s="148" t="str">
        <f t="shared" ca="1" si="168"/>
        <v/>
      </c>
      <c r="E5262" s="148" t="str">
        <f t="shared" ca="1" si="169"/>
        <v/>
      </c>
    </row>
    <row r="5263" spans="2:5" x14ac:dyDescent="0.25">
      <c r="B5263">
        <v>42857</v>
      </c>
      <c r="C5263" s="6" t="str">
        <f ca="1">IF(OR($C$7="",$B5263&gt;NOW()),"",IF(INDEX(Data!$A:$G,MATCH($B5263,Data!$A:$A,0),MATCH($C$7,Data!$4:$4,0))="","",INDEX(Data!$A:$G,MATCH($B5263,Data!$A:$A,0),MATCH($C$7,Data!$4:$4,0))))</f>
        <v/>
      </c>
      <c r="D5263" s="148" t="str">
        <f t="shared" ca="1" si="168"/>
        <v/>
      </c>
      <c r="E5263" s="148" t="str">
        <f t="shared" ca="1" si="169"/>
        <v/>
      </c>
    </row>
    <row r="5264" spans="2:5" x14ac:dyDescent="0.25">
      <c r="B5264">
        <v>42858</v>
      </c>
      <c r="C5264" s="6" t="str">
        <f ca="1">IF(OR($C$7="",$B5264&gt;NOW()),"",IF(INDEX(Data!$A:$G,MATCH($B5264,Data!$A:$A,0),MATCH($C$7,Data!$4:$4,0))="","",INDEX(Data!$A:$G,MATCH($B5264,Data!$A:$A,0),MATCH($C$7,Data!$4:$4,0))))</f>
        <v/>
      </c>
      <c r="D5264" s="148" t="str">
        <f t="shared" ca="1" si="168"/>
        <v/>
      </c>
      <c r="E5264" s="148" t="str">
        <f t="shared" ca="1" si="169"/>
        <v/>
      </c>
    </row>
    <row r="5265" spans="2:5" x14ac:dyDescent="0.25">
      <c r="B5265">
        <v>42859</v>
      </c>
      <c r="C5265" s="6" t="str">
        <f ca="1">IF(OR($C$7="",$B5265&gt;NOW()),"",IF(INDEX(Data!$A:$G,MATCH($B5265,Data!$A:$A,0),MATCH($C$7,Data!$4:$4,0))="","",INDEX(Data!$A:$G,MATCH($B5265,Data!$A:$A,0),MATCH($C$7,Data!$4:$4,0))))</f>
        <v/>
      </c>
      <c r="D5265" s="148" t="str">
        <f t="shared" ca="1" si="168"/>
        <v/>
      </c>
      <c r="E5265" s="148" t="str">
        <f t="shared" ca="1" si="169"/>
        <v/>
      </c>
    </row>
    <row r="5266" spans="2:5" x14ac:dyDescent="0.25">
      <c r="B5266">
        <v>42860</v>
      </c>
      <c r="C5266" s="6" t="str">
        <f ca="1">IF(OR($C$7="",$B5266&gt;NOW()),"",IF(INDEX(Data!$A:$G,MATCH($B5266,Data!$A:$A,0),MATCH($C$7,Data!$4:$4,0))="","",INDEX(Data!$A:$G,MATCH($B5266,Data!$A:$A,0),MATCH($C$7,Data!$4:$4,0))))</f>
        <v/>
      </c>
      <c r="D5266" s="148" t="str">
        <f t="shared" ca="1" si="168"/>
        <v/>
      </c>
      <c r="E5266" s="148" t="str">
        <f t="shared" ca="1" si="169"/>
        <v/>
      </c>
    </row>
    <row r="5267" spans="2:5" x14ac:dyDescent="0.25">
      <c r="B5267">
        <v>42861</v>
      </c>
      <c r="C5267" s="6" t="str">
        <f ca="1">IF(OR($C$7="",$B5267&gt;NOW()),"",IF(INDEX(Data!$A:$G,MATCH($B5267,Data!$A:$A,0),MATCH($C$7,Data!$4:$4,0))="","",INDEX(Data!$A:$G,MATCH($B5267,Data!$A:$A,0),MATCH($C$7,Data!$4:$4,0))))</f>
        <v/>
      </c>
      <c r="D5267" s="148" t="str">
        <f t="shared" ca="1" si="168"/>
        <v/>
      </c>
      <c r="E5267" s="148" t="str">
        <f t="shared" ca="1" si="169"/>
        <v/>
      </c>
    </row>
    <row r="5268" spans="2:5" x14ac:dyDescent="0.25">
      <c r="B5268">
        <v>42862</v>
      </c>
      <c r="C5268" s="6" t="str">
        <f ca="1">IF(OR($C$7="",$B5268&gt;NOW()),"",IF(INDEX(Data!$A:$G,MATCH($B5268,Data!$A:$A,0),MATCH($C$7,Data!$4:$4,0))="","",INDEX(Data!$A:$G,MATCH($B5268,Data!$A:$A,0),MATCH($C$7,Data!$4:$4,0))))</f>
        <v/>
      </c>
      <c r="D5268" s="148" t="str">
        <f t="shared" ca="1" si="168"/>
        <v/>
      </c>
      <c r="E5268" s="148" t="str">
        <f t="shared" ca="1" si="169"/>
        <v/>
      </c>
    </row>
    <row r="5269" spans="2:5" x14ac:dyDescent="0.25">
      <c r="B5269">
        <v>42863</v>
      </c>
      <c r="C5269" s="6" t="str">
        <f ca="1">IF(OR($C$7="",$B5269&gt;NOW()),"",IF(INDEX(Data!$A:$G,MATCH($B5269,Data!$A:$A,0),MATCH($C$7,Data!$4:$4,0))="","",INDEX(Data!$A:$G,MATCH($B5269,Data!$A:$A,0),MATCH($C$7,Data!$4:$4,0))))</f>
        <v/>
      </c>
      <c r="D5269" s="148" t="str">
        <f t="shared" ca="1" si="168"/>
        <v/>
      </c>
      <c r="E5269" s="148" t="str">
        <f t="shared" ca="1" si="169"/>
        <v/>
      </c>
    </row>
    <row r="5270" spans="2:5" x14ac:dyDescent="0.25">
      <c r="B5270">
        <v>42864</v>
      </c>
      <c r="C5270" s="6" t="str">
        <f ca="1">IF(OR($C$7="",$B5270&gt;NOW()),"",IF(INDEX(Data!$A:$G,MATCH($B5270,Data!$A:$A,0),MATCH($C$7,Data!$4:$4,0))="","",INDEX(Data!$A:$G,MATCH($B5270,Data!$A:$A,0),MATCH($C$7,Data!$4:$4,0))))</f>
        <v/>
      </c>
      <c r="D5270" s="148" t="str">
        <f t="shared" ca="1" si="168"/>
        <v/>
      </c>
      <c r="E5270" s="148" t="str">
        <f t="shared" ca="1" si="169"/>
        <v/>
      </c>
    </row>
    <row r="5271" spans="2:5" x14ac:dyDescent="0.25">
      <c r="B5271">
        <v>42865</v>
      </c>
      <c r="C5271" s="6" t="str">
        <f ca="1">IF(OR($C$7="",$B5271&gt;NOW()),"",IF(INDEX(Data!$A:$G,MATCH($B5271,Data!$A:$A,0),MATCH($C$7,Data!$4:$4,0))="","",INDEX(Data!$A:$G,MATCH($B5271,Data!$A:$A,0),MATCH($C$7,Data!$4:$4,0))))</f>
        <v/>
      </c>
      <c r="D5271" s="148" t="str">
        <f t="shared" ca="1" si="168"/>
        <v/>
      </c>
      <c r="E5271" s="148" t="str">
        <f t="shared" ca="1" si="169"/>
        <v/>
      </c>
    </row>
    <row r="5272" spans="2:5" x14ac:dyDescent="0.25">
      <c r="B5272">
        <v>42866</v>
      </c>
      <c r="C5272" s="6" t="str">
        <f ca="1">IF(OR($C$7="",$B5272&gt;NOW()),"",IF(INDEX(Data!$A:$G,MATCH($B5272,Data!$A:$A,0),MATCH($C$7,Data!$4:$4,0))="","",INDEX(Data!$A:$G,MATCH($B5272,Data!$A:$A,0),MATCH($C$7,Data!$4:$4,0))))</f>
        <v/>
      </c>
      <c r="D5272" s="148" t="str">
        <f t="shared" ca="1" si="168"/>
        <v/>
      </c>
      <c r="E5272" s="148" t="str">
        <f t="shared" ca="1" si="169"/>
        <v/>
      </c>
    </row>
    <row r="5273" spans="2:5" x14ac:dyDescent="0.25">
      <c r="B5273">
        <v>42867</v>
      </c>
      <c r="C5273" s="6" t="str">
        <f ca="1">IF(OR($C$7="",$B5273&gt;NOW()),"",IF(INDEX(Data!$A:$G,MATCH($B5273,Data!$A:$A,0),MATCH($C$7,Data!$4:$4,0))="","",INDEX(Data!$A:$G,MATCH($B5273,Data!$A:$A,0),MATCH($C$7,Data!$4:$4,0))))</f>
        <v/>
      </c>
      <c r="D5273" s="148" t="str">
        <f t="shared" ca="1" si="168"/>
        <v/>
      </c>
      <c r="E5273" s="148" t="str">
        <f t="shared" ca="1" si="169"/>
        <v/>
      </c>
    </row>
    <row r="5274" spans="2:5" x14ac:dyDescent="0.25">
      <c r="B5274">
        <v>42868</v>
      </c>
      <c r="C5274" s="6" t="str">
        <f ca="1">IF(OR($C$7="",$B5274&gt;NOW()),"",IF(INDEX(Data!$A:$G,MATCH($B5274,Data!$A:$A,0),MATCH($C$7,Data!$4:$4,0))="","",INDEX(Data!$A:$G,MATCH($B5274,Data!$A:$A,0),MATCH($C$7,Data!$4:$4,0))))</f>
        <v/>
      </c>
      <c r="D5274" s="148" t="str">
        <f t="shared" ca="1" si="168"/>
        <v/>
      </c>
      <c r="E5274" s="148" t="str">
        <f t="shared" ca="1" si="169"/>
        <v/>
      </c>
    </row>
    <row r="5275" spans="2:5" x14ac:dyDescent="0.25">
      <c r="B5275">
        <v>42869</v>
      </c>
      <c r="C5275" s="6" t="str">
        <f ca="1">IF(OR($C$7="",$B5275&gt;NOW()),"",IF(INDEX(Data!$A:$G,MATCH($B5275,Data!$A:$A,0),MATCH($C$7,Data!$4:$4,0))="","",INDEX(Data!$A:$G,MATCH($B5275,Data!$A:$A,0),MATCH($C$7,Data!$4:$4,0))))</f>
        <v/>
      </c>
      <c r="D5275" s="148" t="str">
        <f t="shared" ca="1" si="168"/>
        <v/>
      </c>
      <c r="E5275" s="148" t="str">
        <f t="shared" ca="1" si="169"/>
        <v/>
      </c>
    </row>
    <row r="5276" spans="2:5" x14ac:dyDescent="0.25">
      <c r="B5276">
        <v>42870</v>
      </c>
      <c r="C5276" s="6" t="str">
        <f ca="1">IF(OR($C$7="",$B5276&gt;NOW()),"",IF(INDEX(Data!$A:$G,MATCH($B5276,Data!$A:$A,0),MATCH($C$7,Data!$4:$4,0))="","",INDEX(Data!$A:$G,MATCH($B5276,Data!$A:$A,0),MATCH($C$7,Data!$4:$4,0))))</f>
        <v/>
      </c>
      <c r="D5276" s="148" t="str">
        <f t="shared" ca="1" si="168"/>
        <v/>
      </c>
      <c r="E5276" s="148" t="str">
        <f t="shared" ca="1" si="169"/>
        <v/>
      </c>
    </row>
    <row r="5277" spans="2:5" x14ac:dyDescent="0.25">
      <c r="B5277">
        <v>42871</v>
      </c>
      <c r="C5277" s="6" t="str">
        <f ca="1">IF(OR($C$7="",$B5277&gt;NOW()),"",IF(INDEX(Data!$A:$G,MATCH($B5277,Data!$A:$A,0),MATCH($C$7,Data!$4:$4,0))="","",INDEX(Data!$A:$G,MATCH($B5277,Data!$A:$A,0),MATCH($C$7,Data!$4:$4,0))))</f>
        <v/>
      </c>
      <c r="D5277" s="148" t="str">
        <f t="shared" ref="D5277:D5340" ca="1" si="170">IF($C5277="","",IF($C5277&gt;$D$26,0,$D$26-$C5277))</f>
        <v/>
      </c>
      <c r="E5277" s="148" t="str">
        <f t="shared" ref="E5277:E5340" ca="1" si="171">IF($C5277="","",IF($C5277&lt;$E$26,0,$C5277-$E$26))</f>
        <v/>
      </c>
    </row>
    <row r="5278" spans="2:5" x14ac:dyDescent="0.25">
      <c r="B5278">
        <v>42872</v>
      </c>
      <c r="C5278" s="6" t="str">
        <f ca="1">IF(OR($C$7="",$B5278&gt;NOW()),"",IF(INDEX(Data!$A:$G,MATCH($B5278,Data!$A:$A,0),MATCH($C$7,Data!$4:$4,0))="","",INDEX(Data!$A:$G,MATCH($B5278,Data!$A:$A,0),MATCH($C$7,Data!$4:$4,0))))</f>
        <v/>
      </c>
      <c r="D5278" s="148" t="str">
        <f t="shared" ca="1" si="170"/>
        <v/>
      </c>
      <c r="E5278" s="148" t="str">
        <f t="shared" ca="1" si="171"/>
        <v/>
      </c>
    </row>
    <row r="5279" spans="2:5" x14ac:dyDescent="0.25">
      <c r="B5279">
        <v>42873</v>
      </c>
      <c r="C5279" s="6" t="str">
        <f ca="1">IF(OR($C$7="",$B5279&gt;NOW()),"",IF(INDEX(Data!$A:$G,MATCH($B5279,Data!$A:$A,0),MATCH($C$7,Data!$4:$4,0))="","",INDEX(Data!$A:$G,MATCH($B5279,Data!$A:$A,0),MATCH($C$7,Data!$4:$4,0))))</f>
        <v/>
      </c>
      <c r="D5279" s="148" t="str">
        <f t="shared" ca="1" si="170"/>
        <v/>
      </c>
      <c r="E5279" s="148" t="str">
        <f t="shared" ca="1" si="171"/>
        <v/>
      </c>
    </row>
    <row r="5280" spans="2:5" x14ac:dyDescent="0.25">
      <c r="B5280">
        <v>42874</v>
      </c>
      <c r="C5280" s="6" t="str">
        <f ca="1">IF(OR($C$7="",$B5280&gt;NOW()),"",IF(INDEX(Data!$A:$G,MATCH($B5280,Data!$A:$A,0),MATCH($C$7,Data!$4:$4,0))="","",INDEX(Data!$A:$G,MATCH($B5280,Data!$A:$A,0),MATCH($C$7,Data!$4:$4,0))))</f>
        <v/>
      </c>
      <c r="D5280" s="148" t="str">
        <f t="shared" ca="1" si="170"/>
        <v/>
      </c>
      <c r="E5280" s="148" t="str">
        <f t="shared" ca="1" si="171"/>
        <v/>
      </c>
    </row>
    <row r="5281" spans="2:5" x14ac:dyDescent="0.25">
      <c r="B5281">
        <v>42875</v>
      </c>
      <c r="C5281" s="6" t="str">
        <f ca="1">IF(OR($C$7="",$B5281&gt;NOW()),"",IF(INDEX(Data!$A:$G,MATCH($B5281,Data!$A:$A,0),MATCH($C$7,Data!$4:$4,0))="","",INDEX(Data!$A:$G,MATCH($B5281,Data!$A:$A,0),MATCH($C$7,Data!$4:$4,0))))</f>
        <v/>
      </c>
      <c r="D5281" s="148" t="str">
        <f t="shared" ca="1" si="170"/>
        <v/>
      </c>
      <c r="E5281" s="148" t="str">
        <f t="shared" ca="1" si="171"/>
        <v/>
      </c>
    </row>
    <row r="5282" spans="2:5" x14ac:dyDescent="0.25">
      <c r="B5282">
        <v>42876</v>
      </c>
      <c r="C5282" s="6" t="str">
        <f ca="1">IF(OR($C$7="",$B5282&gt;NOW()),"",IF(INDEX(Data!$A:$G,MATCH($B5282,Data!$A:$A,0),MATCH($C$7,Data!$4:$4,0))="","",INDEX(Data!$A:$G,MATCH($B5282,Data!$A:$A,0),MATCH($C$7,Data!$4:$4,0))))</f>
        <v/>
      </c>
      <c r="D5282" s="148" t="str">
        <f t="shared" ca="1" si="170"/>
        <v/>
      </c>
      <c r="E5282" s="148" t="str">
        <f t="shared" ca="1" si="171"/>
        <v/>
      </c>
    </row>
    <row r="5283" spans="2:5" x14ac:dyDescent="0.25">
      <c r="B5283">
        <v>42877</v>
      </c>
      <c r="C5283" s="6" t="str">
        <f ca="1">IF(OR($C$7="",$B5283&gt;NOW()),"",IF(INDEX(Data!$A:$G,MATCH($B5283,Data!$A:$A,0),MATCH($C$7,Data!$4:$4,0))="","",INDEX(Data!$A:$G,MATCH($B5283,Data!$A:$A,0),MATCH($C$7,Data!$4:$4,0))))</f>
        <v/>
      </c>
      <c r="D5283" s="148" t="str">
        <f t="shared" ca="1" si="170"/>
        <v/>
      </c>
      <c r="E5283" s="148" t="str">
        <f t="shared" ca="1" si="171"/>
        <v/>
      </c>
    </row>
    <row r="5284" spans="2:5" x14ac:dyDescent="0.25">
      <c r="B5284">
        <v>42878</v>
      </c>
      <c r="C5284" s="6" t="str">
        <f ca="1">IF(OR($C$7="",$B5284&gt;NOW()),"",IF(INDEX(Data!$A:$G,MATCH($B5284,Data!$A:$A,0),MATCH($C$7,Data!$4:$4,0))="","",INDEX(Data!$A:$G,MATCH($B5284,Data!$A:$A,0),MATCH($C$7,Data!$4:$4,0))))</f>
        <v/>
      </c>
      <c r="D5284" s="148" t="str">
        <f t="shared" ca="1" si="170"/>
        <v/>
      </c>
      <c r="E5284" s="148" t="str">
        <f t="shared" ca="1" si="171"/>
        <v/>
      </c>
    </row>
    <row r="5285" spans="2:5" x14ac:dyDescent="0.25">
      <c r="B5285">
        <v>42879</v>
      </c>
      <c r="C5285" s="6" t="str">
        <f ca="1">IF(OR($C$7="",$B5285&gt;NOW()),"",IF(INDEX(Data!$A:$G,MATCH($B5285,Data!$A:$A,0),MATCH($C$7,Data!$4:$4,0))="","",INDEX(Data!$A:$G,MATCH($B5285,Data!$A:$A,0),MATCH($C$7,Data!$4:$4,0))))</f>
        <v/>
      </c>
      <c r="D5285" s="148" t="str">
        <f t="shared" ca="1" si="170"/>
        <v/>
      </c>
      <c r="E5285" s="148" t="str">
        <f t="shared" ca="1" si="171"/>
        <v/>
      </c>
    </row>
    <row r="5286" spans="2:5" x14ac:dyDescent="0.25">
      <c r="B5286">
        <v>42880</v>
      </c>
      <c r="C5286" s="6" t="str">
        <f ca="1">IF(OR($C$7="",$B5286&gt;NOW()),"",IF(INDEX(Data!$A:$G,MATCH($B5286,Data!$A:$A,0),MATCH($C$7,Data!$4:$4,0))="","",INDEX(Data!$A:$G,MATCH($B5286,Data!$A:$A,0),MATCH($C$7,Data!$4:$4,0))))</f>
        <v/>
      </c>
      <c r="D5286" s="148" t="str">
        <f t="shared" ca="1" si="170"/>
        <v/>
      </c>
      <c r="E5286" s="148" t="str">
        <f t="shared" ca="1" si="171"/>
        <v/>
      </c>
    </row>
    <row r="5287" spans="2:5" x14ac:dyDescent="0.25">
      <c r="B5287">
        <v>42881</v>
      </c>
      <c r="C5287" s="6" t="str">
        <f ca="1">IF(OR($C$7="",$B5287&gt;NOW()),"",IF(INDEX(Data!$A:$G,MATCH($B5287,Data!$A:$A,0),MATCH($C$7,Data!$4:$4,0))="","",INDEX(Data!$A:$G,MATCH($B5287,Data!$A:$A,0),MATCH($C$7,Data!$4:$4,0))))</f>
        <v/>
      </c>
      <c r="D5287" s="148" t="str">
        <f t="shared" ca="1" si="170"/>
        <v/>
      </c>
      <c r="E5287" s="148" t="str">
        <f t="shared" ca="1" si="171"/>
        <v/>
      </c>
    </row>
    <row r="5288" spans="2:5" x14ac:dyDescent="0.25">
      <c r="B5288">
        <v>42882</v>
      </c>
      <c r="C5288" s="6" t="str">
        <f ca="1">IF(OR($C$7="",$B5288&gt;NOW()),"",IF(INDEX(Data!$A:$G,MATCH($B5288,Data!$A:$A,0),MATCH($C$7,Data!$4:$4,0))="","",INDEX(Data!$A:$G,MATCH($B5288,Data!$A:$A,0),MATCH($C$7,Data!$4:$4,0))))</f>
        <v/>
      </c>
      <c r="D5288" s="148" t="str">
        <f t="shared" ca="1" si="170"/>
        <v/>
      </c>
      <c r="E5288" s="148" t="str">
        <f t="shared" ca="1" si="171"/>
        <v/>
      </c>
    </row>
    <row r="5289" spans="2:5" x14ac:dyDescent="0.25">
      <c r="B5289">
        <v>42883</v>
      </c>
      <c r="C5289" s="6" t="str">
        <f ca="1">IF(OR($C$7="",$B5289&gt;NOW()),"",IF(INDEX(Data!$A:$G,MATCH($B5289,Data!$A:$A,0),MATCH($C$7,Data!$4:$4,0))="","",INDEX(Data!$A:$G,MATCH($B5289,Data!$A:$A,0),MATCH($C$7,Data!$4:$4,0))))</f>
        <v/>
      </c>
      <c r="D5289" s="148" t="str">
        <f t="shared" ca="1" si="170"/>
        <v/>
      </c>
      <c r="E5289" s="148" t="str">
        <f t="shared" ca="1" si="171"/>
        <v/>
      </c>
    </row>
    <row r="5290" spans="2:5" x14ac:dyDescent="0.25">
      <c r="B5290">
        <v>42884</v>
      </c>
      <c r="C5290" s="6" t="str">
        <f ca="1">IF(OR($C$7="",$B5290&gt;NOW()),"",IF(INDEX(Data!$A:$G,MATCH($B5290,Data!$A:$A,0),MATCH($C$7,Data!$4:$4,0))="","",INDEX(Data!$A:$G,MATCH($B5290,Data!$A:$A,0),MATCH($C$7,Data!$4:$4,0))))</f>
        <v/>
      </c>
      <c r="D5290" s="148" t="str">
        <f t="shared" ca="1" si="170"/>
        <v/>
      </c>
      <c r="E5290" s="148" t="str">
        <f t="shared" ca="1" si="171"/>
        <v/>
      </c>
    </row>
    <row r="5291" spans="2:5" x14ac:dyDescent="0.25">
      <c r="B5291">
        <v>42885</v>
      </c>
      <c r="C5291" s="6" t="str">
        <f ca="1">IF(OR($C$7="",$B5291&gt;NOW()),"",IF(INDEX(Data!$A:$G,MATCH($B5291,Data!$A:$A,0),MATCH($C$7,Data!$4:$4,0))="","",INDEX(Data!$A:$G,MATCH($B5291,Data!$A:$A,0),MATCH($C$7,Data!$4:$4,0))))</f>
        <v/>
      </c>
      <c r="D5291" s="148" t="str">
        <f t="shared" ca="1" si="170"/>
        <v/>
      </c>
      <c r="E5291" s="148" t="str">
        <f t="shared" ca="1" si="171"/>
        <v/>
      </c>
    </row>
    <row r="5292" spans="2:5" x14ac:dyDescent="0.25">
      <c r="B5292">
        <v>42886</v>
      </c>
      <c r="C5292" s="6" t="str">
        <f ca="1">IF(OR($C$7="",$B5292&gt;NOW()),"",IF(INDEX(Data!$A:$G,MATCH($B5292,Data!$A:$A,0),MATCH($C$7,Data!$4:$4,0))="","",INDEX(Data!$A:$G,MATCH($B5292,Data!$A:$A,0),MATCH($C$7,Data!$4:$4,0))))</f>
        <v/>
      </c>
      <c r="D5292" s="148" t="str">
        <f t="shared" ca="1" si="170"/>
        <v/>
      </c>
      <c r="E5292" s="148" t="str">
        <f t="shared" ca="1" si="171"/>
        <v/>
      </c>
    </row>
    <row r="5293" spans="2:5" x14ac:dyDescent="0.25">
      <c r="B5293">
        <v>42887</v>
      </c>
      <c r="C5293" s="6" t="str">
        <f ca="1">IF(OR($C$7="",$B5293&gt;NOW()),"",IF(INDEX(Data!$A:$G,MATCH($B5293,Data!$A:$A,0),MATCH($C$7,Data!$4:$4,0))="","",INDEX(Data!$A:$G,MATCH($B5293,Data!$A:$A,0),MATCH($C$7,Data!$4:$4,0))))</f>
        <v/>
      </c>
      <c r="D5293" s="148" t="str">
        <f t="shared" ca="1" si="170"/>
        <v/>
      </c>
      <c r="E5293" s="148" t="str">
        <f t="shared" ca="1" si="171"/>
        <v/>
      </c>
    </row>
    <row r="5294" spans="2:5" x14ac:dyDescent="0.25">
      <c r="B5294">
        <v>42888</v>
      </c>
      <c r="C5294" s="6" t="str">
        <f ca="1">IF(OR($C$7="",$B5294&gt;NOW()),"",IF(INDEX(Data!$A:$G,MATCH($B5294,Data!$A:$A,0),MATCH($C$7,Data!$4:$4,0))="","",INDEX(Data!$A:$G,MATCH($B5294,Data!$A:$A,0),MATCH($C$7,Data!$4:$4,0))))</f>
        <v/>
      </c>
      <c r="D5294" s="148" t="str">
        <f t="shared" ca="1" si="170"/>
        <v/>
      </c>
      <c r="E5294" s="148" t="str">
        <f t="shared" ca="1" si="171"/>
        <v/>
      </c>
    </row>
    <row r="5295" spans="2:5" x14ac:dyDescent="0.25">
      <c r="B5295">
        <v>42889</v>
      </c>
      <c r="C5295" s="6" t="str">
        <f ca="1">IF(OR($C$7="",$B5295&gt;NOW()),"",IF(INDEX(Data!$A:$G,MATCH($B5295,Data!$A:$A,0),MATCH($C$7,Data!$4:$4,0))="","",INDEX(Data!$A:$G,MATCH($B5295,Data!$A:$A,0),MATCH($C$7,Data!$4:$4,0))))</f>
        <v/>
      </c>
      <c r="D5295" s="148" t="str">
        <f t="shared" ca="1" si="170"/>
        <v/>
      </c>
      <c r="E5295" s="148" t="str">
        <f t="shared" ca="1" si="171"/>
        <v/>
      </c>
    </row>
    <row r="5296" spans="2:5" x14ac:dyDescent="0.25">
      <c r="B5296">
        <v>42890</v>
      </c>
      <c r="C5296" s="6" t="str">
        <f ca="1">IF(OR($C$7="",$B5296&gt;NOW()),"",IF(INDEX(Data!$A:$G,MATCH($B5296,Data!$A:$A,0),MATCH($C$7,Data!$4:$4,0))="","",INDEX(Data!$A:$G,MATCH($B5296,Data!$A:$A,0),MATCH($C$7,Data!$4:$4,0))))</f>
        <v/>
      </c>
      <c r="D5296" s="148" t="str">
        <f t="shared" ca="1" si="170"/>
        <v/>
      </c>
      <c r="E5296" s="148" t="str">
        <f t="shared" ca="1" si="171"/>
        <v/>
      </c>
    </row>
    <row r="5297" spans="2:5" x14ac:dyDescent="0.25">
      <c r="B5297">
        <v>42891</v>
      </c>
      <c r="C5297" s="6" t="str">
        <f ca="1">IF(OR($C$7="",$B5297&gt;NOW()),"",IF(INDEX(Data!$A:$G,MATCH($B5297,Data!$A:$A,0),MATCH($C$7,Data!$4:$4,0))="","",INDEX(Data!$A:$G,MATCH($B5297,Data!$A:$A,0),MATCH($C$7,Data!$4:$4,0))))</f>
        <v/>
      </c>
      <c r="D5297" s="148" t="str">
        <f t="shared" ca="1" si="170"/>
        <v/>
      </c>
      <c r="E5297" s="148" t="str">
        <f t="shared" ca="1" si="171"/>
        <v/>
      </c>
    </row>
    <row r="5298" spans="2:5" x14ac:dyDescent="0.25">
      <c r="B5298">
        <v>42892</v>
      </c>
      <c r="C5298" s="6" t="str">
        <f ca="1">IF(OR($C$7="",$B5298&gt;NOW()),"",IF(INDEX(Data!$A:$G,MATCH($B5298,Data!$A:$A,0),MATCH($C$7,Data!$4:$4,0))="","",INDEX(Data!$A:$G,MATCH($B5298,Data!$A:$A,0),MATCH($C$7,Data!$4:$4,0))))</f>
        <v/>
      </c>
      <c r="D5298" s="148" t="str">
        <f t="shared" ca="1" si="170"/>
        <v/>
      </c>
      <c r="E5298" s="148" t="str">
        <f t="shared" ca="1" si="171"/>
        <v/>
      </c>
    </row>
    <row r="5299" spans="2:5" x14ac:dyDescent="0.25">
      <c r="B5299">
        <v>42893</v>
      </c>
      <c r="C5299" s="6" t="str">
        <f ca="1">IF(OR($C$7="",$B5299&gt;NOW()),"",IF(INDEX(Data!$A:$G,MATCH($B5299,Data!$A:$A,0),MATCH($C$7,Data!$4:$4,0))="","",INDEX(Data!$A:$G,MATCH($B5299,Data!$A:$A,0),MATCH($C$7,Data!$4:$4,0))))</f>
        <v/>
      </c>
      <c r="D5299" s="148" t="str">
        <f t="shared" ca="1" si="170"/>
        <v/>
      </c>
      <c r="E5299" s="148" t="str">
        <f t="shared" ca="1" si="171"/>
        <v/>
      </c>
    </row>
    <row r="5300" spans="2:5" x14ac:dyDescent="0.25">
      <c r="B5300">
        <v>42894</v>
      </c>
      <c r="C5300" s="6" t="str">
        <f ca="1">IF(OR($C$7="",$B5300&gt;NOW()),"",IF(INDEX(Data!$A:$G,MATCH($B5300,Data!$A:$A,0),MATCH($C$7,Data!$4:$4,0))="","",INDEX(Data!$A:$G,MATCH($B5300,Data!$A:$A,0),MATCH($C$7,Data!$4:$4,0))))</f>
        <v/>
      </c>
      <c r="D5300" s="148" t="str">
        <f t="shared" ca="1" si="170"/>
        <v/>
      </c>
      <c r="E5300" s="148" t="str">
        <f t="shared" ca="1" si="171"/>
        <v/>
      </c>
    </row>
    <row r="5301" spans="2:5" x14ac:dyDescent="0.25">
      <c r="B5301">
        <v>42895</v>
      </c>
      <c r="C5301" s="6" t="str">
        <f ca="1">IF(OR($C$7="",$B5301&gt;NOW()),"",IF(INDEX(Data!$A:$G,MATCH($B5301,Data!$A:$A,0),MATCH($C$7,Data!$4:$4,0))="","",INDEX(Data!$A:$G,MATCH($B5301,Data!$A:$A,0),MATCH($C$7,Data!$4:$4,0))))</f>
        <v/>
      </c>
      <c r="D5301" s="148" t="str">
        <f t="shared" ca="1" si="170"/>
        <v/>
      </c>
      <c r="E5301" s="148" t="str">
        <f t="shared" ca="1" si="171"/>
        <v/>
      </c>
    </row>
    <row r="5302" spans="2:5" x14ac:dyDescent="0.25">
      <c r="B5302">
        <v>42896</v>
      </c>
      <c r="C5302" s="6" t="str">
        <f ca="1">IF(OR($C$7="",$B5302&gt;NOW()),"",IF(INDEX(Data!$A:$G,MATCH($B5302,Data!$A:$A,0),MATCH($C$7,Data!$4:$4,0))="","",INDEX(Data!$A:$G,MATCH($B5302,Data!$A:$A,0),MATCH($C$7,Data!$4:$4,0))))</f>
        <v/>
      </c>
      <c r="D5302" s="148" t="str">
        <f t="shared" ca="1" si="170"/>
        <v/>
      </c>
      <c r="E5302" s="148" t="str">
        <f t="shared" ca="1" si="171"/>
        <v/>
      </c>
    </row>
    <row r="5303" spans="2:5" x14ac:dyDescent="0.25">
      <c r="B5303">
        <v>42897</v>
      </c>
      <c r="C5303" s="6" t="str">
        <f ca="1">IF(OR($C$7="",$B5303&gt;NOW()),"",IF(INDEX(Data!$A:$G,MATCH($B5303,Data!$A:$A,0),MATCH($C$7,Data!$4:$4,0))="","",INDEX(Data!$A:$G,MATCH($B5303,Data!$A:$A,0),MATCH($C$7,Data!$4:$4,0))))</f>
        <v/>
      </c>
      <c r="D5303" s="148" t="str">
        <f t="shared" ca="1" si="170"/>
        <v/>
      </c>
      <c r="E5303" s="148" t="str">
        <f t="shared" ca="1" si="171"/>
        <v/>
      </c>
    </row>
    <row r="5304" spans="2:5" x14ac:dyDescent="0.25">
      <c r="B5304">
        <v>42898</v>
      </c>
      <c r="C5304" s="6" t="str">
        <f ca="1">IF(OR($C$7="",$B5304&gt;NOW()),"",IF(INDEX(Data!$A:$G,MATCH($B5304,Data!$A:$A,0),MATCH($C$7,Data!$4:$4,0))="","",INDEX(Data!$A:$G,MATCH($B5304,Data!$A:$A,0),MATCH($C$7,Data!$4:$4,0))))</f>
        <v/>
      </c>
      <c r="D5304" s="148" t="str">
        <f t="shared" ca="1" si="170"/>
        <v/>
      </c>
      <c r="E5304" s="148" t="str">
        <f t="shared" ca="1" si="171"/>
        <v/>
      </c>
    </row>
    <row r="5305" spans="2:5" x14ac:dyDescent="0.25">
      <c r="B5305">
        <v>42899</v>
      </c>
      <c r="C5305" s="6" t="str">
        <f ca="1">IF(OR($C$7="",$B5305&gt;NOW()),"",IF(INDEX(Data!$A:$G,MATCH($B5305,Data!$A:$A,0),MATCH($C$7,Data!$4:$4,0))="","",INDEX(Data!$A:$G,MATCH($B5305,Data!$A:$A,0),MATCH($C$7,Data!$4:$4,0))))</f>
        <v/>
      </c>
      <c r="D5305" s="148" t="str">
        <f t="shared" ca="1" si="170"/>
        <v/>
      </c>
      <c r="E5305" s="148" t="str">
        <f t="shared" ca="1" si="171"/>
        <v/>
      </c>
    </row>
    <row r="5306" spans="2:5" x14ac:dyDescent="0.25">
      <c r="B5306">
        <v>42900</v>
      </c>
      <c r="C5306" s="6" t="str">
        <f ca="1">IF(OR($C$7="",$B5306&gt;NOW()),"",IF(INDEX(Data!$A:$G,MATCH($B5306,Data!$A:$A,0),MATCH($C$7,Data!$4:$4,0))="","",INDEX(Data!$A:$G,MATCH($B5306,Data!$A:$A,0),MATCH($C$7,Data!$4:$4,0))))</f>
        <v/>
      </c>
      <c r="D5306" s="148" t="str">
        <f t="shared" ca="1" si="170"/>
        <v/>
      </c>
      <c r="E5306" s="148" t="str">
        <f t="shared" ca="1" si="171"/>
        <v/>
      </c>
    </row>
    <row r="5307" spans="2:5" x14ac:dyDescent="0.25">
      <c r="B5307">
        <v>42901</v>
      </c>
      <c r="C5307" s="6" t="str">
        <f ca="1">IF(OR($C$7="",$B5307&gt;NOW()),"",IF(INDEX(Data!$A:$G,MATCH($B5307,Data!$A:$A,0),MATCH($C$7,Data!$4:$4,0))="","",INDEX(Data!$A:$G,MATCH($B5307,Data!$A:$A,0),MATCH($C$7,Data!$4:$4,0))))</f>
        <v/>
      </c>
      <c r="D5307" s="148" t="str">
        <f t="shared" ca="1" si="170"/>
        <v/>
      </c>
      <c r="E5307" s="148" t="str">
        <f t="shared" ca="1" si="171"/>
        <v/>
      </c>
    </row>
    <row r="5308" spans="2:5" x14ac:dyDescent="0.25">
      <c r="B5308">
        <v>42902</v>
      </c>
      <c r="C5308" s="6" t="str">
        <f ca="1">IF(OR($C$7="",$B5308&gt;NOW()),"",IF(INDEX(Data!$A:$G,MATCH($B5308,Data!$A:$A,0),MATCH($C$7,Data!$4:$4,0))="","",INDEX(Data!$A:$G,MATCH($B5308,Data!$A:$A,0),MATCH($C$7,Data!$4:$4,0))))</f>
        <v/>
      </c>
      <c r="D5308" s="148" t="str">
        <f t="shared" ca="1" si="170"/>
        <v/>
      </c>
      <c r="E5308" s="148" t="str">
        <f t="shared" ca="1" si="171"/>
        <v/>
      </c>
    </row>
    <row r="5309" spans="2:5" x14ac:dyDescent="0.25">
      <c r="B5309">
        <v>42903</v>
      </c>
      <c r="C5309" s="6" t="str">
        <f ca="1">IF(OR($C$7="",$B5309&gt;NOW()),"",IF(INDEX(Data!$A:$G,MATCH($B5309,Data!$A:$A,0),MATCH($C$7,Data!$4:$4,0))="","",INDEX(Data!$A:$G,MATCH($B5309,Data!$A:$A,0),MATCH($C$7,Data!$4:$4,0))))</f>
        <v/>
      </c>
      <c r="D5309" s="148" t="str">
        <f t="shared" ca="1" si="170"/>
        <v/>
      </c>
      <c r="E5309" s="148" t="str">
        <f t="shared" ca="1" si="171"/>
        <v/>
      </c>
    </row>
    <row r="5310" spans="2:5" x14ac:dyDescent="0.25">
      <c r="B5310">
        <v>42904</v>
      </c>
      <c r="C5310" s="6" t="str">
        <f ca="1">IF(OR($C$7="",$B5310&gt;NOW()),"",IF(INDEX(Data!$A:$G,MATCH($B5310,Data!$A:$A,0),MATCH($C$7,Data!$4:$4,0))="","",INDEX(Data!$A:$G,MATCH($B5310,Data!$A:$A,0),MATCH($C$7,Data!$4:$4,0))))</f>
        <v/>
      </c>
      <c r="D5310" s="148" t="str">
        <f t="shared" ca="1" si="170"/>
        <v/>
      </c>
      <c r="E5310" s="148" t="str">
        <f t="shared" ca="1" si="171"/>
        <v/>
      </c>
    </row>
    <row r="5311" spans="2:5" x14ac:dyDescent="0.25">
      <c r="B5311">
        <v>42905</v>
      </c>
      <c r="C5311" s="6" t="str">
        <f ca="1">IF(OR($C$7="",$B5311&gt;NOW()),"",IF(INDEX(Data!$A:$G,MATCH($B5311,Data!$A:$A,0),MATCH($C$7,Data!$4:$4,0))="","",INDEX(Data!$A:$G,MATCH($B5311,Data!$A:$A,0),MATCH($C$7,Data!$4:$4,0))))</f>
        <v/>
      </c>
      <c r="D5311" s="148" t="str">
        <f t="shared" ca="1" si="170"/>
        <v/>
      </c>
      <c r="E5311" s="148" t="str">
        <f t="shared" ca="1" si="171"/>
        <v/>
      </c>
    </row>
    <row r="5312" spans="2:5" x14ac:dyDescent="0.25">
      <c r="B5312">
        <v>42906</v>
      </c>
      <c r="C5312" s="6" t="str">
        <f ca="1">IF(OR($C$7="",$B5312&gt;NOW()),"",IF(INDEX(Data!$A:$G,MATCH($B5312,Data!$A:$A,0),MATCH($C$7,Data!$4:$4,0))="","",INDEX(Data!$A:$G,MATCH($B5312,Data!$A:$A,0),MATCH($C$7,Data!$4:$4,0))))</f>
        <v/>
      </c>
      <c r="D5312" s="148" t="str">
        <f t="shared" ca="1" si="170"/>
        <v/>
      </c>
      <c r="E5312" s="148" t="str">
        <f t="shared" ca="1" si="171"/>
        <v/>
      </c>
    </row>
    <row r="5313" spans="2:5" x14ac:dyDescent="0.25">
      <c r="B5313">
        <v>42907</v>
      </c>
      <c r="C5313" s="6" t="str">
        <f ca="1">IF(OR($C$7="",$B5313&gt;NOW()),"",IF(INDEX(Data!$A:$G,MATCH($B5313,Data!$A:$A,0),MATCH($C$7,Data!$4:$4,0))="","",INDEX(Data!$A:$G,MATCH($B5313,Data!$A:$A,0),MATCH($C$7,Data!$4:$4,0))))</f>
        <v/>
      </c>
      <c r="D5313" s="148" t="str">
        <f t="shared" ca="1" si="170"/>
        <v/>
      </c>
      <c r="E5313" s="148" t="str">
        <f t="shared" ca="1" si="171"/>
        <v/>
      </c>
    </row>
    <row r="5314" spans="2:5" x14ac:dyDescent="0.25">
      <c r="B5314">
        <v>42908</v>
      </c>
      <c r="C5314" s="6" t="str">
        <f ca="1">IF(OR($C$7="",$B5314&gt;NOW()),"",IF(INDEX(Data!$A:$G,MATCH($B5314,Data!$A:$A,0),MATCH($C$7,Data!$4:$4,0))="","",INDEX(Data!$A:$G,MATCH($B5314,Data!$A:$A,0),MATCH($C$7,Data!$4:$4,0))))</f>
        <v/>
      </c>
      <c r="D5314" s="148" t="str">
        <f t="shared" ca="1" si="170"/>
        <v/>
      </c>
      <c r="E5314" s="148" t="str">
        <f t="shared" ca="1" si="171"/>
        <v/>
      </c>
    </row>
    <row r="5315" spans="2:5" x14ac:dyDescent="0.25">
      <c r="B5315">
        <v>42909</v>
      </c>
      <c r="C5315" s="6" t="str">
        <f ca="1">IF(OR($C$7="",$B5315&gt;NOW()),"",IF(INDEX(Data!$A:$G,MATCH($B5315,Data!$A:$A,0),MATCH($C$7,Data!$4:$4,0))="","",INDEX(Data!$A:$G,MATCH($B5315,Data!$A:$A,0),MATCH($C$7,Data!$4:$4,0))))</f>
        <v/>
      </c>
      <c r="D5315" s="148" t="str">
        <f t="shared" ca="1" si="170"/>
        <v/>
      </c>
      <c r="E5315" s="148" t="str">
        <f t="shared" ca="1" si="171"/>
        <v/>
      </c>
    </row>
    <row r="5316" spans="2:5" x14ac:dyDescent="0.25">
      <c r="B5316">
        <v>42910</v>
      </c>
      <c r="C5316" s="6" t="str">
        <f ca="1">IF(OR($C$7="",$B5316&gt;NOW()),"",IF(INDEX(Data!$A:$G,MATCH($B5316,Data!$A:$A,0),MATCH($C$7,Data!$4:$4,0))="","",INDEX(Data!$A:$G,MATCH($B5316,Data!$A:$A,0),MATCH($C$7,Data!$4:$4,0))))</f>
        <v/>
      </c>
      <c r="D5316" s="148" t="str">
        <f t="shared" ca="1" si="170"/>
        <v/>
      </c>
      <c r="E5316" s="148" t="str">
        <f t="shared" ca="1" si="171"/>
        <v/>
      </c>
    </row>
    <row r="5317" spans="2:5" x14ac:dyDescent="0.25">
      <c r="B5317">
        <v>42911</v>
      </c>
      <c r="C5317" s="6" t="str">
        <f ca="1">IF(OR($C$7="",$B5317&gt;NOW()),"",IF(INDEX(Data!$A:$G,MATCH($B5317,Data!$A:$A,0),MATCH($C$7,Data!$4:$4,0))="","",INDEX(Data!$A:$G,MATCH($B5317,Data!$A:$A,0),MATCH($C$7,Data!$4:$4,0))))</f>
        <v/>
      </c>
      <c r="D5317" s="148" t="str">
        <f t="shared" ca="1" si="170"/>
        <v/>
      </c>
      <c r="E5317" s="148" t="str">
        <f t="shared" ca="1" si="171"/>
        <v/>
      </c>
    </row>
    <row r="5318" spans="2:5" x14ac:dyDescent="0.25">
      <c r="B5318">
        <v>42912</v>
      </c>
      <c r="C5318" s="6" t="str">
        <f ca="1">IF(OR($C$7="",$B5318&gt;NOW()),"",IF(INDEX(Data!$A:$G,MATCH($B5318,Data!$A:$A,0),MATCH($C$7,Data!$4:$4,0))="","",INDEX(Data!$A:$G,MATCH($B5318,Data!$A:$A,0),MATCH($C$7,Data!$4:$4,0))))</f>
        <v/>
      </c>
      <c r="D5318" s="148" t="str">
        <f t="shared" ca="1" si="170"/>
        <v/>
      </c>
      <c r="E5318" s="148" t="str">
        <f t="shared" ca="1" si="171"/>
        <v/>
      </c>
    </row>
    <row r="5319" spans="2:5" x14ac:dyDescent="0.25">
      <c r="B5319">
        <v>42913</v>
      </c>
      <c r="C5319" s="6" t="str">
        <f ca="1">IF(OR($C$7="",$B5319&gt;NOW()),"",IF(INDEX(Data!$A:$G,MATCH($B5319,Data!$A:$A,0),MATCH($C$7,Data!$4:$4,0))="","",INDEX(Data!$A:$G,MATCH($B5319,Data!$A:$A,0),MATCH($C$7,Data!$4:$4,0))))</f>
        <v/>
      </c>
      <c r="D5319" s="148" t="str">
        <f t="shared" ca="1" si="170"/>
        <v/>
      </c>
      <c r="E5319" s="148" t="str">
        <f t="shared" ca="1" si="171"/>
        <v/>
      </c>
    </row>
    <row r="5320" spans="2:5" x14ac:dyDescent="0.25">
      <c r="B5320">
        <v>42914</v>
      </c>
      <c r="C5320" s="6" t="str">
        <f ca="1">IF(OR($C$7="",$B5320&gt;NOW()),"",IF(INDEX(Data!$A:$G,MATCH($B5320,Data!$A:$A,0),MATCH($C$7,Data!$4:$4,0))="","",INDEX(Data!$A:$G,MATCH($B5320,Data!$A:$A,0),MATCH($C$7,Data!$4:$4,0))))</f>
        <v/>
      </c>
      <c r="D5320" s="148" t="str">
        <f t="shared" ca="1" si="170"/>
        <v/>
      </c>
      <c r="E5320" s="148" t="str">
        <f t="shared" ca="1" si="171"/>
        <v/>
      </c>
    </row>
    <row r="5321" spans="2:5" x14ac:dyDescent="0.25">
      <c r="B5321">
        <v>42915</v>
      </c>
      <c r="C5321" s="6" t="str">
        <f ca="1">IF(OR($C$7="",$B5321&gt;NOW()),"",IF(INDEX(Data!$A:$G,MATCH($B5321,Data!$A:$A,0),MATCH($C$7,Data!$4:$4,0))="","",INDEX(Data!$A:$G,MATCH($B5321,Data!$A:$A,0),MATCH($C$7,Data!$4:$4,0))))</f>
        <v/>
      </c>
      <c r="D5321" s="148" t="str">
        <f t="shared" ca="1" si="170"/>
        <v/>
      </c>
      <c r="E5321" s="148" t="str">
        <f t="shared" ca="1" si="171"/>
        <v/>
      </c>
    </row>
    <row r="5322" spans="2:5" x14ac:dyDescent="0.25">
      <c r="B5322">
        <v>42916</v>
      </c>
      <c r="C5322" s="6" t="str">
        <f ca="1">IF(OR($C$7="",$B5322&gt;NOW()),"",IF(INDEX(Data!$A:$G,MATCH($B5322,Data!$A:$A,0),MATCH($C$7,Data!$4:$4,0))="","",INDEX(Data!$A:$G,MATCH($B5322,Data!$A:$A,0),MATCH($C$7,Data!$4:$4,0))))</f>
        <v/>
      </c>
      <c r="D5322" s="148" t="str">
        <f t="shared" ca="1" si="170"/>
        <v/>
      </c>
      <c r="E5322" s="148" t="str">
        <f t="shared" ca="1" si="171"/>
        <v/>
      </c>
    </row>
    <row r="5323" spans="2:5" x14ac:dyDescent="0.25">
      <c r="B5323">
        <v>42917</v>
      </c>
      <c r="C5323" s="6" t="str">
        <f ca="1">IF(OR($C$7="",$B5323&gt;NOW()),"",IF(INDEX(Data!$A:$G,MATCH($B5323,Data!$A:$A,0),MATCH($C$7,Data!$4:$4,0))="","",INDEX(Data!$A:$G,MATCH($B5323,Data!$A:$A,0),MATCH($C$7,Data!$4:$4,0))))</f>
        <v/>
      </c>
      <c r="D5323" s="148" t="str">
        <f t="shared" ca="1" si="170"/>
        <v/>
      </c>
      <c r="E5323" s="148" t="str">
        <f t="shared" ca="1" si="171"/>
        <v/>
      </c>
    </row>
    <row r="5324" spans="2:5" x14ac:dyDescent="0.25">
      <c r="B5324">
        <v>42918</v>
      </c>
      <c r="C5324" s="6" t="str">
        <f ca="1">IF(OR($C$7="",$B5324&gt;NOW()),"",IF(INDEX(Data!$A:$G,MATCH($B5324,Data!$A:$A,0),MATCH($C$7,Data!$4:$4,0))="","",INDEX(Data!$A:$G,MATCH($B5324,Data!$A:$A,0),MATCH($C$7,Data!$4:$4,0))))</f>
        <v/>
      </c>
      <c r="D5324" s="148" t="str">
        <f t="shared" ca="1" si="170"/>
        <v/>
      </c>
      <c r="E5324" s="148" t="str">
        <f t="shared" ca="1" si="171"/>
        <v/>
      </c>
    </row>
    <row r="5325" spans="2:5" x14ac:dyDescent="0.25">
      <c r="B5325">
        <v>42919</v>
      </c>
      <c r="C5325" s="6" t="str">
        <f ca="1">IF(OR($C$7="",$B5325&gt;NOW()),"",IF(INDEX(Data!$A:$G,MATCH($B5325,Data!$A:$A,0),MATCH($C$7,Data!$4:$4,0))="","",INDEX(Data!$A:$G,MATCH($B5325,Data!$A:$A,0),MATCH($C$7,Data!$4:$4,0))))</f>
        <v/>
      </c>
      <c r="D5325" s="148" t="str">
        <f t="shared" ca="1" si="170"/>
        <v/>
      </c>
      <c r="E5325" s="148" t="str">
        <f t="shared" ca="1" si="171"/>
        <v/>
      </c>
    </row>
    <row r="5326" spans="2:5" x14ac:dyDescent="0.25">
      <c r="B5326">
        <v>42920</v>
      </c>
      <c r="C5326" s="6" t="str">
        <f ca="1">IF(OR($C$7="",$B5326&gt;NOW()),"",IF(INDEX(Data!$A:$G,MATCH($B5326,Data!$A:$A,0),MATCH($C$7,Data!$4:$4,0))="","",INDEX(Data!$A:$G,MATCH($B5326,Data!$A:$A,0),MATCH($C$7,Data!$4:$4,0))))</f>
        <v/>
      </c>
      <c r="D5326" s="148" t="str">
        <f t="shared" ca="1" si="170"/>
        <v/>
      </c>
      <c r="E5326" s="148" t="str">
        <f t="shared" ca="1" si="171"/>
        <v/>
      </c>
    </row>
    <row r="5327" spans="2:5" x14ac:dyDescent="0.25">
      <c r="B5327">
        <v>42921</v>
      </c>
      <c r="C5327" s="6" t="str">
        <f ca="1">IF(OR($C$7="",$B5327&gt;NOW()),"",IF(INDEX(Data!$A:$G,MATCH($B5327,Data!$A:$A,0),MATCH($C$7,Data!$4:$4,0))="","",INDEX(Data!$A:$G,MATCH($B5327,Data!$A:$A,0),MATCH($C$7,Data!$4:$4,0))))</f>
        <v/>
      </c>
      <c r="D5327" s="148" t="str">
        <f t="shared" ca="1" si="170"/>
        <v/>
      </c>
      <c r="E5327" s="148" t="str">
        <f t="shared" ca="1" si="171"/>
        <v/>
      </c>
    </row>
    <row r="5328" spans="2:5" x14ac:dyDescent="0.25">
      <c r="B5328">
        <v>42922</v>
      </c>
      <c r="C5328" s="6" t="str">
        <f ca="1">IF(OR($C$7="",$B5328&gt;NOW()),"",IF(INDEX(Data!$A:$G,MATCH($B5328,Data!$A:$A,0),MATCH($C$7,Data!$4:$4,0))="","",INDEX(Data!$A:$G,MATCH($B5328,Data!$A:$A,0),MATCH($C$7,Data!$4:$4,0))))</f>
        <v/>
      </c>
      <c r="D5328" s="148" t="str">
        <f t="shared" ca="1" si="170"/>
        <v/>
      </c>
      <c r="E5328" s="148" t="str">
        <f t="shared" ca="1" si="171"/>
        <v/>
      </c>
    </row>
    <row r="5329" spans="2:5" x14ac:dyDescent="0.25">
      <c r="B5329">
        <v>42923</v>
      </c>
      <c r="C5329" s="6" t="str">
        <f ca="1">IF(OR($C$7="",$B5329&gt;NOW()),"",IF(INDEX(Data!$A:$G,MATCH($B5329,Data!$A:$A,0),MATCH($C$7,Data!$4:$4,0))="","",INDEX(Data!$A:$G,MATCH($B5329,Data!$A:$A,0),MATCH($C$7,Data!$4:$4,0))))</f>
        <v/>
      </c>
      <c r="D5329" s="148" t="str">
        <f t="shared" ca="1" si="170"/>
        <v/>
      </c>
      <c r="E5329" s="148" t="str">
        <f t="shared" ca="1" si="171"/>
        <v/>
      </c>
    </row>
    <row r="5330" spans="2:5" x14ac:dyDescent="0.25">
      <c r="B5330">
        <v>42924</v>
      </c>
      <c r="C5330" s="6" t="str">
        <f ca="1">IF(OR($C$7="",$B5330&gt;NOW()),"",IF(INDEX(Data!$A:$G,MATCH($B5330,Data!$A:$A,0),MATCH($C$7,Data!$4:$4,0))="","",INDEX(Data!$A:$G,MATCH($B5330,Data!$A:$A,0),MATCH($C$7,Data!$4:$4,0))))</f>
        <v/>
      </c>
      <c r="D5330" s="148" t="str">
        <f t="shared" ca="1" si="170"/>
        <v/>
      </c>
      <c r="E5330" s="148" t="str">
        <f t="shared" ca="1" si="171"/>
        <v/>
      </c>
    </row>
    <row r="5331" spans="2:5" x14ac:dyDescent="0.25">
      <c r="B5331">
        <v>42925</v>
      </c>
      <c r="C5331" s="6" t="str">
        <f ca="1">IF(OR($C$7="",$B5331&gt;NOW()),"",IF(INDEX(Data!$A:$G,MATCH($B5331,Data!$A:$A,0),MATCH($C$7,Data!$4:$4,0))="","",INDEX(Data!$A:$G,MATCH($B5331,Data!$A:$A,0),MATCH($C$7,Data!$4:$4,0))))</f>
        <v/>
      </c>
      <c r="D5331" s="148" t="str">
        <f t="shared" ca="1" si="170"/>
        <v/>
      </c>
      <c r="E5331" s="148" t="str">
        <f t="shared" ca="1" si="171"/>
        <v/>
      </c>
    </row>
    <row r="5332" spans="2:5" x14ac:dyDescent="0.25">
      <c r="B5332">
        <v>42926</v>
      </c>
      <c r="C5332" s="6" t="str">
        <f ca="1">IF(OR($C$7="",$B5332&gt;NOW()),"",IF(INDEX(Data!$A:$G,MATCH($B5332,Data!$A:$A,0),MATCH($C$7,Data!$4:$4,0))="","",INDEX(Data!$A:$G,MATCH($B5332,Data!$A:$A,0),MATCH($C$7,Data!$4:$4,0))))</f>
        <v/>
      </c>
      <c r="D5332" s="148" t="str">
        <f t="shared" ca="1" si="170"/>
        <v/>
      </c>
      <c r="E5332" s="148" t="str">
        <f t="shared" ca="1" si="171"/>
        <v/>
      </c>
    </row>
    <row r="5333" spans="2:5" x14ac:dyDescent="0.25">
      <c r="B5333">
        <v>42927</v>
      </c>
      <c r="C5333" s="6" t="str">
        <f ca="1">IF(OR($C$7="",$B5333&gt;NOW()),"",IF(INDEX(Data!$A:$G,MATCH($B5333,Data!$A:$A,0),MATCH($C$7,Data!$4:$4,0))="","",INDEX(Data!$A:$G,MATCH($B5333,Data!$A:$A,0),MATCH($C$7,Data!$4:$4,0))))</f>
        <v/>
      </c>
      <c r="D5333" s="148" t="str">
        <f t="shared" ca="1" si="170"/>
        <v/>
      </c>
      <c r="E5333" s="148" t="str">
        <f t="shared" ca="1" si="171"/>
        <v/>
      </c>
    </row>
    <row r="5334" spans="2:5" x14ac:dyDescent="0.25">
      <c r="B5334">
        <v>42928</v>
      </c>
      <c r="C5334" s="6" t="str">
        <f ca="1">IF(OR($C$7="",$B5334&gt;NOW()),"",IF(INDEX(Data!$A:$G,MATCH($B5334,Data!$A:$A,0),MATCH($C$7,Data!$4:$4,0))="","",INDEX(Data!$A:$G,MATCH($B5334,Data!$A:$A,0),MATCH($C$7,Data!$4:$4,0))))</f>
        <v/>
      </c>
      <c r="D5334" s="148" t="str">
        <f t="shared" ca="1" si="170"/>
        <v/>
      </c>
      <c r="E5334" s="148" t="str">
        <f t="shared" ca="1" si="171"/>
        <v/>
      </c>
    </row>
    <row r="5335" spans="2:5" x14ac:dyDescent="0.25">
      <c r="B5335">
        <v>42929</v>
      </c>
      <c r="C5335" s="6" t="str">
        <f ca="1">IF(OR($C$7="",$B5335&gt;NOW()),"",IF(INDEX(Data!$A:$G,MATCH($B5335,Data!$A:$A,0),MATCH($C$7,Data!$4:$4,0))="","",INDEX(Data!$A:$G,MATCH($B5335,Data!$A:$A,0),MATCH($C$7,Data!$4:$4,0))))</f>
        <v/>
      </c>
      <c r="D5335" s="148" t="str">
        <f t="shared" ca="1" si="170"/>
        <v/>
      </c>
      <c r="E5335" s="148" t="str">
        <f t="shared" ca="1" si="171"/>
        <v/>
      </c>
    </row>
    <row r="5336" spans="2:5" x14ac:dyDescent="0.25">
      <c r="B5336">
        <v>42930</v>
      </c>
      <c r="C5336" s="6" t="str">
        <f ca="1">IF(OR($C$7="",$B5336&gt;NOW()),"",IF(INDEX(Data!$A:$G,MATCH($B5336,Data!$A:$A,0),MATCH($C$7,Data!$4:$4,0))="","",INDEX(Data!$A:$G,MATCH($B5336,Data!$A:$A,0),MATCH($C$7,Data!$4:$4,0))))</f>
        <v/>
      </c>
      <c r="D5336" s="148" t="str">
        <f t="shared" ca="1" si="170"/>
        <v/>
      </c>
      <c r="E5336" s="148" t="str">
        <f t="shared" ca="1" si="171"/>
        <v/>
      </c>
    </row>
    <row r="5337" spans="2:5" x14ac:dyDescent="0.25">
      <c r="B5337">
        <v>42931</v>
      </c>
      <c r="C5337" s="6" t="str">
        <f ca="1">IF(OR($C$7="",$B5337&gt;NOW()),"",IF(INDEX(Data!$A:$G,MATCH($B5337,Data!$A:$A,0),MATCH($C$7,Data!$4:$4,0))="","",INDEX(Data!$A:$G,MATCH($B5337,Data!$A:$A,0),MATCH($C$7,Data!$4:$4,0))))</f>
        <v/>
      </c>
      <c r="D5337" s="148" t="str">
        <f t="shared" ca="1" si="170"/>
        <v/>
      </c>
      <c r="E5337" s="148" t="str">
        <f t="shared" ca="1" si="171"/>
        <v/>
      </c>
    </row>
    <row r="5338" spans="2:5" x14ac:dyDescent="0.25">
      <c r="B5338">
        <v>42932</v>
      </c>
      <c r="C5338" s="6" t="str">
        <f ca="1">IF(OR($C$7="",$B5338&gt;NOW()),"",IF(INDEX(Data!$A:$G,MATCH($B5338,Data!$A:$A,0),MATCH($C$7,Data!$4:$4,0))="","",INDEX(Data!$A:$G,MATCH($B5338,Data!$A:$A,0),MATCH($C$7,Data!$4:$4,0))))</f>
        <v/>
      </c>
      <c r="D5338" s="148" t="str">
        <f t="shared" ca="1" si="170"/>
        <v/>
      </c>
      <c r="E5338" s="148" t="str">
        <f t="shared" ca="1" si="171"/>
        <v/>
      </c>
    </row>
    <row r="5339" spans="2:5" x14ac:dyDescent="0.25">
      <c r="B5339">
        <v>42933</v>
      </c>
      <c r="C5339" s="6" t="str">
        <f ca="1">IF(OR($C$7="",$B5339&gt;NOW()),"",IF(INDEX(Data!$A:$G,MATCH($B5339,Data!$A:$A,0),MATCH($C$7,Data!$4:$4,0))="","",INDEX(Data!$A:$G,MATCH($B5339,Data!$A:$A,0),MATCH($C$7,Data!$4:$4,0))))</f>
        <v/>
      </c>
      <c r="D5339" s="148" t="str">
        <f t="shared" ca="1" si="170"/>
        <v/>
      </c>
      <c r="E5339" s="148" t="str">
        <f t="shared" ca="1" si="171"/>
        <v/>
      </c>
    </row>
    <row r="5340" spans="2:5" x14ac:dyDescent="0.25">
      <c r="B5340">
        <v>42934</v>
      </c>
      <c r="C5340" s="6" t="str">
        <f ca="1">IF(OR($C$7="",$B5340&gt;NOW()),"",IF(INDEX(Data!$A:$G,MATCH($B5340,Data!$A:$A,0),MATCH($C$7,Data!$4:$4,0))="","",INDEX(Data!$A:$G,MATCH($B5340,Data!$A:$A,0),MATCH($C$7,Data!$4:$4,0))))</f>
        <v/>
      </c>
      <c r="D5340" s="148" t="str">
        <f t="shared" ca="1" si="170"/>
        <v/>
      </c>
      <c r="E5340" s="148" t="str">
        <f t="shared" ca="1" si="171"/>
        <v/>
      </c>
    </row>
    <row r="5341" spans="2:5" x14ac:dyDescent="0.25">
      <c r="B5341">
        <v>42935</v>
      </c>
      <c r="C5341" s="6" t="str">
        <f ca="1">IF(OR($C$7="",$B5341&gt;NOW()),"",IF(INDEX(Data!$A:$G,MATCH($B5341,Data!$A:$A,0),MATCH($C$7,Data!$4:$4,0))="","",INDEX(Data!$A:$G,MATCH($B5341,Data!$A:$A,0),MATCH($C$7,Data!$4:$4,0))))</f>
        <v/>
      </c>
      <c r="D5341" s="148" t="str">
        <f t="shared" ref="D5341:D5404" ca="1" si="172">IF($C5341="","",IF($C5341&gt;$D$26,0,$D$26-$C5341))</f>
        <v/>
      </c>
      <c r="E5341" s="148" t="str">
        <f t="shared" ref="E5341:E5404" ca="1" si="173">IF($C5341="","",IF($C5341&lt;$E$26,0,$C5341-$E$26))</f>
        <v/>
      </c>
    </row>
    <row r="5342" spans="2:5" x14ac:dyDescent="0.25">
      <c r="B5342">
        <v>42936</v>
      </c>
      <c r="C5342" s="6" t="str">
        <f ca="1">IF(OR($C$7="",$B5342&gt;NOW()),"",IF(INDEX(Data!$A:$G,MATCH($B5342,Data!$A:$A,0),MATCH($C$7,Data!$4:$4,0))="","",INDEX(Data!$A:$G,MATCH($B5342,Data!$A:$A,0),MATCH($C$7,Data!$4:$4,0))))</f>
        <v/>
      </c>
      <c r="D5342" s="148" t="str">
        <f t="shared" ca="1" si="172"/>
        <v/>
      </c>
      <c r="E5342" s="148" t="str">
        <f t="shared" ca="1" si="173"/>
        <v/>
      </c>
    </row>
    <row r="5343" spans="2:5" x14ac:dyDescent="0.25">
      <c r="B5343">
        <v>42937</v>
      </c>
      <c r="C5343" s="6" t="str">
        <f ca="1">IF(OR($C$7="",$B5343&gt;NOW()),"",IF(INDEX(Data!$A:$G,MATCH($B5343,Data!$A:$A,0),MATCH($C$7,Data!$4:$4,0))="","",INDEX(Data!$A:$G,MATCH($B5343,Data!$A:$A,0),MATCH($C$7,Data!$4:$4,0))))</f>
        <v/>
      </c>
      <c r="D5343" s="148" t="str">
        <f t="shared" ca="1" si="172"/>
        <v/>
      </c>
      <c r="E5343" s="148" t="str">
        <f t="shared" ca="1" si="173"/>
        <v/>
      </c>
    </row>
    <row r="5344" spans="2:5" x14ac:dyDescent="0.25">
      <c r="B5344">
        <v>42938</v>
      </c>
      <c r="C5344" s="6" t="str">
        <f ca="1">IF(OR($C$7="",$B5344&gt;NOW()),"",IF(INDEX(Data!$A:$G,MATCH($B5344,Data!$A:$A,0),MATCH($C$7,Data!$4:$4,0))="","",INDEX(Data!$A:$G,MATCH($B5344,Data!$A:$A,0),MATCH($C$7,Data!$4:$4,0))))</f>
        <v/>
      </c>
      <c r="D5344" s="148" t="str">
        <f t="shared" ca="1" si="172"/>
        <v/>
      </c>
      <c r="E5344" s="148" t="str">
        <f t="shared" ca="1" si="173"/>
        <v/>
      </c>
    </row>
    <row r="5345" spans="2:5" x14ac:dyDescent="0.25">
      <c r="B5345">
        <v>42939</v>
      </c>
      <c r="C5345" s="6" t="str">
        <f ca="1">IF(OR($C$7="",$B5345&gt;NOW()),"",IF(INDEX(Data!$A:$G,MATCH($B5345,Data!$A:$A,0),MATCH($C$7,Data!$4:$4,0))="","",INDEX(Data!$A:$G,MATCH($B5345,Data!$A:$A,0),MATCH($C$7,Data!$4:$4,0))))</f>
        <v/>
      </c>
      <c r="D5345" s="148" t="str">
        <f t="shared" ca="1" si="172"/>
        <v/>
      </c>
      <c r="E5345" s="148" t="str">
        <f t="shared" ca="1" si="173"/>
        <v/>
      </c>
    </row>
    <row r="5346" spans="2:5" x14ac:dyDescent="0.25">
      <c r="B5346">
        <v>42940</v>
      </c>
      <c r="C5346" s="6" t="str">
        <f ca="1">IF(OR($C$7="",$B5346&gt;NOW()),"",IF(INDEX(Data!$A:$G,MATCH($B5346,Data!$A:$A,0),MATCH($C$7,Data!$4:$4,0))="","",INDEX(Data!$A:$G,MATCH($B5346,Data!$A:$A,0),MATCH($C$7,Data!$4:$4,0))))</f>
        <v/>
      </c>
      <c r="D5346" s="148" t="str">
        <f t="shared" ca="1" si="172"/>
        <v/>
      </c>
      <c r="E5346" s="148" t="str">
        <f t="shared" ca="1" si="173"/>
        <v/>
      </c>
    </row>
    <row r="5347" spans="2:5" x14ac:dyDescent="0.25">
      <c r="B5347">
        <v>42941</v>
      </c>
      <c r="C5347" s="6" t="str">
        <f ca="1">IF(OR($C$7="",$B5347&gt;NOW()),"",IF(INDEX(Data!$A:$G,MATCH($B5347,Data!$A:$A,0),MATCH($C$7,Data!$4:$4,0))="","",INDEX(Data!$A:$G,MATCH($B5347,Data!$A:$A,0),MATCH($C$7,Data!$4:$4,0))))</f>
        <v/>
      </c>
      <c r="D5347" s="148" t="str">
        <f t="shared" ca="1" si="172"/>
        <v/>
      </c>
      <c r="E5347" s="148" t="str">
        <f t="shared" ca="1" si="173"/>
        <v/>
      </c>
    </row>
    <row r="5348" spans="2:5" x14ac:dyDescent="0.25">
      <c r="B5348">
        <v>42942</v>
      </c>
      <c r="C5348" s="6" t="str">
        <f ca="1">IF(OR($C$7="",$B5348&gt;NOW()),"",IF(INDEX(Data!$A:$G,MATCH($B5348,Data!$A:$A,0),MATCH($C$7,Data!$4:$4,0))="","",INDEX(Data!$A:$G,MATCH($B5348,Data!$A:$A,0),MATCH($C$7,Data!$4:$4,0))))</f>
        <v/>
      </c>
      <c r="D5348" s="148" t="str">
        <f t="shared" ca="1" si="172"/>
        <v/>
      </c>
      <c r="E5348" s="148" t="str">
        <f t="shared" ca="1" si="173"/>
        <v/>
      </c>
    </row>
    <row r="5349" spans="2:5" x14ac:dyDescent="0.25">
      <c r="B5349">
        <v>42943</v>
      </c>
      <c r="C5349" s="6" t="str">
        <f ca="1">IF(OR($C$7="",$B5349&gt;NOW()),"",IF(INDEX(Data!$A:$G,MATCH($B5349,Data!$A:$A,0),MATCH($C$7,Data!$4:$4,0))="","",INDEX(Data!$A:$G,MATCH($B5349,Data!$A:$A,0),MATCH($C$7,Data!$4:$4,0))))</f>
        <v/>
      </c>
      <c r="D5349" s="148" t="str">
        <f t="shared" ca="1" si="172"/>
        <v/>
      </c>
      <c r="E5349" s="148" t="str">
        <f t="shared" ca="1" si="173"/>
        <v/>
      </c>
    </row>
    <row r="5350" spans="2:5" x14ac:dyDescent="0.25">
      <c r="B5350">
        <v>42944</v>
      </c>
      <c r="C5350" s="6" t="str">
        <f ca="1">IF(OR($C$7="",$B5350&gt;NOW()),"",IF(INDEX(Data!$A:$G,MATCH($B5350,Data!$A:$A,0),MATCH($C$7,Data!$4:$4,0))="","",INDEX(Data!$A:$G,MATCH($B5350,Data!$A:$A,0),MATCH($C$7,Data!$4:$4,0))))</f>
        <v/>
      </c>
      <c r="D5350" s="148" t="str">
        <f t="shared" ca="1" si="172"/>
        <v/>
      </c>
      <c r="E5350" s="148" t="str">
        <f t="shared" ca="1" si="173"/>
        <v/>
      </c>
    </row>
    <row r="5351" spans="2:5" x14ac:dyDescent="0.25">
      <c r="B5351">
        <v>42945</v>
      </c>
      <c r="C5351" s="6" t="str">
        <f ca="1">IF(OR($C$7="",$B5351&gt;NOW()),"",IF(INDEX(Data!$A:$G,MATCH($B5351,Data!$A:$A,0),MATCH($C$7,Data!$4:$4,0))="","",INDEX(Data!$A:$G,MATCH($B5351,Data!$A:$A,0),MATCH($C$7,Data!$4:$4,0))))</f>
        <v/>
      </c>
      <c r="D5351" s="148" t="str">
        <f t="shared" ca="1" si="172"/>
        <v/>
      </c>
      <c r="E5351" s="148" t="str">
        <f t="shared" ca="1" si="173"/>
        <v/>
      </c>
    </row>
    <row r="5352" spans="2:5" x14ac:dyDescent="0.25">
      <c r="B5352">
        <v>42946</v>
      </c>
      <c r="C5352" s="6" t="str">
        <f ca="1">IF(OR($C$7="",$B5352&gt;NOW()),"",IF(INDEX(Data!$A:$G,MATCH($B5352,Data!$A:$A,0),MATCH($C$7,Data!$4:$4,0))="","",INDEX(Data!$A:$G,MATCH($B5352,Data!$A:$A,0),MATCH($C$7,Data!$4:$4,0))))</f>
        <v/>
      </c>
      <c r="D5352" s="148" t="str">
        <f t="shared" ca="1" si="172"/>
        <v/>
      </c>
      <c r="E5352" s="148" t="str">
        <f t="shared" ca="1" si="173"/>
        <v/>
      </c>
    </row>
    <row r="5353" spans="2:5" x14ac:dyDescent="0.25">
      <c r="B5353">
        <v>42947</v>
      </c>
      <c r="C5353" s="6" t="str">
        <f ca="1">IF(OR($C$7="",$B5353&gt;NOW()),"",IF(INDEX(Data!$A:$G,MATCH($B5353,Data!$A:$A,0),MATCH($C$7,Data!$4:$4,0))="","",INDEX(Data!$A:$G,MATCH($B5353,Data!$A:$A,0),MATCH($C$7,Data!$4:$4,0))))</f>
        <v/>
      </c>
      <c r="D5353" s="148" t="str">
        <f t="shared" ca="1" si="172"/>
        <v/>
      </c>
      <c r="E5353" s="148" t="str">
        <f t="shared" ca="1" si="173"/>
        <v/>
      </c>
    </row>
    <row r="5354" spans="2:5" x14ac:dyDescent="0.25">
      <c r="B5354">
        <v>42948</v>
      </c>
      <c r="C5354" s="6" t="str">
        <f ca="1">IF(OR($C$7="",$B5354&gt;NOW()),"",IF(INDEX(Data!$A:$G,MATCH($B5354,Data!$A:$A,0),MATCH($C$7,Data!$4:$4,0))="","",INDEX(Data!$A:$G,MATCH($B5354,Data!$A:$A,0),MATCH($C$7,Data!$4:$4,0))))</f>
        <v/>
      </c>
      <c r="D5354" s="148" t="str">
        <f t="shared" ca="1" si="172"/>
        <v/>
      </c>
      <c r="E5354" s="148" t="str">
        <f t="shared" ca="1" si="173"/>
        <v/>
      </c>
    </row>
    <row r="5355" spans="2:5" x14ac:dyDescent="0.25">
      <c r="B5355">
        <v>42949</v>
      </c>
      <c r="C5355" s="6" t="str">
        <f ca="1">IF(OR($C$7="",$B5355&gt;NOW()),"",IF(INDEX(Data!$A:$G,MATCH($B5355,Data!$A:$A,0),MATCH($C$7,Data!$4:$4,0))="","",INDEX(Data!$A:$G,MATCH($B5355,Data!$A:$A,0),MATCH($C$7,Data!$4:$4,0))))</f>
        <v/>
      </c>
      <c r="D5355" s="148" t="str">
        <f t="shared" ca="1" si="172"/>
        <v/>
      </c>
      <c r="E5355" s="148" t="str">
        <f t="shared" ca="1" si="173"/>
        <v/>
      </c>
    </row>
    <row r="5356" spans="2:5" x14ac:dyDescent="0.25">
      <c r="B5356">
        <v>42950</v>
      </c>
      <c r="C5356" s="6" t="str">
        <f ca="1">IF(OR($C$7="",$B5356&gt;NOW()),"",IF(INDEX(Data!$A:$G,MATCH($B5356,Data!$A:$A,0),MATCH($C$7,Data!$4:$4,0))="","",INDEX(Data!$A:$G,MATCH($B5356,Data!$A:$A,0),MATCH($C$7,Data!$4:$4,0))))</f>
        <v/>
      </c>
      <c r="D5356" s="148" t="str">
        <f t="shared" ca="1" si="172"/>
        <v/>
      </c>
      <c r="E5356" s="148" t="str">
        <f t="shared" ca="1" si="173"/>
        <v/>
      </c>
    </row>
    <row r="5357" spans="2:5" x14ac:dyDescent="0.25">
      <c r="B5357">
        <v>42951</v>
      </c>
      <c r="C5357" s="6" t="str">
        <f ca="1">IF(OR($C$7="",$B5357&gt;NOW()),"",IF(INDEX(Data!$A:$G,MATCH($B5357,Data!$A:$A,0),MATCH($C$7,Data!$4:$4,0))="","",INDEX(Data!$A:$G,MATCH($B5357,Data!$A:$A,0),MATCH($C$7,Data!$4:$4,0))))</f>
        <v/>
      </c>
      <c r="D5357" s="148" t="str">
        <f t="shared" ca="1" si="172"/>
        <v/>
      </c>
      <c r="E5357" s="148" t="str">
        <f t="shared" ca="1" si="173"/>
        <v/>
      </c>
    </row>
    <row r="5358" spans="2:5" x14ac:dyDescent="0.25">
      <c r="B5358">
        <v>42952</v>
      </c>
      <c r="C5358" s="6" t="str">
        <f ca="1">IF(OR($C$7="",$B5358&gt;NOW()),"",IF(INDEX(Data!$A:$G,MATCH($B5358,Data!$A:$A,0),MATCH($C$7,Data!$4:$4,0))="","",INDEX(Data!$A:$G,MATCH($B5358,Data!$A:$A,0),MATCH($C$7,Data!$4:$4,0))))</f>
        <v/>
      </c>
      <c r="D5358" s="148" t="str">
        <f t="shared" ca="1" si="172"/>
        <v/>
      </c>
      <c r="E5358" s="148" t="str">
        <f t="shared" ca="1" si="173"/>
        <v/>
      </c>
    </row>
    <row r="5359" spans="2:5" x14ac:dyDescent="0.25">
      <c r="B5359">
        <v>42953</v>
      </c>
      <c r="C5359" s="6" t="str">
        <f ca="1">IF(OR($C$7="",$B5359&gt;NOW()),"",IF(INDEX(Data!$A:$G,MATCH($B5359,Data!$A:$A,0),MATCH($C$7,Data!$4:$4,0))="","",INDEX(Data!$A:$G,MATCH($B5359,Data!$A:$A,0),MATCH($C$7,Data!$4:$4,0))))</f>
        <v/>
      </c>
      <c r="D5359" s="148" t="str">
        <f t="shared" ca="1" si="172"/>
        <v/>
      </c>
      <c r="E5359" s="148" t="str">
        <f t="shared" ca="1" si="173"/>
        <v/>
      </c>
    </row>
    <row r="5360" spans="2:5" x14ac:dyDescent="0.25">
      <c r="B5360">
        <v>42954</v>
      </c>
      <c r="C5360" s="6" t="str">
        <f ca="1">IF(OR($C$7="",$B5360&gt;NOW()),"",IF(INDEX(Data!$A:$G,MATCH($B5360,Data!$A:$A,0),MATCH($C$7,Data!$4:$4,0))="","",INDEX(Data!$A:$G,MATCH($B5360,Data!$A:$A,0),MATCH($C$7,Data!$4:$4,0))))</f>
        <v/>
      </c>
      <c r="D5360" s="148" t="str">
        <f t="shared" ca="1" si="172"/>
        <v/>
      </c>
      <c r="E5360" s="148" t="str">
        <f t="shared" ca="1" si="173"/>
        <v/>
      </c>
    </row>
    <row r="5361" spans="2:5" x14ac:dyDescent="0.25">
      <c r="B5361">
        <v>42955</v>
      </c>
      <c r="C5361" s="6" t="str">
        <f ca="1">IF(OR($C$7="",$B5361&gt;NOW()),"",IF(INDEX(Data!$A:$G,MATCH($B5361,Data!$A:$A,0),MATCH($C$7,Data!$4:$4,0))="","",INDEX(Data!$A:$G,MATCH($B5361,Data!$A:$A,0),MATCH($C$7,Data!$4:$4,0))))</f>
        <v/>
      </c>
      <c r="D5361" s="148" t="str">
        <f t="shared" ca="1" si="172"/>
        <v/>
      </c>
      <c r="E5361" s="148" t="str">
        <f t="shared" ca="1" si="173"/>
        <v/>
      </c>
    </row>
    <row r="5362" spans="2:5" x14ac:dyDescent="0.25">
      <c r="B5362">
        <v>42956</v>
      </c>
      <c r="C5362" s="6" t="str">
        <f ca="1">IF(OR($C$7="",$B5362&gt;NOW()),"",IF(INDEX(Data!$A:$G,MATCH($B5362,Data!$A:$A,0),MATCH($C$7,Data!$4:$4,0))="","",INDEX(Data!$A:$G,MATCH($B5362,Data!$A:$A,0),MATCH($C$7,Data!$4:$4,0))))</f>
        <v/>
      </c>
      <c r="D5362" s="148" t="str">
        <f t="shared" ca="1" si="172"/>
        <v/>
      </c>
      <c r="E5362" s="148" t="str">
        <f t="shared" ca="1" si="173"/>
        <v/>
      </c>
    </row>
    <row r="5363" spans="2:5" x14ac:dyDescent="0.25">
      <c r="B5363">
        <v>42957</v>
      </c>
      <c r="C5363" s="6" t="str">
        <f ca="1">IF(OR($C$7="",$B5363&gt;NOW()),"",IF(INDEX(Data!$A:$G,MATCH($B5363,Data!$A:$A,0),MATCH($C$7,Data!$4:$4,0))="","",INDEX(Data!$A:$G,MATCH($B5363,Data!$A:$A,0),MATCH($C$7,Data!$4:$4,0))))</f>
        <v/>
      </c>
      <c r="D5363" s="148" t="str">
        <f t="shared" ca="1" si="172"/>
        <v/>
      </c>
      <c r="E5363" s="148" t="str">
        <f t="shared" ca="1" si="173"/>
        <v/>
      </c>
    </row>
    <row r="5364" spans="2:5" x14ac:dyDescent="0.25">
      <c r="B5364">
        <v>42958</v>
      </c>
      <c r="C5364" s="6" t="str">
        <f ca="1">IF(OR($C$7="",$B5364&gt;NOW()),"",IF(INDEX(Data!$A:$G,MATCH($B5364,Data!$A:$A,0),MATCH($C$7,Data!$4:$4,0))="","",INDEX(Data!$A:$G,MATCH($B5364,Data!$A:$A,0),MATCH($C$7,Data!$4:$4,0))))</f>
        <v/>
      </c>
      <c r="D5364" s="148" t="str">
        <f t="shared" ca="1" si="172"/>
        <v/>
      </c>
      <c r="E5364" s="148" t="str">
        <f t="shared" ca="1" si="173"/>
        <v/>
      </c>
    </row>
    <row r="5365" spans="2:5" x14ac:dyDescent="0.25">
      <c r="B5365">
        <v>42959</v>
      </c>
      <c r="C5365" s="6" t="str">
        <f ca="1">IF(OR($C$7="",$B5365&gt;NOW()),"",IF(INDEX(Data!$A:$G,MATCH($B5365,Data!$A:$A,0),MATCH($C$7,Data!$4:$4,0))="","",INDEX(Data!$A:$G,MATCH($B5365,Data!$A:$A,0),MATCH($C$7,Data!$4:$4,0))))</f>
        <v/>
      </c>
      <c r="D5365" s="148" t="str">
        <f t="shared" ca="1" si="172"/>
        <v/>
      </c>
      <c r="E5365" s="148" t="str">
        <f t="shared" ca="1" si="173"/>
        <v/>
      </c>
    </row>
    <row r="5366" spans="2:5" x14ac:dyDescent="0.25">
      <c r="B5366">
        <v>42960</v>
      </c>
      <c r="C5366" s="6" t="str">
        <f ca="1">IF(OR($C$7="",$B5366&gt;NOW()),"",IF(INDEX(Data!$A:$G,MATCH($B5366,Data!$A:$A,0),MATCH($C$7,Data!$4:$4,0))="","",INDEX(Data!$A:$G,MATCH($B5366,Data!$A:$A,0),MATCH($C$7,Data!$4:$4,0))))</f>
        <v/>
      </c>
      <c r="D5366" s="148" t="str">
        <f t="shared" ca="1" si="172"/>
        <v/>
      </c>
      <c r="E5366" s="148" t="str">
        <f t="shared" ca="1" si="173"/>
        <v/>
      </c>
    </row>
    <row r="5367" spans="2:5" x14ac:dyDescent="0.25">
      <c r="B5367">
        <v>42961</v>
      </c>
      <c r="C5367" s="6" t="str">
        <f ca="1">IF(OR($C$7="",$B5367&gt;NOW()),"",IF(INDEX(Data!$A:$G,MATCH($B5367,Data!$A:$A,0),MATCH($C$7,Data!$4:$4,0))="","",INDEX(Data!$A:$G,MATCH($B5367,Data!$A:$A,0),MATCH($C$7,Data!$4:$4,0))))</f>
        <v/>
      </c>
      <c r="D5367" s="148" t="str">
        <f t="shared" ca="1" si="172"/>
        <v/>
      </c>
      <c r="E5367" s="148" t="str">
        <f t="shared" ca="1" si="173"/>
        <v/>
      </c>
    </row>
    <row r="5368" spans="2:5" x14ac:dyDescent="0.25">
      <c r="B5368">
        <v>42962</v>
      </c>
      <c r="C5368" s="6" t="str">
        <f ca="1">IF(OR($C$7="",$B5368&gt;NOW()),"",IF(INDEX(Data!$A:$G,MATCH($B5368,Data!$A:$A,0),MATCH($C$7,Data!$4:$4,0))="","",INDEX(Data!$A:$G,MATCH($B5368,Data!$A:$A,0),MATCH($C$7,Data!$4:$4,0))))</f>
        <v/>
      </c>
      <c r="D5368" s="148" t="str">
        <f t="shared" ca="1" si="172"/>
        <v/>
      </c>
      <c r="E5368" s="148" t="str">
        <f t="shared" ca="1" si="173"/>
        <v/>
      </c>
    </row>
    <row r="5369" spans="2:5" x14ac:dyDescent="0.25">
      <c r="B5369">
        <v>42963</v>
      </c>
      <c r="C5369" s="6" t="str">
        <f ca="1">IF(OR($C$7="",$B5369&gt;NOW()),"",IF(INDEX(Data!$A:$G,MATCH($B5369,Data!$A:$A,0),MATCH($C$7,Data!$4:$4,0))="","",INDEX(Data!$A:$G,MATCH($B5369,Data!$A:$A,0),MATCH($C$7,Data!$4:$4,0))))</f>
        <v/>
      </c>
      <c r="D5369" s="148" t="str">
        <f t="shared" ca="1" si="172"/>
        <v/>
      </c>
      <c r="E5369" s="148" t="str">
        <f t="shared" ca="1" si="173"/>
        <v/>
      </c>
    </row>
    <row r="5370" spans="2:5" x14ac:dyDescent="0.25">
      <c r="B5370">
        <v>42964</v>
      </c>
      <c r="C5370" s="6" t="str">
        <f ca="1">IF(OR($C$7="",$B5370&gt;NOW()),"",IF(INDEX(Data!$A:$G,MATCH($B5370,Data!$A:$A,0),MATCH($C$7,Data!$4:$4,0))="","",INDEX(Data!$A:$G,MATCH($B5370,Data!$A:$A,0),MATCH($C$7,Data!$4:$4,0))))</f>
        <v/>
      </c>
      <c r="D5370" s="148" t="str">
        <f t="shared" ca="1" si="172"/>
        <v/>
      </c>
      <c r="E5370" s="148" t="str">
        <f t="shared" ca="1" si="173"/>
        <v/>
      </c>
    </row>
    <row r="5371" spans="2:5" x14ac:dyDescent="0.25">
      <c r="B5371">
        <v>42965</v>
      </c>
      <c r="C5371" s="6" t="str">
        <f ca="1">IF(OR($C$7="",$B5371&gt;NOW()),"",IF(INDEX(Data!$A:$G,MATCH($B5371,Data!$A:$A,0),MATCH($C$7,Data!$4:$4,0))="","",INDEX(Data!$A:$G,MATCH($B5371,Data!$A:$A,0),MATCH($C$7,Data!$4:$4,0))))</f>
        <v/>
      </c>
      <c r="D5371" s="148" t="str">
        <f t="shared" ca="1" si="172"/>
        <v/>
      </c>
      <c r="E5371" s="148" t="str">
        <f t="shared" ca="1" si="173"/>
        <v/>
      </c>
    </row>
    <row r="5372" spans="2:5" x14ac:dyDescent="0.25">
      <c r="B5372">
        <v>42966</v>
      </c>
      <c r="C5372" s="6" t="str">
        <f ca="1">IF(OR($C$7="",$B5372&gt;NOW()),"",IF(INDEX(Data!$A:$G,MATCH($B5372,Data!$A:$A,0),MATCH($C$7,Data!$4:$4,0))="","",INDEX(Data!$A:$G,MATCH($B5372,Data!$A:$A,0),MATCH($C$7,Data!$4:$4,0))))</f>
        <v/>
      </c>
      <c r="D5372" s="148" t="str">
        <f t="shared" ca="1" si="172"/>
        <v/>
      </c>
      <c r="E5372" s="148" t="str">
        <f t="shared" ca="1" si="173"/>
        <v/>
      </c>
    </row>
    <row r="5373" spans="2:5" x14ac:dyDescent="0.25">
      <c r="B5373">
        <v>42967</v>
      </c>
      <c r="C5373" s="6" t="str">
        <f ca="1">IF(OR($C$7="",$B5373&gt;NOW()),"",IF(INDEX(Data!$A:$G,MATCH($B5373,Data!$A:$A,0),MATCH($C$7,Data!$4:$4,0))="","",INDEX(Data!$A:$G,MATCH($B5373,Data!$A:$A,0),MATCH($C$7,Data!$4:$4,0))))</f>
        <v/>
      </c>
      <c r="D5373" s="148" t="str">
        <f t="shared" ca="1" si="172"/>
        <v/>
      </c>
      <c r="E5373" s="148" t="str">
        <f t="shared" ca="1" si="173"/>
        <v/>
      </c>
    </row>
    <row r="5374" spans="2:5" x14ac:dyDescent="0.25">
      <c r="B5374">
        <v>42968</v>
      </c>
      <c r="C5374" s="6" t="str">
        <f ca="1">IF(OR($C$7="",$B5374&gt;NOW()),"",IF(INDEX(Data!$A:$G,MATCH($B5374,Data!$A:$A,0),MATCH($C$7,Data!$4:$4,0))="","",INDEX(Data!$A:$G,MATCH($B5374,Data!$A:$A,0),MATCH($C$7,Data!$4:$4,0))))</f>
        <v/>
      </c>
      <c r="D5374" s="148" t="str">
        <f t="shared" ca="1" si="172"/>
        <v/>
      </c>
      <c r="E5374" s="148" t="str">
        <f t="shared" ca="1" si="173"/>
        <v/>
      </c>
    </row>
    <row r="5375" spans="2:5" x14ac:dyDescent="0.25">
      <c r="B5375">
        <v>42969</v>
      </c>
      <c r="C5375" s="6" t="str">
        <f ca="1">IF(OR($C$7="",$B5375&gt;NOW()),"",IF(INDEX(Data!$A:$G,MATCH($B5375,Data!$A:$A,0),MATCH($C$7,Data!$4:$4,0))="","",INDEX(Data!$A:$G,MATCH($B5375,Data!$A:$A,0),MATCH($C$7,Data!$4:$4,0))))</f>
        <v/>
      </c>
      <c r="D5375" s="148" t="str">
        <f t="shared" ca="1" si="172"/>
        <v/>
      </c>
      <c r="E5375" s="148" t="str">
        <f t="shared" ca="1" si="173"/>
        <v/>
      </c>
    </row>
    <row r="5376" spans="2:5" x14ac:dyDescent="0.25">
      <c r="B5376">
        <v>42970</v>
      </c>
      <c r="C5376" s="6" t="str">
        <f ca="1">IF(OR($C$7="",$B5376&gt;NOW()),"",IF(INDEX(Data!$A:$G,MATCH($B5376,Data!$A:$A,0),MATCH($C$7,Data!$4:$4,0))="","",INDEX(Data!$A:$G,MATCH($B5376,Data!$A:$A,0),MATCH($C$7,Data!$4:$4,0))))</f>
        <v/>
      </c>
      <c r="D5376" s="148" t="str">
        <f t="shared" ca="1" si="172"/>
        <v/>
      </c>
      <c r="E5376" s="148" t="str">
        <f t="shared" ca="1" si="173"/>
        <v/>
      </c>
    </row>
    <row r="5377" spans="2:5" x14ac:dyDescent="0.25">
      <c r="B5377">
        <v>42971</v>
      </c>
      <c r="C5377" s="6" t="str">
        <f ca="1">IF(OR($C$7="",$B5377&gt;NOW()),"",IF(INDEX(Data!$A:$G,MATCH($B5377,Data!$A:$A,0),MATCH($C$7,Data!$4:$4,0))="","",INDEX(Data!$A:$G,MATCH($B5377,Data!$A:$A,0),MATCH($C$7,Data!$4:$4,0))))</f>
        <v/>
      </c>
      <c r="D5377" s="148" t="str">
        <f t="shared" ca="1" si="172"/>
        <v/>
      </c>
      <c r="E5377" s="148" t="str">
        <f t="shared" ca="1" si="173"/>
        <v/>
      </c>
    </row>
    <row r="5378" spans="2:5" x14ac:dyDescent="0.25">
      <c r="B5378">
        <v>42972</v>
      </c>
      <c r="C5378" s="6" t="str">
        <f ca="1">IF(OR($C$7="",$B5378&gt;NOW()),"",IF(INDEX(Data!$A:$G,MATCH($B5378,Data!$A:$A,0),MATCH($C$7,Data!$4:$4,0))="","",INDEX(Data!$A:$G,MATCH($B5378,Data!$A:$A,0),MATCH($C$7,Data!$4:$4,0))))</f>
        <v/>
      </c>
      <c r="D5378" s="148" t="str">
        <f t="shared" ca="1" si="172"/>
        <v/>
      </c>
      <c r="E5378" s="148" t="str">
        <f t="shared" ca="1" si="173"/>
        <v/>
      </c>
    </row>
    <row r="5379" spans="2:5" x14ac:dyDescent="0.25">
      <c r="B5379">
        <v>42973</v>
      </c>
      <c r="C5379" s="6" t="str">
        <f ca="1">IF(OR($C$7="",$B5379&gt;NOW()),"",IF(INDEX(Data!$A:$G,MATCH($B5379,Data!$A:$A,0),MATCH($C$7,Data!$4:$4,0))="","",INDEX(Data!$A:$G,MATCH($B5379,Data!$A:$A,0),MATCH($C$7,Data!$4:$4,0))))</f>
        <v/>
      </c>
      <c r="D5379" s="148" t="str">
        <f t="shared" ca="1" si="172"/>
        <v/>
      </c>
      <c r="E5379" s="148" t="str">
        <f t="shared" ca="1" si="173"/>
        <v/>
      </c>
    </row>
    <row r="5380" spans="2:5" x14ac:dyDescent="0.25">
      <c r="B5380">
        <v>42974</v>
      </c>
      <c r="C5380" s="6" t="str">
        <f ca="1">IF(OR($C$7="",$B5380&gt;NOW()),"",IF(INDEX(Data!$A:$G,MATCH($B5380,Data!$A:$A,0),MATCH($C$7,Data!$4:$4,0))="","",INDEX(Data!$A:$G,MATCH($B5380,Data!$A:$A,0),MATCH($C$7,Data!$4:$4,0))))</f>
        <v/>
      </c>
      <c r="D5380" s="148" t="str">
        <f t="shared" ca="1" si="172"/>
        <v/>
      </c>
      <c r="E5380" s="148" t="str">
        <f t="shared" ca="1" si="173"/>
        <v/>
      </c>
    </row>
    <row r="5381" spans="2:5" x14ac:dyDescent="0.25">
      <c r="B5381">
        <v>42975</v>
      </c>
      <c r="C5381" s="6" t="str">
        <f ca="1">IF(OR($C$7="",$B5381&gt;NOW()),"",IF(INDEX(Data!$A:$G,MATCH($B5381,Data!$A:$A,0),MATCH($C$7,Data!$4:$4,0))="","",INDEX(Data!$A:$G,MATCH($B5381,Data!$A:$A,0),MATCH($C$7,Data!$4:$4,0))))</f>
        <v/>
      </c>
      <c r="D5381" s="148" t="str">
        <f t="shared" ca="1" si="172"/>
        <v/>
      </c>
      <c r="E5381" s="148" t="str">
        <f t="shared" ca="1" si="173"/>
        <v/>
      </c>
    </row>
    <row r="5382" spans="2:5" x14ac:dyDescent="0.25">
      <c r="B5382">
        <v>42976</v>
      </c>
      <c r="C5382" s="6" t="str">
        <f ca="1">IF(OR($C$7="",$B5382&gt;NOW()),"",IF(INDEX(Data!$A:$G,MATCH($B5382,Data!$A:$A,0),MATCH($C$7,Data!$4:$4,0))="","",INDEX(Data!$A:$G,MATCH($B5382,Data!$A:$A,0),MATCH($C$7,Data!$4:$4,0))))</f>
        <v/>
      </c>
      <c r="D5382" s="148" t="str">
        <f t="shared" ca="1" si="172"/>
        <v/>
      </c>
      <c r="E5382" s="148" t="str">
        <f t="shared" ca="1" si="173"/>
        <v/>
      </c>
    </row>
    <row r="5383" spans="2:5" x14ac:dyDescent="0.25">
      <c r="B5383">
        <v>42977</v>
      </c>
      <c r="C5383" s="6" t="str">
        <f ca="1">IF(OR($C$7="",$B5383&gt;NOW()),"",IF(INDEX(Data!$A:$G,MATCH($B5383,Data!$A:$A,0),MATCH($C$7,Data!$4:$4,0))="","",INDEX(Data!$A:$G,MATCH($B5383,Data!$A:$A,0),MATCH($C$7,Data!$4:$4,0))))</f>
        <v/>
      </c>
      <c r="D5383" s="148" t="str">
        <f t="shared" ca="1" si="172"/>
        <v/>
      </c>
      <c r="E5383" s="148" t="str">
        <f t="shared" ca="1" si="173"/>
        <v/>
      </c>
    </row>
    <row r="5384" spans="2:5" x14ac:dyDescent="0.25">
      <c r="B5384">
        <v>42978</v>
      </c>
      <c r="C5384" s="6" t="str">
        <f ca="1">IF(OR($C$7="",$B5384&gt;NOW()),"",IF(INDEX(Data!$A:$G,MATCH($B5384,Data!$A:$A,0),MATCH($C$7,Data!$4:$4,0))="","",INDEX(Data!$A:$G,MATCH($B5384,Data!$A:$A,0),MATCH($C$7,Data!$4:$4,0))))</f>
        <v/>
      </c>
      <c r="D5384" s="148" t="str">
        <f t="shared" ca="1" si="172"/>
        <v/>
      </c>
      <c r="E5384" s="148" t="str">
        <f t="shared" ca="1" si="173"/>
        <v/>
      </c>
    </row>
    <row r="5385" spans="2:5" x14ac:dyDescent="0.25">
      <c r="B5385">
        <v>42979</v>
      </c>
      <c r="C5385" s="6" t="str">
        <f ca="1">IF(OR($C$7="",$B5385&gt;NOW()),"",IF(INDEX(Data!$A:$G,MATCH($B5385,Data!$A:$A,0),MATCH($C$7,Data!$4:$4,0))="","",INDEX(Data!$A:$G,MATCH($B5385,Data!$A:$A,0),MATCH($C$7,Data!$4:$4,0))))</f>
        <v/>
      </c>
      <c r="D5385" s="148" t="str">
        <f t="shared" ca="1" si="172"/>
        <v/>
      </c>
      <c r="E5385" s="148" t="str">
        <f t="shared" ca="1" si="173"/>
        <v/>
      </c>
    </row>
    <row r="5386" spans="2:5" x14ac:dyDescent="0.25">
      <c r="B5386">
        <v>42980</v>
      </c>
      <c r="C5386" s="6" t="str">
        <f ca="1">IF(OR($C$7="",$B5386&gt;NOW()),"",IF(INDEX(Data!$A:$G,MATCH($B5386,Data!$A:$A,0),MATCH($C$7,Data!$4:$4,0))="","",INDEX(Data!$A:$G,MATCH($B5386,Data!$A:$A,0),MATCH($C$7,Data!$4:$4,0))))</f>
        <v/>
      </c>
      <c r="D5386" s="148" t="str">
        <f t="shared" ca="1" si="172"/>
        <v/>
      </c>
      <c r="E5386" s="148" t="str">
        <f t="shared" ca="1" si="173"/>
        <v/>
      </c>
    </row>
    <row r="5387" spans="2:5" x14ac:dyDescent="0.25">
      <c r="B5387">
        <v>42981</v>
      </c>
      <c r="C5387" s="6" t="str">
        <f ca="1">IF(OR($C$7="",$B5387&gt;NOW()),"",IF(INDEX(Data!$A:$G,MATCH($B5387,Data!$A:$A,0),MATCH($C$7,Data!$4:$4,0))="","",INDEX(Data!$A:$G,MATCH($B5387,Data!$A:$A,0),MATCH($C$7,Data!$4:$4,0))))</f>
        <v/>
      </c>
      <c r="D5387" s="148" t="str">
        <f t="shared" ca="1" si="172"/>
        <v/>
      </c>
      <c r="E5387" s="148" t="str">
        <f t="shared" ca="1" si="173"/>
        <v/>
      </c>
    </row>
    <row r="5388" spans="2:5" x14ac:dyDescent="0.25">
      <c r="B5388">
        <v>42982</v>
      </c>
      <c r="C5388" s="6" t="str">
        <f ca="1">IF(OR($C$7="",$B5388&gt;NOW()),"",IF(INDEX(Data!$A:$G,MATCH($B5388,Data!$A:$A,0),MATCH($C$7,Data!$4:$4,0))="","",INDEX(Data!$A:$G,MATCH($B5388,Data!$A:$A,0),MATCH($C$7,Data!$4:$4,0))))</f>
        <v/>
      </c>
      <c r="D5388" s="148" t="str">
        <f t="shared" ca="1" si="172"/>
        <v/>
      </c>
      <c r="E5388" s="148" t="str">
        <f t="shared" ca="1" si="173"/>
        <v/>
      </c>
    </row>
    <row r="5389" spans="2:5" x14ac:dyDescent="0.25">
      <c r="B5389">
        <v>42983</v>
      </c>
      <c r="C5389" s="6" t="str">
        <f ca="1">IF(OR($C$7="",$B5389&gt;NOW()),"",IF(INDEX(Data!$A:$G,MATCH($B5389,Data!$A:$A,0),MATCH($C$7,Data!$4:$4,0))="","",INDEX(Data!$A:$G,MATCH($B5389,Data!$A:$A,0),MATCH($C$7,Data!$4:$4,0))))</f>
        <v/>
      </c>
      <c r="D5389" s="148" t="str">
        <f t="shared" ca="1" si="172"/>
        <v/>
      </c>
      <c r="E5389" s="148" t="str">
        <f t="shared" ca="1" si="173"/>
        <v/>
      </c>
    </row>
    <row r="5390" spans="2:5" x14ac:dyDescent="0.25">
      <c r="B5390">
        <v>42984</v>
      </c>
      <c r="C5390" s="6" t="str">
        <f ca="1">IF(OR($C$7="",$B5390&gt;NOW()),"",IF(INDEX(Data!$A:$G,MATCH($B5390,Data!$A:$A,0),MATCH($C$7,Data!$4:$4,0))="","",INDEX(Data!$A:$G,MATCH($B5390,Data!$A:$A,0),MATCH($C$7,Data!$4:$4,0))))</f>
        <v/>
      </c>
      <c r="D5390" s="148" t="str">
        <f t="shared" ca="1" si="172"/>
        <v/>
      </c>
      <c r="E5390" s="148" t="str">
        <f t="shared" ca="1" si="173"/>
        <v/>
      </c>
    </row>
    <row r="5391" spans="2:5" x14ac:dyDescent="0.25">
      <c r="B5391">
        <v>42985</v>
      </c>
      <c r="C5391" s="6" t="str">
        <f ca="1">IF(OR($C$7="",$B5391&gt;NOW()),"",IF(INDEX(Data!$A:$G,MATCH($B5391,Data!$A:$A,0),MATCH($C$7,Data!$4:$4,0))="","",INDEX(Data!$A:$G,MATCH($B5391,Data!$A:$A,0),MATCH($C$7,Data!$4:$4,0))))</f>
        <v/>
      </c>
      <c r="D5391" s="148" t="str">
        <f t="shared" ca="1" si="172"/>
        <v/>
      </c>
      <c r="E5391" s="148" t="str">
        <f t="shared" ca="1" si="173"/>
        <v/>
      </c>
    </row>
    <row r="5392" spans="2:5" x14ac:dyDescent="0.25">
      <c r="B5392">
        <v>42986</v>
      </c>
      <c r="C5392" s="6" t="str">
        <f ca="1">IF(OR($C$7="",$B5392&gt;NOW()),"",IF(INDEX(Data!$A:$G,MATCH($B5392,Data!$A:$A,0),MATCH($C$7,Data!$4:$4,0))="","",INDEX(Data!$A:$G,MATCH($B5392,Data!$A:$A,0),MATCH($C$7,Data!$4:$4,0))))</f>
        <v/>
      </c>
      <c r="D5392" s="148" t="str">
        <f t="shared" ca="1" si="172"/>
        <v/>
      </c>
      <c r="E5392" s="148" t="str">
        <f t="shared" ca="1" si="173"/>
        <v/>
      </c>
    </row>
    <row r="5393" spans="2:5" x14ac:dyDescent="0.25">
      <c r="B5393">
        <v>42987</v>
      </c>
      <c r="C5393" s="6" t="str">
        <f ca="1">IF(OR($C$7="",$B5393&gt;NOW()),"",IF(INDEX(Data!$A:$G,MATCH($B5393,Data!$A:$A,0),MATCH($C$7,Data!$4:$4,0))="","",INDEX(Data!$A:$G,MATCH($B5393,Data!$A:$A,0),MATCH($C$7,Data!$4:$4,0))))</f>
        <v/>
      </c>
      <c r="D5393" s="148" t="str">
        <f t="shared" ca="1" si="172"/>
        <v/>
      </c>
      <c r="E5393" s="148" t="str">
        <f t="shared" ca="1" si="173"/>
        <v/>
      </c>
    </row>
    <row r="5394" spans="2:5" x14ac:dyDescent="0.25">
      <c r="B5394">
        <v>42988</v>
      </c>
      <c r="C5394" s="6" t="str">
        <f ca="1">IF(OR($C$7="",$B5394&gt;NOW()),"",IF(INDEX(Data!$A:$G,MATCH($B5394,Data!$A:$A,0),MATCH($C$7,Data!$4:$4,0))="","",INDEX(Data!$A:$G,MATCH($B5394,Data!$A:$A,0),MATCH($C$7,Data!$4:$4,0))))</f>
        <v/>
      </c>
      <c r="D5394" s="148" t="str">
        <f t="shared" ca="1" si="172"/>
        <v/>
      </c>
      <c r="E5394" s="148" t="str">
        <f t="shared" ca="1" si="173"/>
        <v/>
      </c>
    </row>
    <row r="5395" spans="2:5" x14ac:dyDescent="0.25">
      <c r="B5395">
        <v>42989</v>
      </c>
      <c r="C5395" s="6" t="str">
        <f ca="1">IF(OR($C$7="",$B5395&gt;NOW()),"",IF(INDEX(Data!$A:$G,MATCH($B5395,Data!$A:$A,0),MATCH($C$7,Data!$4:$4,0))="","",INDEX(Data!$A:$G,MATCH($B5395,Data!$A:$A,0),MATCH($C$7,Data!$4:$4,0))))</f>
        <v/>
      </c>
      <c r="D5395" s="148" t="str">
        <f t="shared" ca="1" si="172"/>
        <v/>
      </c>
      <c r="E5395" s="148" t="str">
        <f t="shared" ca="1" si="173"/>
        <v/>
      </c>
    </row>
    <row r="5396" spans="2:5" x14ac:dyDescent="0.25">
      <c r="B5396">
        <v>42990</v>
      </c>
      <c r="C5396" s="6" t="str">
        <f ca="1">IF(OR($C$7="",$B5396&gt;NOW()),"",IF(INDEX(Data!$A:$G,MATCH($B5396,Data!$A:$A,0),MATCH($C$7,Data!$4:$4,0))="","",INDEX(Data!$A:$G,MATCH($B5396,Data!$A:$A,0),MATCH($C$7,Data!$4:$4,0))))</f>
        <v/>
      </c>
      <c r="D5396" s="148" t="str">
        <f t="shared" ca="1" si="172"/>
        <v/>
      </c>
      <c r="E5396" s="148" t="str">
        <f t="shared" ca="1" si="173"/>
        <v/>
      </c>
    </row>
    <row r="5397" spans="2:5" x14ac:dyDescent="0.25">
      <c r="B5397">
        <v>42991</v>
      </c>
      <c r="C5397" s="6" t="str">
        <f ca="1">IF(OR($C$7="",$B5397&gt;NOW()),"",IF(INDEX(Data!$A:$G,MATCH($B5397,Data!$A:$A,0),MATCH($C$7,Data!$4:$4,0))="","",INDEX(Data!$A:$G,MATCH($B5397,Data!$A:$A,0),MATCH($C$7,Data!$4:$4,0))))</f>
        <v/>
      </c>
      <c r="D5397" s="148" t="str">
        <f t="shared" ca="1" si="172"/>
        <v/>
      </c>
      <c r="E5397" s="148" t="str">
        <f t="shared" ca="1" si="173"/>
        <v/>
      </c>
    </row>
    <row r="5398" spans="2:5" x14ac:dyDescent="0.25">
      <c r="B5398">
        <v>42992</v>
      </c>
      <c r="C5398" s="6" t="str">
        <f ca="1">IF(OR($C$7="",$B5398&gt;NOW()),"",IF(INDEX(Data!$A:$G,MATCH($B5398,Data!$A:$A,0),MATCH($C$7,Data!$4:$4,0))="","",INDEX(Data!$A:$G,MATCH($B5398,Data!$A:$A,0),MATCH($C$7,Data!$4:$4,0))))</f>
        <v/>
      </c>
      <c r="D5398" s="148" t="str">
        <f t="shared" ca="1" si="172"/>
        <v/>
      </c>
      <c r="E5398" s="148" t="str">
        <f t="shared" ca="1" si="173"/>
        <v/>
      </c>
    </row>
    <row r="5399" spans="2:5" x14ac:dyDescent="0.25">
      <c r="B5399">
        <v>42993</v>
      </c>
      <c r="C5399" s="6" t="str">
        <f ca="1">IF(OR($C$7="",$B5399&gt;NOW()),"",IF(INDEX(Data!$A:$G,MATCH($B5399,Data!$A:$A,0),MATCH($C$7,Data!$4:$4,0))="","",INDEX(Data!$A:$G,MATCH($B5399,Data!$A:$A,0),MATCH($C$7,Data!$4:$4,0))))</f>
        <v/>
      </c>
      <c r="D5399" s="148" t="str">
        <f t="shared" ca="1" si="172"/>
        <v/>
      </c>
      <c r="E5399" s="148" t="str">
        <f t="shared" ca="1" si="173"/>
        <v/>
      </c>
    </row>
    <row r="5400" spans="2:5" x14ac:dyDescent="0.25">
      <c r="B5400">
        <v>42994</v>
      </c>
      <c r="C5400" s="6" t="str">
        <f ca="1">IF(OR($C$7="",$B5400&gt;NOW()),"",IF(INDEX(Data!$A:$G,MATCH($B5400,Data!$A:$A,0),MATCH($C$7,Data!$4:$4,0))="","",INDEX(Data!$A:$G,MATCH($B5400,Data!$A:$A,0),MATCH($C$7,Data!$4:$4,0))))</f>
        <v/>
      </c>
      <c r="D5400" s="148" t="str">
        <f t="shared" ca="1" si="172"/>
        <v/>
      </c>
      <c r="E5400" s="148" t="str">
        <f t="shared" ca="1" si="173"/>
        <v/>
      </c>
    </row>
    <row r="5401" spans="2:5" x14ac:dyDescent="0.25">
      <c r="B5401">
        <v>42995</v>
      </c>
      <c r="C5401" s="6" t="str">
        <f ca="1">IF(OR($C$7="",$B5401&gt;NOW()),"",IF(INDEX(Data!$A:$G,MATCH($B5401,Data!$A:$A,0),MATCH($C$7,Data!$4:$4,0))="","",INDEX(Data!$A:$G,MATCH($B5401,Data!$A:$A,0),MATCH($C$7,Data!$4:$4,0))))</f>
        <v/>
      </c>
      <c r="D5401" s="148" t="str">
        <f t="shared" ca="1" si="172"/>
        <v/>
      </c>
      <c r="E5401" s="148" t="str">
        <f t="shared" ca="1" si="173"/>
        <v/>
      </c>
    </row>
    <row r="5402" spans="2:5" x14ac:dyDescent="0.25">
      <c r="B5402">
        <v>42996</v>
      </c>
      <c r="C5402" s="6" t="str">
        <f ca="1">IF(OR($C$7="",$B5402&gt;NOW()),"",IF(INDEX(Data!$A:$G,MATCH($B5402,Data!$A:$A,0),MATCH($C$7,Data!$4:$4,0))="","",INDEX(Data!$A:$G,MATCH($B5402,Data!$A:$A,0),MATCH($C$7,Data!$4:$4,0))))</f>
        <v/>
      </c>
      <c r="D5402" s="148" t="str">
        <f t="shared" ca="1" si="172"/>
        <v/>
      </c>
      <c r="E5402" s="148" t="str">
        <f t="shared" ca="1" si="173"/>
        <v/>
      </c>
    </row>
    <row r="5403" spans="2:5" x14ac:dyDescent="0.25">
      <c r="B5403">
        <v>42997</v>
      </c>
      <c r="C5403" s="6" t="str">
        <f ca="1">IF(OR($C$7="",$B5403&gt;NOW()),"",IF(INDEX(Data!$A:$G,MATCH($B5403,Data!$A:$A,0),MATCH($C$7,Data!$4:$4,0))="","",INDEX(Data!$A:$G,MATCH($B5403,Data!$A:$A,0),MATCH($C$7,Data!$4:$4,0))))</f>
        <v/>
      </c>
      <c r="D5403" s="148" t="str">
        <f t="shared" ca="1" si="172"/>
        <v/>
      </c>
      <c r="E5403" s="148" t="str">
        <f t="shared" ca="1" si="173"/>
        <v/>
      </c>
    </row>
    <row r="5404" spans="2:5" x14ac:dyDescent="0.25">
      <c r="B5404">
        <v>42998</v>
      </c>
      <c r="C5404" s="6" t="str">
        <f ca="1">IF(OR($C$7="",$B5404&gt;NOW()),"",IF(INDEX(Data!$A:$G,MATCH($B5404,Data!$A:$A,0),MATCH($C$7,Data!$4:$4,0))="","",INDEX(Data!$A:$G,MATCH($B5404,Data!$A:$A,0),MATCH($C$7,Data!$4:$4,0))))</f>
        <v/>
      </c>
      <c r="D5404" s="148" t="str">
        <f t="shared" ca="1" si="172"/>
        <v/>
      </c>
      <c r="E5404" s="148" t="str">
        <f t="shared" ca="1" si="173"/>
        <v/>
      </c>
    </row>
    <row r="5405" spans="2:5" x14ac:dyDescent="0.25">
      <c r="B5405">
        <v>42999</v>
      </c>
      <c r="C5405" s="6" t="str">
        <f ca="1">IF(OR($C$7="",$B5405&gt;NOW()),"",IF(INDEX(Data!$A:$G,MATCH($B5405,Data!$A:$A,0),MATCH($C$7,Data!$4:$4,0))="","",INDEX(Data!$A:$G,MATCH($B5405,Data!$A:$A,0),MATCH($C$7,Data!$4:$4,0))))</f>
        <v/>
      </c>
      <c r="D5405" s="148" t="str">
        <f t="shared" ref="D5405:D5468" ca="1" si="174">IF($C5405="","",IF($C5405&gt;$D$26,0,$D$26-$C5405))</f>
        <v/>
      </c>
      <c r="E5405" s="148" t="str">
        <f t="shared" ref="E5405:E5468" ca="1" si="175">IF($C5405="","",IF($C5405&lt;$E$26,0,$C5405-$E$26))</f>
        <v/>
      </c>
    </row>
    <row r="5406" spans="2:5" x14ac:dyDescent="0.25">
      <c r="B5406">
        <v>43000</v>
      </c>
      <c r="C5406" s="6" t="str">
        <f ca="1">IF(OR($C$7="",$B5406&gt;NOW()),"",IF(INDEX(Data!$A:$G,MATCH($B5406,Data!$A:$A,0),MATCH($C$7,Data!$4:$4,0))="","",INDEX(Data!$A:$G,MATCH($B5406,Data!$A:$A,0),MATCH($C$7,Data!$4:$4,0))))</f>
        <v/>
      </c>
      <c r="D5406" s="148" t="str">
        <f t="shared" ca="1" si="174"/>
        <v/>
      </c>
      <c r="E5406" s="148" t="str">
        <f t="shared" ca="1" si="175"/>
        <v/>
      </c>
    </row>
    <row r="5407" spans="2:5" x14ac:dyDescent="0.25">
      <c r="B5407">
        <v>43001</v>
      </c>
      <c r="C5407" s="6" t="str">
        <f ca="1">IF(OR($C$7="",$B5407&gt;NOW()),"",IF(INDEX(Data!$A:$G,MATCH($B5407,Data!$A:$A,0),MATCH($C$7,Data!$4:$4,0))="","",INDEX(Data!$A:$G,MATCH($B5407,Data!$A:$A,0),MATCH($C$7,Data!$4:$4,0))))</f>
        <v/>
      </c>
      <c r="D5407" s="148" t="str">
        <f t="shared" ca="1" si="174"/>
        <v/>
      </c>
      <c r="E5407" s="148" t="str">
        <f t="shared" ca="1" si="175"/>
        <v/>
      </c>
    </row>
    <row r="5408" spans="2:5" x14ac:dyDescent="0.25">
      <c r="B5408">
        <v>43002</v>
      </c>
      <c r="C5408" s="6" t="str">
        <f ca="1">IF(OR($C$7="",$B5408&gt;NOW()),"",IF(INDEX(Data!$A:$G,MATCH($B5408,Data!$A:$A,0),MATCH($C$7,Data!$4:$4,0))="","",INDEX(Data!$A:$G,MATCH($B5408,Data!$A:$A,0),MATCH($C$7,Data!$4:$4,0))))</f>
        <v/>
      </c>
      <c r="D5408" s="148" t="str">
        <f t="shared" ca="1" si="174"/>
        <v/>
      </c>
      <c r="E5408" s="148" t="str">
        <f t="shared" ca="1" si="175"/>
        <v/>
      </c>
    </row>
    <row r="5409" spans="2:5" x14ac:dyDescent="0.25">
      <c r="B5409">
        <v>43003</v>
      </c>
      <c r="C5409" s="6" t="str">
        <f ca="1">IF(OR($C$7="",$B5409&gt;NOW()),"",IF(INDEX(Data!$A:$G,MATCH($B5409,Data!$A:$A,0),MATCH($C$7,Data!$4:$4,0))="","",INDEX(Data!$A:$G,MATCH($B5409,Data!$A:$A,0),MATCH($C$7,Data!$4:$4,0))))</f>
        <v/>
      </c>
      <c r="D5409" s="148" t="str">
        <f t="shared" ca="1" si="174"/>
        <v/>
      </c>
      <c r="E5409" s="148" t="str">
        <f t="shared" ca="1" si="175"/>
        <v/>
      </c>
    </row>
    <row r="5410" spans="2:5" x14ac:dyDescent="0.25">
      <c r="B5410">
        <v>43004</v>
      </c>
      <c r="C5410" s="6" t="str">
        <f ca="1">IF(OR($C$7="",$B5410&gt;NOW()),"",IF(INDEX(Data!$A:$G,MATCH($B5410,Data!$A:$A,0),MATCH($C$7,Data!$4:$4,0))="","",INDEX(Data!$A:$G,MATCH($B5410,Data!$A:$A,0),MATCH($C$7,Data!$4:$4,0))))</f>
        <v/>
      </c>
      <c r="D5410" s="148" t="str">
        <f t="shared" ca="1" si="174"/>
        <v/>
      </c>
      <c r="E5410" s="148" t="str">
        <f t="shared" ca="1" si="175"/>
        <v/>
      </c>
    </row>
    <row r="5411" spans="2:5" x14ac:dyDescent="0.25">
      <c r="B5411">
        <v>43005</v>
      </c>
      <c r="C5411" s="6" t="str">
        <f ca="1">IF(OR($C$7="",$B5411&gt;NOW()),"",IF(INDEX(Data!$A:$G,MATCH($B5411,Data!$A:$A,0),MATCH($C$7,Data!$4:$4,0))="","",INDEX(Data!$A:$G,MATCH($B5411,Data!$A:$A,0),MATCH($C$7,Data!$4:$4,0))))</f>
        <v/>
      </c>
      <c r="D5411" s="148" t="str">
        <f t="shared" ca="1" si="174"/>
        <v/>
      </c>
      <c r="E5411" s="148" t="str">
        <f t="shared" ca="1" si="175"/>
        <v/>
      </c>
    </row>
    <row r="5412" spans="2:5" x14ac:dyDescent="0.25">
      <c r="B5412">
        <v>43006</v>
      </c>
      <c r="C5412" s="6" t="str">
        <f ca="1">IF(OR($C$7="",$B5412&gt;NOW()),"",IF(INDEX(Data!$A:$G,MATCH($B5412,Data!$A:$A,0),MATCH($C$7,Data!$4:$4,0))="","",INDEX(Data!$A:$G,MATCH($B5412,Data!$A:$A,0),MATCH($C$7,Data!$4:$4,0))))</f>
        <v/>
      </c>
      <c r="D5412" s="148" t="str">
        <f t="shared" ca="1" si="174"/>
        <v/>
      </c>
      <c r="E5412" s="148" t="str">
        <f t="shared" ca="1" si="175"/>
        <v/>
      </c>
    </row>
    <row r="5413" spans="2:5" x14ac:dyDescent="0.25">
      <c r="B5413">
        <v>43007</v>
      </c>
      <c r="C5413" s="6" t="str">
        <f ca="1">IF(OR($C$7="",$B5413&gt;NOW()),"",IF(INDEX(Data!$A:$G,MATCH($B5413,Data!$A:$A,0),MATCH($C$7,Data!$4:$4,0))="","",INDEX(Data!$A:$G,MATCH($B5413,Data!$A:$A,0),MATCH($C$7,Data!$4:$4,0))))</f>
        <v/>
      </c>
      <c r="D5413" s="148" t="str">
        <f t="shared" ca="1" si="174"/>
        <v/>
      </c>
      <c r="E5413" s="148" t="str">
        <f t="shared" ca="1" si="175"/>
        <v/>
      </c>
    </row>
    <row r="5414" spans="2:5" x14ac:dyDescent="0.25">
      <c r="B5414">
        <v>43008</v>
      </c>
      <c r="C5414" s="6" t="str">
        <f ca="1">IF(OR($C$7="",$B5414&gt;NOW()),"",IF(INDEX(Data!$A:$G,MATCH($B5414,Data!$A:$A,0),MATCH($C$7,Data!$4:$4,0))="","",INDEX(Data!$A:$G,MATCH($B5414,Data!$A:$A,0),MATCH($C$7,Data!$4:$4,0))))</f>
        <v/>
      </c>
      <c r="D5414" s="148" t="str">
        <f t="shared" ca="1" si="174"/>
        <v/>
      </c>
      <c r="E5414" s="148" t="str">
        <f t="shared" ca="1" si="175"/>
        <v/>
      </c>
    </row>
    <row r="5415" spans="2:5" x14ac:dyDescent="0.25">
      <c r="B5415">
        <v>43009</v>
      </c>
      <c r="C5415" s="6" t="str">
        <f ca="1">IF(OR($C$7="",$B5415&gt;NOW()),"",IF(INDEX(Data!$A:$G,MATCH($B5415,Data!$A:$A,0),MATCH($C$7,Data!$4:$4,0))="","",INDEX(Data!$A:$G,MATCH($B5415,Data!$A:$A,0),MATCH($C$7,Data!$4:$4,0))))</f>
        <v/>
      </c>
      <c r="D5415" s="148" t="str">
        <f t="shared" ca="1" si="174"/>
        <v/>
      </c>
      <c r="E5415" s="148" t="str">
        <f t="shared" ca="1" si="175"/>
        <v/>
      </c>
    </row>
    <row r="5416" spans="2:5" x14ac:dyDescent="0.25">
      <c r="B5416">
        <v>43010</v>
      </c>
      <c r="C5416" s="6" t="str">
        <f ca="1">IF(OR($C$7="",$B5416&gt;NOW()),"",IF(INDEX(Data!$A:$G,MATCH($B5416,Data!$A:$A,0),MATCH($C$7,Data!$4:$4,0))="","",INDEX(Data!$A:$G,MATCH($B5416,Data!$A:$A,0),MATCH($C$7,Data!$4:$4,0))))</f>
        <v/>
      </c>
      <c r="D5416" s="148" t="str">
        <f t="shared" ca="1" si="174"/>
        <v/>
      </c>
      <c r="E5416" s="148" t="str">
        <f t="shared" ca="1" si="175"/>
        <v/>
      </c>
    </row>
    <row r="5417" spans="2:5" x14ac:dyDescent="0.25">
      <c r="B5417">
        <v>43011</v>
      </c>
      <c r="C5417" s="6" t="str">
        <f ca="1">IF(OR($C$7="",$B5417&gt;NOW()),"",IF(INDEX(Data!$A:$G,MATCH($B5417,Data!$A:$A,0),MATCH($C$7,Data!$4:$4,0))="","",INDEX(Data!$A:$G,MATCH($B5417,Data!$A:$A,0),MATCH($C$7,Data!$4:$4,0))))</f>
        <v/>
      </c>
      <c r="D5417" s="148" t="str">
        <f t="shared" ca="1" si="174"/>
        <v/>
      </c>
      <c r="E5417" s="148" t="str">
        <f t="shared" ca="1" si="175"/>
        <v/>
      </c>
    </row>
    <row r="5418" spans="2:5" x14ac:dyDescent="0.25">
      <c r="B5418">
        <v>43012</v>
      </c>
      <c r="C5418" s="6" t="str">
        <f ca="1">IF(OR($C$7="",$B5418&gt;NOW()),"",IF(INDEX(Data!$A:$G,MATCH($B5418,Data!$A:$A,0),MATCH($C$7,Data!$4:$4,0))="","",INDEX(Data!$A:$G,MATCH($B5418,Data!$A:$A,0),MATCH($C$7,Data!$4:$4,0))))</f>
        <v/>
      </c>
      <c r="D5418" s="148" t="str">
        <f t="shared" ca="1" si="174"/>
        <v/>
      </c>
      <c r="E5418" s="148" t="str">
        <f t="shared" ca="1" si="175"/>
        <v/>
      </c>
    </row>
    <row r="5419" spans="2:5" x14ac:dyDescent="0.25">
      <c r="B5419">
        <v>43013</v>
      </c>
      <c r="C5419" s="6" t="str">
        <f ca="1">IF(OR($C$7="",$B5419&gt;NOW()),"",IF(INDEX(Data!$A:$G,MATCH($B5419,Data!$A:$A,0),MATCH($C$7,Data!$4:$4,0))="","",INDEX(Data!$A:$G,MATCH($B5419,Data!$A:$A,0),MATCH($C$7,Data!$4:$4,0))))</f>
        <v/>
      </c>
      <c r="D5419" s="148" t="str">
        <f t="shared" ca="1" si="174"/>
        <v/>
      </c>
      <c r="E5419" s="148" t="str">
        <f t="shared" ca="1" si="175"/>
        <v/>
      </c>
    </row>
    <row r="5420" spans="2:5" x14ac:dyDescent="0.25">
      <c r="B5420">
        <v>43014</v>
      </c>
      <c r="C5420" s="6" t="str">
        <f ca="1">IF(OR($C$7="",$B5420&gt;NOW()),"",IF(INDEX(Data!$A:$G,MATCH($B5420,Data!$A:$A,0),MATCH($C$7,Data!$4:$4,0))="","",INDEX(Data!$A:$G,MATCH($B5420,Data!$A:$A,0),MATCH($C$7,Data!$4:$4,0))))</f>
        <v/>
      </c>
      <c r="D5420" s="148" t="str">
        <f t="shared" ca="1" si="174"/>
        <v/>
      </c>
      <c r="E5420" s="148" t="str">
        <f t="shared" ca="1" si="175"/>
        <v/>
      </c>
    </row>
    <row r="5421" spans="2:5" x14ac:dyDescent="0.25">
      <c r="B5421">
        <v>43015</v>
      </c>
      <c r="C5421" s="6" t="str">
        <f ca="1">IF(OR($C$7="",$B5421&gt;NOW()),"",IF(INDEX(Data!$A:$G,MATCH($B5421,Data!$A:$A,0),MATCH($C$7,Data!$4:$4,0))="","",INDEX(Data!$A:$G,MATCH($B5421,Data!$A:$A,0),MATCH($C$7,Data!$4:$4,0))))</f>
        <v/>
      </c>
      <c r="D5421" s="148" t="str">
        <f t="shared" ca="1" si="174"/>
        <v/>
      </c>
      <c r="E5421" s="148" t="str">
        <f t="shared" ca="1" si="175"/>
        <v/>
      </c>
    </row>
    <row r="5422" spans="2:5" x14ac:dyDescent="0.25">
      <c r="B5422">
        <v>43016</v>
      </c>
      <c r="C5422" s="6" t="str">
        <f ca="1">IF(OR($C$7="",$B5422&gt;NOW()),"",IF(INDEX(Data!$A:$G,MATCH($B5422,Data!$A:$A,0),MATCH($C$7,Data!$4:$4,0))="","",INDEX(Data!$A:$G,MATCH($B5422,Data!$A:$A,0),MATCH($C$7,Data!$4:$4,0))))</f>
        <v/>
      </c>
      <c r="D5422" s="148" t="str">
        <f t="shared" ca="1" si="174"/>
        <v/>
      </c>
      <c r="E5422" s="148" t="str">
        <f t="shared" ca="1" si="175"/>
        <v/>
      </c>
    </row>
    <row r="5423" spans="2:5" x14ac:dyDescent="0.25">
      <c r="B5423">
        <v>43017</v>
      </c>
      <c r="C5423" s="6" t="str">
        <f ca="1">IF(OR($C$7="",$B5423&gt;NOW()),"",IF(INDEX(Data!$A:$G,MATCH($B5423,Data!$A:$A,0),MATCH($C$7,Data!$4:$4,0))="","",INDEX(Data!$A:$G,MATCH($B5423,Data!$A:$A,0),MATCH($C$7,Data!$4:$4,0))))</f>
        <v/>
      </c>
      <c r="D5423" s="148" t="str">
        <f t="shared" ca="1" si="174"/>
        <v/>
      </c>
      <c r="E5423" s="148" t="str">
        <f t="shared" ca="1" si="175"/>
        <v/>
      </c>
    </row>
    <row r="5424" spans="2:5" x14ac:dyDescent="0.25">
      <c r="B5424">
        <v>43018</v>
      </c>
      <c r="C5424" s="6" t="str">
        <f ca="1">IF(OR($C$7="",$B5424&gt;NOW()),"",IF(INDEX(Data!$A:$G,MATCH($B5424,Data!$A:$A,0),MATCH($C$7,Data!$4:$4,0))="","",INDEX(Data!$A:$G,MATCH($B5424,Data!$A:$A,0),MATCH($C$7,Data!$4:$4,0))))</f>
        <v/>
      </c>
      <c r="D5424" s="148" t="str">
        <f t="shared" ca="1" si="174"/>
        <v/>
      </c>
      <c r="E5424" s="148" t="str">
        <f t="shared" ca="1" si="175"/>
        <v/>
      </c>
    </row>
    <row r="5425" spans="2:5" x14ac:dyDescent="0.25">
      <c r="B5425">
        <v>43019</v>
      </c>
      <c r="C5425" s="6" t="str">
        <f ca="1">IF(OR($C$7="",$B5425&gt;NOW()),"",IF(INDEX(Data!$A:$G,MATCH($B5425,Data!$A:$A,0),MATCH($C$7,Data!$4:$4,0))="","",INDEX(Data!$A:$G,MATCH($B5425,Data!$A:$A,0),MATCH($C$7,Data!$4:$4,0))))</f>
        <v/>
      </c>
      <c r="D5425" s="148" t="str">
        <f t="shared" ca="1" si="174"/>
        <v/>
      </c>
      <c r="E5425" s="148" t="str">
        <f t="shared" ca="1" si="175"/>
        <v/>
      </c>
    </row>
    <row r="5426" spans="2:5" x14ac:dyDescent="0.25">
      <c r="B5426">
        <v>43020</v>
      </c>
      <c r="C5426" s="6" t="str">
        <f ca="1">IF(OR($C$7="",$B5426&gt;NOW()),"",IF(INDEX(Data!$A:$G,MATCH($B5426,Data!$A:$A,0),MATCH($C$7,Data!$4:$4,0))="","",INDEX(Data!$A:$G,MATCH($B5426,Data!$A:$A,0),MATCH($C$7,Data!$4:$4,0))))</f>
        <v/>
      </c>
      <c r="D5426" s="148" t="str">
        <f t="shared" ca="1" si="174"/>
        <v/>
      </c>
      <c r="E5426" s="148" t="str">
        <f t="shared" ca="1" si="175"/>
        <v/>
      </c>
    </row>
    <row r="5427" spans="2:5" x14ac:dyDescent="0.25">
      <c r="B5427">
        <v>43021</v>
      </c>
      <c r="C5427" s="6" t="str">
        <f ca="1">IF(OR($C$7="",$B5427&gt;NOW()),"",IF(INDEX(Data!$A:$G,MATCH($B5427,Data!$A:$A,0),MATCH($C$7,Data!$4:$4,0))="","",INDEX(Data!$A:$G,MATCH($B5427,Data!$A:$A,0),MATCH($C$7,Data!$4:$4,0))))</f>
        <v/>
      </c>
      <c r="D5427" s="148" t="str">
        <f t="shared" ca="1" si="174"/>
        <v/>
      </c>
      <c r="E5427" s="148" t="str">
        <f t="shared" ca="1" si="175"/>
        <v/>
      </c>
    </row>
    <row r="5428" spans="2:5" x14ac:dyDescent="0.25">
      <c r="B5428">
        <v>43022</v>
      </c>
      <c r="C5428" s="6" t="str">
        <f ca="1">IF(OR($C$7="",$B5428&gt;NOW()),"",IF(INDEX(Data!$A:$G,MATCH($B5428,Data!$A:$A,0),MATCH($C$7,Data!$4:$4,0))="","",INDEX(Data!$A:$G,MATCH($B5428,Data!$A:$A,0),MATCH($C$7,Data!$4:$4,0))))</f>
        <v/>
      </c>
      <c r="D5428" s="148" t="str">
        <f t="shared" ca="1" si="174"/>
        <v/>
      </c>
      <c r="E5428" s="148" t="str">
        <f t="shared" ca="1" si="175"/>
        <v/>
      </c>
    </row>
    <row r="5429" spans="2:5" x14ac:dyDescent="0.25">
      <c r="B5429">
        <v>43023</v>
      </c>
      <c r="C5429" s="6" t="str">
        <f ca="1">IF(OR($C$7="",$B5429&gt;NOW()),"",IF(INDEX(Data!$A:$G,MATCH($B5429,Data!$A:$A,0),MATCH($C$7,Data!$4:$4,0))="","",INDEX(Data!$A:$G,MATCH($B5429,Data!$A:$A,0),MATCH($C$7,Data!$4:$4,0))))</f>
        <v/>
      </c>
      <c r="D5429" s="148" t="str">
        <f t="shared" ca="1" si="174"/>
        <v/>
      </c>
      <c r="E5429" s="148" t="str">
        <f t="shared" ca="1" si="175"/>
        <v/>
      </c>
    </row>
    <row r="5430" spans="2:5" x14ac:dyDescent="0.25">
      <c r="B5430">
        <v>43024</v>
      </c>
      <c r="C5430" s="6" t="str">
        <f ca="1">IF(OR($C$7="",$B5430&gt;NOW()),"",IF(INDEX(Data!$A:$G,MATCH($B5430,Data!$A:$A,0),MATCH($C$7,Data!$4:$4,0))="","",INDEX(Data!$A:$G,MATCH($B5430,Data!$A:$A,0),MATCH($C$7,Data!$4:$4,0))))</f>
        <v/>
      </c>
      <c r="D5430" s="148" t="str">
        <f t="shared" ca="1" si="174"/>
        <v/>
      </c>
      <c r="E5430" s="148" t="str">
        <f t="shared" ca="1" si="175"/>
        <v/>
      </c>
    </row>
    <row r="5431" spans="2:5" x14ac:dyDescent="0.25">
      <c r="B5431">
        <v>43025</v>
      </c>
      <c r="C5431" s="6" t="str">
        <f ca="1">IF(OR($C$7="",$B5431&gt;NOW()),"",IF(INDEX(Data!$A:$G,MATCH($B5431,Data!$A:$A,0),MATCH($C$7,Data!$4:$4,0))="","",INDEX(Data!$A:$G,MATCH($B5431,Data!$A:$A,0),MATCH($C$7,Data!$4:$4,0))))</f>
        <v/>
      </c>
      <c r="D5431" s="148" t="str">
        <f t="shared" ca="1" si="174"/>
        <v/>
      </c>
      <c r="E5431" s="148" t="str">
        <f t="shared" ca="1" si="175"/>
        <v/>
      </c>
    </row>
    <row r="5432" spans="2:5" x14ac:dyDescent="0.25">
      <c r="B5432">
        <v>43026</v>
      </c>
      <c r="C5432" s="6" t="str">
        <f ca="1">IF(OR($C$7="",$B5432&gt;NOW()),"",IF(INDEX(Data!$A:$G,MATCH($B5432,Data!$A:$A,0),MATCH($C$7,Data!$4:$4,0))="","",INDEX(Data!$A:$G,MATCH($B5432,Data!$A:$A,0),MATCH($C$7,Data!$4:$4,0))))</f>
        <v/>
      </c>
      <c r="D5432" s="148" t="str">
        <f t="shared" ca="1" si="174"/>
        <v/>
      </c>
      <c r="E5432" s="148" t="str">
        <f t="shared" ca="1" si="175"/>
        <v/>
      </c>
    </row>
    <row r="5433" spans="2:5" x14ac:dyDescent="0.25">
      <c r="B5433">
        <v>43027</v>
      </c>
      <c r="C5433" s="6" t="str">
        <f ca="1">IF(OR($C$7="",$B5433&gt;NOW()),"",IF(INDEX(Data!$A:$G,MATCH($B5433,Data!$A:$A,0),MATCH($C$7,Data!$4:$4,0))="","",INDEX(Data!$A:$G,MATCH($B5433,Data!$A:$A,0),MATCH($C$7,Data!$4:$4,0))))</f>
        <v/>
      </c>
      <c r="D5433" s="148" t="str">
        <f t="shared" ca="1" si="174"/>
        <v/>
      </c>
      <c r="E5433" s="148" t="str">
        <f t="shared" ca="1" si="175"/>
        <v/>
      </c>
    </row>
    <row r="5434" spans="2:5" x14ac:dyDescent="0.25">
      <c r="B5434">
        <v>43028</v>
      </c>
      <c r="C5434" s="6" t="str">
        <f ca="1">IF(OR($C$7="",$B5434&gt;NOW()),"",IF(INDEX(Data!$A:$G,MATCH($B5434,Data!$A:$A,0),MATCH($C$7,Data!$4:$4,0))="","",INDEX(Data!$A:$G,MATCH($B5434,Data!$A:$A,0),MATCH($C$7,Data!$4:$4,0))))</f>
        <v/>
      </c>
      <c r="D5434" s="148" t="str">
        <f t="shared" ca="1" si="174"/>
        <v/>
      </c>
      <c r="E5434" s="148" t="str">
        <f t="shared" ca="1" si="175"/>
        <v/>
      </c>
    </row>
    <row r="5435" spans="2:5" x14ac:dyDescent="0.25">
      <c r="B5435">
        <v>43029</v>
      </c>
      <c r="C5435" s="6" t="str">
        <f ca="1">IF(OR($C$7="",$B5435&gt;NOW()),"",IF(INDEX(Data!$A:$G,MATCH($B5435,Data!$A:$A,0),MATCH($C$7,Data!$4:$4,0))="","",INDEX(Data!$A:$G,MATCH($B5435,Data!$A:$A,0),MATCH($C$7,Data!$4:$4,0))))</f>
        <v/>
      </c>
      <c r="D5435" s="148" t="str">
        <f t="shared" ca="1" si="174"/>
        <v/>
      </c>
      <c r="E5435" s="148" t="str">
        <f t="shared" ca="1" si="175"/>
        <v/>
      </c>
    </row>
    <row r="5436" spans="2:5" x14ac:dyDescent="0.25">
      <c r="B5436">
        <v>43030</v>
      </c>
      <c r="C5436" s="6" t="str">
        <f ca="1">IF(OR($C$7="",$B5436&gt;NOW()),"",IF(INDEX(Data!$A:$G,MATCH($B5436,Data!$A:$A,0),MATCH($C$7,Data!$4:$4,0))="","",INDEX(Data!$A:$G,MATCH($B5436,Data!$A:$A,0),MATCH($C$7,Data!$4:$4,0))))</f>
        <v/>
      </c>
      <c r="D5436" s="148" t="str">
        <f t="shared" ca="1" si="174"/>
        <v/>
      </c>
      <c r="E5436" s="148" t="str">
        <f t="shared" ca="1" si="175"/>
        <v/>
      </c>
    </row>
    <row r="5437" spans="2:5" x14ac:dyDescent="0.25">
      <c r="B5437">
        <v>43031</v>
      </c>
      <c r="C5437" s="6" t="str">
        <f ca="1">IF(OR($C$7="",$B5437&gt;NOW()),"",IF(INDEX(Data!$A:$G,MATCH($B5437,Data!$A:$A,0),MATCH($C$7,Data!$4:$4,0))="","",INDEX(Data!$A:$G,MATCH($B5437,Data!$A:$A,0),MATCH($C$7,Data!$4:$4,0))))</f>
        <v/>
      </c>
      <c r="D5437" s="148" t="str">
        <f t="shared" ca="1" si="174"/>
        <v/>
      </c>
      <c r="E5437" s="148" t="str">
        <f t="shared" ca="1" si="175"/>
        <v/>
      </c>
    </row>
    <row r="5438" spans="2:5" x14ac:dyDescent="0.25">
      <c r="B5438">
        <v>43032</v>
      </c>
      <c r="C5438" s="6" t="str">
        <f ca="1">IF(OR($C$7="",$B5438&gt;NOW()),"",IF(INDEX(Data!$A:$G,MATCH($B5438,Data!$A:$A,0),MATCH($C$7,Data!$4:$4,0))="","",INDEX(Data!$A:$G,MATCH($B5438,Data!$A:$A,0),MATCH($C$7,Data!$4:$4,0))))</f>
        <v/>
      </c>
      <c r="D5438" s="148" t="str">
        <f t="shared" ca="1" si="174"/>
        <v/>
      </c>
      <c r="E5438" s="148" t="str">
        <f t="shared" ca="1" si="175"/>
        <v/>
      </c>
    </row>
    <row r="5439" spans="2:5" x14ac:dyDescent="0.25">
      <c r="B5439">
        <v>43033</v>
      </c>
      <c r="C5439" s="6" t="str">
        <f ca="1">IF(OR($C$7="",$B5439&gt;NOW()),"",IF(INDEX(Data!$A:$G,MATCH($B5439,Data!$A:$A,0),MATCH($C$7,Data!$4:$4,0))="","",INDEX(Data!$A:$G,MATCH($B5439,Data!$A:$A,0),MATCH($C$7,Data!$4:$4,0))))</f>
        <v/>
      </c>
      <c r="D5439" s="148" t="str">
        <f t="shared" ca="1" si="174"/>
        <v/>
      </c>
      <c r="E5439" s="148" t="str">
        <f t="shared" ca="1" si="175"/>
        <v/>
      </c>
    </row>
    <row r="5440" spans="2:5" x14ac:dyDescent="0.25">
      <c r="B5440">
        <v>43034</v>
      </c>
      <c r="C5440" s="6" t="str">
        <f ca="1">IF(OR($C$7="",$B5440&gt;NOW()),"",IF(INDEX(Data!$A:$G,MATCH($B5440,Data!$A:$A,0),MATCH($C$7,Data!$4:$4,0))="","",INDEX(Data!$A:$G,MATCH($B5440,Data!$A:$A,0),MATCH($C$7,Data!$4:$4,0))))</f>
        <v/>
      </c>
      <c r="D5440" s="148" t="str">
        <f t="shared" ca="1" si="174"/>
        <v/>
      </c>
      <c r="E5440" s="148" t="str">
        <f t="shared" ca="1" si="175"/>
        <v/>
      </c>
    </row>
    <row r="5441" spans="2:5" x14ac:dyDescent="0.25">
      <c r="B5441">
        <v>43035</v>
      </c>
      <c r="C5441" s="6" t="str">
        <f ca="1">IF(OR($C$7="",$B5441&gt;NOW()),"",IF(INDEX(Data!$A:$G,MATCH($B5441,Data!$A:$A,0),MATCH($C$7,Data!$4:$4,0))="","",INDEX(Data!$A:$G,MATCH($B5441,Data!$A:$A,0),MATCH($C$7,Data!$4:$4,0))))</f>
        <v/>
      </c>
      <c r="D5441" s="148" t="str">
        <f t="shared" ca="1" si="174"/>
        <v/>
      </c>
      <c r="E5441" s="148" t="str">
        <f t="shared" ca="1" si="175"/>
        <v/>
      </c>
    </row>
    <row r="5442" spans="2:5" x14ac:dyDescent="0.25">
      <c r="B5442">
        <v>43036</v>
      </c>
      <c r="C5442" s="6" t="str">
        <f ca="1">IF(OR($C$7="",$B5442&gt;NOW()),"",IF(INDEX(Data!$A:$G,MATCH($B5442,Data!$A:$A,0),MATCH($C$7,Data!$4:$4,0))="","",INDEX(Data!$A:$G,MATCH($B5442,Data!$A:$A,0),MATCH($C$7,Data!$4:$4,0))))</f>
        <v/>
      </c>
      <c r="D5442" s="148" t="str">
        <f t="shared" ca="1" si="174"/>
        <v/>
      </c>
      <c r="E5442" s="148" t="str">
        <f t="shared" ca="1" si="175"/>
        <v/>
      </c>
    </row>
    <row r="5443" spans="2:5" x14ac:dyDescent="0.25">
      <c r="B5443">
        <v>43037</v>
      </c>
      <c r="C5443" s="6" t="str">
        <f ca="1">IF(OR($C$7="",$B5443&gt;NOW()),"",IF(INDEX(Data!$A:$G,MATCH($B5443,Data!$A:$A,0),MATCH($C$7,Data!$4:$4,0))="","",INDEX(Data!$A:$G,MATCH($B5443,Data!$A:$A,0),MATCH($C$7,Data!$4:$4,0))))</f>
        <v/>
      </c>
      <c r="D5443" s="148" t="str">
        <f t="shared" ca="1" si="174"/>
        <v/>
      </c>
      <c r="E5443" s="148" t="str">
        <f t="shared" ca="1" si="175"/>
        <v/>
      </c>
    </row>
    <row r="5444" spans="2:5" x14ac:dyDescent="0.25">
      <c r="B5444">
        <v>43038</v>
      </c>
      <c r="C5444" s="6" t="str">
        <f ca="1">IF(OR($C$7="",$B5444&gt;NOW()),"",IF(INDEX(Data!$A:$G,MATCH($B5444,Data!$A:$A,0),MATCH($C$7,Data!$4:$4,0))="","",INDEX(Data!$A:$G,MATCH($B5444,Data!$A:$A,0),MATCH($C$7,Data!$4:$4,0))))</f>
        <v/>
      </c>
      <c r="D5444" s="148" t="str">
        <f t="shared" ca="1" si="174"/>
        <v/>
      </c>
      <c r="E5444" s="148" t="str">
        <f t="shared" ca="1" si="175"/>
        <v/>
      </c>
    </row>
    <row r="5445" spans="2:5" x14ac:dyDescent="0.25">
      <c r="B5445">
        <v>43039</v>
      </c>
      <c r="C5445" s="6" t="str">
        <f ca="1">IF(OR($C$7="",$B5445&gt;NOW()),"",IF(INDEX(Data!$A:$G,MATCH($B5445,Data!$A:$A,0),MATCH($C$7,Data!$4:$4,0))="","",INDEX(Data!$A:$G,MATCH($B5445,Data!$A:$A,0),MATCH($C$7,Data!$4:$4,0))))</f>
        <v/>
      </c>
      <c r="D5445" s="148" t="str">
        <f t="shared" ca="1" si="174"/>
        <v/>
      </c>
      <c r="E5445" s="148" t="str">
        <f t="shared" ca="1" si="175"/>
        <v/>
      </c>
    </row>
    <row r="5446" spans="2:5" x14ac:dyDescent="0.25">
      <c r="B5446">
        <v>43040</v>
      </c>
      <c r="C5446" s="6" t="str">
        <f ca="1">IF(OR($C$7="",$B5446&gt;NOW()),"",IF(INDEX(Data!$A:$G,MATCH($B5446,Data!$A:$A,0),MATCH($C$7,Data!$4:$4,0))="","",INDEX(Data!$A:$G,MATCH($B5446,Data!$A:$A,0),MATCH($C$7,Data!$4:$4,0))))</f>
        <v/>
      </c>
      <c r="D5446" s="148" t="str">
        <f t="shared" ca="1" si="174"/>
        <v/>
      </c>
      <c r="E5446" s="148" t="str">
        <f t="shared" ca="1" si="175"/>
        <v/>
      </c>
    </row>
    <row r="5447" spans="2:5" x14ac:dyDescent="0.25">
      <c r="B5447">
        <v>43041</v>
      </c>
      <c r="C5447" s="6" t="str">
        <f ca="1">IF(OR($C$7="",$B5447&gt;NOW()),"",IF(INDEX(Data!$A:$G,MATCH($B5447,Data!$A:$A,0),MATCH($C$7,Data!$4:$4,0))="","",INDEX(Data!$A:$G,MATCH($B5447,Data!$A:$A,0),MATCH($C$7,Data!$4:$4,0))))</f>
        <v/>
      </c>
      <c r="D5447" s="148" t="str">
        <f t="shared" ca="1" si="174"/>
        <v/>
      </c>
      <c r="E5447" s="148" t="str">
        <f t="shared" ca="1" si="175"/>
        <v/>
      </c>
    </row>
    <row r="5448" spans="2:5" x14ac:dyDescent="0.25">
      <c r="B5448">
        <v>43042</v>
      </c>
      <c r="C5448" s="6" t="str">
        <f ca="1">IF(OR($C$7="",$B5448&gt;NOW()),"",IF(INDEX(Data!$A:$G,MATCH($B5448,Data!$A:$A,0),MATCH($C$7,Data!$4:$4,0))="","",INDEX(Data!$A:$G,MATCH($B5448,Data!$A:$A,0),MATCH($C$7,Data!$4:$4,0))))</f>
        <v/>
      </c>
      <c r="D5448" s="148" t="str">
        <f t="shared" ca="1" si="174"/>
        <v/>
      </c>
      <c r="E5448" s="148" t="str">
        <f t="shared" ca="1" si="175"/>
        <v/>
      </c>
    </row>
    <row r="5449" spans="2:5" x14ac:dyDescent="0.25">
      <c r="B5449">
        <v>43043</v>
      </c>
      <c r="C5449" s="6" t="str">
        <f ca="1">IF(OR($C$7="",$B5449&gt;NOW()),"",IF(INDEX(Data!$A:$G,MATCH($B5449,Data!$A:$A,0),MATCH($C$7,Data!$4:$4,0))="","",INDEX(Data!$A:$G,MATCH($B5449,Data!$A:$A,0),MATCH($C$7,Data!$4:$4,0))))</f>
        <v/>
      </c>
      <c r="D5449" s="148" t="str">
        <f t="shared" ca="1" si="174"/>
        <v/>
      </c>
      <c r="E5449" s="148" t="str">
        <f t="shared" ca="1" si="175"/>
        <v/>
      </c>
    </row>
    <row r="5450" spans="2:5" x14ac:dyDescent="0.25">
      <c r="B5450">
        <v>43044</v>
      </c>
      <c r="C5450" s="6" t="str">
        <f ca="1">IF(OR($C$7="",$B5450&gt;NOW()),"",IF(INDEX(Data!$A:$G,MATCH($B5450,Data!$A:$A,0),MATCH($C$7,Data!$4:$4,0))="","",INDEX(Data!$A:$G,MATCH($B5450,Data!$A:$A,0),MATCH($C$7,Data!$4:$4,0))))</f>
        <v/>
      </c>
      <c r="D5450" s="148" t="str">
        <f t="shared" ca="1" si="174"/>
        <v/>
      </c>
      <c r="E5450" s="148" t="str">
        <f t="shared" ca="1" si="175"/>
        <v/>
      </c>
    </row>
    <row r="5451" spans="2:5" x14ac:dyDescent="0.25">
      <c r="B5451">
        <v>43045</v>
      </c>
      <c r="C5451" s="6" t="str">
        <f ca="1">IF(OR($C$7="",$B5451&gt;NOW()),"",IF(INDEX(Data!$A:$G,MATCH($B5451,Data!$A:$A,0),MATCH($C$7,Data!$4:$4,0))="","",INDEX(Data!$A:$G,MATCH($B5451,Data!$A:$A,0),MATCH($C$7,Data!$4:$4,0))))</f>
        <v/>
      </c>
      <c r="D5451" s="148" t="str">
        <f t="shared" ca="1" si="174"/>
        <v/>
      </c>
      <c r="E5451" s="148" t="str">
        <f t="shared" ca="1" si="175"/>
        <v/>
      </c>
    </row>
    <row r="5452" spans="2:5" x14ac:dyDescent="0.25">
      <c r="B5452">
        <v>43046</v>
      </c>
      <c r="C5452" s="6" t="str">
        <f ca="1">IF(OR($C$7="",$B5452&gt;NOW()),"",IF(INDEX(Data!$A:$G,MATCH($B5452,Data!$A:$A,0),MATCH($C$7,Data!$4:$4,0))="","",INDEX(Data!$A:$G,MATCH($B5452,Data!$A:$A,0),MATCH($C$7,Data!$4:$4,0))))</f>
        <v/>
      </c>
      <c r="D5452" s="148" t="str">
        <f t="shared" ca="1" si="174"/>
        <v/>
      </c>
      <c r="E5452" s="148" t="str">
        <f t="shared" ca="1" si="175"/>
        <v/>
      </c>
    </row>
    <row r="5453" spans="2:5" x14ac:dyDescent="0.25">
      <c r="B5453">
        <v>43047</v>
      </c>
      <c r="C5453" s="6" t="str">
        <f ca="1">IF(OR($C$7="",$B5453&gt;NOW()),"",IF(INDEX(Data!$A:$G,MATCH($B5453,Data!$A:$A,0),MATCH($C$7,Data!$4:$4,0))="","",INDEX(Data!$A:$G,MATCH($B5453,Data!$A:$A,0),MATCH($C$7,Data!$4:$4,0))))</f>
        <v/>
      </c>
      <c r="D5453" s="148" t="str">
        <f t="shared" ca="1" si="174"/>
        <v/>
      </c>
      <c r="E5453" s="148" t="str">
        <f t="shared" ca="1" si="175"/>
        <v/>
      </c>
    </row>
    <row r="5454" spans="2:5" x14ac:dyDescent="0.25">
      <c r="B5454">
        <v>43048</v>
      </c>
      <c r="C5454" s="6" t="str">
        <f ca="1">IF(OR($C$7="",$B5454&gt;NOW()),"",IF(INDEX(Data!$A:$G,MATCH($B5454,Data!$A:$A,0),MATCH($C$7,Data!$4:$4,0))="","",INDEX(Data!$A:$G,MATCH($B5454,Data!$A:$A,0),MATCH($C$7,Data!$4:$4,0))))</f>
        <v/>
      </c>
      <c r="D5454" s="148" t="str">
        <f t="shared" ca="1" si="174"/>
        <v/>
      </c>
      <c r="E5454" s="148" t="str">
        <f t="shared" ca="1" si="175"/>
        <v/>
      </c>
    </row>
    <row r="5455" spans="2:5" x14ac:dyDescent="0.25">
      <c r="B5455">
        <v>43049</v>
      </c>
      <c r="C5455" s="6" t="str">
        <f ca="1">IF(OR($C$7="",$B5455&gt;NOW()),"",IF(INDEX(Data!$A:$G,MATCH($B5455,Data!$A:$A,0),MATCH($C$7,Data!$4:$4,0))="","",INDEX(Data!$A:$G,MATCH($B5455,Data!$A:$A,0),MATCH($C$7,Data!$4:$4,0))))</f>
        <v/>
      </c>
      <c r="D5455" s="148" t="str">
        <f t="shared" ca="1" si="174"/>
        <v/>
      </c>
      <c r="E5455" s="148" t="str">
        <f t="shared" ca="1" si="175"/>
        <v/>
      </c>
    </row>
    <row r="5456" spans="2:5" x14ac:dyDescent="0.25">
      <c r="B5456">
        <v>43050</v>
      </c>
      <c r="C5456" s="6" t="str">
        <f ca="1">IF(OR($C$7="",$B5456&gt;NOW()),"",IF(INDEX(Data!$A:$G,MATCH($B5456,Data!$A:$A,0),MATCH($C$7,Data!$4:$4,0))="","",INDEX(Data!$A:$G,MATCH($B5456,Data!$A:$A,0),MATCH($C$7,Data!$4:$4,0))))</f>
        <v/>
      </c>
      <c r="D5456" s="148" t="str">
        <f t="shared" ca="1" si="174"/>
        <v/>
      </c>
      <c r="E5456" s="148" t="str">
        <f t="shared" ca="1" si="175"/>
        <v/>
      </c>
    </row>
    <row r="5457" spans="2:5" x14ac:dyDescent="0.25">
      <c r="B5457">
        <v>43051</v>
      </c>
      <c r="C5457" s="6" t="str">
        <f ca="1">IF(OR($C$7="",$B5457&gt;NOW()),"",IF(INDEX(Data!$A:$G,MATCH($B5457,Data!$A:$A,0),MATCH($C$7,Data!$4:$4,0))="","",INDEX(Data!$A:$G,MATCH($B5457,Data!$A:$A,0),MATCH($C$7,Data!$4:$4,0))))</f>
        <v/>
      </c>
      <c r="D5457" s="148" t="str">
        <f t="shared" ca="1" si="174"/>
        <v/>
      </c>
      <c r="E5457" s="148" t="str">
        <f t="shared" ca="1" si="175"/>
        <v/>
      </c>
    </row>
    <row r="5458" spans="2:5" x14ac:dyDescent="0.25">
      <c r="B5458">
        <v>43052</v>
      </c>
      <c r="C5458" s="6" t="str">
        <f ca="1">IF(OR($C$7="",$B5458&gt;NOW()),"",IF(INDEX(Data!$A:$G,MATCH($B5458,Data!$A:$A,0),MATCH($C$7,Data!$4:$4,0))="","",INDEX(Data!$A:$G,MATCH($B5458,Data!$A:$A,0),MATCH($C$7,Data!$4:$4,0))))</f>
        <v/>
      </c>
      <c r="D5458" s="148" t="str">
        <f t="shared" ca="1" si="174"/>
        <v/>
      </c>
      <c r="E5458" s="148" t="str">
        <f t="shared" ca="1" si="175"/>
        <v/>
      </c>
    </row>
    <row r="5459" spans="2:5" x14ac:dyDescent="0.25">
      <c r="B5459">
        <v>43053</v>
      </c>
      <c r="C5459" s="6" t="str">
        <f ca="1">IF(OR($C$7="",$B5459&gt;NOW()),"",IF(INDEX(Data!$A:$G,MATCH($B5459,Data!$A:$A,0),MATCH($C$7,Data!$4:$4,0))="","",INDEX(Data!$A:$G,MATCH($B5459,Data!$A:$A,0),MATCH($C$7,Data!$4:$4,0))))</f>
        <v/>
      </c>
      <c r="D5459" s="148" t="str">
        <f t="shared" ca="1" si="174"/>
        <v/>
      </c>
      <c r="E5459" s="148" t="str">
        <f t="shared" ca="1" si="175"/>
        <v/>
      </c>
    </row>
    <row r="5460" spans="2:5" x14ac:dyDescent="0.25">
      <c r="B5460">
        <v>43054</v>
      </c>
      <c r="C5460" s="6" t="str">
        <f ca="1">IF(OR($C$7="",$B5460&gt;NOW()),"",IF(INDEX(Data!$A:$G,MATCH($B5460,Data!$A:$A,0),MATCH($C$7,Data!$4:$4,0))="","",INDEX(Data!$A:$G,MATCH($B5460,Data!$A:$A,0),MATCH($C$7,Data!$4:$4,0))))</f>
        <v/>
      </c>
      <c r="D5460" s="148" t="str">
        <f t="shared" ca="1" si="174"/>
        <v/>
      </c>
      <c r="E5460" s="148" t="str">
        <f t="shared" ca="1" si="175"/>
        <v/>
      </c>
    </row>
    <row r="5461" spans="2:5" x14ac:dyDescent="0.25">
      <c r="B5461">
        <v>43055</v>
      </c>
      <c r="C5461" s="6" t="str">
        <f ca="1">IF(OR($C$7="",$B5461&gt;NOW()),"",IF(INDEX(Data!$A:$G,MATCH($B5461,Data!$A:$A,0),MATCH($C$7,Data!$4:$4,0))="","",INDEX(Data!$A:$G,MATCH($B5461,Data!$A:$A,0),MATCH($C$7,Data!$4:$4,0))))</f>
        <v/>
      </c>
      <c r="D5461" s="148" t="str">
        <f t="shared" ca="1" si="174"/>
        <v/>
      </c>
      <c r="E5461" s="148" t="str">
        <f t="shared" ca="1" si="175"/>
        <v/>
      </c>
    </row>
    <row r="5462" spans="2:5" x14ac:dyDescent="0.25">
      <c r="B5462">
        <v>43056</v>
      </c>
      <c r="C5462" s="6" t="str">
        <f ca="1">IF(OR($C$7="",$B5462&gt;NOW()),"",IF(INDEX(Data!$A:$G,MATCH($B5462,Data!$A:$A,0),MATCH($C$7,Data!$4:$4,0))="","",INDEX(Data!$A:$G,MATCH($B5462,Data!$A:$A,0),MATCH($C$7,Data!$4:$4,0))))</f>
        <v/>
      </c>
      <c r="D5462" s="148" t="str">
        <f t="shared" ca="1" si="174"/>
        <v/>
      </c>
      <c r="E5462" s="148" t="str">
        <f t="shared" ca="1" si="175"/>
        <v/>
      </c>
    </row>
    <row r="5463" spans="2:5" x14ac:dyDescent="0.25">
      <c r="B5463">
        <v>43057</v>
      </c>
      <c r="C5463" s="6" t="str">
        <f ca="1">IF(OR($C$7="",$B5463&gt;NOW()),"",IF(INDEX(Data!$A:$G,MATCH($B5463,Data!$A:$A,0),MATCH($C$7,Data!$4:$4,0))="","",INDEX(Data!$A:$G,MATCH($B5463,Data!$A:$A,0),MATCH($C$7,Data!$4:$4,0))))</f>
        <v/>
      </c>
      <c r="D5463" s="148" t="str">
        <f t="shared" ca="1" si="174"/>
        <v/>
      </c>
      <c r="E5463" s="148" t="str">
        <f t="shared" ca="1" si="175"/>
        <v/>
      </c>
    </row>
    <row r="5464" spans="2:5" x14ac:dyDescent="0.25">
      <c r="B5464">
        <v>43058</v>
      </c>
      <c r="C5464" s="6" t="str">
        <f ca="1">IF(OR($C$7="",$B5464&gt;NOW()),"",IF(INDEX(Data!$A:$G,MATCH($B5464,Data!$A:$A,0),MATCH($C$7,Data!$4:$4,0))="","",INDEX(Data!$A:$G,MATCH($B5464,Data!$A:$A,0),MATCH($C$7,Data!$4:$4,0))))</f>
        <v/>
      </c>
      <c r="D5464" s="148" t="str">
        <f t="shared" ca="1" si="174"/>
        <v/>
      </c>
      <c r="E5464" s="148" t="str">
        <f t="shared" ca="1" si="175"/>
        <v/>
      </c>
    </row>
    <row r="5465" spans="2:5" x14ac:dyDescent="0.25">
      <c r="B5465">
        <v>43059</v>
      </c>
      <c r="C5465" s="6" t="str">
        <f ca="1">IF(OR($C$7="",$B5465&gt;NOW()),"",IF(INDEX(Data!$A:$G,MATCH($B5465,Data!$A:$A,0),MATCH($C$7,Data!$4:$4,0))="","",INDEX(Data!$A:$G,MATCH($B5465,Data!$A:$A,0),MATCH($C$7,Data!$4:$4,0))))</f>
        <v/>
      </c>
      <c r="D5465" s="148" t="str">
        <f t="shared" ca="1" si="174"/>
        <v/>
      </c>
      <c r="E5465" s="148" t="str">
        <f t="shared" ca="1" si="175"/>
        <v/>
      </c>
    </row>
    <row r="5466" spans="2:5" x14ac:dyDescent="0.25">
      <c r="B5466">
        <v>43060</v>
      </c>
      <c r="C5466" s="6" t="str">
        <f ca="1">IF(OR($C$7="",$B5466&gt;NOW()),"",IF(INDEX(Data!$A:$G,MATCH($B5466,Data!$A:$A,0),MATCH($C$7,Data!$4:$4,0))="","",INDEX(Data!$A:$G,MATCH($B5466,Data!$A:$A,0),MATCH($C$7,Data!$4:$4,0))))</f>
        <v/>
      </c>
      <c r="D5466" s="148" t="str">
        <f t="shared" ca="1" si="174"/>
        <v/>
      </c>
      <c r="E5466" s="148" t="str">
        <f t="shared" ca="1" si="175"/>
        <v/>
      </c>
    </row>
    <row r="5467" spans="2:5" x14ac:dyDescent="0.25">
      <c r="B5467">
        <v>43061</v>
      </c>
      <c r="C5467" s="6" t="str">
        <f ca="1">IF(OR($C$7="",$B5467&gt;NOW()),"",IF(INDEX(Data!$A:$G,MATCH($B5467,Data!$A:$A,0),MATCH($C$7,Data!$4:$4,0))="","",INDEX(Data!$A:$G,MATCH($B5467,Data!$A:$A,0),MATCH($C$7,Data!$4:$4,0))))</f>
        <v/>
      </c>
      <c r="D5467" s="148" t="str">
        <f t="shared" ca="1" si="174"/>
        <v/>
      </c>
      <c r="E5467" s="148" t="str">
        <f t="shared" ca="1" si="175"/>
        <v/>
      </c>
    </row>
    <row r="5468" spans="2:5" x14ac:dyDescent="0.25">
      <c r="B5468">
        <v>43062</v>
      </c>
      <c r="C5468" s="6" t="str">
        <f ca="1">IF(OR($C$7="",$B5468&gt;NOW()),"",IF(INDEX(Data!$A:$G,MATCH($B5468,Data!$A:$A,0),MATCH($C$7,Data!$4:$4,0))="","",INDEX(Data!$A:$G,MATCH($B5468,Data!$A:$A,0),MATCH($C$7,Data!$4:$4,0))))</f>
        <v/>
      </c>
      <c r="D5468" s="148" t="str">
        <f t="shared" ca="1" si="174"/>
        <v/>
      </c>
      <c r="E5468" s="148" t="str">
        <f t="shared" ca="1" si="175"/>
        <v/>
      </c>
    </row>
    <row r="5469" spans="2:5" x14ac:dyDescent="0.25">
      <c r="B5469">
        <v>43063</v>
      </c>
      <c r="C5469" s="6" t="str">
        <f ca="1">IF(OR($C$7="",$B5469&gt;NOW()),"",IF(INDEX(Data!$A:$G,MATCH($B5469,Data!$A:$A,0),MATCH($C$7,Data!$4:$4,0))="","",INDEX(Data!$A:$G,MATCH($B5469,Data!$A:$A,0),MATCH($C$7,Data!$4:$4,0))))</f>
        <v/>
      </c>
      <c r="D5469" s="148" t="str">
        <f t="shared" ref="D5469:D5532" ca="1" si="176">IF($C5469="","",IF($C5469&gt;$D$26,0,$D$26-$C5469))</f>
        <v/>
      </c>
      <c r="E5469" s="148" t="str">
        <f t="shared" ref="E5469:E5532" ca="1" si="177">IF($C5469="","",IF($C5469&lt;$E$26,0,$C5469-$E$26))</f>
        <v/>
      </c>
    </row>
    <row r="5470" spans="2:5" x14ac:dyDescent="0.25">
      <c r="B5470">
        <v>43064</v>
      </c>
      <c r="C5470" s="6" t="str">
        <f ca="1">IF(OR($C$7="",$B5470&gt;NOW()),"",IF(INDEX(Data!$A:$G,MATCH($B5470,Data!$A:$A,0),MATCH($C$7,Data!$4:$4,0))="","",INDEX(Data!$A:$G,MATCH($B5470,Data!$A:$A,0),MATCH($C$7,Data!$4:$4,0))))</f>
        <v/>
      </c>
      <c r="D5470" s="148" t="str">
        <f t="shared" ca="1" si="176"/>
        <v/>
      </c>
      <c r="E5470" s="148" t="str">
        <f t="shared" ca="1" si="177"/>
        <v/>
      </c>
    </row>
    <row r="5471" spans="2:5" x14ac:dyDescent="0.25">
      <c r="B5471">
        <v>43065</v>
      </c>
      <c r="C5471" s="6" t="str">
        <f ca="1">IF(OR($C$7="",$B5471&gt;NOW()),"",IF(INDEX(Data!$A:$G,MATCH($B5471,Data!$A:$A,0),MATCH($C$7,Data!$4:$4,0))="","",INDEX(Data!$A:$G,MATCH($B5471,Data!$A:$A,0),MATCH($C$7,Data!$4:$4,0))))</f>
        <v/>
      </c>
      <c r="D5471" s="148" t="str">
        <f t="shared" ca="1" si="176"/>
        <v/>
      </c>
      <c r="E5471" s="148" t="str">
        <f t="shared" ca="1" si="177"/>
        <v/>
      </c>
    </row>
    <row r="5472" spans="2:5" x14ac:dyDescent="0.25">
      <c r="B5472">
        <v>43066</v>
      </c>
      <c r="C5472" s="6" t="str">
        <f ca="1">IF(OR($C$7="",$B5472&gt;NOW()),"",IF(INDEX(Data!$A:$G,MATCH($B5472,Data!$A:$A,0),MATCH($C$7,Data!$4:$4,0))="","",INDEX(Data!$A:$G,MATCH($B5472,Data!$A:$A,0),MATCH($C$7,Data!$4:$4,0))))</f>
        <v/>
      </c>
      <c r="D5472" s="148" t="str">
        <f t="shared" ca="1" si="176"/>
        <v/>
      </c>
      <c r="E5472" s="148" t="str">
        <f t="shared" ca="1" si="177"/>
        <v/>
      </c>
    </row>
    <row r="5473" spans="2:5" x14ac:dyDescent="0.25">
      <c r="B5473">
        <v>43067</v>
      </c>
      <c r="C5473" s="6" t="str">
        <f ca="1">IF(OR($C$7="",$B5473&gt;NOW()),"",IF(INDEX(Data!$A:$G,MATCH($B5473,Data!$A:$A,0),MATCH($C$7,Data!$4:$4,0))="","",INDEX(Data!$A:$G,MATCH($B5473,Data!$A:$A,0),MATCH($C$7,Data!$4:$4,0))))</f>
        <v/>
      </c>
      <c r="D5473" s="148" t="str">
        <f t="shared" ca="1" si="176"/>
        <v/>
      </c>
      <c r="E5473" s="148" t="str">
        <f t="shared" ca="1" si="177"/>
        <v/>
      </c>
    </row>
    <row r="5474" spans="2:5" x14ac:dyDescent="0.25">
      <c r="B5474">
        <v>43068</v>
      </c>
      <c r="C5474" s="6" t="str">
        <f ca="1">IF(OR($C$7="",$B5474&gt;NOW()),"",IF(INDEX(Data!$A:$G,MATCH($B5474,Data!$A:$A,0),MATCH($C$7,Data!$4:$4,0))="","",INDEX(Data!$A:$G,MATCH($B5474,Data!$A:$A,0),MATCH($C$7,Data!$4:$4,0))))</f>
        <v/>
      </c>
      <c r="D5474" s="148" t="str">
        <f t="shared" ca="1" si="176"/>
        <v/>
      </c>
      <c r="E5474" s="148" t="str">
        <f t="shared" ca="1" si="177"/>
        <v/>
      </c>
    </row>
    <row r="5475" spans="2:5" x14ac:dyDescent="0.25">
      <c r="B5475">
        <v>43069</v>
      </c>
      <c r="C5475" s="6" t="str">
        <f ca="1">IF(OR($C$7="",$B5475&gt;NOW()),"",IF(INDEX(Data!$A:$G,MATCH($B5475,Data!$A:$A,0),MATCH($C$7,Data!$4:$4,0))="","",INDEX(Data!$A:$G,MATCH($B5475,Data!$A:$A,0),MATCH($C$7,Data!$4:$4,0))))</f>
        <v/>
      </c>
      <c r="D5475" s="148" t="str">
        <f t="shared" ca="1" si="176"/>
        <v/>
      </c>
      <c r="E5475" s="148" t="str">
        <f t="shared" ca="1" si="177"/>
        <v/>
      </c>
    </row>
    <row r="5476" spans="2:5" x14ac:dyDescent="0.25">
      <c r="B5476">
        <v>43070</v>
      </c>
      <c r="C5476" s="6" t="str">
        <f ca="1">IF(OR($C$7="",$B5476&gt;NOW()),"",IF(INDEX(Data!$A:$G,MATCH($B5476,Data!$A:$A,0),MATCH($C$7,Data!$4:$4,0))="","",INDEX(Data!$A:$G,MATCH($B5476,Data!$A:$A,0),MATCH($C$7,Data!$4:$4,0))))</f>
        <v/>
      </c>
      <c r="D5476" s="148" t="str">
        <f t="shared" ca="1" si="176"/>
        <v/>
      </c>
      <c r="E5476" s="148" t="str">
        <f t="shared" ca="1" si="177"/>
        <v/>
      </c>
    </row>
    <row r="5477" spans="2:5" x14ac:dyDescent="0.25">
      <c r="B5477">
        <v>43071</v>
      </c>
      <c r="C5477" s="6" t="str">
        <f ca="1">IF(OR($C$7="",$B5477&gt;NOW()),"",IF(INDEX(Data!$A:$G,MATCH($B5477,Data!$A:$A,0),MATCH($C$7,Data!$4:$4,0))="","",INDEX(Data!$A:$G,MATCH($B5477,Data!$A:$A,0),MATCH($C$7,Data!$4:$4,0))))</f>
        <v/>
      </c>
      <c r="D5477" s="148" t="str">
        <f t="shared" ca="1" si="176"/>
        <v/>
      </c>
      <c r="E5477" s="148" t="str">
        <f t="shared" ca="1" si="177"/>
        <v/>
      </c>
    </row>
    <row r="5478" spans="2:5" x14ac:dyDescent="0.25">
      <c r="B5478">
        <v>43072</v>
      </c>
      <c r="C5478" s="6" t="str">
        <f ca="1">IF(OR($C$7="",$B5478&gt;NOW()),"",IF(INDEX(Data!$A:$G,MATCH($B5478,Data!$A:$A,0),MATCH($C$7,Data!$4:$4,0))="","",INDEX(Data!$A:$G,MATCH($B5478,Data!$A:$A,0),MATCH($C$7,Data!$4:$4,0))))</f>
        <v/>
      </c>
      <c r="D5478" s="148" t="str">
        <f t="shared" ca="1" si="176"/>
        <v/>
      </c>
      <c r="E5478" s="148" t="str">
        <f t="shared" ca="1" si="177"/>
        <v/>
      </c>
    </row>
    <row r="5479" spans="2:5" x14ac:dyDescent="0.25">
      <c r="B5479">
        <v>43073</v>
      </c>
      <c r="C5479" s="6" t="str">
        <f ca="1">IF(OR($C$7="",$B5479&gt;NOW()),"",IF(INDEX(Data!$A:$G,MATCH($B5479,Data!$A:$A,0),MATCH($C$7,Data!$4:$4,0))="","",INDEX(Data!$A:$G,MATCH($B5479,Data!$A:$A,0),MATCH($C$7,Data!$4:$4,0))))</f>
        <v/>
      </c>
      <c r="D5479" s="148" t="str">
        <f t="shared" ca="1" si="176"/>
        <v/>
      </c>
      <c r="E5479" s="148" t="str">
        <f t="shared" ca="1" si="177"/>
        <v/>
      </c>
    </row>
    <row r="5480" spans="2:5" x14ac:dyDescent="0.25">
      <c r="B5480">
        <v>43074</v>
      </c>
      <c r="C5480" s="6" t="str">
        <f ca="1">IF(OR($C$7="",$B5480&gt;NOW()),"",IF(INDEX(Data!$A:$G,MATCH($B5480,Data!$A:$A,0),MATCH($C$7,Data!$4:$4,0))="","",INDEX(Data!$A:$G,MATCH($B5480,Data!$A:$A,0),MATCH($C$7,Data!$4:$4,0))))</f>
        <v/>
      </c>
      <c r="D5480" s="148" t="str">
        <f t="shared" ca="1" si="176"/>
        <v/>
      </c>
      <c r="E5480" s="148" t="str">
        <f t="shared" ca="1" si="177"/>
        <v/>
      </c>
    </row>
    <row r="5481" spans="2:5" x14ac:dyDescent="0.25">
      <c r="B5481">
        <v>43075</v>
      </c>
      <c r="C5481" s="6" t="str">
        <f ca="1">IF(OR($C$7="",$B5481&gt;NOW()),"",IF(INDEX(Data!$A:$G,MATCH($B5481,Data!$A:$A,0),MATCH($C$7,Data!$4:$4,0))="","",INDEX(Data!$A:$G,MATCH($B5481,Data!$A:$A,0),MATCH($C$7,Data!$4:$4,0))))</f>
        <v/>
      </c>
      <c r="D5481" s="148" t="str">
        <f t="shared" ca="1" si="176"/>
        <v/>
      </c>
      <c r="E5481" s="148" t="str">
        <f t="shared" ca="1" si="177"/>
        <v/>
      </c>
    </row>
    <row r="5482" spans="2:5" x14ac:dyDescent="0.25">
      <c r="B5482">
        <v>43076</v>
      </c>
      <c r="C5482" s="6" t="str">
        <f ca="1">IF(OR($C$7="",$B5482&gt;NOW()),"",IF(INDEX(Data!$A:$G,MATCH($B5482,Data!$A:$A,0),MATCH($C$7,Data!$4:$4,0))="","",INDEX(Data!$A:$G,MATCH($B5482,Data!$A:$A,0),MATCH($C$7,Data!$4:$4,0))))</f>
        <v/>
      </c>
      <c r="D5482" s="148" t="str">
        <f t="shared" ca="1" si="176"/>
        <v/>
      </c>
      <c r="E5482" s="148" t="str">
        <f t="shared" ca="1" si="177"/>
        <v/>
      </c>
    </row>
    <row r="5483" spans="2:5" x14ac:dyDescent="0.25">
      <c r="B5483">
        <v>43077</v>
      </c>
      <c r="C5483" s="6" t="str">
        <f ca="1">IF(OR($C$7="",$B5483&gt;NOW()),"",IF(INDEX(Data!$A:$G,MATCH($B5483,Data!$A:$A,0),MATCH($C$7,Data!$4:$4,0))="","",INDEX(Data!$A:$G,MATCH($B5483,Data!$A:$A,0),MATCH($C$7,Data!$4:$4,0))))</f>
        <v/>
      </c>
      <c r="D5483" s="148" t="str">
        <f t="shared" ca="1" si="176"/>
        <v/>
      </c>
      <c r="E5483" s="148" t="str">
        <f t="shared" ca="1" si="177"/>
        <v/>
      </c>
    </row>
    <row r="5484" spans="2:5" x14ac:dyDescent="0.25">
      <c r="B5484">
        <v>43078</v>
      </c>
      <c r="C5484" s="6" t="str">
        <f ca="1">IF(OR($C$7="",$B5484&gt;NOW()),"",IF(INDEX(Data!$A:$G,MATCH($B5484,Data!$A:$A,0),MATCH($C$7,Data!$4:$4,0))="","",INDEX(Data!$A:$G,MATCH($B5484,Data!$A:$A,0),MATCH($C$7,Data!$4:$4,0))))</f>
        <v/>
      </c>
      <c r="D5484" s="148" t="str">
        <f t="shared" ca="1" si="176"/>
        <v/>
      </c>
      <c r="E5484" s="148" t="str">
        <f t="shared" ca="1" si="177"/>
        <v/>
      </c>
    </row>
    <row r="5485" spans="2:5" x14ac:dyDescent="0.25">
      <c r="B5485">
        <v>43079</v>
      </c>
      <c r="C5485" s="6" t="str">
        <f ca="1">IF(OR($C$7="",$B5485&gt;NOW()),"",IF(INDEX(Data!$A:$G,MATCH($B5485,Data!$A:$A,0),MATCH($C$7,Data!$4:$4,0))="","",INDEX(Data!$A:$G,MATCH($B5485,Data!$A:$A,0),MATCH($C$7,Data!$4:$4,0))))</f>
        <v/>
      </c>
      <c r="D5485" s="148" t="str">
        <f t="shared" ca="1" si="176"/>
        <v/>
      </c>
      <c r="E5485" s="148" t="str">
        <f t="shared" ca="1" si="177"/>
        <v/>
      </c>
    </row>
    <row r="5486" spans="2:5" x14ac:dyDescent="0.25">
      <c r="B5486">
        <v>43080</v>
      </c>
      <c r="C5486" s="6" t="str">
        <f ca="1">IF(OR($C$7="",$B5486&gt;NOW()),"",IF(INDEX(Data!$A:$G,MATCH($B5486,Data!$A:$A,0),MATCH($C$7,Data!$4:$4,0))="","",INDEX(Data!$A:$G,MATCH($B5486,Data!$A:$A,0),MATCH($C$7,Data!$4:$4,0))))</f>
        <v/>
      </c>
      <c r="D5486" s="148" t="str">
        <f t="shared" ca="1" si="176"/>
        <v/>
      </c>
      <c r="E5486" s="148" t="str">
        <f t="shared" ca="1" si="177"/>
        <v/>
      </c>
    </row>
    <row r="5487" spans="2:5" x14ac:dyDescent="0.25">
      <c r="B5487">
        <v>43081</v>
      </c>
      <c r="C5487" s="6" t="str">
        <f ca="1">IF(OR($C$7="",$B5487&gt;NOW()),"",IF(INDEX(Data!$A:$G,MATCH($B5487,Data!$A:$A,0),MATCH($C$7,Data!$4:$4,0))="","",INDEX(Data!$A:$G,MATCH($B5487,Data!$A:$A,0),MATCH($C$7,Data!$4:$4,0))))</f>
        <v/>
      </c>
      <c r="D5487" s="148" t="str">
        <f t="shared" ca="1" si="176"/>
        <v/>
      </c>
      <c r="E5487" s="148" t="str">
        <f t="shared" ca="1" si="177"/>
        <v/>
      </c>
    </row>
    <row r="5488" spans="2:5" x14ac:dyDescent="0.25">
      <c r="B5488">
        <v>43082</v>
      </c>
      <c r="C5488" s="6" t="str">
        <f ca="1">IF(OR($C$7="",$B5488&gt;NOW()),"",IF(INDEX(Data!$A:$G,MATCH($B5488,Data!$A:$A,0),MATCH($C$7,Data!$4:$4,0))="","",INDEX(Data!$A:$G,MATCH($B5488,Data!$A:$A,0),MATCH($C$7,Data!$4:$4,0))))</f>
        <v/>
      </c>
      <c r="D5488" s="148" t="str">
        <f t="shared" ca="1" si="176"/>
        <v/>
      </c>
      <c r="E5488" s="148" t="str">
        <f t="shared" ca="1" si="177"/>
        <v/>
      </c>
    </row>
    <row r="5489" spans="2:5" x14ac:dyDescent="0.25">
      <c r="B5489">
        <v>43083</v>
      </c>
      <c r="C5489" s="6" t="str">
        <f ca="1">IF(OR($C$7="",$B5489&gt;NOW()),"",IF(INDEX(Data!$A:$G,MATCH($B5489,Data!$A:$A,0),MATCH($C$7,Data!$4:$4,0))="","",INDEX(Data!$A:$G,MATCH($B5489,Data!$A:$A,0),MATCH($C$7,Data!$4:$4,0))))</f>
        <v/>
      </c>
      <c r="D5489" s="148" t="str">
        <f t="shared" ca="1" si="176"/>
        <v/>
      </c>
      <c r="E5489" s="148" t="str">
        <f t="shared" ca="1" si="177"/>
        <v/>
      </c>
    </row>
    <row r="5490" spans="2:5" x14ac:dyDescent="0.25">
      <c r="B5490">
        <v>43084</v>
      </c>
      <c r="C5490" s="6" t="str">
        <f ca="1">IF(OR($C$7="",$B5490&gt;NOW()),"",IF(INDEX(Data!$A:$G,MATCH($B5490,Data!$A:$A,0),MATCH($C$7,Data!$4:$4,0))="","",INDEX(Data!$A:$G,MATCH($B5490,Data!$A:$A,0),MATCH($C$7,Data!$4:$4,0))))</f>
        <v/>
      </c>
      <c r="D5490" s="148" t="str">
        <f t="shared" ca="1" si="176"/>
        <v/>
      </c>
      <c r="E5490" s="148" t="str">
        <f t="shared" ca="1" si="177"/>
        <v/>
      </c>
    </row>
    <row r="5491" spans="2:5" x14ac:dyDescent="0.25">
      <c r="B5491">
        <v>43085</v>
      </c>
      <c r="C5491" s="6" t="str">
        <f ca="1">IF(OR($C$7="",$B5491&gt;NOW()),"",IF(INDEX(Data!$A:$G,MATCH($B5491,Data!$A:$A,0),MATCH($C$7,Data!$4:$4,0))="","",INDEX(Data!$A:$G,MATCH($B5491,Data!$A:$A,0),MATCH($C$7,Data!$4:$4,0))))</f>
        <v/>
      </c>
      <c r="D5491" s="148" t="str">
        <f t="shared" ca="1" si="176"/>
        <v/>
      </c>
      <c r="E5491" s="148" t="str">
        <f t="shared" ca="1" si="177"/>
        <v/>
      </c>
    </row>
    <row r="5492" spans="2:5" x14ac:dyDescent="0.25">
      <c r="B5492">
        <v>43086</v>
      </c>
      <c r="C5492" s="6" t="str">
        <f ca="1">IF(OR($C$7="",$B5492&gt;NOW()),"",IF(INDEX(Data!$A:$G,MATCH($B5492,Data!$A:$A,0),MATCH($C$7,Data!$4:$4,0))="","",INDEX(Data!$A:$G,MATCH($B5492,Data!$A:$A,0),MATCH($C$7,Data!$4:$4,0))))</f>
        <v/>
      </c>
      <c r="D5492" s="148" t="str">
        <f t="shared" ca="1" si="176"/>
        <v/>
      </c>
      <c r="E5492" s="148" t="str">
        <f t="shared" ca="1" si="177"/>
        <v/>
      </c>
    </row>
    <row r="5493" spans="2:5" x14ac:dyDescent="0.25">
      <c r="B5493">
        <v>43087</v>
      </c>
      <c r="C5493" s="6" t="str">
        <f ca="1">IF(OR($C$7="",$B5493&gt;NOW()),"",IF(INDEX(Data!$A:$G,MATCH($B5493,Data!$A:$A,0),MATCH($C$7,Data!$4:$4,0))="","",INDEX(Data!$A:$G,MATCH($B5493,Data!$A:$A,0),MATCH($C$7,Data!$4:$4,0))))</f>
        <v/>
      </c>
      <c r="D5493" s="148" t="str">
        <f t="shared" ca="1" si="176"/>
        <v/>
      </c>
      <c r="E5493" s="148" t="str">
        <f t="shared" ca="1" si="177"/>
        <v/>
      </c>
    </row>
    <row r="5494" spans="2:5" x14ac:dyDescent="0.25">
      <c r="B5494">
        <v>43088</v>
      </c>
      <c r="C5494" s="6" t="str">
        <f ca="1">IF(OR($C$7="",$B5494&gt;NOW()),"",IF(INDEX(Data!$A:$G,MATCH($B5494,Data!$A:$A,0),MATCH($C$7,Data!$4:$4,0))="","",INDEX(Data!$A:$G,MATCH($B5494,Data!$A:$A,0),MATCH($C$7,Data!$4:$4,0))))</f>
        <v/>
      </c>
      <c r="D5494" s="148" t="str">
        <f t="shared" ca="1" si="176"/>
        <v/>
      </c>
      <c r="E5494" s="148" t="str">
        <f t="shared" ca="1" si="177"/>
        <v/>
      </c>
    </row>
    <row r="5495" spans="2:5" x14ac:dyDescent="0.25">
      <c r="B5495">
        <v>43089</v>
      </c>
      <c r="C5495" s="6" t="str">
        <f ca="1">IF(OR($C$7="",$B5495&gt;NOW()),"",IF(INDEX(Data!$A:$G,MATCH($B5495,Data!$A:$A,0),MATCH($C$7,Data!$4:$4,0))="","",INDEX(Data!$A:$G,MATCH($B5495,Data!$A:$A,0),MATCH($C$7,Data!$4:$4,0))))</f>
        <v/>
      </c>
      <c r="D5495" s="148" t="str">
        <f t="shared" ca="1" si="176"/>
        <v/>
      </c>
      <c r="E5495" s="148" t="str">
        <f t="shared" ca="1" si="177"/>
        <v/>
      </c>
    </row>
    <row r="5496" spans="2:5" x14ac:dyDescent="0.25">
      <c r="B5496">
        <v>43090</v>
      </c>
      <c r="C5496" s="6" t="str">
        <f ca="1">IF(OR($C$7="",$B5496&gt;NOW()),"",IF(INDEX(Data!$A:$G,MATCH($B5496,Data!$A:$A,0),MATCH($C$7,Data!$4:$4,0))="","",INDEX(Data!$A:$G,MATCH($B5496,Data!$A:$A,0),MATCH($C$7,Data!$4:$4,0))))</f>
        <v/>
      </c>
      <c r="D5496" s="148" t="str">
        <f t="shared" ca="1" si="176"/>
        <v/>
      </c>
      <c r="E5496" s="148" t="str">
        <f t="shared" ca="1" si="177"/>
        <v/>
      </c>
    </row>
    <row r="5497" spans="2:5" x14ac:dyDescent="0.25">
      <c r="B5497">
        <v>43091</v>
      </c>
      <c r="C5497" s="6" t="str">
        <f ca="1">IF(OR($C$7="",$B5497&gt;NOW()),"",IF(INDEX(Data!$A:$G,MATCH($B5497,Data!$A:$A,0),MATCH($C$7,Data!$4:$4,0))="","",INDEX(Data!$A:$G,MATCH($B5497,Data!$A:$A,0),MATCH($C$7,Data!$4:$4,0))))</f>
        <v/>
      </c>
      <c r="D5497" s="148" t="str">
        <f t="shared" ca="1" si="176"/>
        <v/>
      </c>
      <c r="E5497" s="148" t="str">
        <f t="shared" ca="1" si="177"/>
        <v/>
      </c>
    </row>
    <row r="5498" spans="2:5" x14ac:dyDescent="0.25">
      <c r="B5498">
        <v>43092</v>
      </c>
      <c r="C5498" s="6" t="str">
        <f ca="1">IF(OR($C$7="",$B5498&gt;NOW()),"",IF(INDEX(Data!$A:$G,MATCH($B5498,Data!$A:$A,0),MATCH($C$7,Data!$4:$4,0))="","",INDEX(Data!$A:$G,MATCH($B5498,Data!$A:$A,0),MATCH($C$7,Data!$4:$4,0))))</f>
        <v/>
      </c>
      <c r="D5498" s="148" t="str">
        <f t="shared" ca="1" si="176"/>
        <v/>
      </c>
      <c r="E5498" s="148" t="str">
        <f t="shared" ca="1" si="177"/>
        <v/>
      </c>
    </row>
    <row r="5499" spans="2:5" x14ac:dyDescent="0.25">
      <c r="B5499">
        <v>43093</v>
      </c>
      <c r="C5499" s="6" t="str">
        <f ca="1">IF(OR($C$7="",$B5499&gt;NOW()),"",IF(INDEX(Data!$A:$G,MATCH($B5499,Data!$A:$A,0),MATCH($C$7,Data!$4:$4,0))="","",INDEX(Data!$A:$G,MATCH($B5499,Data!$A:$A,0),MATCH($C$7,Data!$4:$4,0))))</f>
        <v/>
      </c>
      <c r="D5499" s="148" t="str">
        <f t="shared" ca="1" si="176"/>
        <v/>
      </c>
      <c r="E5499" s="148" t="str">
        <f t="shared" ca="1" si="177"/>
        <v/>
      </c>
    </row>
    <row r="5500" spans="2:5" x14ac:dyDescent="0.25">
      <c r="B5500">
        <v>43094</v>
      </c>
      <c r="C5500" s="6" t="str">
        <f ca="1">IF(OR($C$7="",$B5500&gt;NOW()),"",IF(INDEX(Data!$A:$G,MATCH($B5500,Data!$A:$A,0),MATCH($C$7,Data!$4:$4,0))="","",INDEX(Data!$A:$G,MATCH($B5500,Data!$A:$A,0),MATCH($C$7,Data!$4:$4,0))))</f>
        <v/>
      </c>
      <c r="D5500" s="148" t="str">
        <f t="shared" ca="1" si="176"/>
        <v/>
      </c>
      <c r="E5500" s="148" t="str">
        <f t="shared" ca="1" si="177"/>
        <v/>
      </c>
    </row>
    <row r="5501" spans="2:5" x14ac:dyDescent="0.25">
      <c r="B5501">
        <v>43095</v>
      </c>
      <c r="C5501" s="6" t="str">
        <f ca="1">IF(OR($C$7="",$B5501&gt;NOW()),"",IF(INDEX(Data!$A:$G,MATCH($B5501,Data!$A:$A,0),MATCH($C$7,Data!$4:$4,0))="","",INDEX(Data!$A:$G,MATCH($B5501,Data!$A:$A,0),MATCH($C$7,Data!$4:$4,0))))</f>
        <v/>
      </c>
      <c r="D5501" s="148" t="str">
        <f t="shared" ca="1" si="176"/>
        <v/>
      </c>
      <c r="E5501" s="148" t="str">
        <f t="shared" ca="1" si="177"/>
        <v/>
      </c>
    </row>
    <row r="5502" spans="2:5" x14ac:dyDescent="0.25">
      <c r="B5502">
        <v>43096</v>
      </c>
      <c r="C5502" s="6" t="str">
        <f ca="1">IF(OR($C$7="",$B5502&gt;NOW()),"",IF(INDEX(Data!$A:$G,MATCH($B5502,Data!$A:$A,0),MATCH($C$7,Data!$4:$4,0))="","",INDEX(Data!$A:$G,MATCH($B5502,Data!$A:$A,0),MATCH($C$7,Data!$4:$4,0))))</f>
        <v/>
      </c>
      <c r="D5502" s="148" t="str">
        <f t="shared" ca="1" si="176"/>
        <v/>
      </c>
      <c r="E5502" s="148" t="str">
        <f t="shared" ca="1" si="177"/>
        <v/>
      </c>
    </row>
    <row r="5503" spans="2:5" x14ac:dyDescent="0.25">
      <c r="B5503">
        <v>43097</v>
      </c>
      <c r="C5503" s="6" t="str">
        <f ca="1">IF(OR($C$7="",$B5503&gt;NOW()),"",IF(INDEX(Data!$A:$G,MATCH($B5503,Data!$A:$A,0),MATCH($C$7,Data!$4:$4,0))="","",INDEX(Data!$A:$G,MATCH($B5503,Data!$A:$A,0),MATCH($C$7,Data!$4:$4,0))))</f>
        <v/>
      </c>
      <c r="D5503" s="148" t="str">
        <f t="shared" ca="1" si="176"/>
        <v/>
      </c>
      <c r="E5503" s="148" t="str">
        <f t="shared" ca="1" si="177"/>
        <v/>
      </c>
    </row>
    <row r="5504" spans="2:5" x14ac:dyDescent="0.25">
      <c r="B5504">
        <v>43098</v>
      </c>
      <c r="C5504" s="6" t="str">
        <f ca="1">IF(OR($C$7="",$B5504&gt;NOW()),"",IF(INDEX(Data!$A:$G,MATCH($B5504,Data!$A:$A,0),MATCH($C$7,Data!$4:$4,0))="","",INDEX(Data!$A:$G,MATCH($B5504,Data!$A:$A,0),MATCH($C$7,Data!$4:$4,0))))</f>
        <v/>
      </c>
      <c r="D5504" s="148" t="str">
        <f t="shared" ca="1" si="176"/>
        <v/>
      </c>
      <c r="E5504" s="148" t="str">
        <f t="shared" ca="1" si="177"/>
        <v/>
      </c>
    </row>
    <row r="5505" spans="2:5" x14ac:dyDescent="0.25">
      <c r="B5505">
        <v>43099</v>
      </c>
      <c r="C5505" s="6" t="str">
        <f ca="1">IF(OR($C$7="",$B5505&gt;NOW()),"",IF(INDEX(Data!$A:$G,MATCH($B5505,Data!$A:$A,0),MATCH($C$7,Data!$4:$4,0))="","",INDEX(Data!$A:$G,MATCH($B5505,Data!$A:$A,0),MATCH($C$7,Data!$4:$4,0))))</f>
        <v/>
      </c>
      <c r="D5505" s="148" t="str">
        <f t="shared" ca="1" si="176"/>
        <v/>
      </c>
      <c r="E5505" s="148" t="str">
        <f t="shared" ca="1" si="177"/>
        <v/>
      </c>
    </row>
    <row r="5506" spans="2:5" x14ac:dyDescent="0.25">
      <c r="B5506">
        <v>43100</v>
      </c>
      <c r="C5506" s="6" t="str">
        <f ca="1">IF(OR($C$7="",$B5506&gt;NOW()),"",IF(INDEX(Data!$A:$G,MATCH($B5506,Data!$A:$A,0),MATCH($C$7,Data!$4:$4,0))="","",INDEX(Data!$A:$G,MATCH($B5506,Data!$A:$A,0),MATCH($C$7,Data!$4:$4,0))))</f>
        <v/>
      </c>
      <c r="D5506" s="148" t="str">
        <f t="shared" ca="1" si="176"/>
        <v/>
      </c>
      <c r="E5506" s="148" t="str">
        <f t="shared" ca="1" si="177"/>
        <v/>
      </c>
    </row>
    <row r="5507" spans="2:5" x14ac:dyDescent="0.25">
      <c r="B5507">
        <v>43101</v>
      </c>
      <c r="C5507" s="6" t="str">
        <f ca="1">IF(OR($C$7="",$B5507&gt;NOW()),"",IF(INDEX(Data!$A:$G,MATCH($B5507,Data!$A:$A,0),MATCH($C$7,Data!$4:$4,0))="","",INDEX(Data!$A:$G,MATCH($B5507,Data!$A:$A,0),MATCH($C$7,Data!$4:$4,0))))</f>
        <v/>
      </c>
      <c r="D5507" s="148" t="str">
        <f t="shared" ca="1" si="176"/>
        <v/>
      </c>
      <c r="E5507" s="148" t="str">
        <f t="shared" ca="1" si="177"/>
        <v/>
      </c>
    </row>
    <row r="5508" spans="2:5" x14ac:dyDescent="0.25">
      <c r="B5508">
        <v>43102</v>
      </c>
      <c r="C5508" s="6" t="str">
        <f ca="1">IF(OR($C$7="",$B5508&gt;NOW()),"",IF(INDEX(Data!$A:$G,MATCH($B5508,Data!$A:$A,0),MATCH($C$7,Data!$4:$4,0))="","",INDEX(Data!$A:$G,MATCH($B5508,Data!$A:$A,0),MATCH($C$7,Data!$4:$4,0))))</f>
        <v/>
      </c>
      <c r="D5508" s="148" t="str">
        <f t="shared" ca="1" si="176"/>
        <v/>
      </c>
      <c r="E5508" s="148" t="str">
        <f t="shared" ca="1" si="177"/>
        <v/>
      </c>
    </row>
    <row r="5509" spans="2:5" x14ac:dyDescent="0.25">
      <c r="B5509">
        <v>43103</v>
      </c>
      <c r="C5509" s="6" t="str">
        <f ca="1">IF(OR($C$7="",$B5509&gt;NOW()),"",IF(INDEX(Data!$A:$G,MATCH($B5509,Data!$A:$A,0),MATCH($C$7,Data!$4:$4,0))="","",INDEX(Data!$A:$G,MATCH($B5509,Data!$A:$A,0),MATCH($C$7,Data!$4:$4,0))))</f>
        <v/>
      </c>
      <c r="D5509" s="148" t="str">
        <f t="shared" ca="1" si="176"/>
        <v/>
      </c>
      <c r="E5509" s="148" t="str">
        <f t="shared" ca="1" si="177"/>
        <v/>
      </c>
    </row>
    <row r="5510" spans="2:5" x14ac:dyDescent="0.25">
      <c r="B5510">
        <v>43104</v>
      </c>
      <c r="C5510" s="6" t="str">
        <f ca="1">IF(OR($C$7="",$B5510&gt;NOW()),"",IF(INDEX(Data!$A:$G,MATCH($B5510,Data!$A:$A,0),MATCH($C$7,Data!$4:$4,0))="","",INDEX(Data!$A:$G,MATCH($B5510,Data!$A:$A,0),MATCH($C$7,Data!$4:$4,0))))</f>
        <v/>
      </c>
      <c r="D5510" s="148" t="str">
        <f t="shared" ca="1" si="176"/>
        <v/>
      </c>
      <c r="E5510" s="148" t="str">
        <f t="shared" ca="1" si="177"/>
        <v/>
      </c>
    </row>
    <row r="5511" spans="2:5" x14ac:dyDescent="0.25">
      <c r="B5511">
        <v>43105</v>
      </c>
      <c r="C5511" s="6" t="str">
        <f ca="1">IF(OR($C$7="",$B5511&gt;NOW()),"",IF(INDEX(Data!$A:$G,MATCH($B5511,Data!$A:$A,0),MATCH($C$7,Data!$4:$4,0))="","",INDEX(Data!$A:$G,MATCH($B5511,Data!$A:$A,0),MATCH($C$7,Data!$4:$4,0))))</f>
        <v/>
      </c>
      <c r="D5511" s="148" t="str">
        <f t="shared" ca="1" si="176"/>
        <v/>
      </c>
      <c r="E5511" s="148" t="str">
        <f t="shared" ca="1" si="177"/>
        <v/>
      </c>
    </row>
    <row r="5512" spans="2:5" x14ac:dyDescent="0.25">
      <c r="B5512">
        <v>43106</v>
      </c>
      <c r="C5512" s="6" t="str">
        <f ca="1">IF(OR($C$7="",$B5512&gt;NOW()),"",IF(INDEX(Data!$A:$G,MATCH($B5512,Data!$A:$A,0),MATCH($C$7,Data!$4:$4,0))="","",INDEX(Data!$A:$G,MATCH($B5512,Data!$A:$A,0),MATCH($C$7,Data!$4:$4,0))))</f>
        <v/>
      </c>
      <c r="D5512" s="148" t="str">
        <f t="shared" ca="1" si="176"/>
        <v/>
      </c>
      <c r="E5512" s="148" t="str">
        <f t="shared" ca="1" si="177"/>
        <v/>
      </c>
    </row>
    <row r="5513" spans="2:5" x14ac:dyDescent="0.25">
      <c r="B5513">
        <v>43107</v>
      </c>
      <c r="C5513" s="6" t="str">
        <f ca="1">IF(OR($C$7="",$B5513&gt;NOW()),"",IF(INDEX(Data!$A:$G,MATCH($B5513,Data!$A:$A,0),MATCH($C$7,Data!$4:$4,0))="","",INDEX(Data!$A:$G,MATCH($B5513,Data!$A:$A,0),MATCH($C$7,Data!$4:$4,0))))</f>
        <v/>
      </c>
      <c r="D5513" s="148" t="str">
        <f t="shared" ca="1" si="176"/>
        <v/>
      </c>
      <c r="E5513" s="148" t="str">
        <f t="shared" ca="1" si="177"/>
        <v/>
      </c>
    </row>
    <row r="5514" spans="2:5" x14ac:dyDescent="0.25">
      <c r="B5514">
        <v>43108</v>
      </c>
      <c r="C5514" s="6" t="str">
        <f ca="1">IF(OR($C$7="",$B5514&gt;NOW()),"",IF(INDEX(Data!$A:$G,MATCH($B5514,Data!$A:$A,0),MATCH($C$7,Data!$4:$4,0))="","",INDEX(Data!$A:$G,MATCH($B5514,Data!$A:$A,0),MATCH($C$7,Data!$4:$4,0))))</f>
        <v/>
      </c>
      <c r="D5514" s="148" t="str">
        <f t="shared" ca="1" si="176"/>
        <v/>
      </c>
      <c r="E5514" s="148" t="str">
        <f t="shared" ca="1" si="177"/>
        <v/>
      </c>
    </row>
    <row r="5515" spans="2:5" x14ac:dyDescent="0.25">
      <c r="B5515">
        <v>43109</v>
      </c>
      <c r="C5515" s="6" t="str">
        <f ca="1">IF(OR($C$7="",$B5515&gt;NOW()),"",IF(INDEX(Data!$A:$G,MATCH($B5515,Data!$A:$A,0),MATCH($C$7,Data!$4:$4,0))="","",INDEX(Data!$A:$G,MATCH($B5515,Data!$A:$A,0),MATCH($C$7,Data!$4:$4,0))))</f>
        <v/>
      </c>
      <c r="D5515" s="148" t="str">
        <f t="shared" ca="1" si="176"/>
        <v/>
      </c>
      <c r="E5515" s="148" t="str">
        <f t="shared" ca="1" si="177"/>
        <v/>
      </c>
    </row>
    <row r="5516" spans="2:5" x14ac:dyDescent="0.25">
      <c r="B5516">
        <v>43110</v>
      </c>
      <c r="C5516" s="6" t="str">
        <f ca="1">IF(OR($C$7="",$B5516&gt;NOW()),"",IF(INDEX(Data!$A:$G,MATCH($B5516,Data!$A:$A,0),MATCH($C$7,Data!$4:$4,0))="","",INDEX(Data!$A:$G,MATCH($B5516,Data!$A:$A,0),MATCH($C$7,Data!$4:$4,0))))</f>
        <v/>
      </c>
      <c r="D5516" s="148" t="str">
        <f t="shared" ca="1" si="176"/>
        <v/>
      </c>
      <c r="E5516" s="148" t="str">
        <f t="shared" ca="1" si="177"/>
        <v/>
      </c>
    </row>
    <row r="5517" spans="2:5" x14ac:dyDescent="0.25">
      <c r="B5517">
        <v>43111</v>
      </c>
      <c r="C5517" s="6" t="str">
        <f ca="1">IF(OR($C$7="",$B5517&gt;NOW()),"",IF(INDEX(Data!$A:$G,MATCH($B5517,Data!$A:$A,0),MATCH($C$7,Data!$4:$4,0))="","",INDEX(Data!$A:$G,MATCH($B5517,Data!$A:$A,0),MATCH($C$7,Data!$4:$4,0))))</f>
        <v/>
      </c>
      <c r="D5517" s="148" t="str">
        <f t="shared" ca="1" si="176"/>
        <v/>
      </c>
      <c r="E5517" s="148" t="str">
        <f t="shared" ca="1" si="177"/>
        <v/>
      </c>
    </row>
    <row r="5518" spans="2:5" x14ac:dyDescent="0.25">
      <c r="B5518">
        <v>43112</v>
      </c>
      <c r="C5518" s="6" t="str">
        <f ca="1">IF(OR($C$7="",$B5518&gt;NOW()),"",IF(INDEX(Data!$A:$G,MATCH($B5518,Data!$A:$A,0),MATCH($C$7,Data!$4:$4,0))="","",INDEX(Data!$A:$G,MATCH($B5518,Data!$A:$A,0),MATCH($C$7,Data!$4:$4,0))))</f>
        <v/>
      </c>
      <c r="D5518" s="148" t="str">
        <f t="shared" ca="1" si="176"/>
        <v/>
      </c>
      <c r="E5518" s="148" t="str">
        <f t="shared" ca="1" si="177"/>
        <v/>
      </c>
    </row>
    <row r="5519" spans="2:5" x14ac:dyDescent="0.25">
      <c r="B5519">
        <v>43113</v>
      </c>
      <c r="C5519" s="6" t="str">
        <f ca="1">IF(OR($C$7="",$B5519&gt;NOW()),"",IF(INDEX(Data!$A:$G,MATCH($B5519,Data!$A:$A,0),MATCH($C$7,Data!$4:$4,0))="","",INDEX(Data!$A:$G,MATCH($B5519,Data!$A:$A,0),MATCH($C$7,Data!$4:$4,0))))</f>
        <v/>
      </c>
      <c r="D5519" s="148" t="str">
        <f t="shared" ca="1" si="176"/>
        <v/>
      </c>
      <c r="E5519" s="148" t="str">
        <f t="shared" ca="1" si="177"/>
        <v/>
      </c>
    </row>
    <row r="5520" spans="2:5" x14ac:dyDescent="0.25">
      <c r="B5520">
        <v>43114</v>
      </c>
      <c r="C5520" s="6" t="str">
        <f ca="1">IF(OR($C$7="",$B5520&gt;NOW()),"",IF(INDEX(Data!$A:$G,MATCH($B5520,Data!$A:$A,0),MATCH($C$7,Data!$4:$4,0))="","",INDEX(Data!$A:$G,MATCH($B5520,Data!$A:$A,0),MATCH($C$7,Data!$4:$4,0))))</f>
        <v/>
      </c>
      <c r="D5520" s="148" t="str">
        <f t="shared" ca="1" si="176"/>
        <v/>
      </c>
      <c r="E5520" s="148" t="str">
        <f t="shared" ca="1" si="177"/>
        <v/>
      </c>
    </row>
    <row r="5521" spans="2:5" x14ac:dyDescent="0.25">
      <c r="B5521">
        <v>43115</v>
      </c>
      <c r="C5521" s="6" t="str">
        <f ca="1">IF(OR($C$7="",$B5521&gt;NOW()),"",IF(INDEX(Data!$A:$G,MATCH($B5521,Data!$A:$A,0),MATCH($C$7,Data!$4:$4,0))="","",INDEX(Data!$A:$G,MATCH($B5521,Data!$A:$A,0),MATCH($C$7,Data!$4:$4,0))))</f>
        <v/>
      </c>
      <c r="D5521" s="148" t="str">
        <f t="shared" ca="1" si="176"/>
        <v/>
      </c>
      <c r="E5521" s="148" t="str">
        <f t="shared" ca="1" si="177"/>
        <v/>
      </c>
    </row>
    <row r="5522" spans="2:5" x14ac:dyDescent="0.25">
      <c r="B5522">
        <v>43116</v>
      </c>
      <c r="C5522" s="6" t="str">
        <f ca="1">IF(OR($C$7="",$B5522&gt;NOW()),"",IF(INDEX(Data!$A:$G,MATCH($B5522,Data!$A:$A,0),MATCH($C$7,Data!$4:$4,0))="","",INDEX(Data!$A:$G,MATCH($B5522,Data!$A:$A,0),MATCH($C$7,Data!$4:$4,0))))</f>
        <v/>
      </c>
      <c r="D5522" s="148" t="str">
        <f t="shared" ca="1" si="176"/>
        <v/>
      </c>
      <c r="E5522" s="148" t="str">
        <f t="shared" ca="1" si="177"/>
        <v/>
      </c>
    </row>
    <row r="5523" spans="2:5" x14ac:dyDescent="0.25">
      <c r="B5523">
        <v>43117</v>
      </c>
      <c r="C5523" s="6" t="str">
        <f ca="1">IF(OR($C$7="",$B5523&gt;NOW()),"",IF(INDEX(Data!$A:$G,MATCH($B5523,Data!$A:$A,0),MATCH($C$7,Data!$4:$4,0))="","",INDEX(Data!$A:$G,MATCH($B5523,Data!$A:$A,0),MATCH($C$7,Data!$4:$4,0))))</f>
        <v/>
      </c>
      <c r="D5523" s="148" t="str">
        <f t="shared" ca="1" si="176"/>
        <v/>
      </c>
      <c r="E5523" s="148" t="str">
        <f t="shared" ca="1" si="177"/>
        <v/>
      </c>
    </row>
    <row r="5524" spans="2:5" x14ac:dyDescent="0.25">
      <c r="B5524">
        <v>43118</v>
      </c>
      <c r="C5524" s="6" t="str">
        <f ca="1">IF(OR($C$7="",$B5524&gt;NOW()),"",IF(INDEX(Data!$A:$G,MATCH($B5524,Data!$A:$A,0),MATCH($C$7,Data!$4:$4,0))="","",INDEX(Data!$A:$G,MATCH($B5524,Data!$A:$A,0),MATCH($C$7,Data!$4:$4,0))))</f>
        <v/>
      </c>
      <c r="D5524" s="148" t="str">
        <f t="shared" ca="1" si="176"/>
        <v/>
      </c>
      <c r="E5524" s="148" t="str">
        <f t="shared" ca="1" si="177"/>
        <v/>
      </c>
    </row>
    <row r="5525" spans="2:5" x14ac:dyDescent="0.25">
      <c r="B5525">
        <v>43119</v>
      </c>
      <c r="C5525" s="6" t="str">
        <f ca="1">IF(OR($C$7="",$B5525&gt;NOW()),"",IF(INDEX(Data!$A:$G,MATCH($B5525,Data!$A:$A,0),MATCH($C$7,Data!$4:$4,0))="","",INDEX(Data!$A:$G,MATCH($B5525,Data!$A:$A,0),MATCH($C$7,Data!$4:$4,0))))</f>
        <v/>
      </c>
      <c r="D5525" s="148" t="str">
        <f t="shared" ca="1" si="176"/>
        <v/>
      </c>
      <c r="E5525" s="148" t="str">
        <f t="shared" ca="1" si="177"/>
        <v/>
      </c>
    </row>
    <row r="5526" spans="2:5" x14ac:dyDescent="0.25">
      <c r="B5526">
        <v>43120</v>
      </c>
      <c r="C5526" s="6" t="str">
        <f ca="1">IF(OR($C$7="",$B5526&gt;NOW()),"",IF(INDEX(Data!$A:$G,MATCH($B5526,Data!$A:$A,0),MATCH($C$7,Data!$4:$4,0))="","",INDEX(Data!$A:$G,MATCH($B5526,Data!$A:$A,0),MATCH($C$7,Data!$4:$4,0))))</f>
        <v/>
      </c>
      <c r="D5526" s="148" t="str">
        <f t="shared" ca="1" si="176"/>
        <v/>
      </c>
      <c r="E5526" s="148" t="str">
        <f t="shared" ca="1" si="177"/>
        <v/>
      </c>
    </row>
    <row r="5527" spans="2:5" x14ac:dyDescent="0.25">
      <c r="B5527">
        <v>43121</v>
      </c>
      <c r="C5527" s="6" t="str">
        <f ca="1">IF(OR($C$7="",$B5527&gt;NOW()),"",IF(INDEX(Data!$A:$G,MATCH($B5527,Data!$A:$A,0),MATCH($C$7,Data!$4:$4,0))="","",INDEX(Data!$A:$G,MATCH($B5527,Data!$A:$A,0),MATCH($C$7,Data!$4:$4,0))))</f>
        <v/>
      </c>
      <c r="D5527" s="148" t="str">
        <f t="shared" ca="1" si="176"/>
        <v/>
      </c>
      <c r="E5527" s="148" t="str">
        <f t="shared" ca="1" si="177"/>
        <v/>
      </c>
    </row>
    <row r="5528" spans="2:5" x14ac:dyDescent="0.25">
      <c r="B5528">
        <v>43122</v>
      </c>
      <c r="C5528" s="6" t="str">
        <f ca="1">IF(OR($C$7="",$B5528&gt;NOW()),"",IF(INDEX(Data!$A:$G,MATCH($B5528,Data!$A:$A,0),MATCH($C$7,Data!$4:$4,0))="","",INDEX(Data!$A:$G,MATCH($B5528,Data!$A:$A,0),MATCH($C$7,Data!$4:$4,0))))</f>
        <v/>
      </c>
      <c r="D5528" s="148" t="str">
        <f t="shared" ca="1" si="176"/>
        <v/>
      </c>
      <c r="E5528" s="148" t="str">
        <f t="shared" ca="1" si="177"/>
        <v/>
      </c>
    </row>
    <row r="5529" spans="2:5" x14ac:dyDescent="0.25">
      <c r="B5529">
        <v>43123</v>
      </c>
      <c r="C5529" s="6" t="str">
        <f ca="1">IF(OR($C$7="",$B5529&gt;NOW()),"",IF(INDEX(Data!$A:$G,MATCH($B5529,Data!$A:$A,0),MATCH($C$7,Data!$4:$4,0))="","",INDEX(Data!$A:$G,MATCH($B5529,Data!$A:$A,0),MATCH($C$7,Data!$4:$4,0))))</f>
        <v/>
      </c>
      <c r="D5529" s="148" t="str">
        <f t="shared" ca="1" si="176"/>
        <v/>
      </c>
      <c r="E5529" s="148" t="str">
        <f t="shared" ca="1" si="177"/>
        <v/>
      </c>
    </row>
    <row r="5530" spans="2:5" x14ac:dyDescent="0.25">
      <c r="B5530">
        <v>43124</v>
      </c>
      <c r="C5530" s="6" t="str">
        <f ca="1">IF(OR($C$7="",$B5530&gt;NOW()),"",IF(INDEX(Data!$A:$G,MATCH($B5530,Data!$A:$A,0),MATCH($C$7,Data!$4:$4,0))="","",INDEX(Data!$A:$G,MATCH($B5530,Data!$A:$A,0),MATCH($C$7,Data!$4:$4,0))))</f>
        <v/>
      </c>
      <c r="D5530" s="148" t="str">
        <f t="shared" ca="1" si="176"/>
        <v/>
      </c>
      <c r="E5530" s="148" t="str">
        <f t="shared" ca="1" si="177"/>
        <v/>
      </c>
    </row>
    <row r="5531" spans="2:5" x14ac:dyDescent="0.25">
      <c r="B5531">
        <v>43125</v>
      </c>
      <c r="C5531" s="6" t="str">
        <f ca="1">IF(OR($C$7="",$B5531&gt;NOW()),"",IF(INDEX(Data!$A:$G,MATCH($B5531,Data!$A:$A,0),MATCH($C$7,Data!$4:$4,0))="","",INDEX(Data!$A:$G,MATCH($B5531,Data!$A:$A,0),MATCH($C$7,Data!$4:$4,0))))</f>
        <v/>
      </c>
      <c r="D5531" s="148" t="str">
        <f t="shared" ca="1" si="176"/>
        <v/>
      </c>
      <c r="E5531" s="148" t="str">
        <f t="shared" ca="1" si="177"/>
        <v/>
      </c>
    </row>
    <row r="5532" spans="2:5" x14ac:dyDescent="0.25">
      <c r="B5532">
        <v>43126</v>
      </c>
      <c r="C5532" s="6" t="str">
        <f ca="1">IF(OR($C$7="",$B5532&gt;NOW()),"",IF(INDEX(Data!$A:$G,MATCH($B5532,Data!$A:$A,0),MATCH($C$7,Data!$4:$4,0))="","",INDEX(Data!$A:$G,MATCH($B5532,Data!$A:$A,0),MATCH($C$7,Data!$4:$4,0))))</f>
        <v/>
      </c>
      <c r="D5532" s="148" t="str">
        <f t="shared" ca="1" si="176"/>
        <v/>
      </c>
      <c r="E5532" s="148" t="str">
        <f t="shared" ca="1" si="177"/>
        <v/>
      </c>
    </row>
    <row r="5533" spans="2:5" x14ac:dyDescent="0.25">
      <c r="B5533">
        <v>43127</v>
      </c>
      <c r="C5533" s="6" t="str">
        <f ca="1">IF(OR($C$7="",$B5533&gt;NOW()),"",IF(INDEX(Data!$A:$G,MATCH($B5533,Data!$A:$A,0),MATCH($C$7,Data!$4:$4,0))="","",INDEX(Data!$A:$G,MATCH($B5533,Data!$A:$A,0),MATCH($C$7,Data!$4:$4,0))))</f>
        <v/>
      </c>
      <c r="D5533" s="148" t="str">
        <f t="shared" ref="D5533:D5596" ca="1" si="178">IF($C5533="","",IF($C5533&gt;$D$26,0,$D$26-$C5533))</f>
        <v/>
      </c>
      <c r="E5533" s="148" t="str">
        <f t="shared" ref="E5533:E5596" ca="1" si="179">IF($C5533="","",IF($C5533&lt;$E$26,0,$C5533-$E$26))</f>
        <v/>
      </c>
    </row>
    <row r="5534" spans="2:5" x14ac:dyDescent="0.25">
      <c r="B5534">
        <v>43128</v>
      </c>
      <c r="C5534" s="6" t="str">
        <f ca="1">IF(OR($C$7="",$B5534&gt;NOW()),"",IF(INDEX(Data!$A:$G,MATCH($B5534,Data!$A:$A,0),MATCH($C$7,Data!$4:$4,0))="","",INDEX(Data!$A:$G,MATCH($B5534,Data!$A:$A,0),MATCH($C$7,Data!$4:$4,0))))</f>
        <v/>
      </c>
      <c r="D5534" s="148" t="str">
        <f t="shared" ca="1" si="178"/>
        <v/>
      </c>
      <c r="E5534" s="148" t="str">
        <f t="shared" ca="1" si="179"/>
        <v/>
      </c>
    </row>
    <row r="5535" spans="2:5" x14ac:dyDescent="0.25">
      <c r="B5535">
        <v>43129</v>
      </c>
      <c r="C5535" s="6" t="str">
        <f ca="1">IF(OR($C$7="",$B5535&gt;NOW()),"",IF(INDEX(Data!$A:$G,MATCH($B5535,Data!$A:$A,0),MATCH($C$7,Data!$4:$4,0))="","",INDEX(Data!$A:$G,MATCH($B5535,Data!$A:$A,0),MATCH($C$7,Data!$4:$4,0))))</f>
        <v/>
      </c>
      <c r="D5535" s="148" t="str">
        <f t="shared" ca="1" si="178"/>
        <v/>
      </c>
      <c r="E5535" s="148" t="str">
        <f t="shared" ca="1" si="179"/>
        <v/>
      </c>
    </row>
    <row r="5536" spans="2:5" x14ac:dyDescent="0.25">
      <c r="B5536">
        <v>43130</v>
      </c>
      <c r="C5536" s="6" t="str">
        <f ca="1">IF(OR($C$7="",$B5536&gt;NOW()),"",IF(INDEX(Data!$A:$G,MATCH($B5536,Data!$A:$A,0),MATCH($C$7,Data!$4:$4,0))="","",INDEX(Data!$A:$G,MATCH($B5536,Data!$A:$A,0),MATCH($C$7,Data!$4:$4,0))))</f>
        <v/>
      </c>
      <c r="D5536" s="148" t="str">
        <f t="shared" ca="1" si="178"/>
        <v/>
      </c>
      <c r="E5536" s="148" t="str">
        <f t="shared" ca="1" si="179"/>
        <v/>
      </c>
    </row>
    <row r="5537" spans="2:5" x14ac:dyDescent="0.25">
      <c r="B5537">
        <v>43131</v>
      </c>
      <c r="C5537" s="6" t="str">
        <f ca="1">IF(OR($C$7="",$B5537&gt;NOW()),"",IF(INDEX(Data!$A:$G,MATCH($B5537,Data!$A:$A,0),MATCH($C$7,Data!$4:$4,0))="","",INDEX(Data!$A:$G,MATCH($B5537,Data!$A:$A,0),MATCH($C$7,Data!$4:$4,0))))</f>
        <v/>
      </c>
      <c r="D5537" s="148" t="str">
        <f t="shared" ca="1" si="178"/>
        <v/>
      </c>
      <c r="E5537" s="148" t="str">
        <f t="shared" ca="1" si="179"/>
        <v/>
      </c>
    </row>
    <row r="5538" spans="2:5" x14ac:dyDescent="0.25">
      <c r="B5538">
        <v>43132</v>
      </c>
      <c r="C5538" s="6" t="str">
        <f ca="1">IF(OR($C$7="",$B5538&gt;NOW()),"",IF(INDEX(Data!$A:$G,MATCH($B5538,Data!$A:$A,0),MATCH($C$7,Data!$4:$4,0))="","",INDEX(Data!$A:$G,MATCH($B5538,Data!$A:$A,0),MATCH($C$7,Data!$4:$4,0))))</f>
        <v/>
      </c>
      <c r="D5538" s="148" t="str">
        <f t="shared" ca="1" si="178"/>
        <v/>
      </c>
      <c r="E5538" s="148" t="str">
        <f t="shared" ca="1" si="179"/>
        <v/>
      </c>
    </row>
    <row r="5539" spans="2:5" x14ac:dyDescent="0.25">
      <c r="B5539">
        <v>43133</v>
      </c>
      <c r="C5539" s="6" t="str">
        <f ca="1">IF(OR($C$7="",$B5539&gt;NOW()),"",IF(INDEX(Data!$A:$G,MATCH($B5539,Data!$A:$A,0),MATCH($C$7,Data!$4:$4,0))="","",INDEX(Data!$A:$G,MATCH($B5539,Data!$A:$A,0),MATCH($C$7,Data!$4:$4,0))))</f>
        <v/>
      </c>
      <c r="D5539" s="148" t="str">
        <f t="shared" ca="1" si="178"/>
        <v/>
      </c>
      <c r="E5539" s="148" t="str">
        <f t="shared" ca="1" si="179"/>
        <v/>
      </c>
    </row>
    <row r="5540" spans="2:5" x14ac:dyDescent="0.25">
      <c r="B5540">
        <v>43134</v>
      </c>
      <c r="C5540" s="6" t="str">
        <f ca="1">IF(OR($C$7="",$B5540&gt;NOW()),"",IF(INDEX(Data!$A:$G,MATCH($B5540,Data!$A:$A,0),MATCH($C$7,Data!$4:$4,0))="","",INDEX(Data!$A:$G,MATCH($B5540,Data!$A:$A,0),MATCH($C$7,Data!$4:$4,0))))</f>
        <v/>
      </c>
      <c r="D5540" s="148" t="str">
        <f t="shared" ca="1" si="178"/>
        <v/>
      </c>
      <c r="E5540" s="148" t="str">
        <f t="shared" ca="1" si="179"/>
        <v/>
      </c>
    </row>
    <row r="5541" spans="2:5" x14ac:dyDescent="0.25">
      <c r="B5541">
        <v>43135</v>
      </c>
      <c r="C5541" s="6" t="str">
        <f ca="1">IF(OR($C$7="",$B5541&gt;NOW()),"",IF(INDEX(Data!$A:$G,MATCH($B5541,Data!$A:$A,0),MATCH($C$7,Data!$4:$4,0))="","",INDEX(Data!$A:$G,MATCH($B5541,Data!$A:$A,0),MATCH($C$7,Data!$4:$4,0))))</f>
        <v/>
      </c>
      <c r="D5541" s="148" t="str">
        <f t="shared" ca="1" si="178"/>
        <v/>
      </c>
      <c r="E5541" s="148" t="str">
        <f t="shared" ca="1" si="179"/>
        <v/>
      </c>
    </row>
    <row r="5542" spans="2:5" x14ac:dyDescent="0.25">
      <c r="B5542">
        <v>43136</v>
      </c>
      <c r="C5542" s="6" t="str">
        <f ca="1">IF(OR($C$7="",$B5542&gt;NOW()),"",IF(INDEX(Data!$A:$G,MATCH($B5542,Data!$A:$A,0),MATCH($C$7,Data!$4:$4,0))="","",INDEX(Data!$A:$G,MATCH($B5542,Data!$A:$A,0),MATCH($C$7,Data!$4:$4,0))))</f>
        <v/>
      </c>
      <c r="D5542" s="148" t="str">
        <f t="shared" ca="1" si="178"/>
        <v/>
      </c>
      <c r="E5542" s="148" t="str">
        <f t="shared" ca="1" si="179"/>
        <v/>
      </c>
    </row>
    <row r="5543" spans="2:5" x14ac:dyDescent="0.25">
      <c r="B5543">
        <v>43137</v>
      </c>
      <c r="C5543" s="6" t="str">
        <f ca="1">IF(OR($C$7="",$B5543&gt;NOW()),"",IF(INDEX(Data!$A:$G,MATCH($B5543,Data!$A:$A,0),MATCH($C$7,Data!$4:$4,0))="","",INDEX(Data!$A:$G,MATCH($B5543,Data!$A:$A,0),MATCH($C$7,Data!$4:$4,0))))</f>
        <v/>
      </c>
      <c r="D5543" s="148" t="str">
        <f t="shared" ca="1" si="178"/>
        <v/>
      </c>
      <c r="E5543" s="148" t="str">
        <f t="shared" ca="1" si="179"/>
        <v/>
      </c>
    </row>
    <row r="5544" spans="2:5" x14ac:dyDescent="0.25">
      <c r="B5544">
        <v>43138</v>
      </c>
      <c r="C5544" s="6" t="str">
        <f ca="1">IF(OR($C$7="",$B5544&gt;NOW()),"",IF(INDEX(Data!$A:$G,MATCH($B5544,Data!$A:$A,0),MATCH($C$7,Data!$4:$4,0))="","",INDEX(Data!$A:$G,MATCH($B5544,Data!$A:$A,0),MATCH($C$7,Data!$4:$4,0))))</f>
        <v/>
      </c>
      <c r="D5544" s="148" t="str">
        <f t="shared" ca="1" si="178"/>
        <v/>
      </c>
      <c r="E5544" s="148" t="str">
        <f t="shared" ca="1" si="179"/>
        <v/>
      </c>
    </row>
    <row r="5545" spans="2:5" x14ac:dyDescent="0.25">
      <c r="B5545">
        <v>43139</v>
      </c>
      <c r="C5545" s="6" t="str">
        <f ca="1">IF(OR($C$7="",$B5545&gt;NOW()),"",IF(INDEX(Data!$A:$G,MATCH($B5545,Data!$A:$A,0),MATCH($C$7,Data!$4:$4,0))="","",INDEX(Data!$A:$G,MATCH($B5545,Data!$A:$A,0),MATCH($C$7,Data!$4:$4,0))))</f>
        <v/>
      </c>
      <c r="D5545" s="148" t="str">
        <f t="shared" ca="1" si="178"/>
        <v/>
      </c>
      <c r="E5545" s="148" t="str">
        <f t="shared" ca="1" si="179"/>
        <v/>
      </c>
    </row>
    <row r="5546" spans="2:5" x14ac:dyDescent="0.25">
      <c r="B5546">
        <v>43140</v>
      </c>
      <c r="C5546" s="6" t="str">
        <f ca="1">IF(OR($C$7="",$B5546&gt;NOW()),"",IF(INDEX(Data!$A:$G,MATCH($B5546,Data!$A:$A,0),MATCH($C$7,Data!$4:$4,0))="","",INDEX(Data!$A:$G,MATCH($B5546,Data!$A:$A,0),MATCH($C$7,Data!$4:$4,0))))</f>
        <v/>
      </c>
      <c r="D5546" s="148" t="str">
        <f t="shared" ca="1" si="178"/>
        <v/>
      </c>
      <c r="E5546" s="148" t="str">
        <f t="shared" ca="1" si="179"/>
        <v/>
      </c>
    </row>
    <row r="5547" spans="2:5" x14ac:dyDescent="0.25">
      <c r="B5547">
        <v>43141</v>
      </c>
      <c r="C5547" s="6" t="str">
        <f ca="1">IF(OR($C$7="",$B5547&gt;NOW()),"",IF(INDEX(Data!$A:$G,MATCH($B5547,Data!$A:$A,0),MATCH($C$7,Data!$4:$4,0))="","",INDEX(Data!$A:$G,MATCH($B5547,Data!$A:$A,0),MATCH($C$7,Data!$4:$4,0))))</f>
        <v/>
      </c>
      <c r="D5547" s="148" t="str">
        <f t="shared" ca="1" si="178"/>
        <v/>
      </c>
      <c r="E5547" s="148" t="str">
        <f t="shared" ca="1" si="179"/>
        <v/>
      </c>
    </row>
    <row r="5548" spans="2:5" x14ac:dyDescent="0.25">
      <c r="B5548">
        <v>43142</v>
      </c>
      <c r="C5548" s="6" t="str">
        <f ca="1">IF(OR($C$7="",$B5548&gt;NOW()),"",IF(INDEX(Data!$A:$G,MATCH($B5548,Data!$A:$A,0),MATCH($C$7,Data!$4:$4,0))="","",INDEX(Data!$A:$G,MATCH($B5548,Data!$A:$A,0),MATCH($C$7,Data!$4:$4,0))))</f>
        <v/>
      </c>
      <c r="D5548" s="148" t="str">
        <f t="shared" ca="1" si="178"/>
        <v/>
      </c>
      <c r="E5548" s="148" t="str">
        <f t="shared" ca="1" si="179"/>
        <v/>
      </c>
    </row>
    <row r="5549" spans="2:5" x14ac:dyDescent="0.25">
      <c r="B5549">
        <v>43143</v>
      </c>
      <c r="C5549" s="6" t="str">
        <f ca="1">IF(OR($C$7="",$B5549&gt;NOW()),"",IF(INDEX(Data!$A:$G,MATCH($B5549,Data!$A:$A,0),MATCH($C$7,Data!$4:$4,0))="","",INDEX(Data!$A:$G,MATCH($B5549,Data!$A:$A,0),MATCH($C$7,Data!$4:$4,0))))</f>
        <v/>
      </c>
      <c r="D5549" s="148" t="str">
        <f t="shared" ca="1" si="178"/>
        <v/>
      </c>
      <c r="E5549" s="148" t="str">
        <f t="shared" ca="1" si="179"/>
        <v/>
      </c>
    </row>
    <row r="5550" spans="2:5" x14ac:dyDescent="0.25">
      <c r="B5550">
        <v>43144</v>
      </c>
      <c r="C5550" s="6" t="str">
        <f ca="1">IF(OR($C$7="",$B5550&gt;NOW()),"",IF(INDEX(Data!$A:$G,MATCH($B5550,Data!$A:$A,0),MATCH($C$7,Data!$4:$4,0))="","",INDEX(Data!$A:$G,MATCH($B5550,Data!$A:$A,0),MATCH($C$7,Data!$4:$4,0))))</f>
        <v/>
      </c>
      <c r="D5550" s="148" t="str">
        <f t="shared" ca="1" si="178"/>
        <v/>
      </c>
      <c r="E5550" s="148" t="str">
        <f t="shared" ca="1" si="179"/>
        <v/>
      </c>
    </row>
    <row r="5551" spans="2:5" x14ac:dyDescent="0.25">
      <c r="B5551">
        <v>43145</v>
      </c>
      <c r="C5551" s="6" t="str">
        <f ca="1">IF(OR($C$7="",$B5551&gt;NOW()),"",IF(INDEX(Data!$A:$G,MATCH($B5551,Data!$A:$A,0),MATCH($C$7,Data!$4:$4,0))="","",INDEX(Data!$A:$G,MATCH($B5551,Data!$A:$A,0),MATCH($C$7,Data!$4:$4,0))))</f>
        <v/>
      </c>
      <c r="D5551" s="148" t="str">
        <f t="shared" ca="1" si="178"/>
        <v/>
      </c>
      <c r="E5551" s="148" t="str">
        <f t="shared" ca="1" si="179"/>
        <v/>
      </c>
    </row>
    <row r="5552" spans="2:5" x14ac:dyDescent="0.25">
      <c r="B5552">
        <v>43146</v>
      </c>
      <c r="C5552" s="6" t="str">
        <f ca="1">IF(OR($C$7="",$B5552&gt;NOW()),"",IF(INDEX(Data!$A:$G,MATCH($B5552,Data!$A:$A,0),MATCH($C$7,Data!$4:$4,0))="","",INDEX(Data!$A:$G,MATCH($B5552,Data!$A:$A,0),MATCH($C$7,Data!$4:$4,0))))</f>
        <v/>
      </c>
      <c r="D5552" s="148" t="str">
        <f t="shared" ca="1" si="178"/>
        <v/>
      </c>
      <c r="E5552" s="148" t="str">
        <f t="shared" ca="1" si="179"/>
        <v/>
      </c>
    </row>
    <row r="5553" spans="2:5" x14ac:dyDescent="0.25">
      <c r="B5553">
        <v>43147</v>
      </c>
      <c r="C5553" s="6" t="str">
        <f ca="1">IF(OR($C$7="",$B5553&gt;NOW()),"",IF(INDEX(Data!$A:$G,MATCH($B5553,Data!$A:$A,0),MATCH($C$7,Data!$4:$4,0))="","",INDEX(Data!$A:$G,MATCH($B5553,Data!$A:$A,0),MATCH($C$7,Data!$4:$4,0))))</f>
        <v/>
      </c>
      <c r="D5553" s="148" t="str">
        <f t="shared" ca="1" si="178"/>
        <v/>
      </c>
      <c r="E5553" s="148" t="str">
        <f t="shared" ca="1" si="179"/>
        <v/>
      </c>
    </row>
    <row r="5554" spans="2:5" x14ac:dyDescent="0.25">
      <c r="B5554">
        <v>43148</v>
      </c>
      <c r="C5554" s="6" t="str">
        <f ca="1">IF(OR($C$7="",$B5554&gt;NOW()),"",IF(INDEX(Data!$A:$G,MATCH($B5554,Data!$A:$A,0),MATCH($C$7,Data!$4:$4,0))="","",INDEX(Data!$A:$G,MATCH($B5554,Data!$A:$A,0),MATCH($C$7,Data!$4:$4,0))))</f>
        <v/>
      </c>
      <c r="D5554" s="148" t="str">
        <f t="shared" ca="1" si="178"/>
        <v/>
      </c>
      <c r="E5554" s="148" t="str">
        <f t="shared" ca="1" si="179"/>
        <v/>
      </c>
    </row>
    <row r="5555" spans="2:5" x14ac:dyDescent="0.25">
      <c r="B5555">
        <v>43149</v>
      </c>
      <c r="C5555" s="6" t="str">
        <f ca="1">IF(OR($C$7="",$B5555&gt;NOW()),"",IF(INDEX(Data!$A:$G,MATCH($B5555,Data!$A:$A,0),MATCH($C$7,Data!$4:$4,0))="","",INDEX(Data!$A:$G,MATCH($B5555,Data!$A:$A,0),MATCH($C$7,Data!$4:$4,0))))</f>
        <v/>
      </c>
      <c r="D5555" s="148" t="str">
        <f t="shared" ca="1" si="178"/>
        <v/>
      </c>
      <c r="E5555" s="148" t="str">
        <f t="shared" ca="1" si="179"/>
        <v/>
      </c>
    </row>
    <row r="5556" spans="2:5" x14ac:dyDescent="0.25">
      <c r="B5556">
        <v>43150</v>
      </c>
      <c r="C5556" s="6" t="str">
        <f ca="1">IF(OR($C$7="",$B5556&gt;NOW()),"",IF(INDEX(Data!$A:$G,MATCH($B5556,Data!$A:$A,0),MATCH($C$7,Data!$4:$4,0))="","",INDEX(Data!$A:$G,MATCH($B5556,Data!$A:$A,0),MATCH($C$7,Data!$4:$4,0))))</f>
        <v/>
      </c>
      <c r="D5556" s="148" t="str">
        <f t="shared" ca="1" si="178"/>
        <v/>
      </c>
      <c r="E5556" s="148" t="str">
        <f t="shared" ca="1" si="179"/>
        <v/>
      </c>
    </row>
    <row r="5557" spans="2:5" x14ac:dyDescent="0.25">
      <c r="B5557">
        <v>43151</v>
      </c>
      <c r="C5557" s="6" t="str">
        <f ca="1">IF(OR($C$7="",$B5557&gt;NOW()),"",IF(INDEX(Data!$A:$G,MATCH($B5557,Data!$A:$A,0),MATCH($C$7,Data!$4:$4,0))="","",INDEX(Data!$A:$G,MATCH($B5557,Data!$A:$A,0),MATCH($C$7,Data!$4:$4,0))))</f>
        <v/>
      </c>
      <c r="D5557" s="148" t="str">
        <f t="shared" ca="1" si="178"/>
        <v/>
      </c>
      <c r="E5557" s="148" t="str">
        <f t="shared" ca="1" si="179"/>
        <v/>
      </c>
    </row>
    <row r="5558" spans="2:5" x14ac:dyDescent="0.25">
      <c r="B5558">
        <v>43152</v>
      </c>
      <c r="C5558" s="6" t="str">
        <f ca="1">IF(OR($C$7="",$B5558&gt;NOW()),"",IF(INDEX(Data!$A:$G,MATCH($B5558,Data!$A:$A,0),MATCH($C$7,Data!$4:$4,0))="","",INDEX(Data!$A:$G,MATCH($B5558,Data!$A:$A,0),MATCH($C$7,Data!$4:$4,0))))</f>
        <v/>
      </c>
      <c r="D5558" s="148" t="str">
        <f t="shared" ca="1" si="178"/>
        <v/>
      </c>
      <c r="E5558" s="148" t="str">
        <f t="shared" ca="1" si="179"/>
        <v/>
      </c>
    </row>
    <row r="5559" spans="2:5" x14ac:dyDescent="0.25">
      <c r="B5559">
        <v>43153</v>
      </c>
      <c r="C5559" s="6" t="str">
        <f ca="1">IF(OR($C$7="",$B5559&gt;NOW()),"",IF(INDEX(Data!$A:$G,MATCH($B5559,Data!$A:$A,0),MATCH($C$7,Data!$4:$4,0))="","",INDEX(Data!$A:$G,MATCH($B5559,Data!$A:$A,0),MATCH($C$7,Data!$4:$4,0))))</f>
        <v/>
      </c>
      <c r="D5559" s="148" t="str">
        <f t="shared" ca="1" si="178"/>
        <v/>
      </c>
      <c r="E5559" s="148" t="str">
        <f t="shared" ca="1" si="179"/>
        <v/>
      </c>
    </row>
    <row r="5560" spans="2:5" x14ac:dyDescent="0.25">
      <c r="B5560">
        <v>43154</v>
      </c>
      <c r="C5560" s="6" t="str">
        <f ca="1">IF(OR($C$7="",$B5560&gt;NOW()),"",IF(INDEX(Data!$A:$G,MATCH($B5560,Data!$A:$A,0),MATCH($C$7,Data!$4:$4,0))="","",INDEX(Data!$A:$G,MATCH($B5560,Data!$A:$A,0),MATCH($C$7,Data!$4:$4,0))))</f>
        <v/>
      </c>
      <c r="D5560" s="148" t="str">
        <f t="shared" ca="1" si="178"/>
        <v/>
      </c>
      <c r="E5560" s="148" t="str">
        <f t="shared" ca="1" si="179"/>
        <v/>
      </c>
    </row>
    <row r="5561" spans="2:5" x14ac:dyDescent="0.25">
      <c r="B5561">
        <v>43155</v>
      </c>
      <c r="C5561" s="6" t="str">
        <f ca="1">IF(OR($C$7="",$B5561&gt;NOW()),"",IF(INDEX(Data!$A:$G,MATCH($B5561,Data!$A:$A,0),MATCH($C$7,Data!$4:$4,0))="","",INDEX(Data!$A:$G,MATCH($B5561,Data!$A:$A,0),MATCH($C$7,Data!$4:$4,0))))</f>
        <v/>
      </c>
      <c r="D5561" s="148" t="str">
        <f t="shared" ca="1" si="178"/>
        <v/>
      </c>
      <c r="E5561" s="148" t="str">
        <f t="shared" ca="1" si="179"/>
        <v/>
      </c>
    </row>
    <row r="5562" spans="2:5" x14ac:dyDescent="0.25">
      <c r="B5562">
        <v>43156</v>
      </c>
      <c r="C5562" s="6" t="str">
        <f ca="1">IF(OR($C$7="",$B5562&gt;NOW()),"",IF(INDEX(Data!$A:$G,MATCH($B5562,Data!$A:$A,0),MATCH($C$7,Data!$4:$4,0))="","",INDEX(Data!$A:$G,MATCH($B5562,Data!$A:$A,0),MATCH($C$7,Data!$4:$4,0))))</f>
        <v/>
      </c>
      <c r="D5562" s="148" t="str">
        <f t="shared" ca="1" si="178"/>
        <v/>
      </c>
      <c r="E5562" s="148" t="str">
        <f t="shared" ca="1" si="179"/>
        <v/>
      </c>
    </row>
    <row r="5563" spans="2:5" x14ac:dyDescent="0.25">
      <c r="B5563">
        <v>43157</v>
      </c>
      <c r="C5563" s="6" t="str">
        <f ca="1">IF(OR($C$7="",$B5563&gt;NOW()),"",IF(INDEX(Data!$A:$G,MATCH($B5563,Data!$A:$A,0),MATCH($C$7,Data!$4:$4,0))="","",INDEX(Data!$A:$G,MATCH($B5563,Data!$A:$A,0),MATCH($C$7,Data!$4:$4,0))))</f>
        <v/>
      </c>
      <c r="D5563" s="148" t="str">
        <f t="shared" ca="1" si="178"/>
        <v/>
      </c>
      <c r="E5563" s="148" t="str">
        <f t="shared" ca="1" si="179"/>
        <v/>
      </c>
    </row>
    <row r="5564" spans="2:5" x14ac:dyDescent="0.25">
      <c r="B5564">
        <v>43158</v>
      </c>
      <c r="C5564" s="6" t="str">
        <f ca="1">IF(OR($C$7="",$B5564&gt;NOW()),"",IF(INDEX(Data!$A:$G,MATCH($B5564,Data!$A:$A,0),MATCH($C$7,Data!$4:$4,0))="","",INDEX(Data!$A:$G,MATCH($B5564,Data!$A:$A,0),MATCH($C$7,Data!$4:$4,0))))</f>
        <v/>
      </c>
      <c r="D5564" s="148" t="str">
        <f t="shared" ca="1" si="178"/>
        <v/>
      </c>
      <c r="E5564" s="148" t="str">
        <f t="shared" ca="1" si="179"/>
        <v/>
      </c>
    </row>
    <row r="5565" spans="2:5" x14ac:dyDescent="0.25">
      <c r="B5565">
        <v>43159</v>
      </c>
      <c r="C5565" s="6" t="str">
        <f ca="1">IF(OR($C$7="",$B5565&gt;NOW()),"",IF(INDEX(Data!$A:$G,MATCH($B5565,Data!$A:$A,0),MATCH($C$7,Data!$4:$4,0))="","",INDEX(Data!$A:$G,MATCH($B5565,Data!$A:$A,0),MATCH($C$7,Data!$4:$4,0))))</f>
        <v/>
      </c>
      <c r="D5565" s="148" t="str">
        <f t="shared" ca="1" si="178"/>
        <v/>
      </c>
      <c r="E5565" s="148" t="str">
        <f t="shared" ca="1" si="179"/>
        <v/>
      </c>
    </row>
    <row r="5566" spans="2:5" x14ac:dyDescent="0.25">
      <c r="B5566">
        <v>43160</v>
      </c>
      <c r="C5566" s="6" t="str">
        <f ca="1">IF(OR($C$7="",$B5566&gt;NOW()),"",IF(INDEX(Data!$A:$G,MATCH($B5566,Data!$A:$A,0),MATCH($C$7,Data!$4:$4,0))="","",INDEX(Data!$A:$G,MATCH($B5566,Data!$A:$A,0),MATCH($C$7,Data!$4:$4,0))))</f>
        <v/>
      </c>
      <c r="D5566" s="148" t="str">
        <f t="shared" ca="1" si="178"/>
        <v/>
      </c>
      <c r="E5566" s="148" t="str">
        <f t="shared" ca="1" si="179"/>
        <v/>
      </c>
    </row>
    <row r="5567" spans="2:5" x14ac:dyDescent="0.25">
      <c r="B5567">
        <v>43161</v>
      </c>
      <c r="C5567" s="6" t="str">
        <f ca="1">IF(OR($C$7="",$B5567&gt;NOW()),"",IF(INDEX(Data!$A:$G,MATCH($B5567,Data!$A:$A,0),MATCH($C$7,Data!$4:$4,0))="","",INDEX(Data!$A:$G,MATCH($B5567,Data!$A:$A,0),MATCH($C$7,Data!$4:$4,0))))</f>
        <v/>
      </c>
      <c r="D5567" s="148" t="str">
        <f t="shared" ca="1" si="178"/>
        <v/>
      </c>
      <c r="E5567" s="148" t="str">
        <f t="shared" ca="1" si="179"/>
        <v/>
      </c>
    </row>
    <row r="5568" spans="2:5" x14ac:dyDescent="0.25">
      <c r="B5568">
        <v>43162</v>
      </c>
      <c r="C5568" s="6" t="str">
        <f ca="1">IF(OR($C$7="",$B5568&gt;NOW()),"",IF(INDEX(Data!$A:$G,MATCH($B5568,Data!$A:$A,0),MATCH($C$7,Data!$4:$4,0))="","",INDEX(Data!$A:$G,MATCH($B5568,Data!$A:$A,0),MATCH($C$7,Data!$4:$4,0))))</f>
        <v/>
      </c>
      <c r="D5568" s="148" t="str">
        <f t="shared" ca="1" si="178"/>
        <v/>
      </c>
      <c r="E5568" s="148" t="str">
        <f t="shared" ca="1" si="179"/>
        <v/>
      </c>
    </row>
    <row r="5569" spans="2:5" x14ac:dyDescent="0.25">
      <c r="B5569">
        <v>43163</v>
      </c>
      <c r="C5569" s="6" t="str">
        <f ca="1">IF(OR($C$7="",$B5569&gt;NOW()),"",IF(INDEX(Data!$A:$G,MATCH($B5569,Data!$A:$A,0),MATCH($C$7,Data!$4:$4,0))="","",INDEX(Data!$A:$G,MATCH($B5569,Data!$A:$A,0),MATCH($C$7,Data!$4:$4,0))))</f>
        <v/>
      </c>
      <c r="D5569" s="148" t="str">
        <f t="shared" ca="1" si="178"/>
        <v/>
      </c>
      <c r="E5569" s="148" t="str">
        <f t="shared" ca="1" si="179"/>
        <v/>
      </c>
    </row>
    <row r="5570" spans="2:5" x14ac:dyDescent="0.25">
      <c r="B5570">
        <v>43164</v>
      </c>
      <c r="C5570" s="6" t="str">
        <f ca="1">IF(OR($C$7="",$B5570&gt;NOW()),"",IF(INDEX(Data!$A:$G,MATCH($B5570,Data!$A:$A,0),MATCH($C$7,Data!$4:$4,0))="","",INDEX(Data!$A:$G,MATCH($B5570,Data!$A:$A,0),MATCH($C$7,Data!$4:$4,0))))</f>
        <v/>
      </c>
      <c r="D5570" s="148" t="str">
        <f t="shared" ca="1" si="178"/>
        <v/>
      </c>
      <c r="E5570" s="148" t="str">
        <f t="shared" ca="1" si="179"/>
        <v/>
      </c>
    </row>
    <row r="5571" spans="2:5" x14ac:dyDescent="0.25">
      <c r="B5571">
        <v>43165</v>
      </c>
      <c r="C5571" s="6" t="str">
        <f ca="1">IF(OR($C$7="",$B5571&gt;NOW()),"",IF(INDEX(Data!$A:$G,MATCH($B5571,Data!$A:$A,0),MATCH($C$7,Data!$4:$4,0))="","",INDEX(Data!$A:$G,MATCH($B5571,Data!$A:$A,0),MATCH($C$7,Data!$4:$4,0))))</f>
        <v/>
      </c>
      <c r="D5571" s="148" t="str">
        <f t="shared" ca="1" si="178"/>
        <v/>
      </c>
      <c r="E5571" s="148" t="str">
        <f t="shared" ca="1" si="179"/>
        <v/>
      </c>
    </row>
    <row r="5572" spans="2:5" x14ac:dyDescent="0.25">
      <c r="B5572">
        <v>43166</v>
      </c>
      <c r="C5572" s="6" t="str">
        <f ca="1">IF(OR($C$7="",$B5572&gt;NOW()),"",IF(INDEX(Data!$A:$G,MATCH($B5572,Data!$A:$A,0),MATCH($C$7,Data!$4:$4,0))="","",INDEX(Data!$A:$G,MATCH($B5572,Data!$A:$A,0),MATCH($C$7,Data!$4:$4,0))))</f>
        <v/>
      </c>
      <c r="D5572" s="148" t="str">
        <f t="shared" ca="1" si="178"/>
        <v/>
      </c>
      <c r="E5572" s="148" t="str">
        <f t="shared" ca="1" si="179"/>
        <v/>
      </c>
    </row>
    <row r="5573" spans="2:5" x14ac:dyDescent="0.25">
      <c r="B5573">
        <v>43167</v>
      </c>
      <c r="C5573" s="6" t="str">
        <f ca="1">IF(OR($C$7="",$B5573&gt;NOW()),"",IF(INDEX(Data!$A:$G,MATCH($B5573,Data!$A:$A,0),MATCH($C$7,Data!$4:$4,0))="","",INDEX(Data!$A:$G,MATCH($B5573,Data!$A:$A,0),MATCH($C$7,Data!$4:$4,0))))</f>
        <v/>
      </c>
      <c r="D5573" s="148" t="str">
        <f t="shared" ca="1" si="178"/>
        <v/>
      </c>
      <c r="E5573" s="148" t="str">
        <f t="shared" ca="1" si="179"/>
        <v/>
      </c>
    </row>
    <row r="5574" spans="2:5" x14ac:dyDescent="0.25">
      <c r="B5574">
        <v>43168</v>
      </c>
      <c r="C5574" s="6" t="str">
        <f ca="1">IF(OR($C$7="",$B5574&gt;NOW()),"",IF(INDEX(Data!$A:$G,MATCH($B5574,Data!$A:$A,0),MATCH($C$7,Data!$4:$4,0))="","",INDEX(Data!$A:$G,MATCH($B5574,Data!$A:$A,0),MATCH($C$7,Data!$4:$4,0))))</f>
        <v/>
      </c>
      <c r="D5574" s="148" t="str">
        <f t="shared" ca="1" si="178"/>
        <v/>
      </c>
      <c r="E5574" s="148" t="str">
        <f t="shared" ca="1" si="179"/>
        <v/>
      </c>
    </row>
    <row r="5575" spans="2:5" x14ac:dyDescent="0.25">
      <c r="B5575">
        <v>43169</v>
      </c>
      <c r="C5575" s="6" t="str">
        <f ca="1">IF(OR($C$7="",$B5575&gt;NOW()),"",IF(INDEX(Data!$A:$G,MATCH($B5575,Data!$A:$A,0),MATCH($C$7,Data!$4:$4,0))="","",INDEX(Data!$A:$G,MATCH($B5575,Data!$A:$A,0),MATCH($C$7,Data!$4:$4,0))))</f>
        <v/>
      </c>
      <c r="D5575" s="148" t="str">
        <f t="shared" ca="1" si="178"/>
        <v/>
      </c>
      <c r="E5575" s="148" t="str">
        <f t="shared" ca="1" si="179"/>
        <v/>
      </c>
    </row>
    <row r="5576" spans="2:5" x14ac:dyDescent="0.25">
      <c r="B5576">
        <v>43170</v>
      </c>
      <c r="C5576" s="6" t="str">
        <f ca="1">IF(OR($C$7="",$B5576&gt;NOW()),"",IF(INDEX(Data!$A:$G,MATCH($B5576,Data!$A:$A,0),MATCH($C$7,Data!$4:$4,0))="","",INDEX(Data!$A:$G,MATCH($B5576,Data!$A:$A,0),MATCH($C$7,Data!$4:$4,0))))</f>
        <v/>
      </c>
      <c r="D5576" s="148" t="str">
        <f t="shared" ca="1" si="178"/>
        <v/>
      </c>
      <c r="E5576" s="148" t="str">
        <f t="shared" ca="1" si="179"/>
        <v/>
      </c>
    </row>
    <row r="5577" spans="2:5" x14ac:dyDescent="0.25">
      <c r="B5577">
        <v>43171</v>
      </c>
      <c r="C5577" s="6" t="str">
        <f ca="1">IF(OR($C$7="",$B5577&gt;NOW()),"",IF(INDEX(Data!$A:$G,MATCH($B5577,Data!$A:$A,0),MATCH($C$7,Data!$4:$4,0))="","",INDEX(Data!$A:$G,MATCH($B5577,Data!$A:$A,0),MATCH($C$7,Data!$4:$4,0))))</f>
        <v/>
      </c>
      <c r="D5577" s="148" t="str">
        <f t="shared" ca="1" si="178"/>
        <v/>
      </c>
      <c r="E5577" s="148" t="str">
        <f t="shared" ca="1" si="179"/>
        <v/>
      </c>
    </row>
    <row r="5578" spans="2:5" x14ac:dyDescent="0.25">
      <c r="B5578">
        <v>43172</v>
      </c>
      <c r="C5578" s="6" t="str">
        <f ca="1">IF(OR($C$7="",$B5578&gt;NOW()),"",IF(INDEX(Data!$A:$G,MATCH($B5578,Data!$A:$A,0),MATCH($C$7,Data!$4:$4,0))="","",INDEX(Data!$A:$G,MATCH($B5578,Data!$A:$A,0),MATCH($C$7,Data!$4:$4,0))))</f>
        <v/>
      </c>
      <c r="D5578" s="148" t="str">
        <f t="shared" ca="1" si="178"/>
        <v/>
      </c>
      <c r="E5578" s="148" t="str">
        <f t="shared" ca="1" si="179"/>
        <v/>
      </c>
    </row>
    <row r="5579" spans="2:5" x14ac:dyDescent="0.25">
      <c r="B5579">
        <v>43173</v>
      </c>
      <c r="C5579" s="6" t="str">
        <f ca="1">IF(OR($C$7="",$B5579&gt;NOW()),"",IF(INDEX(Data!$A:$G,MATCH($B5579,Data!$A:$A,0),MATCH($C$7,Data!$4:$4,0))="","",INDEX(Data!$A:$G,MATCH($B5579,Data!$A:$A,0),MATCH($C$7,Data!$4:$4,0))))</f>
        <v/>
      </c>
      <c r="D5579" s="148" t="str">
        <f t="shared" ca="1" si="178"/>
        <v/>
      </c>
      <c r="E5579" s="148" t="str">
        <f t="shared" ca="1" si="179"/>
        <v/>
      </c>
    </row>
    <row r="5580" spans="2:5" x14ac:dyDescent="0.25">
      <c r="B5580">
        <v>43174</v>
      </c>
      <c r="C5580" s="6" t="str">
        <f ca="1">IF(OR($C$7="",$B5580&gt;NOW()),"",IF(INDEX(Data!$A:$G,MATCH($B5580,Data!$A:$A,0),MATCH($C$7,Data!$4:$4,0))="","",INDEX(Data!$A:$G,MATCH($B5580,Data!$A:$A,0),MATCH($C$7,Data!$4:$4,0))))</f>
        <v/>
      </c>
      <c r="D5580" s="148" t="str">
        <f t="shared" ca="1" si="178"/>
        <v/>
      </c>
      <c r="E5580" s="148" t="str">
        <f t="shared" ca="1" si="179"/>
        <v/>
      </c>
    </row>
    <row r="5581" spans="2:5" x14ac:dyDescent="0.25">
      <c r="B5581">
        <v>43175</v>
      </c>
      <c r="C5581" s="6" t="str">
        <f ca="1">IF(OR($C$7="",$B5581&gt;NOW()),"",IF(INDEX(Data!$A:$G,MATCH($B5581,Data!$A:$A,0),MATCH($C$7,Data!$4:$4,0))="","",INDEX(Data!$A:$G,MATCH($B5581,Data!$A:$A,0),MATCH($C$7,Data!$4:$4,0))))</f>
        <v/>
      </c>
      <c r="D5581" s="148" t="str">
        <f t="shared" ca="1" si="178"/>
        <v/>
      </c>
      <c r="E5581" s="148" t="str">
        <f t="shared" ca="1" si="179"/>
        <v/>
      </c>
    </row>
    <row r="5582" spans="2:5" x14ac:dyDescent="0.25">
      <c r="B5582">
        <v>43176</v>
      </c>
      <c r="C5582" s="6" t="str">
        <f ca="1">IF(OR($C$7="",$B5582&gt;NOW()),"",IF(INDEX(Data!$A:$G,MATCH($B5582,Data!$A:$A,0),MATCH($C$7,Data!$4:$4,0))="","",INDEX(Data!$A:$G,MATCH($B5582,Data!$A:$A,0),MATCH($C$7,Data!$4:$4,0))))</f>
        <v/>
      </c>
      <c r="D5582" s="148" t="str">
        <f t="shared" ca="1" si="178"/>
        <v/>
      </c>
      <c r="E5582" s="148" t="str">
        <f t="shared" ca="1" si="179"/>
        <v/>
      </c>
    </row>
    <row r="5583" spans="2:5" x14ac:dyDescent="0.25">
      <c r="B5583">
        <v>43177</v>
      </c>
      <c r="C5583" s="6" t="str">
        <f ca="1">IF(OR($C$7="",$B5583&gt;NOW()),"",IF(INDEX(Data!$A:$G,MATCH($B5583,Data!$A:$A,0),MATCH($C$7,Data!$4:$4,0))="","",INDEX(Data!$A:$G,MATCH($B5583,Data!$A:$A,0),MATCH($C$7,Data!$4:$4,0))))</f>
        <v/>
      </c>
      <c r="D5583" s="148" t="str">
        <f t="shared" ca="1" si="178"/>
        <v/>
      </c>
      <c r="E5583" s="148" t="str">
        <f t="shared" ca="1" si="179"/>
        <v/>
      </c>
    </row>
    <row r="5584" spans="2:5" x14ac:dyDescent="0.25">
      <c r="B5584">
        <v>43178</v>
      </c>
      <c r="C5584" s="6" t="str">
        <f ca="1">IF(OR($C$7="",$B5584&gt;NOW()),"",IF(INDEX(Data!$A:$G,MATCH($B5584,Data!$A:$A,0),MATCH($C$7,Data!$4:$4,0))="","",INDEX(Data!$A:$G,MATCH($B5584,Data!$A:$A,0),MATCH($C$7,Data!$4:$4,0))))</f>
        <v/>
      </c>
      <c r="D5584" s="148" t="str">
        <f t="shared" ca="1" si="178"/>
        <v/>
      </c>
      <c r="E5584" s="148" t="str">
        <f t="shared" ca="1" si="179"/>
        <v/>
      </c>
    </row>
    <row r="5585" spans="2:5" x14ac:dyDescent="0.25">
      <c r="B5585">
        <v>43179</v>
      </c>
      <c r="C5585" s="6" t="str">
        <f ca="1">IF(OR($C$7="",$B5585&gt;NOW()),"",IF(INDEX(Data!$A:$G,MATCH($B5585,Data!$A:$A,0),MATCH($C$7,Data!$4:$4,0))="","",INDEX(Data!$A:$G,MATCH($B5585,Data!$A:$A,0),MATCH($C$7,Data!$4:$4,0))))</f>
        <v/>
      </c>
      <c r="D5585" s="148" t="str">
        <f t="shared" ca="1" si="178"/>
        <v/>
      </c>
      <c r="E5585" s="148" t="str">
        <f t="shared" ca="1" si="179"/>
        <v/>
      </c>
    </row>
    <row r="5586" spans="2:5" x14ac:dyDescent="0.25">
      <c r="B5586">
        <v>43180</v>
      </c>
      <c r="C5586" s="6" t="str">
        <f ca="1">IF(OR($C$7="",$B5586&gt;NOW()),"",IF(INDEX(Data!$A:$G,MATCH($B5586,Data!$A:$A,0),MATCH($C$7,Data!$4:$4,0))="","",INDEX(Data!$A:$G,MATCH($B5586,Data!$A:$A,0),MATCH($C$7,Data!$4:$4,0))))</f>
        <v/>
      </c>
      <c r="D5586" s="148" t="str">
        <f t="shared" ca="1" si="178"/>
        <v/>
      </c>
      <c r="E5586" s="148" t="str">
        <f t="shared" ca="1" si="179"/>
        <v/>
      </c>
    </row>
    <row r="5587" spans="2:5" x14ac:dyDescent="0.25">
      <c r="B5587">
        <v>43181</v>
      </c>
      <c r="C5587" s="6" t="str">
        <f ca="1">IF(OR($C$7="",$B5587&gt;NOW()),"",IF(INDEX(Data!$A:$G,MATCH($B5587,Data!$A:$A,0),MATCH($C$7,Data!$4:$4,0))="","",INDEX(Data!$A:$G,MATCH($B5587,Data!$A:$A,0),MATCH($C$7,Data!$4:$4,0))))</f>
        <v/>
      </c>
      <c r="D5587" s="148" t="str">
        <f t="shared" ca="1" si="178"/>
        <v/>
      </c>
      <c r="E5587" s="148" t="str">
        <f t="shared" ca="1" si="179"/>
        <v/>
      </c>
    </row>
    <row r="5588" spans="2:5" x14ac:dyDescent="0.25">
      <c r="B5588">
        <v>43182</v>
      </c>
      <c r="C5588" s="6" t="str">
        <f ca="1">IF(OR($C$7="",$B5588&gt;NOW()),"",IF(INDEX(Data!$A:$G,MATCH($B5588,Data!$A:$A,0),MATCH($C$7,Data!$4:$4,0))="","",INDEX(Data!$A:$G,MATCH($B5588,Data!$A:$A,0),MATCH($C$7,Data!$4:$4,0))))</f>
        <v/>
      </c>
      <c r="D5588" s="148" t="str">
        <f t="shared" ca="1" si="178"/>
        <v/>
      </c>
      <c r="E5588" s="148" t="str">
        <f t="shared" ca="1" si="179"/>
        <v/>
      </c>
    </row>
    <row r="5589" spans="2:5" x14ac:dyDescent="0.25">
      <c r="B5589">
        <v>43183</v>
      </c>
      <c r="C5589" s="6" t="str">
        <f ca="1">IF(OR($C$7="",$B5589&gt;NOW()),"",IF(INDEX(Data!$A:$G,MATCH($B5589,Data!$A:$A,0),MATCH($C$7,Data!$4:$4,0))="","",INDEX(Data!$A:$G,MATCH($B5589,Data!$A:$A,0),MATCH($C$7,Data!$4:$4,0))))</f>
        <v/>
      </c>
      <c r="D5589" s="148" t="str">
        <f t="shared" ca="1" si="178"/>
        <v/>
      </c>
      <c r="E5589" s="148" t="str">
        <f t="shared" ca="1" si="179"/>
        <v/>
      </c>
    </row>
    <row r="5590" spans="2:5" x14ac:dyDescent="0.25">
      <c r="B5590">
        <v>43184</v>
      </c>
      <c r="C5590" s="6" t="str">
        <f ca="1">IF(OR($C$7="",$B5590&gt;NOW()),"",IF(INDEX(Data!$A:$G,MATCH($B5590,Data!$A:$A,0),MATCH($C$7,Data!$4:$4,0))="","",INDEX(Data!$A:$G,MATCH($B5590,Data!$A:$A,0),MATCH($C$7,Data!$4:$4,0))))</f>
        <v/>
      </c>
      <c r="D5590" s="148" t="str">
        <f t="shared" ca="1" si="178"/>
        <v/>
      </c>
      <c r="E5590" s="148" t="str">
        <f t="shared" ca="1" si="179"/>
        <v/>
      </c>
    </row>
    <row r="5591" spans="2:5" x14ac:dyDescent="0.25">
      <c r="B5591">
        <v>43185</v>
      </c>
      <c r="C5591" s="6" t="str">
        <f ca="1">IF(OR($C$7="",$B5591&gt;NOW()),"",IF(INDEX(Data!$A:$G,MATCH($B5591,Data!$A:$A,0),MATCH($C$7,Data!$4:$4,0))="","",INDEX(Data!$A:$G,MATCH($B5591,Data!$A:$A,0),MATCH($C$7,Data!$4:$4,0))))</f>
        <v/>
      </c>
      <c r="D5591" s="148" t="str">
        <f t="shared" ca="1" si="178"/>
        <v/>
      </c>
      <c r="E5591" s="148" t="str">
        <f t="shared" ca="1" si="179"/>
        <v/>
      </c>
    </row>
    <row r="5592" spans="2:5" x14ac:dyDescent="0.25">
      <c r="B5592">
        <v>43186</v>
      </c>
      <c r="C5592" s="6" t="str">
        <f ca="1">IF(OR($C$7="",$B5592&gt;NOW()),"",IF(INDEX(Data!$A:$G,MATCH($B5592,Data!$A:$A,0),MATCH($C$7,Data!$4:$4,0))="","",INDEX(Data!$A:$G,MATCH($B5592,Data!$A:$A,0),MATCH($C$7,Data!$4:$4,0))))</f>
        <v/>
      </c>
      <c r="D5592" s="148" t="str">
        <f t="shared" ca="1" si="178"/>
        <v/>
      </c>
      <c r="E5592" s="148" t="str">
        <f t="shared" ca="1" si="179"/>
        <v/>
      </c>
    </row>
    <row r="5593" spans="2:5" x14ac:dyDescent="0.25">
      <c r="B5593">
        <v>43187</v>
      </c>
      <c r="C5593" s="6" t="str">
        <f ca="1">IF(OR($C$7="",$B5593&gt;NOW()),"",IF(INDEX(Data!$A:$G,MATCH($B5593,Data!$A:$A,0),MATCH($C$7,Data!$4:$4,0))="","",INDEX(Data!$A:$G,MATCH($B5593,Data!$A:$A,0),MATCH($C$7,Data!$4:$4,0))))</f>
        <v/>
      </c>
      <c r="D5593" s="148" t="str">
        <f t="shared" ca="1" si="178"/>
        <v/>
      </c>
      <c r="E5593" s="148" t="str">
        <f t="shared" ca="1" si="179"/>
        <v/>
      </c>
    </row>
    <row r="5594" spans="2:5" x14ac:dyDescent="0.25">
      <c r="B5594">
        <v>43188</v>
      </c>
      <c r="C5594" s="6" t="str">
        <f ca="1">IF(OR($C$7="",$B5594&gt;NOW()),"",IF(INDEX(Data!$A:$G,MATCH($B5594,Data!$A:$A,0),MATCH($C$7,Data!$4:$4,0))="","",INDEX(Data!$A:$G,MATCH($B5594,Data!$A:$A,0),MATCH($C$7,Data!$4:$4,0))))</f>
        <v/>
      </c>
      <c r="D5594" s="148" t="str">
        <f t="shared" ca="1" si="178"/>
        <v/>
      </c>
      <c r="E5594" s="148" t="str">
        <f t="shared" ca="1" si="179"/>
        <v/>
      </c>
    </row>
    <row r="5595" spans="2:5" x14ac:dyDescent="0.25">
      <c r="B5595">
        <v>43189</v>
      </c>
      <c r="C5595" s="6" t="str">
        <f ca="1">IF(OR($C$7="",$B5595&gt;NOW()),"",IF(INDEX(Data!$A:$G,MATCH($B5595,Data!$A:$A,0),MATCH($C$7,Data!$4:$4,0))="","",INDEX(Data!$A:$G,MATCH($B5595,Data!$A:$A,0),MATCH($C$7,Data!$4:$4,0))))</f>
        <v/>
      </c>
      <c r="D5595" s="148" t="str">
        <f t="shared" ca="1" si="178"/>
        <v/>
      </c>
      <c r="E5595" s="148" t="str">
        <f t="shared" ca="1" si="179"/>
        <v/>
      </c>
    </row>
    <row r="5596" spans="2:5" x14ac:dyDescent="0.25">
      <c r="B5596">
        <v>43190</v>
      </c>
      <c r="C5596" s="6" t="str">
        <f ca="1">IF(OR($C$7="",$B5596&gt;NOW()),"",IF(INDEX(Data!$A:$G,MATCH($B5596,Data!$A:$A,0),MATCH($C$7,Data!$4:$4,0))="","",INDEX(Data!$A:$G,MATCH($B5596,Data!$A:$A,0),MATCH($C$7,Data!$4:$4,0))))</f>
        <v/>
      </c>
      <c r="D5596" s="148" t="str">
        <f t="shared" ca="1" si="178"/>
        <v/>
      </c>
      <c r="E5596" s="148" t="str">
        <f t="shared" ca="1" si="179"/>
        <v/>
      </c>
    </row>
    <row r="5597" spans="2:5" x14ac:dyDescent="0.25">
      <c r="B5597">
        <v>43191</v>
      </c>
      <c r="C5597" s="6" t="str">
        <f ca="1">IF(OR($C$7="",$B5597&gt;NOW()),"",IF(INDEX(Data!$A:$G,MATCH($B5597,Data!$A:$A,0),MATCH($C$7,Data!$4:$4,0))="","",INDEX(Data!$A:$G,MATCH($B5597,Data!$A:$A,0),MATCH($C$7,Data!$4:$4,0))))</f>
        <v/>
      </c>
      <c r="D5597" s="148" t="str">
        <f t="shared" ref="D5597:D5660" ca="1" si="180">IF($C5597="","",IF($C5597&gt;$D$26,0,$D$26-$C5597))</f>
        <v/>
      </c>
      <c r="E5597" s="148" t="str">
        <f t="shared" ref="E5597:E5660" ca="1" si="181">IF($C5597="","",IF($C5597&lt;$E$26,0,$C5597-$E$26))</f>
        <v/>
      </c>
    </row>
    <row r="5598" spans="2:5" x14ac:dyDescent="0.25">
      <c r="B5598">
        <v>43192</v>
      </c>
      <c r="C5598" s="6" t="str">
        <f ca="1">IF(OR($C$7="",$B5598&gt;NOW()),"",IF(INDEX(Data!$A:$G,MATCH($B5598,Data!$A:$A,0),MATCH($C$7,Data!$4:$4,0))="","",INDEX(Data!$A:$G,MATCH($B5598,Data!$A:$A,0),MATCH($C$7,Data!$4:$4,0))))</f>
        <v/>
      </c>
      <c r="D5598" s="148" t="str">
        <f t="shared" ca="1" si="180"/>
        <v/>
      </c>
      <c r="E5598" s="148" t="str">
        <f t="shared" ca="1" si="181"/>
        <v/>
      </c>
    </row>
    <row r="5599" spans="2:5" x14ac:dyDescent="0.25">
      <c r="B5599">
        <v>43193</v>
      </c>
      <c r="C5599" s="6" t="str">
        <f ca="1">IF(OR($C$7="",$B5599&gt;NOW()),"",IF(INDEX(Data!$A:$G,MATCH($B5599,Data!$A:$A,0),MATCH($C$7,Data!$4:$4,0))="","",INDEX(Data!$A:$G,MATCH($B5599,Data!$A:$A,0),MATCH($C$7,Data!$4:$4,0))))</f>
        <v/>
      </c>
      <c r="D5599" s="148" t="str">
        <f t="shared" ca="1" si="180"/>
        <v/>
      </c>
      <c r="E5599" s="148" t="str">
        <f t="shared" ca="1" si="181"/>
        <v/>
      </c>
    </row>
    <row r="5600" spans="2:5" x14ac:dyDescent="0.25">
      <c r="B5600">
        <v>43194</v>
      </c>
      <c r="C5600" s="6" t="str">
        <f ca="1">IF(OR($C$7="",$B5600&gt;NOW()),"",IF(INDEX(Data!$A:$G,MATCH($B5600,Data!$A:$A,0),MATCH($C$7,Data!$4:$4,0))="","",INDEX(Data!$A:$G,MATCH($B5600,Data!$A:$A,0),MATCH($C$7,Data!$4:$4,0))))</f>
        <v/>
      </c>
      <c r="D5600" s="148" t="str">
        <f t="shared" ca="1" si="180"/>
        <v/>
      </c>
      <c r="E5600" s="148" t="str">
        <f t="shared" ca="1" si="181"/>
        <v/>
      </c>
    </row>
    <row r="5601" spans="2:5" x14ac:dyDescent="0.25">
      <c r="B5601">
        <v>43195</v>
      </c>
      <c r="C5601" s="6" t="str">
        <f ca="1">IF(OR($C$7="",$B5601&gt;NOW()),"",IF(INDEX(Data!$A:$G,MATCH($B5601,Data!$A:$A,0),MATCH($C$7,Data!$4:$4,0))="","",INDEX(Data!$A:$G,MATCH($B5601,Data!$A:$A,0),MATCH($C$7,Data!$4:$4,0))))</f>
        <v/>
      </c>
      <c r="D5601" s="148" t="str">
        <f t="shared" ca="1" si="180"/>
        <v/>
      </c>
      <c r="E5601" s="148" t="str">
        <f t="shared" ca="1" si="181"/>
        <v/>
      </c>
    </row>
    <row r="5602" spans="2:5" x14ac:dyDescent="0.25">
      <c r="B5602">
        <v>43196</v>
      </c>
      <c r="C5602" s="6" t="str">
        <f ca="1">IF(OR($C$7="",$B5602&gt;NOW()),"",IF(INDEX(Data!$A:$G,MATCH($B5602,Data!$A:$A,0),MATCH($C$7,Data!$4:$4,0))="","",INDEX(Data!$A:$G,MATCH($B5602,Data!$A:$A,0),MATCH($C$7,Data!$4:$4,0))))</f>
        <v/>
      </c>
      <c r="D5602" s="148" t="str">
        <f t="shared" ca="1" si="180"/>
        <v/>
      </c>
      <c r="E5602" s="148" t="str">
        <f t="shared" ca="1" si="181"/>
        <v/>
      </c>
    </row>
    <row r="5603" spans="2:5" x14ac:dyDescent="0.25">
      <c r="B5603">
        <v>43197</v>
      </c>
      <c r="C5603" s="6" t="str">
        <f ca="1">IF(OR($C$7="",$B5603&gt;NOW()),"",IF(INDEX(Data!$A:$G,MATCH($B5603,Data!$A:$A,0),MATCH($C$7,Data!$4:$4,0))="","",INDEX(Data!$A:$G,MATCH($B5603,Data!$A:$A,0),MATCH($C$7,Data!$4:$4,0))))</f>
        <v/>
      </c>
      <c r="D5603" s="148" t="str">
        <f t="shared" ca="1" si="180"/>
        <v/>
      </c>
      <c r="E5603" s="148" t="str">
        <f t="shared" ca="1" si="181"/>
        <v/>
      </c>
    </row>
    <row r="5604" spans="2:5" x14ac:dyDescent="0.25">
      <c r="B5604">
        <v>43198</v>
      </c>
      <c r="C5604" s="6" t="str">
        <f ca="1">IF(OR($C$7="",$B5604&gt;NOW()),"",IF(INDEX(Data!$A:$G,MATCH($B5604,Data!$A:$A,0),MATCH($C$7,Data!$4:$4,0))="","",INDEX(Data!$A:$G,MATCH($B5604,Data!$A:$A,0),MATCH($C$7,Data!$4:$4,0))))</f>
        <v/>
      </c>
      <c r="D5604" s="148" t="str">
        <f t="shared" ca="1" si="180"/>
        <v/>
      </c>
      <c r="E5604" s="148" t="str">
        <f t="shared" ca="1" si="181"/>
        <v/>
      </c>
    </row>
    <row r="5605" spans="2:5" x14ac:dyDescent="0.25">
      <c r="B5605">
        <v>43199</v>
      </c>
      <c r="C5605" s="6" t="str">
        <f ca="1">IF(OR($C$7="",$B5605&gt;NOW()),"",IF(INDEX(Data!$A:$G,MATCH($B5605,Data!$A:$A,0),MATCH($C$7,Data!$4:$4,0))="","",INDEX(Data!$A:$G,MATCH($B5605,Data!$A:$A,0),MATCH($C$7,Data!$4:$4,0))))</f>
        <v/>
      </c>
      <c r="D5605" s="148" t="str">
        <f t="shared" ca="1" si="180"/>
        <v/>
      </c>
      <c r="E5605" s="148" t="str">
        <f t="shared" ca="1" si="181"/>
        <v/>
      </c>
    </row>
    <row r="5606" spans="2:5" x14ac:dyDescent="0.25">
      <c r="B5606">
        <v>43200</v>
      </c>
      <c r="C5606" s="6" t="str">
        <f ca="1">IF(OR($C$7="",$B5606&gt;NOW()),"",IF(INDEX(Data!$A:$G,MATCH($B5606,Data!$A:$A,0),MATCH($C$7,Data!$4:$4,0))="","",INDEX(Data!$A:$G,MATCH($B5606,Data!$A:$A,0),MATCH($C$7,Data!$4:$4,0))))</f>
        <v/>
      </c>
      <c r="D5606" s="148" t="str">
        <f t="shared" ca="1" si="180"/>
        <v/>
      </c>
      <c r="E5606" s="148" t="str">
        <f t="shared" ca="1" si="181"/>
        <v/>
      </c>
    </row>
    <row r="5607" spans="2:5" x14ac:dyDescent="0.25">
      <c r="B5607">
        <v>43201</v>
      </c>
      <c r="C5607" s="6" t="str">
        <f ca="1">IF(OR($C$7="",$B5607&gt;NOW()),"",IF(INDEX(Data!$A:$G,MATCH($B5607,Data!$A:$A,0),MATCH($C$7,Data!$4:$4,0))="","",INDEX(Data!$A:$G,MATCH($B5607,Data!$A:$A,0),MATCH($C$7,Data!$4:$4,0))))</f>
        <v/>
      </c>
      <c r="D5607" s="148" t="str">
        <f t="shared" ca="1" si="180"/>
        <v/>
      </c>
      <c r="E5607" s="148" t="str">
        <f t="shared" ca="1" si="181"/>
        <v/>
      </c>
    </row>
    <row r="5608" spans="2:5" x14ac:dyDescent="0.25">
      <c r="B5608">
        <v>43202</v>
      </c>
      <c r="C5608" s="6" t="str">
        <f ca="1">IF(OR($C$7="",$B5608&gt;NOW()),"",IF(INDEX(Data!$A:$G,MATCH($B5608,Data!$A:$A,0),MATCH($C$7,Data!$4:$4,0))="","",INDEX(Data!$A:$G,MATCH($B5608,Data!$A:$A,0),MATCH($C$7,Data!$4:$4,0))))</f>
        <v/>
      </c>
      <c r="D5608" s="148" t="str">
        <f t="shared" ca="1" si="180"/>
        <v/>
      </c>
      <c r="E5608" s="148" t="str">
        <f t="shared" ca="1" si="181"/>
        <v/>
      </c>
    </row>
    <row r="5609" spans="2:5" x14ac:dyDescent="0.25">
      <c r="B5609">
        <v>43203</v>
      </c>
      <c r="C5609" s="6" t="str">
        <f ca="1">IF(OR($C$7="",$B5609&gt;NOW()),"",IF(INDEX(Data!$A:$G,MATCH($B5609,Data!$A:$A,0),MATCH($C$7,Data!$4:$4,0))="","",INDEX(Data!$A:$G,MATCH($B5609,Data!$A:$A,0),MATCH($C$7,Data!$4:$4,0))))</f>
        <v/>
      </c>
      <c r="D5609" s="148" t="str">
        <f t="shared" ca="1" si="180"/>
        <v/>
      </c>
      <c r="E5609" s="148" t="str">
        <f t="shared" ca="1" si="181"/>
        <v/>
      </c>
    </row>
    <row r="5610" spans="2:5" x14ac:dyDescent="0.25">
      <c r="B5610">
        <v>43204</v>
      </c>
      <c r="C5610" s="6" t="str">
        <f ca="1">IF(OR($C$7="",$B5610&gt;NOW()),"",IF(INDEX(Data!$A:$G,MATCH($B5610,Data!$A:$A,0),MATCH($C$7,Data!$4:$4,0))="","",INDEX(Data!$A:$G,MATCH($B5610,Data!$A:$A,0),MATCH($C$7,Data!$4:$4,0))))</f>
        <v/>
      </c>
      <c r="D5610" s="148" t="str">
        <f t="shared" ca="1" si="180"/>
        <v/>
      </c>
      <c r="E5610" s="148" t="str">
        <f t="shared" ca="1" si="181"/>
        <v/>
      </c>
    </row>
    <row r="5611" spans="2:5" x14ac:dyDescent="0.25">
      <c r="B5611">
        <v>43205</v>
      </c>
      <c r="C5611" s="6" t="str">
        <f ca="1">IF(OR($C$7="",$B5611&gt;NOW()),"",IF(INDEX(Data!$A:$G,MATCH($B5611,Data!$A:$A,0),MATCH($C$7,Data!$4:$4,0))="","",INDEX(Data!$A:$G,MATCH($B5611,Data!$A:$A,0),MATCH($C$7,Data!$4:$4,0))))</f>
        <v/>
      </c>
      <c r="D5611" s="148" t="str">
        <f t="shared" ca="1" si="180"/>
        <v/>
      </c>
      <c r="E5611" s="148" t="str">
        <f t="shared" ca="1" si="181"/>
        <v/>
      </c>
    </row>
    <row r="5612" spans="2:5" x14ac:dyDescent="0.25">
      <c r="B5612">
        <v>43206</v>
      </c>
      <c r="C5612" s="6" t="str">
        <f ca="1">IF(OR($C$7="",$B5612&gt;NOW()),"",IF(INDEX(Data!$A:$G,MATCH($B5612,Data!$A:$A,0),MATCH($C$7,Data!$4:$4,0))="","",INDEX(Data!$A:$G,MATCH($B5612,Data!$A:$A,0),MATCH($C$7,Data!$4:$4,0))))</f>
        <v/>
      </c>
      <c r="D5612" s="148" t="str">
        <f t="shared" ca="1" si="180"/>
        <v/>
      </c>
      <c r="E5612" s="148" t="str">
        <f t="shared" ca="1" si="181"/>
        <v/>
      </c>
    </row>
    <row r="5613" spans="2:5" x14ac:dyDescent="0.25">
      <c r="B5613">
        <v>43207</v>
      </c>
      <c r="C5613" s="6" t="str">
        <f ca="1">IF(OR($C$7="",$B5613&gt;NOW()),"",IF(INDEX(Data!$A:$G,MATCH($B5613,Data!$A:$A,0),MATCH($C$7,Data!$4:$4,0))="","",INDEX(Data!$A:$G,MATCH($B5613,Data!$A:$A,0),MATCH($C$7,Data!$4:$4,0))))</f>
        <v/>
      </c>
      <c r="D5613" s="148" t="str">
        <f t="shared" ca="1" si="180"/>
        <v/>
      </c>
      <c r="E5613" s="148" t="str">
        <f t="shared" ca="1" si="181"/>
        <v/>
      </c>
    </row>
    <row r="5614" spans="2:5" x14ac:dyDescent="0.25">
      <c r="B5614">
        <v>43208</v>
      </c>
      <c r="C5614" s="6" t="str">
        <f ca="1">IF(OR($C$7="",$B5614&gt;NOW()),"",IF(INDEX(Data!$A:$G,MATCH($B5614,Data!$A:$A,0),MATCH($C$7,Data!$4:$4,0))="","",INDEX(Data!$A:$G,MATCH($B5614,Data!$A:$A,0),MATCH($C$7,Data!$4:$4,0))))</f>
        <v/>
      </c>
      <c r="D5614" s="148" t="str">
        <f t="shared" ca="1" si="180"/>
        <v/>
      </c>
      <c r="E5614" s="148" t="str">
        <f t="shared" ca="1" si="181"/>
        <v/>
      </c>
    </row>
    <row r="5615" spans="2:5" x14ac:dyDescent="0.25">
      <c r="B5615">
        <v>43209</v>
      </c>
      <c r="C5615" s="6" t="str">
        <f ca="1">IF(OR($C$7="",$B5615&gt;NOW()),"",IF(INDEX(Data!$A:$G,MATCH($B5615,Data!$A:$A,0),MATCH($C$7,Data!$4:$4,0))="","",INDEX(Data!$A:$G,MATCH($B5615,Data!$A:$A,0),MATCH($C$7,Data!$4:$4,0))))</f>
        <v/>
      </c>
      <c r="D5615" s="148" t="str">
        <f t="shared" ca="1" si="180"/>
        <v/>
      </c>
      <c r="E5615" s="148" t="str">
        <f t="shared" ca="1" si="181"/>
        <v/>
      </c>
    </row>
    <row r="5616" spans="2:5" x14ac:dyDescent="0.25">
      <c r="B5616">
        <v>43210</v>
      </c>
      <c r="C5616" s="6" t="str">
        <f ca="1">IF(OR($C$7="",$B5616&gt;NOW()),"",IF(INDEX(Data!$A:$G,MATCH($B5616,Data!$A:$A,0),MATCH($C$7,Data!$4:$4,0))="","",INDEX(Data!$A:$G,MATCH($B5616,Data!$A:$A,0),MATCH($C$7,Data!$4:$4,0))))</f>
        <v/>
      </c>
      <c r="D5616" s="148" t="str">
        <f t="shared" ca="1" si="180"/>
        <v/>
      </c>
      <c r="E5616" s="148" t="str">
        <f t="shared" ca="1" si="181"/>
        <v/>
      </c>
    </row>
    <row r="5617" spans="2:5" x14ac:dyDescent="0.25">
      <c r="B5617">
        <v>43211</v>
      </c>
      <c r="C5617" s="6" t="str">
        <f ca="1">IF(OR($C$7="",$B5617&gt;NOW()),"",IF(INDEX(Data!$A:$G,MATCH($B5617,Data!$A:$A,0),MATCH($C$7,Data!$4:$4,0))="","",INDEX(Data!$A:$G,MATCH($B5617,Data!$A:$A,0),MATCH($C$7,Data!$4:$4,0))))</f>
        <v/>
      </c>
      <c r="D5617" s="148" t="str">
        <f t="shared" ca="1" si="180"/>
        <v/>
      </c>
      <c r="E5617" s="148" t="str">
        <f t="shared" ca="1" si="181"/>
        <v/>
      </c>
    </row>
    <row r="5618" spans="2:5" x14ac:dyDescent="0.25">
      <c r="B5618">
        <v>43212</v>
      </c>
      <c r="C5618" s="6" t="str">
        <f ca="1">IF(OR($C$7="",$B5618&gt;NOW()),"",IF(INDEX(Data!$A:$G,MATCH($B5618,Data!$A:$A,0),MATCH($C$7,Data!$4:$4,0))="","",INDEX(Data!$A:$G,MATCH($B5618,Data!$A:$A,0),MATCH($C$7,Data!$4:$4,0))))</f>
        <v/>
      </c>
      <c r="D5618" s="148" t="str">
        <f t="shared" ca="1" si="180"/>
        <v/>
      </c>
      <c r="E5618" s="148" t="str">
        <f t="shared" ca="1" si="181"/>
        <v/>
      </c>
    </row>
    <row r="5619" spans="2:5" x14ac:dyDescent="0.25">
      <c r="B5619">
        <v>43213</v>
      </c>
      <c r="C5619" s="6" t="str">
        <f ca="1">IF(OR($C$7="",$B5619&gt;NOW()),"",IF(INDEX(Data!$A:$G,MATCH($B5619,Data!$A:$A,0),MATCH($C$7,Data!$4:$4,0))="","",INDEX(Data!$A:$G,MATCH($B5619,Data!$A:$A,0),MATCH($C$7,Data!$4:$4,0))))</f>
        <v/>
      </c>
      <c r="D5619" s="148" t="str">
        <f t="shared" ca="1" si="180"/>
        <v/>
      </c>
      <c r="E5619" s="148" t="str">
        <f t="shared" ca="1" si="181"/>
        <v/>
      </c>
    </row>
    <row r="5620" spans="2:5" x14ac:dyDescent="0.25">
      <c r="B5620">
        <v>43214</v>
      </c>
      <c r="C5620" s="6" t="str">
        <f ca="1">IF(OR($C$7="",$B5620&gt;NOW()),"",IF(INDEX(Data!$A:$G,MATCH($B5620,Data!$A:$A,0),MATCH($C$7,Data!$4:$4,0))="","",INDEX(Data!$A:$G,MATCH($B5620,Data!$A:$A,0),MATCH($C$7,Data!$4:$4,0))))</f>
        <v/>
      </c>
      <c r="D5620" s="148" t="str">
        <f t="shared" ca="1" si="180"/>
        <v/>
      </c>
      <c r="E5620" s="148" t="str">
        <f t="shared" ca="1" si="181"/>
        <v/>
      </c>
    </row>
    <row r="5621" spans="2:5" x14ac:dyDescent="0.25">
      <c r="B5621">
        <v>43215</v>
      </c>
      <c r="C5621" s="6" t="str">
        <f ca="1">IF(OR($C$7="",$B5621&gt;NOW()),"",IF(INDEX(Data!$A:$G,MATCH($B5621,Data!$A:$A,0),MATCH($C$7,Data!$4:$4,0))="","",INDEX(Data!$A:$G,MATCH($B5621,Data!$A:$A,0),MATCH($C$7,Data!$4:$4,0))))</f>
        <v/>
      </c>
      <c r="D5621" s="148" t="str">
        <f t="shared" ca="1" si="180"/>
        <v/>
      </c>
      <c r="E5621" s="148" t="str">
        <f t="shared" ca="1" si="181"/>
        <v/>
      </c>
    </row>
    <row r="5622" spans="2:5" x14ac:dyDescent="0.25">
      <c r="B5622">
        <v>43216</v>
      </c>
      <c r="C5622" s="6" t="str">
        <f ca="1">IF(OR($C$7="",$B5622&gt;NOW()),"",IF(INDEX(Data!$A:$G,MATCH($B5622,Data!$A:$A,0),MATCH($C$7,Data!$4:$4,0))="","",INDEX(Data!$A:$G,MATCH($B5622,Data!$A:$A,0),MATCH($C$7,Data!$4:$4,0))))</f>
        <v/>
      </c>
      <c r="D5622" s="148" t="str">
        <f t="shared" ca="1" si="180"/>
        <v/>
      </c>
      <c r="E5622" s="148" t="str">
        <f t="shared" ca="1" si="181"/>
        <v/>
      </c>
    </row>
    <row r="5623" spans="2:5" x14ac:dyDescent="0.25">
      <c r="B5623">
        <v>43217</v>
      </c>
      <c r="C5623" s="6" t="str">
        <f ca="1">IF(OR($C$7="",$B5623&gt;NOW()),"",IF(INDEX(Data!$A:$G,MATCH($B5623,Data!$A:$A,0),MATCH($C$7,Data!$4:$4,0))="","",INDEX(Data!$A:$G,MATCH($B5623,Data!$A:$A,0),MATCH($C$7,Data!$4:$4,0))))</f>
        <v/>
      </c>
      <c r="D5623" s="148" t="str">
        <f t="shared" ca="1" si="180"/>
        <v/>
      </c>
      <c r="E5623" s="148" t="str">
        <f t="shared" ca="1" si="181"/>
        <v/>
      </c>
    </row>
    <row r="5624" spans="2:5" x14ac:dyDescent="0.25">
      <c r="B5624">
        <v>43218</v>
      </c>
      <c r="C5624" s="6" t="str">
        <f ca="1">IF(OR($C$7="",$B5624&gt;NOW()),"",IF(INDEX(Data!$A:$G,MATCH($B5624,Data!$A:$A,0),MATCH($C$7,Data!$4:$4,0))="","",INDEX(Data!$A:$G,MATCH($B5624,Data!$A:$A,0),MATCH($C$7,Data!$4:$4,0))))</f>
        <v/>
      </c>
      <c r="D5624" s="148" t="str">
        <f t="shared" ca="1" si="180"/>
        <v/>
      </c>
      <c r="E5624" s="148" t="str">
        <f t="shared" ca="1" si="181"/>
        <v/>
      </c>
    </row>
    <row r="5625" spans="2:5" x14ac:dyDescent="0.25">
      <c r="B5625">
        <v>43219</v>
      </c>
      <c r="C5625" s="6" t="str">
        <f ca="1">IF(OR($C$7="",$B5625&gt;NOW()),"",IF(INDEX(Data!$A:$G,MATCH($B5625,Data!$A:$A,0),MATCH($C$7,Data!$4:$4,0))="","",INDEX(Data!$A:$G,MATCH($B5625,Data!$A:$A,0),MATCH($C$7,Data!$4:$4,0))))</f>
        <v/>
      </c>
      <c r="D5625" s="148" t="str">
        <f t="shared" ca="1" si="180"/>
        <v/>
      </c>
      <c r="E5625" s="148" t="str">
        <f t="shared" ca="1" si="181"/>
        <v/>
      </c>
    </row>
    <row r="5626" spans="2:5" x14ac:dyDescent="0.25">
      <c r="B5626">
        <v>43220</v>
      </c>
      <c r="C5626" s="6" t="str">
        <f ca="1">IF(OR($C$7="",$B5626&gt;NOW()),"",IF(INDEX(Data!$A:$G,MATCH($B5626,Data!$A:$A,0),MATCH($C$7,Data!$4:$4,0))="","",INDEX(Data!$A:$G,MATCH($B5626,Data!$A:$A,0),MATCH($C$7,Data!$4:$4,0))))</f>
        <v/>
      </c>
      <c r="D5626" s="148" t="str">
        <f t="shared" ca="1" si="180"/>
        <v/>
      </c>
      <c r="E5626" s="148" t="str">
        <f t="shared" ca="1" si="181"/>
        <v/>
      </c>
    </row>
    <row r="5627" spans="2:5" x14ac:dyDescent="0.25">
      <c r="B5627">
        <v>43221</v>
      </c>
      <c r="C5627" s="6" t="str">
        <f ca="1">IF(OR($C$7="",$B5627&gt;NOW()),"",IF(INDEX(Data!$A:$G,MATCH($B5627,Data!$A:$A,0),MATCH($C$7,Data!$4:$4,0))="","",INDEX(Data!$A:$G,MATCH($B5627,Data!$A:$A,0),MATCH($C$7,Data!$4:$4,0))))</f>
        <v/>
      </c>
      <c r="D5627" s="148" t="str">
        <f t="shared" ca="1" si="180"/>
        <v/>
      </c>
      <c r="E5627" s="148" t="str">
        <f t="shared" ca="1" si="181"/>
        <v/>
      </c>
    </row>
    <row r="5628" spans="2:5" x14ac:dyDescent="0.25">
      <c r="B5628">
        <v>43222</v>
      </c>
      <c r="C5628" s="6" t="str">
        <f ca="1">IF(OR($C$7="",$B5628&gt;NOW()),"",IF(INDEX(Data!$A:$G,MATCH($B5628,Data!$A:$A,0),MATCH($C$7,Data!$4:$4,0))="","",INDEX(Data!$A:$G,MATCH($B5628,Data!$A:$A,0),MATCH($C$7,Data!$4:$4,0))))</f>
        <v/>
      </c>
      <c r="D5628" s="148" t="str">
        <f t="shared" ca="1" si="180"/>
        <v/>
      </c>
      <c r="E5628" s="148" t="str">
        <f t="shared" ca="1" si="181"/>
        <v/>
      </c>
    </row>
    <row r="5629" spans="2:5" x14ac:dyDescent="0.25">
      <c r="B5629">
        <v>43223</v>
      </c>
      <c r="C5629" s="6" t="str">
        <f ca="1">IF(OR($C$7="",$B5629&gt;NOW()),"",IF(INDEX(Data!$A:$G,MATCH($B5629,Data!$A:$A,0),MATCH($C$7,Data!$4:$4,0))="","",INDEX(Data!$A:$G,MATCH($B5629,Data!$A:$A,0),MATCH($C$7,Data!$4:$4,0))))</f>
        <v/>
      </c>
      <c r="D5629" s="148" t="str">
        <f t="shared" ca="1" si="180"/>
        <v/>
      </c>
      <c r="E5629" s="148" t="str">
        <f t="shared" ca="1" si="181"/>
        <v/>
      </c>
    </row>
    <row r="5630" spans="2:5" x14ac:dyDescent="0.25">
      <c r="B5630">
        <v>43224</v>
      </c>
      <c r="C5630" s="6" t="str">
        <f ca="1">IF(OR($C$7="",$B5630&gt;NOW()),"",IF(INDEX(Data!$A:$G,MATCH($B5630,Data!$A:$A,0),MATCH($C$7,Data!$4:$4,0))="","",INDEX(Data!$A:$G,MATCH($B5630,Data!$A:$A,0),MATCH($C$7,Data!$4:$4,0))))</f>
        <v/>
      </c>
      <c r="D5630" s="148" t="str">
        <f t="shared" ca="1" si="180"/>
        <v/>
      </c>
      <c r="E5630" s="148" t="str">
        <f t="shared" ca="1" si="181"/>
        <v/>
      </c>
    </row>
    <row r="5631" spans="2:5" x14ac:dyDescent="0.25">
      <c r="B5631">
        <v>43225</v>
      </c>
      <c r="C5631" s="6" t="str">
        <f ca="1">IF(OR($C$7="",$B5631&gt;NOW()),"",IF(INDEX(Data!$A:$G,MATCH($B5631,Data!$A:$A,0),MATCH($C$7,Data!$4:$4,0))="","",INDEX(Data!$A:$G,MATCH($B5631,Data!$A:$A,0),MATCH($C$7,Data!$4:$4,0))))</f>
        <v/>
      </c>
      <c r="D5631" s="148" t="str">
        <f t="shared" ca="1" si="180"/>
        <v/>
      </c>
      <c r="E5631" s="148" t="str">
        <f t="shared" ca="1" si="181"/>
        <v/>
      </c>
    </row>
    <row r="5632" spans="2:5" x14ac:dyDescent="0.25">
      <c r="B5632">
        <v>43226</v>
      </c>
      <c r="C5632" s="6" t="str">
        <f ca="1">IF(OR($C$7="",$B5632&gt;NOW()),"",IF(INDEX(Data!$A:$G,MATCH($B5632,Data!$A:$A,0),MATCH($C$7,Data!$4:$4,0))="","",INDEX(Data!$A:$G,MATCH($B5632,Data!$A:$A,0),MATCH($C$7,Data!$4:$4,0))))</f>
        <v/>
      </c>
      <c r="D5632" s="148" t="str">
        <f t="shared" ca="1" si="180"/>
        <v/>
      </c>
      <c r="E5632" s="148" t="str">
        <f t="shared" ca="1" si="181"/>
        <v/>
      </c>
    </row>
    <row r="5633" spans="2:5" x14ac:dyDescent="0.25">
      <c r="B5633">
        <v>43227</v>
      </c>
      <c r="C5633" s="6" t="str">
        <f ca="1">IF(OR($C$7="",$B5633&gt;NOW()),"",IF(INDEX(Data!$A:$G,MATCH($B5633,Data!$A:$A,0),MATCH($C$7,Data!$4:$4,0))="","",INDEX(Data!$A:$G,MATCH($B5633,Data!$A:$A,0),MATCH($C$7,Data!$4:$4,0))))</f>
        <v/>
      </c>
      <c r="D5633" s="148" t="str">
        <f t="shared" ca="1" si="180"/>
        <v/>
      </c>
      <c r="E5633" s="148" t="str">
        <f t="shared" ca="1" si="181"/>
        <v/>
      </c>
    </row>
    <row r="5634" spans="2:5" x14ac:dyDescent="0.25">
      <c r="B5634">
        <v>43228</v>
      </c>
      <c r="C5634" s="6" t="str">
        <f ca="1">IF(OR($C$7="",$B5634&gt;NOW()),"",IF(INDEX(Data!$A:$G,MATCH($B5634,Data!$A:$A,0),MATCH($C$7,Data!$4:$4,0))="","",INDEX(Data!$A:$G,MATCH($B5634,Data!$A:$A,0),MATCH($C$7,Data!$4:$4,0))))</f>
        <v/>
      </c>
      <c r="D5634" s="148" t="str">
        <f t="shared" ca="1" si="180"/>
        <v/>
      </c>
      <c r="E5634" s="148" t="str">
        <f t="shared" ca="1" si="181"/>
        <v/>
      </c>
    </row>
    <row r="5635" spans="2:5" x14ac:dyDescent="0.25">
      <c r="B5635">
        <v>43229</v>
      </c>
      <c r="C5635" s="6" t="str">
        <f ca="1">IF(OR($C$7="",$B5635&gt;NOW()),"",IF(INDEX(Data!$A:$G,MATCH($B5635,Data!$A:$A,0),MATCH($C$7,Data!$4:$4,0))="","",INDEX(Data!$A:$G,MATCH($B5635,Data!$A:$A,0),MATCH($C$7,Data!$4:$4,0))))</f>
        <v/>
      </c>
      <c r="D5635" s="148" t="str">
        <f t="shared" ca="1" si="180"/>
        <v/>
      </c>
      <c r="E5635" s="148" t="str">
        <f t="shared" ca="1" si="181"/>
        <v/>
      </c>
    </row>
    <row r="5636" spans="2:5" x14ac:dyDescent="0.25">
      <c r="B5636">
        <v>43230</v>
      </c>
      <c r="C5636" s="6" t="str">
        <f ca="1">IF(OR($C$7="",$B5636&gt;NOW()),"",IF(INDEX(Data!$A:$G,MATCH($B5636,Data!$A:$A,0),MATCH($C$7,Data!$4:$4,0))="","",INDEX(Data!$A:$G,MATCH($B5636,Data!$A:$A,0),MATCH($C$7,Data!$4:$4,0))))</f>
        <v/>
      </c>
      <c r="D5636" s="148" t="str">
        <f t="shared" ca="1" si="180"/>
        <v/>
      </c>
      <c r="E5636" s="148" t="str">
        <f t="shared" ca="1" si="181"/>
        <v/>
      </c>
    </row>
    <row r="5637" spans="2:5" x14ac:dyDescent="0.25">
      <c r="B5637">
        <v>43231</v>
      </c>
      <c r="C5637" s="6" t="str">
        <f ca="1">IF(OR($C$7="",$B5637&gt;NOW()),"",IF(INDEX(Data!$A:$G,MATCH($B5637,Data!$A:$A,0),MATCH($C$7,Data!$4:$4,0))="","",INDEX(Data!$A:$G,MATCH($B5637,Data!$A:$A,0),MATCH($C$7,Data!$4:$4,0))))</f>
        <v/>
      </c>
      <c r="D5637" s="148" t="str">
        <f t="shared" ca="1" si="180"/>
        <v/>
      </c>
      <c r="E5637" s="148" t="str">
        <f t="shared" ca="1" si="181"/>
        <v/>
      </c>
    </row>
    <row r="5638" spans="2:5" x14ac:dyDescent="0.25">
      <c r="B5638">
        <v>43232</v>
      </c>
      <c r="C5638" s="6" t="str">
        <f ca="1">IF(OR($C$7="",$B5638&gt;NOW()),"",IF(INDEX(Data!$A:$G,MATCH($B5638,Data!$A:$A,0),MATCH($C$7,Data!$4:$4,0))="","",INDEX(Data!$A:$G,MATCH($B5638,Data!$A:$A,0),MATCH($C$7,Data!$4:$4,0))))</f>
        <v/>
      </c>
      <c r="D5638" s="148" t="str">
        <f t="shared" ca="1" si="180"/>
        <v/>
      </c>
      <c r="E5638" s="148" t="str">
        <f t="shared" ca="1" si="181"/>
        <v/>
      </c>
    </row>
    <row r="5639" spans="2:5" x14ac:dyDescent="0.25">
      <c r="B5639">
        <v>43233</v>
      </c>
      <c r="C5639" s="6" t="str">
        <f ca="1">IF(OR($C$7="",$B5639&gt;NOW()),"",IF(INDEX(Data!$A:$G,MATCH($B5639,Data!$A:$A,0),MATCH($C$7,Data!$4:$4,0))="","",INDEX(Data!$A:$G,MATCH($B5639,Data!$A:$A,0),MATCH($C$7,Data!$4:$4,0))))</f>
        <v/>
      </c>
      <c r="D5639" s="148" t="str">
        <f t="shared" ca="1" si="180"/>
        <v/>
      </c>
      <c r="E5639" s="148" t="str">
        <f t="shared" ca="1" si="181"/>
        <v/>
      </c>
    </row>
    <row r="5640" spans="2:5" x14ac:dyDescent="0.25">
      <c r="B5640">
        <v>43234</v>
      </c>
      <c r="C5640" s="6" t="str">
        <f ca="1">IF(OR($C$7="",$B5640&gt;NOW()),"",IF(INDEX(Data!$A:$G,MATCH($B5640,Data!$A:$A,0),MATCH($C$7,Data!$4:$4,0))="","",INDEX(Data!$A:$G,MATCH($B5640,Data!$A:$A,0),MATCH($C$7,Data!$4:$4,0))))</f>
        <v/>
      </c>
      <c r="D5640" s="148" t="str">
        <f t="shared" ca="1" si="180"/>
        <v/>
      </c>
      <c r="E5640" s="148" t="str">
        <f t="shared" ca="1" si="181"/>
        <v/>
      </c>
    </row>
    <row r="5641" spans="2:5" x14ac:dyDescent="0.25">
      <c r="B5641">
        <v>43235</v>
      </c>
      <c r="C5641" s="6" t="str">
        <f ca="1">IF(OR($C$7="",$B5641&gt;NOW()),"",IF(INDEX(Data!$A:$G,MATCH($B5641,Data!$A:$A,0),MATCH($C$7,Data!$4:$4,0))="","",INDEX(Data!$A:$G,MATCH($B5641,Data!$A:$A,0),MATCH($C$7,Data!$4:$4,0))))</f>
        <v/>
      </c>
      <c r="D5641" s="148" t="str">
        <f t="shared" ca="1" si="180"/>
        <v/>
      </c>
      <c r="E5641" s="148" t="str">
        <f t="shared" ca="1" si="181"/>
        <v/>
      </c>
    </row>
    <row r="5642" spans="2:5" x14ac:dyDescent="0.25">
      <c r="B5642">
        <v>43236</v>
      </c>
      <c r="C5642" s="6" t="str">
        <f ca="1">IF(OR($C$7="",$B5642&gt;NOW()),"",IF(INDEX(Data!$A:$G,MATCH($B5642,Data!$A:$A,0),MATCH($C$7,Data!$4:$4,0))="","",INDEX(Data!$A:$G,MATCH($B5642,Data!$A:$A,0),MATCH($C$7,Data!$4:$4,0))))</f>
        <v/>
      </c>
      <c r="D5642" s="148" t="str">
        <f t="shared" ca="1" si="180"/>
        <v/>
      </c>
      <c r="E5642" s="148" t="str">
        <f t="shared" ca="1" si="181"/>
        <v/>
      </c>
    </row>
    <row r="5643" spans="2:5" x14ac:dyDescent="0.25">
      <c r="B5643">
        <v>43237</v>
      </c>
      <c r="C5643" s="6" t="str">
        <f ca="1">IF(OR($C$7="",$B5643&gt;NOW()),"",IF(INDEX(Data!$A:$G,MATCH($B5643,Data!$A:$A,0),MATCH($C$7,Data!$4:$4,0))="","",INDEX(Data!$A:$G,MATCH($B5643,Data!$A:$A,0),MATCH($C$7,Data!$4:$4,0))))</f>
        <v/>
      </c>
      <c r="D5643" s="148" t="str">
        <f t="shared" ca="1" si="180"/>
        <v/>
      </c>
      <c r="E5643" s="148" t="str">
        <f t="shared" ca="1" si="181"/>
        <v/>
      </c>
    </row>
    <row r="5644" spans="2:5" x14ac:dyDescent="0.25">
      <c r="B5644">
        <v>43238</v>
      </c>
      <c r="C5644" s="6" t="str">
        <f ca="1">IF(OR($C$7="",$B5644&gt;NOW()),"",IF(INDEX(Data!$A:$G,MATCH($B5644,Data!$A:$A,0),MATCH($C$7,Data!$4:$4,0))="","",INDEX(Data!$A:$G,MATCH($B5644,Data!$A:$A,0),MATCH($C$7,Data!$4:$4,0))))</f>
        <v/>
      </c>
      <c r="D5644" s="148" t="str">
        <f t="shared" ca="1" si="180"/>
        <v/>
      </c>
      <c r="E5644" s="148" t="str">
        <f t="shared" ca="1" si="181"/>
        <v/>
      </c>
    </row>
    <row r="5645" spans="2:5" x14ac:dyDescent="0.25">
      <c r="B5645">
        <v>43239</v>
      </c>
      <c r="C5645" s="6" t="str">
        <f ca="1">IF(OR($C$7="",$B5645&gt;NOW()),"",IF(INDEX(Data!$A:$G,MATCH($B5645,Data!$A:$A,0),MATCH($C$7,Data!$4:$4,0))="","",INDEX(Data!$A:$G,MATCH($B5645,Data!$A:$A,0),MATCH($C$7,Data!$4:$4,0))))</f>
        <v/>
      </c>
      <c r="D5645" s="148" t="str">
        <f t="shared" ca="1" si="180"/>
        <v/>
      </c>
      <c r="E5645" s="148" t="str">
        <f t="shared" ca="1" si="181"/>
        <v/>
      </c>
    </row>
    <row r="5646" spans="2:5" x14ac:dyDescent="0.25">
      <c r="B5646">
        <v>43240</v>
      </c>
      <c r="C5646" s="6" t="str">
        <f ca="1">IF(OR($C$7="",$B5646&gt;NOW()),"",IF(INDEX(Data!$A:$G,MATCH($B5646,Data!$A:$A,0),MATCH($C$7,Data!$4:$4,0))="","",INDEX(Data!$A:$G,MATCH($B5646,Data!$A:$A,0),MATCH($C$7,Data!$4:$4,0))))</f>
        <v/>
      </c>
      <c r="D5646" s="148" t="str">
        <f t="shared" ca="1" si="180"/>
        <v/>
      </c>
      <c r="E5646" s="148" t="str">
        <f t="shared" ca="1" si="181"/>
        <v/>
      </c>
    </row>
    <row r="5647" spans="2:5" x14ac:dyDescent="0.25">
      <c r="B5647">
        <v>43241</v>
      </c>
      <c r="C5647" s="6" t="str">
        <f ca="1">IF(OR($C$7="",$B5647&gt;NOW()),"",IF(INDEX(Data!$A:$G,MATCH($B5647,Data!$A:$A,0),MATCH($C$7,Data!$4:$4,0))="","",INDEX(Data!$A:$G,MATCH($B5647,Data!$A:$A,0),MATCH($C$7,Data!$4:$4,0))))</f>
        <v/>
      </c>
      <c r="D5647" s="148" t="str">
        <f t="shared" ca="1" si="180"/>
        <v/>
      </c>
      <c r="E5647" s="148" t="str">
        <f t="shared" ca="1" si="181"/>
        <v/>
      </c>
    </row>
    <row r="5648" spans="2:5" x14ac:dyDescent="0.25">
      <c r="B5648">
        <v>43242</v>
      </c>
      <c r="C5648" s="6" t="str">
        <f ca="1">IF(OR($C$7="",$B5648&gt;NOW()),"",IF(INDEX(Data!$A:$G,MATCH($B5648,Data!$A:$A,0),MATCH($C$7,Data!$4:$4,0))="","",INDEX(Data!$A:$G,MATCH($B5648,Data!$A:$A,0),MATCH($C$7,Data!$4:$4,0))))</f>
        <v/>
      </c>
      <c r="D5648" s="148" t="str">
        <f t="shared" ca="1" si="180"/>
        <v/>
      </c>
      <c r="E5648" s="148" t="str">
        <f t="shared" ca="1" si="181"/>
        <v/>
      </c>
    </row>
    <row r="5649" spans="2:5" x14ac:dyDescent="0.25">
      <c r="B5649">
        <v>43243</v>
      </c>
      <c r="C5649" s="6" t="str">
        <f ca="1">IF(OR($C$7="",$B5649&gt;NOW()),"",IF(INDEX(Data!$A:$G,MATCH($B5649,Data!$A:$A,0),MATCH($C$7,Data!$4:$4,0))="","",INDEX(Data!$A:$G,MATCH($B5649,Data!$A:$A,0),MATCH($C$7,Data!$4:$4,0))))</f>
        <v/>
      </c>
      <c r="D5649" s="148" t="str">
        <f t="shared" ca="1" si="180"/>
        <v/>
      </c>
      <c r="E5649" s="148" t="str">
        <f t="shared" ca="1" si="181"/>
        <v/>
      </c>
    </row>
    <row r="5650" spans="2:5" x14ac:dyDescent="0.25">
      <c r="B5650">
        <v>43244</v>
      </c>
      <c r="C5650" s="6" t="str">
        <f ca="1">IF(OR($C$7="",$B5650&gt;NOW()),"",IF(INDEX(Data!$A:$G,MATCH($B5650,Data!$A:$A,0),MATCH($C$7,Data!$4:$4,0))="","",INDEX(Data!$A:$G,MATCH($B5650,Data!$A:$A,0),MATCH($C$7,Data!$4:$4,0))))</f>
        <v/>
      </c>
      <c r="D5650" s="148" t="str">
        <f t="shared" ca="1" si="180"/>
        <v/>
      </c>
      <c r="E5650" s="148" t="str">
        <f t="shared" ca="1" si="181"/>
        <v/>
      </c>
    </row>
    <row r="5651" spans="2:5" x14ac:dyDescent="0.25">
      <c r="B5651">
        <v>43245</v>
      </c>
      <c r="C5651" s="6" t="str">
        <f ca="1">IF(OR($C$7="",$B5651&gt;NOW()),"",IF(INDEX(Data!$A:$G,MATCH($B5651,Data!$A:$A,0),MATCH($C$7,Data!$4:$4,0))="","",INDEX(Data!$A:$G,MATCH($B5651,Data!$A:$A,0),MATCH($C$7,Data!$4:$4,0))))</f>
        <v/>
      </c>
      <c r="D5651" s="148" t="str">
        <f t="shared" ca="1" si="180"/>
        <v/>
      </c>
      <c r="E5651" s="148" t="str">
        <f t="shared" ca="1" si="181"/>
        <v/>
      </c>
    </row>
    <row r="5652" spans="2:5" x14ac:dyDescent="0.25">
      <c r="B5652">
        <v>43246</v>
      </c>
      <c r="C5652" s="6" t="str">
        <f ca="1">IF(OR($C$7="",$B5652&gt;NOW()),"",IF(INDEX(Data!$A:$G,MATCH($B5652,Data!$A:$A,0),MATCH($C$7,Data!$4:$4,0))="","",INDEX(Data!$A:$G,MATCH($B5652,Data!$A:$A,0),MATCH($C$7,Data!$4:$4,0))))</f>
        <v/>
      </c>
      <c r="D5652" s="148" t="str">
        <f t="shared" ca="1" si="180"/>
        <v/>
      </c>
      <c r="E5652" s="148" t="str">
        <f t="shared" ca="1" si="181"/>
        <v/>
      </c>
    </row>
    <row r="5653" spans="2:5" x14ac:dyDescent="0.25">
      <c r="B5653">
        <v>43247</v>
      </c>
      <c r="C5653" s="6" t="str">
        <f ca="1">IF(OR($C$7="",$B5653&gt;NOW()),"",IF(INDEX(Data!$A:$G,MATCH($B5653,Data!$A:$A,0),MATCH($C$7,Data!$4:$4,0))="","",INDEX(Data!$A:$G,MATCH($B5653,Data!$A:$A,0),MATCH($C$7,Data!$4:$4,0))))</f>
        <v/>
      </c>
      <c r="D5653" s="148" t="str">
        <f t="shared" ca="1" si="180"/>
        <v/>
      </c>
      <c r="E5653" s="148" t="str">
        <f t="shared" ca="1" si="181"/>
        <v/>
      </c>
    </row>
    <row r="5654" spans="2:5" x14ac:dyDescent="0.25">
      <c r="B5654">
        <v>43248</v>
      </c>
      <c r="C5654" s="6" t="str">
        <f ca="1">IF(OR($C$7="",$B5654&gt;NOW()),"",IF(INDEX(Data!$A:$G,MATCH($B5654,Data!$A:$A,0),MATCH($C$7,Data!$4:$4,0))="","",INDEX(Data!$A:$G,MATCH($B5654,Data!$A:$A,0),MATCH($C$7,Data!$4:$4,0))))</f>
        <v/>
      </c>
      <c r="D5654" s="148" t="str">
        <f t="shared" ca="1" si="180"/>
        <v/>
      </c>
      <c r="E5654" s="148" t="str">
        <f t="shared" ca="1" si="181"/>
        <v/>
      </c>
    </row>
    <row r="5655" spans="2:5" x14ac:dyDescent="0.25">
      <c r="B5655">
        <v>43249</v>
      </c>
      <c r="C5655" s="6" t="str">
        <f ca="1">IF(OR($C$7="",$B5655&gt;NOW()),"",IF(INDEX(Data!$A:$G,MATCH($B5655,Data!$A:$A,0),MATCH($C$7,Data!$4:$4,0))="","",INDEX(Data!$A:$G,MATCH($B5655,Data!$A:$A,0),MATCH($C$7,Data!$4:$4,0))))</f>
        <v/>
      </c>
      <c r="D5655" s="148" t="str">
        <f t="shared" ca="1" si="180"/>
        <v/>
      </c>
      <c r="E5655" s="148" t="str">
        <f t="shared" ca="1" si="181"/>
        <v/>
      </c>
    </row>
    <row r="5656" spans="2:5" x14ac:dyDescent="0.25">
      <c r="B5656">
        <v>43250</v>
      </c>
      <c r="C5656" s="6" t="str">
        <f ca="1">IF(OR($C$7="",$B5656&gt;NOW()),"",IF(INDEX(Data!$A:$G,MATCH($B5656,Data!$A:$A,0),MATCH($C$7,Data!$4:$4,0))="","",INDEX(Data!$A:$G,MATCH($B5656,Data!$A:$A,0),MATCH($C$7,Data!$4:$4,0))))</f>
        <v/>
      </c>
      <c r="D5656" s="148" t="str">
        <f t="shared" ca="1" si="180"/>
        <v/>
      </c>
      <c r="E5656" s="148" t="str">
        <f t="shared" ca="1" si="181"/>
        <v/>
      </c>
    </row>
    <row r="5657" spans="2:5" x14ac:dyDescent="0.25">
      <c r="B5657">
        <v>43251</v>
      </c>
      <c r="C5657" s="6" t="str">
        <f ca="1">IF(OR($C$7="",$B5657&gt;NOW()),"",IF(INDEX(Data!$A:$G,MATCH($B5657,Data!$A:$A,0),MATCH($C$7,Data!$4:$4,0))="","",INDEX(Data!$A:$G,MATCH($B5657,Data!$A:$A,0),MATCH($C$7,Data!$4:$4,0))))</f>
        <v/>
      </c>
      <c r="D5657" s="148" t="str">
        <f t="shared" ca="1" si="180"/>
        <v/>
      </c>
      <c r="E5657" s="148" t="str">
        <f t="shared" ca="1" si="181"/>
        <v/>
      </c>
    </row>
    <row r="5658" spans="2:5" x14ac:dyDescent="0.25">
      <c r="B5658">
        <v>43252</v>
      </c>
      <c r="C5658" s="6" t="str">
        <f ca="1">IF(OR($C$7="",$B5658&gt;NOW()),"",IF(INDEX(Data!$A:$G,MATCH($B5658,Data!$A:$A,0),MATCH($C$7,Data!$4:$4,0))="","",INDEX(Data!$A:$G,MATCH($B5658,Data!$A:$A,0),MATCH($C$7,Data!$4:$4,0))))</f>
        <v/>
      </c>
      <c r="D5658" s="148" t="str">
        <f t="shared" ca="1" si="180"/>
        <v/>
      </c>
      <c r="E5658" s="148" t="str">
        <f t="shared" ca="1" si="181"/>
        <v/>
      </c>
    </row>
    <row r="5659" spans="2:5" x14ac:dyDescent="0.25">
      <c r="B5659">
        <v>43253</v>
      </c>
      <c r="C5659" s="6" t="str">
        <f ca="1">IF(OR($C$7="",$B5659&gt;NOW()),"",IF(INDEX(Data!$A:$G,MATCH($B5659,Data!$A:$A,0),MATCH($C$7,Data!$4:$4,0))="","",INDEX(Data!$A:$G,MATCH($B5659,Data!$A:$A,0),MATCH($C$7,Data!$4:$4,0))))</f>
        <v/>
      </c>
      <c r="D5659" s="148" t="str">
        <f t="shared" ca="1" si="180"/>
        <v/>
      </c>
      <c r="E5659" s="148" t="str">
        <f t="shared" ca="1" si="181"/>
        <v/>
      </c>
    </row>
    <row r="5660" spans="2:5" x14ac:dyDescent="0.25">
      <c r="B5660">
        <v>43254</v>
      </c>
      <c r="C5660" s="6" t="str">
        <f ca="1">IF(OR($C$7="",$B5660&gt;NOW()),"",IF(INDEX(Data!$A:$G,MATCH($B5660,Data!$A:$A,0),MATCH($C$7,Data!$4:$4,0))="","",INDEX(Data!$A:$G,MATCH($B5660,Data!$A:$A,0),MATCH($C$7,Data!$4:$4,0))))</f>
        <v/>
      </c>
      <c r="D5660" s="148" t="str">
        <f t="shared" ca="1" si="180"/>
        <v/>
      </c>
      <c r="E5660" s="148" t="str">
        <f t="shared" ca="1" si="181"/>
        <v/>
      </c>
    </row>
    <row r="5661" spans="2:5" x14ac:dyDescent="0.25">
      <c r="B5661">
        <v>43255</v>
      </c>
      <c r="C5661" s="6" t="str">
        <f ca="1">IF(OR($C$7="",$B5661&gt;NOW()),"",IF(INDEX(Data!$A:$G,MATCH($B5661,Data!$A:$A,0),MATCH($C$7,Data!$4:$4,0))="","",INDEX(Data!$A:$G,MATCH($B5661,Data!$A:$A,0),MATCH($C$7,Data!$4:$4,0))))</f>
        <v/>
      </c>
      <c r="D5661" s="148" t="str">
        <f t="shared" ref="D5661:D5724" ca="1" si="182">IF($C5661="","",IF($C5661&gt;$D$26,0,$D$26-$C5661))</f>
        <v/>
      </c>
      <c r="E5661" s="148" t="str">
        <f t="shared" ref="E5661:E5724" ca="1" si="183">IF($C5661="","",IF($C5661&lt;$E$26,0,$C5661-$E$26))</f>
        <v/>
      </c>
    </row>
    <row r="5662" spans="2:5" x14ac:dyDescent="0.25">
      <c r="B5662">
        <v>43256</v>
      </c>
      <c r="C5662" s="6" t="str">
        <f ca="1">IF(OR($C$7="",$B5662&gt;NOW()),"",IF(INDEX(Data!$A:$G,MATCH($B5662,Data!$A:$A,0),MATCH($C$7,Data!$4:$4,0))="","",INDEX(Data!$A:$G,MATCH($B5662,Data!$A:$A,0),MATCH($C$7,Data!$4:$4,0))))</f>
        <v/>
      </c>
      <c r="D5662" s="148" t="str">
        <f t="shared" ca="1" si="182"/>
        <v/>
      </c>
      <c r="E5662" s="148" t="str">
        <f t="shared" ca="1" si="183"/>
        <v/>
      </c>
    </row>
    <row r="5663" spans="2:5" x14ac:dyDescent="0.25">
      <c r="B5663">
        <v>43257</v>
      </c>
      <c r="C5663" s="6" t="str">
        <f ca="1">IF(OR($C$7="",$B5663&gt;NOW()),"",IF(INDEX(Data!$A:$G,MATCH($B5663,Data!$A:$A,0),MATCH($C$7,Data!$4:$4,0))="","",INDEX(Data!$A:$G,MATCH($B5663,Data!$A:$A,0),MATCH($C$7,Data!$4:$4,0))))</f>
        <v/>
      </c>
      <c r="D5663" s="148" t="str">
        <f t="shared" ca="1" si="182"/>
        <v/>
      </c>
      <c r="E5663" s="148" t="str">
        <f t="shared" ca="1" si="183"/>
        <v/>
      </c>
    </row>
    <row r="5664" spans="2:5" x14ac:dyDescent="0.25">
      <c r="B5664">
        <v>43258</v>
      </c>
      <c r="C5664" s="6" t="str">
        <f ca="1">IF(OR($C$7="",$B5664&gt;NOW()),"",IF(INDEX(Data!$A:$G,MATCH($B5664,Data!$A:$A,0),MATCH($C$7,Data!$4:$4,0))="","",INDEX(Data!$A:$G,MATCH($B5664,Data!$A:$A,0),MATCH($C$7,Data!$4:$4,0))))</f>
        <v/>
      </c>
      <c r="D5664" s="148" t="str">
        <f t="shared" ca="1" si="182"/>
        <v/>
      </c>
      <c r="E5664" s="148" t="str">
        <f t="shared" ca="1" si="183"/>
        <v/>
      </c>
    </row>
    <row r="5665" spans="2:5" x14ac:dyDescent="0.25">
      <c r="B5665">
        <v>43259</v>
      </c>
      <c r="C5665" s="6" t="str">
        <f ca="1">IF(OR($C$7="",$B5665&gt;NOW()),"",IF(INDEX(Data!$A:$G,MATCH($B5665,Data!$A:$A,0),MATCH($C$7,Data!$4:$4,0))="","",INDEX(Data!$A:$G,MATCH($B5665,Data!$A:$A,0),MATCH($C$7,Data!$4:$4,0))))</f>
        <v/>
      </c>
      <c r="D5665" s="148" t="str">
        <f t="shared" ca="1" si="182"/>
        <v/>
      </c>
      <c r="E5665" s="148" t="str">
        <f t="shared" ca="1" si="183"/>
        <v/>
      </c>
    </row>
    <row r="5666" spans="2:5" x14ac:dyDescent="0.25">
      <c r="B5666">
        <v>43260</v>
      </c>
      <c r="C5666" s="6" t="str">
        <f ca="1">IF(OR($C$7="",$B5666&gt;NOW()),"",IF(INDEX(Data!$A:$G,MATCH($B5666,Data!$A:$A,0),MATCH($C$7,Data!$4:$4,0))="","",INDEX(Data!$A:$G,MATCH($B5666,Data!$A:$A,0),MATCH($C$7,Data!$4:$4,0))))</f>
        <v/>
      </c>
      <c r="D5666" s="148" t="str">
        <f t="shared" ca="1" si="182"/>
        <v/>
      </c>
      <c r="E5666" s="148" t="str">
        <f t="shared" ca="1" si="183"/>
        <v/>
      </c>
    </row>
    <row r="5667" spans="2:5" x14ac:dyDescent="0.25">
      <c r="B5667">
        <v>43261</v>
      </c>
      <c r="C5667" s="6" t="str">
        <f ca="1">IF(OR($C$7="",$B5667&gt;NOW()),"",IF(INDEX(Data!$A:$G,MATCH($B5667,Data!$A:$A,0),MATCH($C$7,Data!$4:$4,0))="","",INDEX(Data!$A:$G,MATCH($B5667,Data!$A:$A,0),MATCH($C$7,Data!$4:$4,0))))</f>
        <v/>
      </c>
      <c r="D5667" s="148" t="str">
        <f t="shared" ca="1" si="182"/>
        <v/>
      </c>
      <c r="E5667" s="148" t="str">
        <f t="shared" ca="1" si="183"/>
        <v/>
      </c>
    </row>
    <row r="5668" spans="2:5" x14ac:dyDescent="0.25">
      <c r="B5668">
        <v>43262</v>
      </c>
      <c r="C5668" s="6" t="str">
        <f ca="1">IF(OR($C$7="",$B5668&gt;NOW()),"",IF(INDEX(Data!$A:$G,MATCH($B5668,Data!$A:$A,0),MATCH($C$7,Data!$4:$4,0))="","",INDEX(Data!$A:$G,MATCH($B5668,Data!$A:$A,0),MATCH($C$7,Data!$4:$4,0))))</f>
        <v/>
      </c>
      <c r="D5668" s="148" t="str">
        <f t="shared" ca="1" si="182"/>
        <v/>
      </c>
      <c r="E5668" s="148" t="str">
        <f t="shared" ca="1" si="183"/>
        <v/>
      </c>
    </row>
    <row r="5669" spans="2:5" x14ac:dyDescent="0.25">
      <c r="B5669">
        <v>43263</v>
      </c>
      <c r="C5669" s="6" t="str">
        <f ca="1">IF(OR($C$7="",$B5669&gt;NOW()),"",IF(INDEX(Data!$A:$G,MATCH($B5669,Data!$A:$A,0),MATCH($C$7,Data!$4:$4,0))="","",INDEX(Data!$A:$G,MATCH($B5669,Data!$A:$A,0),MATCH($C$7,Data!$4:$4,0))))</f>
        <v/>
      </c>
      <c r="D5669" s="148" t="str">
        <f t="shared" ca="1" si="182"/>
        <v/>
      </c>
      <c r="E5669" s="148" t="str">
        <f t="shared" ca="1" si="183"/>
        <v/>
      </c>
    </row>
    <row r="5670" spans="2:5" x14ac:dyDescent="0.25">
      <c r="B5670">
        <v>43264</v>
      </c>
      <c r="C5670" s="6" t="str">
        <f ca="1">IF(OR($C$7="",$B5670&gt;NOW()),"",IF(INDEX(Data!$A:$G,MATCH($B5670,Data!$A:$A,0),MATCH($C$7,Data!$4:$4,0))="","",INDEX(Data!$A:$G,MATCH($B5670,Data!$A:$A,0),MATCH($C$7,Data!$4:$4,0))))</f>
        <v/>
      </c>
      <c r="D5670" s="148" t="str">
        <f t="shared" ca="1" si="182"/>
        <v/>
      </c>
      <c r="E5670" s="148" t="str">
        <f t="shared" ca="1" si="183"/>
        <v/>
      </c>
    </row>
    <row r="5671" spans="2:5" x14ac:dyDescent="0.25">
      <c r="B5671">
        <v>43265</v>
      </c>
      <c r="C5671" s="6" t="str">
        <f ca="1">IF(OR($C$7="",$B5671&gt;NOW()),"",IF(INDEX(Data!$A:$G,MATCH($B5671,Data!$A:$A,0),MATCH($C$7,Data!$4:$4,0))="","",INDEX(Data!$A:$G,MATCH($B5671,Data!$A:$A,0),MATCH($C$7,Data!$4:$4,0))))</f>
        <v/>
      </c>
      <c r="D5671" s="148" t="str">
        <f t="shared" ca="1" si="182"/>
        <v/>
      </c>
      <c r="E5671" s="148" t="str">
        <f t="shared" ca="1" si="183"/>
        <v/>
      </c>
    </row>
    <row r="5672" spans="2:5" x14ac:dyDescent="0.25">
      <c r="B5672">
        <v>43266</v>
      </c>
      <c r="C5672" s="6" t="str">
        <f ca="1">IF(OR($C$7="",$B5672&gt;NOW()),"",IF(INDEX(Data!$A:$G,MATCH($B5672,Data!$A:$A,0),MATCH($C$7,Data!$4:$4,0))="","",INDEX(Data!$A:$G,MATCH($B5672,Data!$A:$A,0),MATCH($C$7,Data!$4:$4,0))))</f>
        <v/>
      </c>
      <c r="D5672" s="148" t="str">
        <f t="shared" ca="1" si="182"/>
        <v/>
      </c>
      <c r="E5672" s="148" t="str">
        <f t="shared" ca="1" si="183"/>
        <v/>
      </c>
    </row>
    <row r="5673" spans="2:5" x14ac:dyDescent="0.25">
      <c r="B5673">
        <v>43267</v>
      </c>
      <c r="C5673" s="6" t="str">
        <f ca="1">IF(OR($C$7="",$B5673&gt;NOW()),"",IF(INDEX(Data!$A:$G,MATCH($B5673,Data!$A:$A,0),MATCH($C$7,Data!$4:$4,0))="","",INDEX(Data!$A:$G,MATCH($B5673,Data!$A:$A,0),MATCH($C$7,Data!$4:$4,0))))</f>
        <v/>
      </c>
      <c r="D5673" s="148" t="str">
        <f t="shared" ca="1" si="182"/>
        <v/>
      </c>
      <c r="E5673" s="148" t="str">
        <f t="shared" ca="1" si="183"/>
        <v/>
      </c>
    </row>
    <row r="5674" spans="2:5" x14ac:dyDescent="0.25">
      <c r="B5674">
        <v>43268</v>
      </c>
      <c r="C5674" s="6" t="str">
        <f ca="1">IF(OR($C$7="",$B5674&gt;NOW()),"",IF(INDEX(Data!$A:$G,MATCH($B5674,Data!$A:$A,0),MATCH($C$7,Data!$4:$4,0))="","",INDEX(Data!$A:$G,MATCH($B5674,Data!$A:$A,0),MATCH($C$7,Data!$4:$4,0))))</f>
        <v/>
      </c>
      <c r="D5674" s="148" t="str">
        <f t="shared" ca="1" si="182"/>
        <v/>
      </c>
      <c r="E5674" s="148" t="str">
        <f t="shared" ca="1" si="183"/>
        <v/>
      </c>
    </row>
    <row r="5675" spans="2:5" x14ac:dyDescent="0.25">
      <c r="B5675">
        <v>43269</v>
      </c>
      <c r="C5675" s="6" t="str">
        <f ca="1">IF(OR($C$7="",$B5675&gt;NOW()),"",IF(INDEX(Data!$A:$G,MATCH($B5675,Data!$A:$A,0),MATCH($C$7,Data!$4:$4,0))="","",INDEX(Data!$A:$G,MATCH($B5675,Data!$A:$A,0),MATCH($C$7,Data!$4:$4,0))))</f>
        <v/>
      </c>
      <c r="D5675" s="148" t="str">
        <f t="shared" ca="1" si="182"/>
        <v/>
      </c>
      <c r="E5675" s="148" t="str">
        <f t="shared" ca="1" si="183"/>
        <v/>
      </c>
    </row>
    <row r="5676" spans="2:5" x14ac:dyDescent="0.25">
      <c r="B5676">
        <v>43270</v>
      </c>
      <c r="C5676" s="6" t="str">
        <f ca="1">IF(OR($C$7="",$B5676&gt;NOW()),"",IF(INDEX(Data!$A:$G,MATCH($B5676,Data!$A:$A,0),MATCH($C$7,Data!$4:$4,0))="","",INDEX(Data!$A:$G,MATCH($B5676,Data!$A:$A,0),MATCH($C$7,Data!$4:$4,0))))</f>
        <v/>
      </c>
      <c r="D5676" s="148" t="str">
        <f t="shared" ca="1" si="182"/>
        <v/>
      </c>
      <c r="E5676" s="148" t="str">
        <f t="shared" ca="1" si="183"/>
        <v/>
      </c>
    </row>
    <row r="5677" spans="2:5" x14ac:dyDescent="0.25">
      <c r="B5677">
        <v>43271</v>
      </c>
      <c r="C5677" s="6" t="str">
        <f ca="1">IF(OR($C$7="",$B5677&gt;NOW()),"",IF(INDEX(Data!$A:$G,MATCH($B5677,Data!$A:$A,0),MATCH($C$7,Data!$4:$4,0))="","",INDEX(Data!$A:$G,MATCH($B5677,Data!$A:$A,0),MATCH($C$7,Data!$4:$4,0))))</f>
        <v/>
      </c>
      <c r="D5677" s="148" t="str">
        <f t="shared" ca="1" si="182"/>
        <v/>
      </c>
      <c r="E5677" s="148" t="str">
        <f t="shared" ca="1" si="183"/>
        <v/>
      </c>
    </row>
    <row r="5678" spans="2:5" x14ac:dyDescent="0.25">
      <c r="B5678">
        <v>43272</v>
      </c>
      <c r="C5678" s="6" t="str">
        <f ca="1">IF(OR($C$7="",$B5678&gt;NOW()),"",IF(INDEX(Data!$A:$G,MATCH($B5678,Data!$A:$A,0),MATCH($C$7,Data!$4:$4,0))="","",INDEX(Data!$A:$G,MATCH($B5678,Data!$A:$A,0),MATCH($C$7,Data!$4:$4,0))))</f>
        <v/>
      </c>
      <c r="D5678" s="148" t="str">
        <f t="shared" ca="1" si="182"/>
        <v/>
      </c>
      <c r="E5678" s="148" t="str">
        <f t="shared" ca="1" si="183"/>
        <v/>
      </c>
    </row>
    <row r="5679" spans="2:5" x14ac:dyDescent="0.25">
      <c r="B5679">
        <v>43273</v>
      </c>
      <c r="C5679" s="6" t="str">
        <f ca="1">IF(OR($C$7="",$B5679&gt;NOW()),"",IF(INDEX(Data!$A:$G,MATCH($B5679,Data!$A:$A,0),MATCH($C$7,Data!$4:$4,0))="","",INDEX(Data!$A:$G,MATCH($B5679,Data!$A:$A,0),MATCH($C$7,Data!$4:$4,0))))</f>
        <v/>
      </c>
      <c r="D5679" s="148" t="str">
        <f t="shared" ca="1" si="182"/>
        <v/>
      </c>
      <c r="E5679" s="148" t="str">
        <f t="shared" ca="1" si="183"/>
        <v/>
      </c>
    </row>
    <row r="5680" spans="2:5" x14ac:dyDescent="0.25">
      <c r="B5680">
        <v>43274</v>
      </c>
      <c r="C5680" s="6" t="str">
        <f ca="1">IF(OR($C$7="",$B5680&gt;NOW()),"",IF(INDEX(Data!$A:$G,MATCH($B5680,Data!$A:$A,0),MATCH($C$7,Data!$4:$4,0))="","",INDEX(Data!$A:$G,MATCH($B5680,Data!$A:$A,0),MATCH($C$7,Data!$4:$4,0))))</f>
        <v/>
      </c>
      <c r="D5680" s="148" t="str">
        <f t="shared" ca="1" si="182"/>
        <v/>
      </c>
      <c r="E5680" s="148" t="str">
        <f t="shared" ca="1" si="183"/>
        <v/>
      </c>
    </row>
    <row r="5681" spans="2:5" x14ac:dyDescent="0.25">
      <c r="B5681">
        <v>43275</v>
      </c>
      <c r="C5681" s="6" t="str">
        <f ca="1">IF(OR($C$7="",$B5681&gt;NOW()),"",IF(INDEX(Data!$A:$G,MATCH($B5681,Data!$A:$A,0),MATCH($C$7,Data!$4:$4,0))="","",INDEX(Data!$A:$G,MATCH($B5681,Data!$A:$A,0),MATCH($C$7,Data!$4:$4,0))))</f>
        <v/>
      </c>
      <c r="D5681" s="148" t="str">
        <f t="shared" ca="1" si="182"/>
        <v/>
      </c>
      <c r="E5681" s="148" t="str">
        <f t="shared" ca="1" si="183"/>
        <v/>
      </c>
    </row>
    <row r="5682" spans="2:5" x14ac:dyDescent="0.25">
      <c r="B5682">
        <v>43276</v>
      </c>
      <c r="C5682" s="6" t="str">
        <f ca="1">IF(OR($C$7="",$B5682&gt;NOW()),"",IF(INDEX(Data!$A:$G,MATCH($B5682,Data!$A:$A,0),MATCH($C$7,Data!$4:$4,0))="","",INDEX(Data!$A:$G,MATCH($B5682,Data!$A:$A,0),MATCH($C$7,Data!$4:$4,0))))</f>
        <v/>
      </c>
      <c r="D5682" s="148" t="str">
        <f t="shared" ca="1" si="182"/>
        <v/>
      </c>
      <c r="E5682" s="148" t="str">
        <f t="shared" ca="1" si="183"/>
        <v/>
      </c>
    </row>
    <row r="5683" spans="2:5" x14ac:dyDescent="0.25">
      <c r="B5683">
        <v>43277</v>
      </c>
      <c r="C5683" s="6" t="str">
        <f ca="1">IF(OR($C$7="",$B5683&gt;NOW()),"",IF(INDEX(Data!$A:$G,MATCH($B5683,Data!$A:$A,0),MATCH($C$7,Data!$4:$4,0))="","",INDEX(Data!$A:$G,MATCH($B5683,Data!$A:$A,0),MATCH($C$7,Data!$4:$4,0))))</f>
        <v/>
      </c>
      <c r="D5683" s="148" t="str">
        <f t="shared" ca="1" si="182"/>
        <v/>
      </c>
      <c r="E5683" s="148" t="str">
        <f t="shared" ca="1" si="183"/>
        <v/>
      </c>
    </row>
    <row r="5684" spans="2:5" x14ac:dyDescent="0.25">
      <c r="B5684">
        <v>43278</v>
      </c>
      <c r="C5684" s="6" t="str">
        <f ca="1">IF(OR($C$7="",$B5684&gt;NOW()),"",IF(INDEX(Data!$A:$G,MATCH($B5684,Data!$A:$A,0),MATCH($C$7,Data!$4:$4,0))="","",INDEX(Data!$A:$G,MATCH($B5684,Data!$A:$A,0),MATCH($C$7,Data!$4:$4,0))))</f>
        <v/>
      </c>
      <c r="D5684" s="148" t="str">
        <f t="shared" ca="1" si="182"/>
        <v/>
      </c>
      <c r="E5684" s="148" t="str">
        <f t="shared" ca="1" si="183"/>
        <v/>
      </c>
    </row>
    <row r="5685" spans="2:5" x14ac:dyDescent="0.25">
      <c r="B5685">
        <v>43279</v>
      </c>
      <c r="C5685" s="6" t="str">
        <f ca="1">IF(OR($C$7="",$B5685&gt;NOW()),"",IF(INDEX(Data!$A:$G,MATCH($B5685,Data!$A:$A,0),MATCH($C$7,Data!$4:$4,0))="","",INDEX(Data!$A:$G,MATCH($B5685,Data!$A:$A,0),MATCH($C$7,Data!$4:$4,0))))</f>
        <v/>
      </c>
      <c r="D5685" s="148" t="str">
        <f t="shared" ca="1" si="182"/>
        <v/>
      </c>
      <c r="E5685" s="148" t="str">
        <f t="shared" ca="1" si="183"/>
        <v/>
      </c>
    </row>
    <row r="5686" spans="2:5" x14ac:dyDescent="0.25">
      <c r="B5686">
        <v>43280</v>
      </c>
      <c r="C5686" s="6" t="str">
        <f ca="1">IF(OR($C$7="",$B5686&gt;NOW()),"",IF(INDEX(Data!$A:$G,MATCH($B5686,Data!$A:$A,0),MATCH($C$7,Data!$4:$4,0))="","",INDEX(Data!$A:$G,MATCH($B5686,Data!$A:$A,0),MATCH($C$7,Data!$4:$4,0))))</f>
        <v/>
      </c>
      <c r="D5686" s="148" t="str">
        <f t="shared" ca="1" si="182"/>
        <v/>
      </c>
      <c r="E5686" s="148" t="str">
        <f t="shared" ca="1" si="183"/>
        <v/>
      </c>
    </row>
    <row r="5687" spans="2:5" x14ac:dyDescent="0.25">
      <c r="B5687">
        <v>43281</v>
      </c>
      <c r="C5687" s="6" t="str">
        <f ca="1">IF(OR($C$7="",$B5687&gt;NOW()),"",IF(INDEX(Data!$A:$G,MATCH($B5687,Data!$A:$A,0),MATCH($C$7,Data!$4:$4,0))="","",INDEX(Data!$A:$G,MATCH($B5687,Data!$A:$A,0),MATCH($C$7,Data!$4:$4,0))))</f>
        <v/>
      </c>
      <c r="D5687" s="148" t="str">
        <f t="shared" ca="1" si="182"/>
        <v/>
      </c>
      <c r="E5687" s="148" t="str">
        <f t="shared" ca="1" si="183"/>
        <v/>
      </c>
    </row>
    <row r="5688" spans="2:5" x14ac:dyDescent="0.25">
      <c r="B5688">
        <v>43282</v>
      </c>
      <c r="C5688" s="6" t="str">
        <f ca="1">IF(OR($C$7="",$B5688&gt;NOW()),"",IF(INDEX(Data!$A:$G,MATCH($B5688,Data!$A:$A,0),MATCH($C$7,Data!$4:$4,0))="","",INDEX(Data!$A:$G,MATCH($B5688,Data!$A:$A,0),MATCH($C$7,Data!$4:$4,0))))</f>
        <v/>
      </c>
      <c r="D5688" s="148" t="str">
        <f t="shared" ca="1" si="182"/>
        <v/>
      </c>
      <c r="E5688" s="148" t="str">
        <f t="shared" ca="1" si="183"/>
        <v/>
      </c>
    </row>
    <row r="5689" spans="2:5" x14ac:dyDescent="0.25">
      <c r="B5689">
        <v>43283</v>
      </c>
      <c r="C5689" s="6" t="str">
        <f ca="1">IF(OR($C$7="",$B5689&gt;NOW()),"",IF(INDEX(Data!$A:$G,MATCH($B5689,Data!$A:$A,0),MATCH($C$7,Data!$4:$4,0))="","",INDEX(Data!$A:$G,MATCH($B5689,Data!$A:$A,0),MATCH($C$7,Data!$4:$4,0))))</f>
        <v/>
      </c>
      <c r="D5689" s="148" t="str">
        <f t="shared" ca="1" si="182"/>
        <v/>
      </c>
      <c r="E5689" s="148" t="str">
        <f t="shared" ca="1" si="183"/>
        <v/>
      </c>
    </row>
    <row r="5690" spans="2:5" x14ac:dyDescent="0.25">
      <c r="B5690">
        <v>43284</v>
      </c>
      <c r="C5690" s="6" t="str">
        <f ca="1">IF(OR($C$7="",$B5690&gt;NOW()),"",IF(INDEX(Data!$A:$G,MATCH($B5690,Data!$A:$A,0),MATCH($C$7,Data!$4:$4,0))="","",INDEX(Data!$A:$G,MATCH($B5690,Data!$A:$A,0),MATCH($C$7,Data!$4:$4,0))))</f>
        <v/>
      </c>
      <c r="D5690" s="148" t="str">
        <f t="shared" ca="1" si="182"/>
        <v/>
      </c>
      <c r="E5690" s="148" t="str">
        <f t="shared" ca="1" si="183"/>
        <v/>
      </c>
    </row>
    <row r="5691" spans="2:5" x14ac:dyDescent="0.25">
      <c r="B5691">
        <v>43285</v>
      </c>
      <c r="C5691" s="6" t="str">
        <f ca="1">IF(OR($C$7="",$B5691&gt;NOW()),"",IF(INDEX(Data!$A:$G,MATCH($B5691,Data!$A:$A,0),MATCH($C$7,Data!$4:$4,0))="","",INDEX(Data!$A:$G,MATCH($B5691,Data!$A:$A,0),MATCH($C$7,Data!$4:$4,0))))</f>
        <v/>
      </c>
      <c r="D5691" s="148" t="str">
        <f t="shared" ca="1" si="182"/>
        <v/>
      </c>
      <c r="E5691" s="148" t="str">
        <f t="shared" ca="1" si="183"/>
        <v/>
      </c>
    </row>
    <row r="5692" spans="2:5" x14ac:dyDescent="0.25">
      <c r="B5692">
        <v>43286</v>
      </c>
      <c r="C5692" s="6" t="str">
        <f ca="1">IF(OR($C$7="",$B5692&gt;NOW()),"",IF(INDEX(Data!$A:$G,MATCH($B5692,Data!$A:$A,0),MATCH($C$7,Data!$4:$4,0))="","",INDEX(Data!$A:$G,MATCH($B5692,Data!$A:$A,0),MATCH($C$7,Data!$4:$4,0))))</f>
        <v/>
      </c>
      <c r="D5692" s="148" t="str">
        <f t="shared" ca="1" si="182"/>
        <v/>
      </c>
      <c r="E5692" s="148" t="str">
        <f t="shared" ca="1" si="183"/>
        <v/>
      </c>
    </row>
    <row r="5693" spans="2:5" x14ac:dyDescent="0.25">
      <c r="B5693">
        <v>43287</v>
      </c>
      <c r="C5693" s="6" t="str">
        <f ca="1">IF(OR($C$7="",$B5693&gt;NOW()),"",IF(INDEX(Data!$A:$G,MATCH($B5693,Data!$A:$A,0),MATCH($C$7,Data!$4:$4,0))="","",INDEX(Data!$A:$G,MATCH($B5693,Data!$A:$A,0),MATCH($C$7,Data!$4:$4,0))))</f>
        <v/>
      </c>
      <c r="D5693" s="148" t="str">
        <f t="shared" ca="1" si="182"/>
        <v/>
      </c>
      <c r="E5693" s="148" t="str">
        <f t="shared" ca="1" si="183"/>
        <v/>
      </c>
    </row>
    <row r="5694" spans="2:5" x14ac:dyDescent="0.25">
      <c r="B5694">
        <v>43288</v>
      </c>
      <c r="C5694" s="6" t="str">
        <f ca="1">IF(OR($C$7="",$B5694&gt;NOW()),"",IF(INDEX(Data!$A:$G,MATCH($B5694,Data!$A:$A,0),MATCH($C$7,Data!$4:$4,0))="","",INDEX(Data!$A:$G,MATCH($B5694,Data!$A:$A,0),MATCH($C$7,Data!$4:$4,0))))</f>
        <v/>
      </c>
      <c r="D5694" s="148" t="str">
        <f t="shared" ca="1" si="182"/>
        <v/>
      </c>
      <c r="E5694" s="148" t="str">
        <f t="shared" ca="1" si="183"/>
        <v/>
      </c>
    </row>
    <row r="5695" spans="2:5" x14ac:dyDescent="0.25">
      <c r="B5695">
        <v>43289</v>
      </c>
      <c r="C5695" s="6" t="str">
        <f ca="1">IF(OR($C$7="",$B5695&gt;NOW()),"",IF(INDEX(Data!$A:$G,MATCH($B5695,Data!$A:$A,0),MATCH($C$7,Data!$4:$4,0))="","",INDEX(Data!$A:$G,MATCH($B5695,Data!$A:$A,0),MATCH($C$7,Data!$4:$4,0))))</f>
        <v/>
      </c>
      <c r="D5695" s="148" t="str">
        <f t="shared" ca="1" si="182"/>
        <v/>
      </c>
      <c r="E5695" s="148" t="str">
        <f t="shared" ca="1" si="183"/>
        <v/>
      </c>
    </row>
    <row r="5696" spans="2:5" x14ac:dyDescent="0.25">
      <c r="B5696">
        <v>43290</v>
      </c>
      <c r="C5696" s="6" t="str">
        <f ca="1">IF(OR($C$7="",$B5696&gt;NOW()),"",IF(INDEX(Data!$A:$G,MATCH($B5696,Data!$A:$A,0),MATCH($C$7,Data!$4:$4,0))="","",INDEX(Data!$A:$G,MATCH($B5696,Data!$A:$A,0),MATCH($C$7,Data!$4:$4,0))))</f>
        <v/>
      </c>
      <c r="D5696" s="148" t="str">
        <f t="shared" ca="1" si="182"/>
        <v/>
      </c>
      <c r="E5696" s="148" t="str">
        <f t="shared" ca="1" si="183"/>
        <v/>
      </c>
    </row>
    <row r="5697" spans="2:5" x14ac:dyDescent="0.25">
      <c r="B5697">
        <v>43291</v>
      </c>
      <c r="C5697" s="6" t="str">
        <f ca="1">IF(OR($C$7="",$B5697&gt;NOW()),"",IF(INDEX(Data!$A:$G,MATCH($B5697,Data!$A:$A,0),MATCH($C$7,Data!$4:$4,0))="","",INDEX(Data!$A:$G,MATCH($B5697,Data!$A:$A,0),MATCH($C$7,Data!$4:$4,0))))</f>
        <v/>
      </c>
      <c r="D5697" s="148" t="str">
        <f t="shared" ca="1" si="182"/>
        <v/>
      </c>
      <c r="E5697" s="148" t="str">
        <f t="shared" ca="1" si="183"/>
        <v/>
      </c>
    </row>
    <row r="5698" spans="2:5" x14ac:dyDescent="0.25">
      <c r="B5698">
        <v>43292</v>
      </c>
      <c r="C5698" s="6" t="str">
        <f ca="1">IF(OR($C$7="",$B5698&gt;NOW()),"",IF(INDEX(Data!$A:$G,MATCH($B5698,Data!$A:$A,0),MATCH($C$7,Data!$4:$4,0))="","",INDEX(Data!$A:$G,MATCH($B5698,Data!$A:$A,0),MATCH($C$7,Data!$4:$4,0))))</f>
        <v/>
      </c>
      <c r="D5698" s="148" t="str">
        <f t="shared" ca="1" si="182"/>
        <v/>
      </c>
      <c r="E5698" s="148" t="str">
        <f t="shared" ca="1" si="183"/>
        <v/>
      </c>
    </row>
    <row r="5699" spans="2:5" x14ac:dyDescent="0.25">
      <c r="B5699">
        <v>43293</v>
      </c>
      <c r="C5699" s="6" t="str">
        <f ca="1">IF(OR($C$7="",$B5699&gt;NOW()),"",IF(INDEX(Data!$A:$G,MATCH($B5699,Data!$A:$A,0),MATCH($C$7,Data!$4:$4,0))="","",INDEX(Data!$A:$G,MATCH($B5699,Data!$A:$A,0),MATCH($C$7,Data!$4:$4,0))))</f>
        <v/>
      </c>
      <c r="D5699" s="148" t="str">
        <f t="shared" ca="1" si="182"/>
        <v/>
      </c>
      <c r="E5699" s="148" t="str">
        <f t="shared" ca="1" si="183"/>
        <v/>
      </c>
    </row>
    <row r="5700" spans="2:5" x14ac:dyDescent="0.25">
      <c r="B5700">
        <v>43294</v>
      </c>
      <c r="C5700" s="6" t="str">
        <f ca="1">IF(OR($C$7="",$B5700&gt;NOW()),"",IF(INDEX(Data!$A:$G,MATCH($B5700,Data!$A:$A,0),MATCH($C$7,Data!$4:$4,0))="","",INDEX(Data!$A:$G,MATCH($B5700,Data!$A:$A,0),MATCH($C$7,Data!$4:$4,0))))</f>
        <v/>
      </c>
      <c r="D5700" s="148" t="str">
        <f t="shared" ca="1" si="182"/>
        <v/>
      </c>
      <c r="E5700" s="148" t="str">
        <f t="shared" ca="1" si="183"/>
        <v/>
      </c>
    </row>
    <row r="5701" spans="2:5" x14ac:dyDescent="0.25">
      <c r="B5701">
        <v>43295</v>
      </c>
      <c r="C5701" s="6" t="str">
        <f ca="1">IF(OR($C$7="",$B5701&gt;NOW()),"",IF(INDEX(Data!$A:$G,MATCH($B5701,Data!$A:$A,0),MATCH($C$7,Data!$4:$4,0))="","",INDEX(Data!$A:$G,MATCH($B5701,Data!$A:$A,0),MATCH($C$7,Data!$4:$4,0))))</f>
        <v/>
      </c>
      <c r="D5701" s="148" t="str">
        <f t="shared" ca="1" si="182"/>
        <v/>
      </c>
      <c r="E5701" s="148" t="str">
        <f t="shared" ca="1" si="183"/>
        <v/>
      </c>
    </row>
    <row r="5702" spans="2:5" x14ac:dyDescent="0.25">
      <c r="B5702">
        <v>43296</v>
      </c>
      <c r="C5702" s="6" t="str">
        <f ca="1">IF(OR($C$7="",$B5702&gt;NOW()),"",IF(INDEX(Data!$A:$G,MATCH($B5702,Data!$A:$A,0),MATCH($C$7,Data!$4:$4,0))="","",INDEX(Data!$A:$G,MATCH($B5702,Data!$A:$A,0),MATCH($C$7,Data!$4:$4,0))))</f>
        <v/>
      </c>
      <c r="D5702" s="148" t="str">
        <f t="shared" ca="1" si="182"/>
        <v/>
      </c>
      <c r="E5702" s="148" t="str">
        <f t="shared" ca="1" si="183"/>
        <v/>
      </c>
    </row>
    <row r="5703" spans="2:5" x14ac:dyDescent="0.25">
      <c r="B5703">
        <v>43297</v>
      </c>
      <c r="C5703" s="6" t="str">
        <f ca="1">IF(OR($C$7="",$B5703&gt;NOW()),"",IF(INDEX(Data!$A:$G,MATCH($B5703,Data!$A:$A,0),MATCH($C$7,Data!$4:$4,0))="","",INDEX(Data!$A:$G,MATCH($B5703,Data!$A:$A,0),MATCH($C$7,Data!$4:$4,0))))</f>
        <v/>
      </c>
      <c r="D5703" s="148" t="str">
        <f t="shared" ca="1" si="182"/>
        <v/>
      </c>
      <c r="E5703" s="148" t="str">
        <f t="shared" ca="1" si="183"/>
        <v/>
      </c>
    </row>
    <row r="5704" spans="2:5" x14ac:dyDescent="0.25">
      <c r="B5704">
        <v>43298</v>
      </c>
      <c r="C5704" s="6" t="str">
        <f ca="1">IF(OR($C$7="",$B5704&gt;NOW()),"",IF(INDEX(Data!$A:$G,MATCH($B5704,Data!$A:$A,0),MATCH($C$7,Data!$4:$4,0))="","",INDEX(Data!$A:$G,MATCH($B5704,Data!$A:$A,0),MATCH($C$7,Data!$4:$4,0))))</f>
        <v/>
      </c>
      <c r="D5704" s="148" t="str">
        <f t="shared" ca="1" si="182"/>
        <v/>
      </c>
      <c r="E5704" s="148" t="str">
        <f t="shared" ca="1" si="183"/>
        <v/>
      </c>
    </row>
    <row r="5705" spans="2:5" x14ac:dyDescent="0.25">
      <c r="B5705">
        <v>43299</v>
      </c>
      <c r="C5705" s="6" t="str">
        <f ca="1">IF(OR($C$7="",$B5705&gt;NOW()),"",IF(INDEX(Data!$A:$G,MATCH($B5705,Data!$A:$A,0),MATCH($C$7,Data!$4:$4,0))="","",INDEX(Data!$A:$G,MATCH($B5705,Data!$A:$A,0),MATCH($C$7,Data!$4:$4,0))))</f>
        <v/>
      </c>
      <c r="D5705" s="148" t="str">
        <f t="shared" ca="1" si="182"/>
        <v/>
      </c>
      <c r="E5705" s="148" t="str">
        <f t="shared" ca="1" si="183"/>
        <v/>
      </c>
    </row>
    <row r="5706" spans="2:5" x14ac:dyDescent="0.25">
      <c r="B5706">
        <v>43300</v>
      </c>
      <c r="C5706" s="6" t="str">
        <f ca="1">IF(OR($C$7="",$B5706&gt;NOW()),"",IF(INDEX(Data!$A:$G,MATCH($B5706,Data!$A:$A,0),MATCH($C$7,Data!$4:$4,0))="","",INDEX(Data!$A:$G,MATCH($B5706,Data!$A:$A,0),MATCH($C$7,Data!$4:$4,0))))</f>
        <v/>
      </c>
      <c r="D5706" s="148" t="str">
        <f t="shared" ca="1" si="182"/>
        <v/>
      </c>
      <c r="E5706" s="148" t="str">
        <f t="shared" ca="1" si="183"/>
        <v/>
      </c>
    </row>
    <row r="5707" spans="2:5" x14ac:dyDescent="0.25">
      <c r="B5707">
        <v>43301</v>
      </c>
      <c r="C5707" s="6" t="str">
        <f ca="1">IF(OR($C$7="",$B5707&gt;NOW()),"",IF(INDEX(Data!$A:$G,MATCH($B5707,Data!$A:$A,0),MATCH($C$7,Data!$4:$4,0))="","",INDEX(Data!$A:$G,MATCH($B5707,Data!$A:$A,0),MATCH($C$7,Data!$4:$4,0))))</f>
        <v/>
      </c>
      <c r="D5707" s="148" t="str">
        <f t="shared" ca="1" si="182"/>
        <v/>
      </c>
      <c r="E5707" s="148" t="str">
        <f t="shared" ca="1" si="183"/>
        <v/>
      </c>
    </row>
    <row r="5708" spans="2:5" x14ac:dyDescent="0.25">
      <c r="B5708">
        <v>43302</v>
      </c>
      <c r="C5708" s="6" t="str">
        <f ca="1">IF(OR($C$7="",$B5708&gt;NOW()),"",IF(INDEX(Data!$A:$G,MATCH($B5708,Data!$A:$A,0),MATCH($C$7,Data!$4:$4,0))="","",INDEX(Data!$A:$G,MATCH($B5708,Data!$A:$A,0),MATCH($C$7,Data!$4:$4,0))))</f>
        <v/>
      </c>
      <c r="D5708" s="148" t="str">
        <f t="shared" ca="1" si="182"/>
        <v/>
      </c>
      <c r="E5708" s="148" t="str">
        <f t="shared" ca="1" si="183"/>
        <v/>
      </c>
    </row>
    <row r="5709" spans="2:5" x14ac:dyDescent="0.25">
      <c r="B5709">
        <v>43303</v>
      </c>
      <c r="C5709" s="6" t="str">
        <f ca="1">IF(OR($C$7="",$B5709&gt;NOW()),"",IF(INDEX(Data!$A:$G,MATCH($B5709,Data!$A:$A,0),MATCH($C$7,Data!$4:$4,0))="","",INDEX(Data!$A:$G,MATCH($B5709,Data!$A:$A,0),MATCH($C$7,Data!$4:$4,0))))</f>
        <v/>
      </c>
      <c r="D5709" s="148" t="str">
        <f t="shared" ca="1" si="182"/>
        <v/>
      </c>
      <c r="E5709" s="148" t="str">
        <f t="shared" ca="1" si="183"/>
        <v/>
      </c>
    </row>
    <row r="5710" spans="2:5" x14ac:dyDescent="0.25">
      <c r="B5710">
        <v>43304</v>
      </c>
      <c r="C5710" s="6" t="str">
        <f ca="1">IF(OR($C$7="",$B5710&gt;NOW()),"",IF(INDEX(Data!$A:$G,MATCH($B5710,Data!$A:$A,0),MATCH($C$7,Data!$4:$4,0))="","",INDEX(Data!$A:$G,MATCH($B5710,Data!$A:$A,0),MATCH($C$7,Data!$4:$4,0))))</f>
        <v/>
      </c>
      <c r="D5710" s="148" t="str">
        <f t="shared" ca="1" si="182"/>
        <v/>
      </c>
      <c r="E5710" s="148" t="str">
        <f t="shared" ca="1" si="183"/>
        <v/>
      </c>
    </row>
    <row r="5711" spans="2:5" x14ac:dyDescent="0.25">
      <c r="B5711">
        <v>43305</v>
      </c>
      <c r="C5711" s="6" t="str">
        <f ca="1">IF(OR($C$7="",$B5711&gt;NOW()),"",IF(INDEX(Data!$A:$G,MATCH($B5711,Data!$A:$A,0),MATCH($C$7,Data!$4:$4,0))="","",INDEX(Data!$A:$G,MATCH($B5711,Data!$A:$A,0),MATCH($C$7,Data!$4:$4,0))))</f>
        <v/>
      </c>
      <c r="D5711" s="148" t="str">
        <f t="shared" ca="1" si="182"/>
        <v/>
      </c>
      <c r="E5711" s="148" t="str">
        <f t="shared" ca="1" si="183"/>
        <v/>
      </c>
    </row>
    <row r="5712" spans="2:5" x14ac:dyDescent="0.25">
      <c r="B5712">
        <v>43306</v>
      </c>
      <c r="C5712" s="6" t="str">
        <f ca="1">IF(OR($C$7="",$B5712&gt;NOW()),"",IF(INDEX(Data!$A:$G,MATCH($B5712,Data!$A:$A,0),MATCH($C$7,Data!$4:$4,0))="","",INDEX(Data!$A:$G,MATCH($B5712,Data!$A:$A,0),MATCH($C$7,Data!$4:$4,0))))</f>
        <v/>
      </c>
      <c r="D5712" s="148" t="str">
        <f t="shared" ca="1" si="182"/>
        <v/>
      </c>
      <c r="E5712" s="148" t="str">
        <f t="shared" ca="1" si="183"/>
        <v/>
      </c>
    </row>
    <row r="5713" spans="2:5" x14ac:dyDescent="0.25">
      <c r="B5713">
        <v>43307</v>
      </c>
      <c r="C5713" s="6" t="str">
        <f ca="1">IF(OR($C$7="",$B5713&gt;NOW()),"",IF(INDEX(Data!$A:$G,MATCH($B5713,Data!$A:$A,0),MATCH($C$7,Data!$4:$4,0))="","",INDEX(Data!$A:$G,MATCH($B5713,Data!$A:$A,0),MATCH($C$7,Data!$4:$4,0))))</f>
        <v/>
      </c>
      <c r="D5713" s="148" t="str">
        <f t="shared" ca="1" si="182"/>
        <v/>
      </c>
      <c r="E5713" s="148" t="str">
        <f t="shared" ca="1" si="183"/>
        <v/>
      </c>
    </row>
    <row r="5714" spans="2:5" x14ac:dyDescent="0.25">
      <c r="B5714">
        <v>43308</v>
      </c>
      <c r="C5714" s="6" t="str">
        <f ca="1">IF(OR($C$7="",$B5714&gt;NOW()),"",IF(INDEX(Data!$A:$G,MATCH($B5714,Data!$A:$A,0),MATCH($C$7,Data!$4:$4,0))="","",INDEX(Data!$A:$G,MATCH($B5714,Data!$A:$A,0),MATCH($C$7,Data!$4:$4,0))))</f>
        <v/>
      </c>
      <c r="D5714" s="148" t="str">
        <f t="shared" ca="1" si="182"/>
        <v/>
      </c>
      <c r="E5714" s="148" t="str">
        <f t="shared" ca="1" si="183"/>
        <v/>
      </c>
    </row>
    <row r="5715" spans="2:5" x14ac:dyDescent="0.25">
      <c r="B5715">
        <v>43309</v>
      </c>
      <c r="C5715" s="6" t="str">
        <f ca="1">IF(OR($C$7="",$B5715&gt;NOW()),"",IF(INDEX(Data!$A:$G,MATCH($B5715,Data!$A:$A,0),MATCH($C$7,Data!$4:$4,0))="","",INDEX(Data!$A:$G,MATCH($B5715,Data!$A:$A,0),MATCH($C$7,Data!$4:$4,0))))</f>
        <v/>
      </c>
      <c r="D5715" s="148" t="str">
        <f t="shared" ca="1" si="182"/>
        <v/>
      </c>
      <c r="E5715" s="148" t="str">
        <f t="shared" ca="1" si="183"/>
        <v/>
      </c>
    </row>
    <row r="5716" spans="2:5" x14ac:dyDescent="0.25">
      <c r="B5716">
        <v>43310</v>
      </c>
      <c r="C5716" s="6" t="str">
        <f ca="1">IF(OR($C$7="",$B5716&gt;NOW()),"",IF(INDEX(Data!$A:$G,MATCH($B5716,Data!$A:$A,0),MATCH($C$7,Data!$4:$4,0))="","",INDEX(Data!$A:$G,MATCH($B5716,Data!$A:$A,0),MATCH($C$7,Data!$4:$4,0))))</f>
        <v/>
      </c>
      <c r="D5716" s="148" t="str">
        <f t="shared" ca="1" si="182"/>
        <v/>
      </c>
      <c r="E5716" s="148" t="str">
        <f t="shared" ca="1" si="183"/>
        <v/>
      </c>
    </row>
    <row r="5717" spans="2:5" x14ac:dyDescent="0.25">
      <c r="B5717">
        <v>43311</v>
      </c>
      <c r="C5717" s="6" t="str">
        <f ca="1">IF(OR($C$7="",$B5717&gt;NOW()),"",IF(INDEX(Data!$A:$G,MATCH($B5717,Data!$A:$A,0),MATCH($C$7,Data!$4:$4,0))="","",INDEX(Data!$A:$G,MATCH($B5717,Data!$A:$A,0),MATCH($C$7,Data!$4:$4,0))))</f>
        <v/>
      </c>
      <c r="D5717" s="148" t="str">
        <f t="shared" ca="1" si="182"/>
        <v/>
      </c>
      <c r="E5717" s="148" t="str">
        <f t="shared" ca="1" si="183"/>
        <v/>
      </c>
    </row>
    <row r="5718" spans="2:5" x14ac:dyDescent="0.25">
      <c r="B5718">
        <v>43312</v>
      </c>
      <c r="C5718" s="6" t="str">
        <f ca="1">IF(OR($C$7="",$B5718&gt;NOW()),"",IF(INDEX(Data!$A:$G,MATCH($B5718,Data!$A:$A,0),MATCH($C$7,Data!$4:$4,0))="","",INDEX(Data!$A:$G,MATCH($B5718,Data!$A:$A,0),MATCH($C$7,Data!$4:$4,0))))</f>
        <v/>
      </c>
      <c r="D5718" s="148" t="str">
        <f t="shared" ca="1" si="182"/>
        <v/>
      </c>
      <c r="E5718" s="148" t="str">
        <f t="shared" ca="1" si="183"/>
        <v/>
      </c>
    </row>
    <row r="5719" spans="2:5" x14ac:dyDescent="0.25">
      <c r="B5719">
        <v>43313</v>
      </c>
      <c r="C5719" s="6" t="str">
        <f ca="1">IF(OR($C$7="",$B5719&gt;NOW()),"",IF(INDEX(Data!$A:$G,MATCH($B5719,Data!$A:$A,0),MATCH($C$7,Data!$4:$4,0))="","",INDEX(Data!$A:$G,MATCH($B5719,Data!$A:$A,0),MATCH($C$7,Data!$4:$4,0))))</f>
        <v/>
      </c>
      <c r="D5719" s="148" t="str">
        <f t="shared" ca="1" si="182"/>
        <v/>
      </c>
      <c r="E5719" s="148" t="str">
        <f t="shared" ca="1" si="183"/>
        <v/>
      </c>
    </row>
    <row r="5720" spans="2:5" x14ac:dyDescent="0.25">
      <c r="B5720">
        <v>43314</v>
      </c>
      <c r="C5720" s="6" t="str">
        <f ca="1">IF(OR($C$7="",$B5720&gt;NOW()),"",IF(INDEX(Data!$A:$G,MATCH($B5720,Data!$A:$A,0),MATCH($C$7,Data!$4:$4,0))="","",INDEX(Data!$A:$G,MATCH($B5720,Data!$A:$A,0),MATCH($C$7,Data!$4:$4,0))))</f>
        <v/>
      </c>
      <c r="D5720" s="148" t="str">
        <f t="shared" ca="1" si="182"/>
        <v/>
      </c>
      <c r="E5720" s="148" t="str">
        <f t="shared" ca="1" si="183"/>
        <v/>
      </c>
    </row>
    <row r="5721" spans="2:5" x14ac:dyDescent="0.25">
      <c r="B5721">
        <v>43315</v>
      </c>
      <c r="C5721" s="6" t="str">
        <f ca="1">IF(OR($C$7="",$B5721&gt;NOW()),"",IF(INDEX(Data!$A:$G,MATCH($B5721,Data!$A:$A,0),MATCH($C$7,Data!$4:$4,0))="","",INDEX(Data!$A:$G,MATCH($B5721,Data!$A:$A,0),MATCH($C$7,Data!$4:$4,0))))</f>
        <v/>
      </c>
      <c r="D5721" s="148" t="str">
        <f t="shared" ca="1" si="182"/>
        <v/>
      </c>
      <c r="E5721" s="148" t="str">
        <f t="shared" ca="1" si="183"/>
        <v/>
      </c>
    </row>
    <row r="5722" spans="2:5" x14ac:dyDescent="0.25">
      <c r="B5722">
        <v>43316</v>
      </c>
      <c r="C5722" s="6" t="str">
        <f ca="1">IF(OR($C$7="",$B5722&gt;NOW()),"",IF(INDEX(Data!$A:$G,MATCH($B5722,Data!$A:$A,0),MATCH($C$7,Data!$4:$4,0))="","",INDEX(Data!$A:$G,MATCH($B5722,Data!$A:$A,0),MATCH($C$7,Data!$4:$4,0))))</f>
        <v/>
      </c>
      <c r="D5722" s="148" t="str">
        <f t="shared" ca="1" si="182"/>
        <v/>
      </c>
      <c r="E5722" s="148" t="str">
        <f t="shared" ca="1" si="183"/>
        <v/>
      </c>
    </row>
    <row r="5723" spans="2:5" x14ac:dyDescent="0.25">
      <c r="B5723">
        <v>43317</v>
      </c>
      <c r="C5723" s="6" t="str">
        <f ca="1">IF(OR($C$7="",$B5723&gt;NOW()),"",IF(INDEX(Data!$A:$G,MATCH($B5723,Data!$A:$A,0),MATCH($C$7,Data!$4:$4,0))="","",INDEX(Data!$A:$G,MATCH($B5723,Data!$A:$A,0),MATCH($C$7,Data!$4:$4,0))))</f>
        <v/>
      </c>
      <c r="D5723" s="148" t="str">
        <f t="shared" ca="1" si="182"/>
        <v/>
      </c>
      <c r="E5723" s="148" t="str">
        <f t="shared" ca="1" si="183"/>
        <v/>
      </c>
    </row>
    <row r="5724" spans="2:5" x14ac:dyDescent="0.25">
      <c r="B5724">
        <v>43318</v>
      </c>
      <c r="C5724" s="6" t="str">
        <f ca="1">IF(OR($C$7="",$B5724&gt;NOW()),"",IF(INDEX(Data!$A:$G,MATCH($B5724,Data!$A:$A,0),MATCH($C$7,Data!$4:$4,0))="","",INDEX(Data!$A:$G,MATCH($B5724,Data!$A:$A,0),MATCH($C$7,Data!$4:$4,0))))</f>
        <v/>
      </c>
      <c r="D5724" s="148" t="str">
        <f t="shared" ca="1" si="182"/>
        <v/>
      </c>
      <c r="E5724" s="148" t="str">
        <f t="shared" ca="1" si="183"/>
        <v/>
      </c>
    </row>
    <row r="5725" spans="2:5" x14ac:dyDescent="0.25">
      <c r="B5725">
        <v>43319</v>
      </c>
      <c r="C5725" s="6" t="str">
        <f ca="1">IF(OR($C$7="",$B5725&gt;NOW()),"",IF(INDEX(Data!$A:$G,MATCH($B5725,Data!$A:$A,0),MATCH($C$7,Data!$4:$4,0))="","",INDEX(Data!$A:$G,MATCH($B5725,Data!$A:$A,0),MATCH($C$7,Data!$4:$4,0))))</f>
        <v/>
      </c>
      <c r="D5725" s="148" t="str">
        <f t="shared" ref="D5725:D5788" ca="1" si="184">IF($C5725="","",IF($C5725&gt;$D$26,0,$D$26-$C5725))</f>
        <v/>
      </c>
      <c r="E5725" s="148" t="str">
        <f t="shared" ref="E5725:E5788" ca="1" si="185">IF($C5725="","",IF($C5725&lt;$E$26,0,$C5725-$E$26))</f>
        <v/>
      </c>
    </row>
    <row r="5726" spans="2:5" x14ac:dyDescent="0.25">
      <c r="B5726">
        <v>43320</v>
      </c>
      <c r="C5726" s="6" t="str">
        <f ca="1">IF(OR($C$7="",$B5726&gt;NOW()),"",IF(INDEX(Data!$A:$G,MATCH($B5726,Data!$A:$A,0),MATCH($C$7,Data!$4:$4,0))="","",INDEX(Data!$A:$G,MATCH($B5726,Data!$A:$A,0),MATCH($C$7,Data!$4:$4,0))))</f>
        <v/>
      </c>
      <c r="D5726" s="148" t="str">
        <f t="shared" ca="1" si="184"/>
        <v/>
      </c>
      <c r="E5726" s="148" t="str">
        <f t="shared" ca="1" si="185"/>
        <v/>
      </c>
    </row>
    <row r="5727" spans="2:5" x14ac:dyDescent="0.25">
      <c r="B5727">
        <v>43321</v>
      </c>
      <c r="C5727" s="6" t="str">
        <f ca="1">IF(OR($C$7="",$B5727&gt;NOW()),"",IF(INDEX(Data!$A:$G,MATCH($B5727,Data!$A:$A,0),MATCH($C$7,Data!$4:$4,0))="","",INDEX(Data!$A:$G,MATCH($B5727,Data!$A:$A,0),MATCH($C$7,Data!$4:$4,0))))</f>
        <v/>
      </c>
      <c r="D5727" s="148" t="str">
        <f t="shared" ca="1" si="184"/>
        <v/>
      </c>
      <c r="E5727" s="148" t="str">
        <f t="shared" ca="1" si="185"/>
        <v/>
      </c>
    </row>
    <row r="5728" spans="2:5" x14ac:dyDescent="0.25">
      <c r="B5728">
        <v>43322</v>
      </c>
      <c r="C5728" s="6" t="str">
        <f ca="1">IF(OR($C$7="",$B5728&gt;NOW()),"",IF(INDEX(Data!$A:$G,MATCH($B5728,Data!$A:$A,0),MATCH($C$7,Data!$4:$4,0))="","",INDEX(Data!$A:$G,MATCH($B5728,Data!$A:$A,0),MATCH($C$7,Data!$4:$4,0))))</f>
        <v/>
      </c>
      <c r="D5728" s="148" t="str">
        <f t="shared" ca="1" si="184"/>
        <v/>
      </c>
      <c r="E5728" s="148" t="str">
        <f t="shared" ca="1" si="185"/>
        <v/>
      </c>
    </row>
    <row r="5729" spans="2:5" x14ac:dyDescent="0.25">
      <c r="B5729">
        <v>43323</v>
      </c>
      <c r="C5729" s="6" t="str">
        <f ca="1">IF(OR($C$7="",$B5729&gt;NOW()),"",IF(INDEX(Data!$A:$G,MATCH($B5729,Data!$A:$A,0),MATCH($C$7,Data!$4:$4,0))="","",INDEX(Data!$A:$G,MATCH($B5729,Data!$A:$A,0),MATCH($C$7,Data!$4:$4,0))))</f>
        <v/>
      </c>
      <c r="D5729" s="148" t="str">
        <f t="shared" ca="1" si="184"/>
        <v/>
      </c>
      <c r="E5729" s="148" t="str">
        <f t="shared" ca="1" si="185"/>
        <v/>
      </c>
    </row>
    <row r="5730" spans="2:5" x14ac:dyDescent="0.25">
      <c r="B5730">
        <v>43324</v>
      </c>
      <c r="C5730" s="6" t="str">
        <f ca="1">IF(OR($C$7="",$B5730&gt;NOW()),"",IF(INDEX(Data!$A:$G,MATCH($B5730,Data!$A:$A,0),MATCH($C$7,Data!$4:$4,0))="","",INDEX(Data!$A:$G,MATCH($B5730,Data!$A:$A,0),MATCH($C$7,Data!$4:$4,0))))</f>
        <v/>
      </c>
      <c r="D5730" s="148" t="str">
        <f t="shared" ca="1" si="184"/>
        <v/>
      </c>
      <c r="E5730" s="148" t="str">
        <f t="shared" ca="1" si="185"/>
        <v/>
      </c>
    </row>
    <row r="5731" spans="2:5" x14ac:dyDescent="0.25">
      <c r="B5731">
        <v>43325</v>
      </c>
      <c r="C5731" s="6" t="str">
        <f ca="1">IF(OR($C$7="",$B5731&gt;NOW()),"",IF(INDEX(Data!$A:$G,MATCH($B5731,Data!$A:$A,0),MATCH($C$7,Data!$4:$4,0))="","",INDEX(Data!$A:$G,MATCH($B5731,Data!$A:$A,0),MATCH($C$7,Data!$4:$4,0))))</f>
        <v/>
      </c>
      <c r="D5731" s="148" t="str">
        <f t="shared" ca="1" si="184"/>
        <v/>
      </c>
      <c r="E5731" s="148" t="str">
        <f t="shared" ca="1" si="185"/>
        <v/>
      </c>
    </row>
    <row r="5732" spans="2:5" x14ac:dyDescent="0.25">
      <c r="B5732">
        <v>43326</v>
      </c>
      <c r="C5732" s="6" t="str">
        <f ca="1">IF(OR($C$7="",$B5732&gt;NOW()),"",IF(INDEX(Data!$A:$G,MATCH($B5732,Data!$A:$A,0),MATCH($C$7,Data!$4:$4,0))="","",INDEX(Data!$A:$G,MATCH($B5732,Data!$A:$A,0),MATCH($C$7,Data!$4:$4,0))))</f>
        <v/>
      </c>
      <c r="D5732" s="148" t="str">
        <f t="shared" ca="1" si="184"/>
        <v/>
      </c>
      <c r="E5732" s="148" t="str">
        <f t="shared" ca="1" si="185"/>
        <v/>
      </c>
    </row>
    <row r="5733" spans="2:5" x14ac:dyDescent="0.25">
      <c r="B5733">
        <v>43327</v>
      </c>
      <c r="C5733" s="6" t="str">
        <f ca="1">IF(OR($C$7="",$B5733&gt;NOW()),"",IF(INDEX(Data!$A:$G,MATCH($B5733,Data!$A:$A,0),MATCH($C$7,Data!$4:$4,0))="","",INDEX(Data!$A:$G,MATCH($B5733,Data!$A:$A,0),MATCH($C$7,Data!$4:$4,0))))</f>
        <v/>
      </c>
      <c r="D5733" s="148" t="str">
        <f t="shared" ca="1" si="184"/>
        <v/>
      </c>
      <c r="E5733" s="148" t="str">
        <f t="shared" ca="1" si="185"/>
        <v/>
      </c>
    </row>
    <row r="5734" spans="2:5" x14ac:dyDescent="0.25">
      <c r="B5734">
        <v>43328</v>
      </c>
      <c r="C5734" s="6" t="str">
        <f ca="1">IF(OR($C$7="",$B5734&gt;NOW()),"",IF(INDEX(Data!$A:$G,MATCH($B5734,Data!$A:$A,0),MATCH($C$7,Data!$4:$4,0))="","",INDEX(Data!$A:$G,MATCH($B5734,Data!$A:$A,0),MATCH($C$7,Data!$4:$4,0))))</f>
        <v/>
      </c>
      <c r="D5734" s="148" t="str">
        <f t="shared" ca="1" si="184"/>
        <v/>
      </c>
      <c r="E5734" s="148" t="str">
        <f t="shared" ca="1" si="185"/>
        <v/>
      </c>
    </row>
    <row r="5735" spans="2:5" x14ac:dyDescent="0.25">
      <c r="B5735">
        <v>43329</v>
      </c>
      <c r="C5735" s="6" t="str">
        <f ca="1">IF(OR($C$7="",$B5735&gt;NOW()),"",IF(INDEX(Data!$A:$G,MATCH($B5735,Data!$A:$A,0),MATCH($C$7,Data!$4:$4,0))="","",INDEX(Data!$A:$G,MATCH($B5735,Data!$A:$A,0),MATCH($C$7,Data!$4:$4,0))))</f>
        <v/>
      </c>
      <c r="D5735" s="148" t="str">
        <f t="shared" ca="1" si="184"/>
        <v/>
      </c>
      <c r="E5735" s="148" t="str">
        <f t="shared" ca="1" si="185"/>
        <v/>
      </c>
    </row>
    <row r="5736" spans="2:5" x14ac:dyDescent="0.25">
      <c r="B5736">
        <v>43330</v>
      </c>
      <c r="C5736" s="6" t="str">
        <f ca="1">IF(OR($C$7="",$B5736&gt;NOW()),"",IF(INDEX(Data!$A:$G,MATCH($B5736,Data!$A:$A,0),MATCH($C$7,Data!$4:$4,0))="","",INDEX(Data!$A:$G,MATCH($B5736,Data!$A:$A,0),MATCH($C$7,Data!$4:$4,0))))</f>
        <v/>
      </c>
      <c r="D5736" s="148" t="str">
        <f t="shared" ca="1" si="184"/>
        <v/>
      </c>
      <c r="E5736" s="148" t="str">
        <f t="shared" ca="1" si="185"/>
        <v/>
      </c>
    </row>
    <row r="5737" spans="2:5" x14ac:dyDescent="0.25">
      <c r="B5737">
        <v>43331</v>
      </c>
      <c r="C5737" s="6" t="str">
        <f ca="1">IF(OR($C$7="",$B5737&gt;NOW()),"",IF(INDEX(Data!$A:$G,MATCH($B5737,Data!$A:$A,0),MATCH($C$7,Data!$4:$4,0))="","",INDEX(Data!$A:$G,MATCH($B5737,Data!$A:$A,0),MATCH($C$7,Data!$4:$4,0))))</f>
        <v/>
      </c>
      <c r="D5737" s="148" t="str">
        <f t="shared" ca="1" si="184"/>
        <v/>
      </c>
      <c r="E5737" s="148" t="str">
        <f t="shared" ca="1" si="185"/>
        <v/>
      </c>
    </row>
    <row r="5738" spans="2:5" x14ac:dyDescent="0.25">
      <c r="B5738">
        <v>43332</v>
      </c>
      <c r="C5738" s="6" t="str">
        <f ca="1">IF(OR($C$7="",$B5738&gt;NOW()),"",IF(INDEX(Data!$A:$G,MATCH($B5738,Data!$A:$A,0),MATCH($C$7,Data!$4:$4,0))="","",INDEX(Data!$A:$G,MATCH($B5738,Data!$A:$A,0),MATCH($C$7,Data!$4:$4,0))))</f>
        <v/>
      </c>
      <c r="D5738" s="148" t="str">
        <f t="shared" ca="1" si="184"/>
        <v/>
      </c>
      <c r="E5738" s="148" t="str">
        <f t="shared" ca="1" si="185"/>
        <v/>
      </c>
    </row>
    <row r="5739" spans="2:5" x14ac:dyDescent="0.25">
      <c r="B5739">
        <v>43333</v>
      </c>
      <c r="C5739" s="6" t="str">
        <f ca="1">IF(OR($C$7="",$B5739&gt;NOW()),"",IF(INDEX(Data!$A:$G,MATCH($B5739,Data!$A:$A,0),MATCH($C$7,Data!$4:$4,0))="","",INDEX(Data!$A:$G,MATCH($B5739,Data!$A:$A,0),MATCH($C$7,Data!$4:$4,0))))</f>
        <v/>
      </c>
      <c r="D5739" s="148" t="str">
        <f t="shared" ca="1" si="184"/>
        <v/>
      </c>
      <c r="E5739" s="148" t="str">
        <f t="shared" ca="1" si="185"/>
        <v/>
      </c>
    </row>
    <row r="5740" spans="2:5" x14ac:dyDescent="0.25">
      <c r="B5740">
        <v>43334</v>
      </c>
      <c r="C5740" s="6" t="str">
        <f ca="1">IF(OR($C$7="",$B5740&gt;NOW()),"",IF(INDEX(Data!$A:$G,MATCH($B5740,Data!$A:$A,0),MATCH($C$7,Data!$4:$4,0))="","",INDEX(Data!$A:$G,MATCH($B5740,Data!$A:$A,0),MATCH($C$7,Data!$4:$4,0))))</f>
        <v/>
      </c>
      <c r="D5740" s="148" t="str">
        <f t="shared" ca="1" si="184"/>
        <v/>
      </c>
      <c r="E5740" s="148" t="str">
        <f t="shared" ca="1" si="185"/>
        <v/>
      </c>
    </row>
    <row r="5741" spans="2:5" x14ac:dyDescent="0.25">
      <c r="B5741">
        <v>43335</v>
      </c>
      <c r="C5741" s="6" t="str">
        <f ca="1">IF(OR($C$7="",$B5741&gt;NOW()),"",IF(INDEX(Data!$A:$G,MATCH($B5741,Data!$A:$A,0),MATCH($C$7,Data!$4:$4,0))="","",INDEX(Data!$A:$G,MATCH($B5741,Data!$A:$A,0),MATCH($C$7,Data!$4:$4,0))))</f>
        <v/>
      </c>
      <c r="D5741" s="148" t="str">
        <f t="shared" ca="1" si="184"/>
        <v/>
      </c>
      <c r="E5741" s="148" t="str">
        <f t="shared" ca="1" si="185"/>
        <v/>
      </c>
    </row>
    <row r="5742" spans="2:5" x14ac:dyDescent="0.25">
      <c r="B5742">
        <v>43336</v>
      </c>
      <c r="C5742" s="6" t="str">
        <f ca="1">IF(OR($C$7="",$B5742&gt;NOW()),"",IF(INDEX(Data!$A:$G,MATCH($B5742,Data!$A:$A,0),MATCH($C$7,Data!$4:$4,0))="","",INDEX(Data!$A:$G,MATCH($B5742,Data!$A:$A,0),MATCH($C$7,Data!$4:$4,0))))</f>
        <v/>
      </c>
      <c r="D5742" s="148" t="str">
        <f t="shared" ca="1" si="184"/>
        <v/>
      </c>
      <c r="E5742" s="148" t="str">
        <f t="shared" ca="1" si="185"/>
        <v/>
      </c>
    </row>
    <row r="5743" spans="2:5" x14ac:dyDescent="0.25">
      <c r="B5743">
        <v>43337</v>
      </c>
      <c r="C5743" s="6" t="str">
        <f ca="1">IF(OR($C$7="",$B5743&gt;NOW()),"",IF(INDEX(Data!$A:$G,MATCH($B5743,Data!$A:$A,0),MATCH($C$7,Data!$4:$4,0))="","",INDEX(Data!$A:$G,MATCH($B5743,Data!$A:$A,0),MATCH($C$7,Data!$4:$4,0))))</f>
        <v/>
      </c>
      <c r="D5743" s="148" t="str">
        <f t="shared" ca="1" si="184"/>
        <v/>
      </c>
      <c r="E5743" s="148" t="str">
        <f t="shared" ca="1" si="185"/>
        <v/>
      </c>
    </row>
    <row r="5744" spans="2:5" x14ac:dyDescent="0.25">
      <c r="B5744">
        <v>43338</v>
      </c>
      <c r="C5744" s="6" t="str">
        <f ca="1">IF(OR($C$7="",$B5744&gt;NOW()),"",IF(INDEX(Data!$A:$G,MATCH($B5744,Data!$A:$A,0),MATCH($C$7,Data!$4:$4,0))="","",INDEX(Data!$A:$G,MATCH($B5744,Data!$A:$A,0),MATCH($C$7,Data!$4:$4,0))))</f>
        <v/>
      </c>
      <c r="D5744" s="148" t="str">
        <f t="shared" ca="1" si="184"/>
        <v/>
      </c>
      <c r="E5744" s="148" t="str">
        <f t="shared" ca="1" si="185"/>
        <v/>
      </c>
    </row>
    <row r="5745" spans="2:5" x14ac:dyDescent="0.25">
      <c r="B5745">
        <v>43339</v>
      </c>
      <c r="C5745" s="6" t="str">
        <f ca="1">IF(OR($C$7="",$B5745&gt;NOW()),"",IF(INDEX(Data!$A:$G,MATCH($B5745,Data!$A:$A,0),MATCH($C$7,Data!$4:$4,0))="","",INDEX(Data!$A:$G,MATCH($B5745,Data!$A:$A,0),MATCH($C$7,Data!$4:$4,0))))</f>
        <v/>
      </c>
      <c r="D5745" s="148" t="str">
        <f t="shared" ca="1" si="184"/>
        <v/>
      </c>
      <c r="E5745" s="148" t="str">
        <f t="shared" ca="1" si="185"/>
        <v/>
      </c>
    </row>
    <row r="5746" spans="2:5" x14ac:dyDescent="0.25">
      <c r="B5746">
        <v>43340</v>
      </c>
      <c r="C5746" s="6" t="str">
        <f ca="1">IF(OR($C$7="",$B5746&gt;NOW()),"",IF(INDEX(Data!$A:$G,MATCH($B5746,Data!$A:$A,0),MATCH($C$7,Data!$4:$4,0))="","",INDEX(Data!$A:$G,MATCH($B5746,Data!$A:$A,0),MATCH($C$7,Data!$4:$4,0))))</f>
        <v/>
      </c>
      <c r="D5746" s="148" t="str">
        <f t="shared" ca="1" si="184"/>
        <v/>
      </c>
      <c r="E5746" s="148" t="str">
        <f t="shared" ca="1" si="185"/>
        <v/>
      </c>
    </row>
    <row r="5747" spans="2:5" x14ac:dyDescent="0.25">
      <c r="B5747">
        <v>43341</v>
      </c>
      <c r="C5747" s="6" t="str">
        <f ca="1">IF(OR($C$7="",$B5747&gt;NOW()),"",IF(INDEX(Data!$A:$G,MATCH($B5747,Data!$A:$A,0),MATCH($C$7,Data!$4:$4,0))="","",INDEX(Data!$A:$G,MATCH($B5747,Data!$A:$A,0),MATCH($C$7,Data!$4:$4,0))))</f>
        <v/>
      </c>
      <c r="D5747" s="148" t="str">
        <f t="shared" ca="1" si="184"/>
        <v/>
      </c>
      <c r="E5747" s="148" t="str">
        <f t="shared" ca="1" si="185"/>
        <v/>
      </c>
    </row>
    <row r="5748" spans="2:5" x14ac:dyDescent="0.25">
      <c r="B5748">
        <v>43342</v>
      </c>
      <c r="C5748" s="6" t="str">
        <f ca="1">IF(OR($C$7="",$B5748&gt;NOW()),"",IF(INDEX(Data!$A:$G,MATCH($B5748,Data!$A:$A,0),MATCH($C$7,Data!$4:$4,0))="","",INDEX(Data!$A:$G,MATCH($B5748,Data!$A:$A,0),MATCH($C$7,Data!$4:$4,0))))</f>
        <v/>
      </c>
      <c r="D5748" s="148" t="str">
        <f t="shared" ca="1" si="184"/>
        <v/>
      </c>
      <c r="E5748" s="148" t="str">
        <f t="shared" ca="1" si="185"/>
        <v/>
      </c>
    </row>
    <row r="5749" spans="2:5" x14ac:dyDescent="0.25">
      <c r="B5749">
        <v>43343</v>
      </c>
      <c r="C5749" s="6" t="str">
        <f ca="1">IF(OR($C$7="",$B5749&gt;NOW()),"",IF(INDEX(Data!$A:$G,MATCH($B5749,Data!$A:$A,0),MATCH($C$7,Data!$4:$4,0))="","",INDEX(Data!$A:$G,MATCH($B5749,Data!$A:$A,0),MATCH($C$7,Data!$4:$4,0))))</f>
        <v/>
      </c>
      <c r="D5749" s="148" t="str">
        <f t="shared" ca="1" si="184"/>
        <v/>
      </c>
      <c r="E5749" s="148" t="str">
        <f t="shared" ca="1" si="185"/>
        <v/>
      </c>
    </row>
    <row r="5750" spans="2:5" x14ac:dyDescent="0.25">
      <c r="B5750">
        <v>43344</v>
      </c>
      <c r="C5750" s="6" t="str">
        <f ca="1">IF(OR($C$7="",$B5750&gt;NOW()),"",IF(INDEX(Data!$A:$G,MATCH($B5750,Data!$A:$A,0),MATCH($C$7,Data!$4:$4,0))="","",INDEX(Data!$A:$G,MATCH($B5750,Data!$A:$A,0),MATCH($C$7,Data!$4:$4,0))))</f>
        <v/>
      </c>
      <c r="D5750" s="148" t="str">
        <f t="shared" ca="1" si="184"/>
        <v/>
      </c>
      <c r="E5750" s="148" t="str">
        <f t="shared" ca="1" si="185"/>
        <v/>
      </c>
    </row>
    <row r="5751" spans="2:5" x14ac:dyDescent="0.25">
      <c r="B5751">
        <v>43345</v>
      </c>
      <c r="C5751" s="6" t="str">
        <f ca="1">IF(OR($C$7="",$B5751&gt;NOW()),"",IF(INDEX(Data!$A:$G,MATCH($B5751,Data!$A:$A,0),MATCH($C$7,Data!$4:$4,0))="","",INDEX(Data!$A:$G,MATCH($B5751,Data!$A:$A,0),MATCH($C$7,Data!$4:$4,0))))</f>
        <v/>
      </c>
      <c r="D5751" s="148" t="str">
        <f t="shared" ca="1" si="184"/>
        <v/>
      </c>
      <c r="E5751" s="148" t="str">
        <f t="shared" ca="1" si="185"/>
        <v/>
      </c>
    </row>
    <row r="5752" spans="2:5" x14ac:dyDescent="0.25">
      <c r="B5752">
        <v>43346</v>
      </c>
      <c r="C5752" s="6" t="str">
        <f ca="1">IF(OR($C$7="",$B5752&gt;NOW()),"",IF(INDEX(Data!$A:$G,MATCH($B5752,Data!$A:$A,0),MATCH($C$7,Data!$4:$4,0))="","",INDEX(Data!$A:$G,MATCH($B5752,Data!$A:$A,0),MATCH($C$7,Data!$4:$4,0))))</f>
        <v/>
      </c>
      <c r="D5752" s="148" t="str">
        <f t="shared" ca="1" si="184"/>
        <v/>
      </c>
      <c r="E5752" s="148" t="str">
        <f t="shared" ca="1" si="185"/>
        <v/>
      </c>
    </row>
    <row r="5753" spans="2:5" x14ac:dyDescent="0.25">
      <c r="B5753">
        <v>43347</v>
      </c>
      <c r="C5753" s="6" t="str">
        <f ca="1">IF(OR($C$7="",$B5753&gt;NOW()),"",IF(INDEX(Data!$A:$G,MATCH($B5753,Data!$A:$A,0),MATCH($C$7,Data!$4:$4,0))="","",INDEX(Data!$A:$G,MATCH($B5753,Data!$A:$A,0),MATCH($C$7,Data!$4:$4,0))))</f>
        <v/>
      </c>
      <c r="D5753" s="148" t="str">
        <f t="shared" ca="1" si="184"/>
        <v/>
      </c>
      <c r="E5753" s="148" t="str">
        <f t="shared" ca="1" si="185"/>
        <v/>
      </c>
    </row>
    <row r="5754" spans="2:5" x14ac:dyDescent="0.25">
      <c r="B5754">
        <v>43348</v>
      </c>
      <c r="C5754" s="6" t="str">
        <f ca="1">IF(OR($C$7="",$B5754&gt;NOW()),"",IF(INDEX(Data!$A:$G,MATCH($B5754,Data!$A:$A,0),MATCH($C$7,Data!$4:$4,0))="","",INDEX(Data!$A:$G,MATCH($B5754,Data!$A:$A,0),MATCH($C$7,Data!$4:$4,0))))</f>
        <v/>
      </c>
      <c r="D5754" s="148" t="str">
        <f t="shared" ca="1" si="184"/>
        <v/>
      </c>
      <c r="E5754" s="148" t="str">
        <f t="shared" ca="1" si="185"/>
        <v/>
      </c>
    </row>
    <row r="5755" spans="2:5" x14ac:dyDescent="0.25">
      <c r="B5755">
        <v>43349</v>
      </c>
      <c r="C5755" s="6" t="str">
        <f ca="1">IF(OR($C$7="",$B5755&gt;NOW()),"",IF(INDEX(Data!$A:$G,MATCH($B5755,Data!$A:$A,0),MATCH($C$7,Data!$4:$4,0))="","",INDEX(Data!$A:$G,MATCH($B5755,Data!$A:$A,0),MATCH($C$7,Data!$4:$4,0))))</f>
        <v/>
      </c>
      <c r="D5755" s="148" t="str">
        <f t="shared" ca="1" si="184"/>
        <v/>
      </c>
      <c r="E5755" s="148" t="str">
        <f t="shared" ca="1" si="185"/>
        <v/>
      </c>
    </row>
    <row r="5756" spans="2:5" x14ac:dyDescent="0.25">
      <c r="B5756">
        <v>43350</v>
      </c>
      <c r="C5756" s="6" t="str">
        <f ca="1">IF(OR($C$7="",$B5756&gt;NOW()),"",IF(INDEX(Data!$A:$G,MATCH($B5756,Data!$A:$A,0),MATCH($C$7,Data!$4:$4,0))="","",INDEX(Data!$A:$G,MATCH($B5756,Data!$A:$A,0),MATCH($C$7,Data!$4:$4,0))))</f>
        <v/>
      </c>
      <c r="D5756" s="148" t="str">
        <f t="shared" ca="1" si="184"/>
        <v/>
      </c>
      <c r="E5756" s="148" t="str">
        <f t="shared" ca="1" si="185"/>
        <v/>
      </c>
    </row>
    <row r="5757" spans="2:5" x14ac:dyDescent="0.25">
      <c r="B5757">
        <v>43351</v>
      </c>
      <c r="C5757" s="6" t="str">
        <f ca="1">IF(OR($C$7="",$B5757&gt;NOW()),"",IF(INDEX(Data!$A:$G,MATCH($B5757,Data!$A:$A,0),MATCH($C$7,Data!$4:$4,0))="","",INDEX(Data!$A:$G,MATCH($B5757,Data!$A:$A,0),MATCH($C$7,Data!$4:$4,0))))</f>
        <v/>
      </c>
      <c r="D5757" s="148" t="str">
        <f t="shared" ca="1" si="184"/>
        <v/>
      </c>
      <c r="E5757" s="148" t="str">
        <f t="shared" ca="1" si="185"/>
        <v/>
      </c>
    </row>
    <row r="5758" spans="2:5" x14ac:dyDescent="0.25">
      <c r="B5758">
        <v>43352</v>
      </c>
      <c r="C5758" s="6" t="str">
        <f ca="1">IF(OR($C$7="",$B5758&gt;NOW()),"",IF(INDEX(Data!$A:$G,MATCH($B5758,Data!$A:$A,0),MATCH($C$7,Data!$4:$4,0))="","",INDEX(Data!$A:$G,MATCH($B5758,Data!$A:$A,0),MATCH($C$7,Data!$4:$4,0))))</f>
        <v/>
      </c>
      <c r="D5758" s="148" t="str">
        <f t="shared" ca="1" si="184"/>
        <v/>
      </c>
      <c r="E5758" s="148" t="str">
        <f t="shared" ca="1" si="185"/>
        <v/>
      </c>
    </row>
    <row r="5759" spans="2:5" x14ac:dyDescent="0.25">
      <c r="B5759">
        <v>43353</v>
      </c>
      <c r="C5759" s="6" t="str">
        <f ca="1">IF(OR($C$7="",$B5759&gt;NOW()),"",IF(INDEX(Data!$A:$G,MATCH($B5759,Data!$A:$A,0),MATCH($C$7,Data!$4:$4,0))="","",INDEX(Data!$A:$G,MATCH($B5759,Data!$A:$A,0),MATCH($C$7,Data!$4:$4,0))))</f>
        <v/>
      </c>
      <c r="D5759" s="148" t="str">
        <f t="shared" ca="1" si="184"/>
        <v/>
      </c>
      <c r="E5759" s="148" t="str">
        <f t="shared" ca="1" si="185"/>
        <v/>
      </c>
    </row>
    <row r="5760" spans="2:5" x14ac:dyDescent="0.25">
      <c r="B5760">
        <v>43354</v>
      </c>
      <c r="C5760" s="6" t="str">
        <f ca="1">IF(OR($C$7="",$B5760&gt;NOW()),"",IF(INDEX(Data!$A:$G,MATCH($B5760,Data!$A:$A,0),MATCH($C$7,Data!$4:$4,0))="","",INDEX(Data!$A:$G,MATCH($B5760,Data!$A:$A,0),MATCH($C$7,Data!$4:$4,0))))</f>
        <v/>
      </c>
      <c r="D5760" s="148" t="str">
        <f t="shared" ca="1" si="184"/>
        <v/>
      </c>
      <c r="E5760" s="148" t="str">
        <f t="shared" ca="1" si="185"/>
        <v/>
      </c>
    </row>
    <row r="5761" spans="2:5" x14ac:dyDescent="0.25">
      <c r="B5761">
        <v>43355</v>
      </c>
      <c r="C5761" s="6" t="str">
        <f ca="1">IF(OR($C$7="",$B5761&gt;NOW()),"",IF(INDEX(Data!$A:$G,MATCH($B5761,Data!$A:$A,0),MATCH($C$7,Data!$4:$4,0))="","",INDEX(Data!$A:$G,MATCH($B5761,Data!$A:$A,0),MATCH($C$7,Data!$4:$4,0))))</f>
        <v/>
      </c>
      <c r="D5761" s="148" t="str">
        <f t="shared" ca="1" si="184"/>
        <v/>
      </c>
      <c r="E5761" s="148" t="str">
        <f t="shared" ca="1" si="185"/>
        <v/>
      </c>
    </row>
    <row r="5762" spans="2:5" x14ac:dyDescent="0.25">
      <c r="B5762">
        <v>43356</v>
      </c>
      <c r="C5762" s="6" t="str">
        <f ca="1">IF(OR($C$7="",$B5762&gt;NOW()),"",IF(INDEX(Data!$A:$G,MATCH($B5762,Data!$A:$A,0),MATCH($C$7,Data!$4:$4,0))="","",INDEX(Data!$A:$G,MATCH($B5762,Data!$A:$A,0),MATCH($C$7,Data!$4:$4,0))))</f>
        <v/>
      </c>
      <c r="D5762" s="148" t="str">
        <f t="shared" ca="1" si="184"/>
        <v/>
      </c>
      <c r="E5762" s="148" t="str">
        <f t="shared" ca="1" si="185"/>
        <v/>
      </c>
    </row>
    <row r="5763" spans="2:5" x14ac:dyDescent="0.25">
      <c r="B5763">
        <v>43357</v>
      </c>
      <c r="C5763" s="6" t="str">
        <f ca="1">IF(OR($C$7="",$B5763&gt;NOW()),"",IF(INDEX(Data!$A:$G,MATCH($B5763,Data!$A:$A,0),MATCH($C$7,Data!$4:$4,0))="","",INDEX(Data!$A:$G,MATCH($B5763,Data!$A:$A,0),MATCH($C$7,Data!$4:$4,0))))</f>
        <v/>
      </c>
      <c r="D5763" s="148" t="str">
        <f t="shared" ca="1" si="184"/>
        <v/>
      </c>
      <c r="E5763" s="148" t="str">
        <f t="shared" ca="1" si="185"/>
        <v/>
      </c>
    </row>
    <row r="5764" spans="2:5" x14ac:dyDescent="0.25">
      <c r="B5764">
        <v>43358</v>
      </c>
      <c r="C5764" s="6" t="str">
        <f ca="1">IF(OR($C$7="",$B5764&gt;NOW()),"",IF(INDEX(Data!$A:$G,MATCH($B5764,Data!$A:$A,0),MATCH($C$7,Data!$4:$4,0))="","",INDEX(Data!$A:$G,MATCH($B5764,Data!$A:$A,0),MATCH($C$7,Data!$4:$4,0))))</f>
        <v/>
      </c>
      <c r="D5764" s="148" t="str">
        <f t="shared" ca="1" si="184"/>
        <v/>
      </c>
      <c r="E5764" s="148" t="str">
        <f t="shared" ca="1" si="185"/>
        <v/>
      </c>
    </row>
    <row r="5765" spans="2:5" x14ac:dyDescent="0.25">
      <c r="B5765">
        <v>43359</v>
      </c>
      <c r="C5765" s="6" t="str">
        <f ca="1">IF(OR($C$7="",$B5765&gt;NOW()),"",IF(INDEX(Data!$A:$G,MATCH($B5765,Data!$A:$A,0),MATCH($C$7,Data!$4:$4,0))="","",INDEX(Data!$A:$G,MATCH($B5765,Data!$A:$A,0),MATCH($C$7,Data!$4:$4,0))))</f>
        <v/>
      </c>
      <c r="D5765" s="148" t="str">
        <f t="shared" ca="1" si="184"/>
        <v/>
      </c>
      <c r="E5765" s="148" t="str">
        <f t="shared" ca="1" si="185"/>
        <v/>
      </c>
    </row>
    <row r="5766" spans="2:5" x14ac:dyDescent="0.25">
      <c r="B5766">
        <v>43360</v>
      </c>
      <c r="C5766" s="6" t="str">
        <f ca="1">IF(OR($C$7="",$B5766&gt;NOW()),"",IF(INDEX(Data!$A:$G,MATCH($B5766,Data!$A:$A,0),MATCH($C$7,Data!$4:$4,0))="","",INDEX(Data!$A:$G,MATCH($B5766,Data!$A:$A,0),MATCH($C$7,Data!$4:$4,0))))</f>
        <v/>
      </c>
      <c r="D5766" s="148" t="str">
        <f t="shared" ca="1" si="184"/>
        <v/>
      </c>
      <c r="E5766" s="148" t="str">
        <f t="shared" ca="1" si="185"/>
        <v/>
      </c>
    </row>
    <row r="5767" spans="2:5" x14ac:dyDescent="0.25">
      <c r="B5767">
        <v>43361</v>
      </c>
      <c r="C5767" s="6" t="str">
        <f ca="1">IF(OR($C$7="",$B5767&gt;NOW()),"",IF(INDEX(Data!$A:$G,MATCH($B5767,Data!$A:$A,0),MATCH($C$7,Data!$4:$4,0))="","",INDEX(Data!$A:$G,MATCH($B5767,Data!$A:$A,0),MATCH($C$7,Data!$4:$4,0))))</f>
        <v/>
      </c>
      <c r="D5767" s="148" t="str">
        <f t="shared" ca="1" si="184"/>
        <v/>
      </c>
      <c r="E5767" s="148" t="str">
        <f t="shared" ca="1" si="185"/>
        <v/>
      </c>
    </row>
    <row r="5768" spans="2:5" x14ac:dyDescent="0.25">
      <c r="B5768">
        <v>43362</v>
      </c>
      <c r="C5768" s="6" t="str">
        <f ca="1">IF(OR($C$7="",$B5768&gt;NOW()),"",IF(INDEX(Data!$A:$G,MATCH($B5768,Data!$A:$A,0),MATCH($C$7,Data!$4:$4,0))="","",INDEX(Data!$A:$G,MATCH($B5768,Data!$A:$A,0),MATCH($C$7,Data!$4:$4,0))))</f>
        <v/>
      </c>
      <c r="D5768" s="148" t="str">
        <f t="shared" ca="1" si="184"/>
        <v/>
      </c>
      <c r="E5768" s="148" t="str">
        <f t="shared" ca="1" si="185"/>
        <v/>
      </c>
    </row>
    <row r="5769" spans="2:5" x14ac:dyDescent="0.25">
      <c r="B5769">
        <v>43363</v>
      </c>
      <c r="C5769" s="6" t="str">
        <f ca="1">IF(OR($C$7="",$B5769&gt;NOW()),"",IF(INDEX(Data!$A:$G,MATCH($B5769,Data!$A:$A,0),MATCH($C$7,Data!$4:$4,0))="","",INDEX(Data!$A:$G,MATCH($B5769,Data!$A:$A,0),MATCH($C$7,Data!$4:$4,0))))</f>
        <v/>
      </c>
      <c r="D5769" s="148" t="str">
        <f t="shared" ca="1" si="184"/>
        <v/>
      </c>
      <c r="E5769" s="148" t="str">
        <f t="shared" ca="1" si="185"/>
        <v/>
      </c>
    </row>
    <row r="5770" spans="2:5" x14ac:dyDescent="0.25">
      <c r="B5770">
        <v>43364</v>
      </c>
      <c r="C5770" s="6" t="str">
        <f ca="1">IF(OR($C$7="",$B5770&gt;NOW()),"",IF(INDEX(Data!$A:$G,MATCH($B5770,Data!$A:$A,0),MATCH($C$7,Data!$4:$4,0))="","",INDEX(Data!$A:$G,MATCH($B5770,Data!$A:$A,0),MATCH($C$7,Data!$4:$4,0))))</f>
        <v/>
      </c>
      <c r="D5770" s="148" t="str">
        <f t="shared" ca="1" si="184"/>
        <v/>
      </c>
      <c r="E5770" s="148" t="str">
        <f t="shared" ca="1" si="185"/>
        <v/>
      </c>
    </row>
    <row r="5771" spans="2:5" x14ac:dyDescent="0.25">
      <c r="B5771">
        <v>43365</v>
      </c>
      <c r="C5771" s="6" t="str">
        <f ca="1">IF(OR($C$7="",$B5771&gt;NOW()),"",IF(INDEX(Data!$A:$G,MATCH($B5771,Data!$A:$A,0),MATCH($C$7,Data!$4:$4,0))="","",INDEX(Data!$A:$G,MATCH($B5771,Data!$A:$A,0),MATCH($C$7,Data!$4:$4,0))))</f>
        <v/>
      </c>
      <c r="D5771" s="148" t="str">
        <f t="shared" ca="1" si="184"/>
        <v/>
      </c>
      <c r="E5771" s="148" t="str">
        <f t="shared" ca="1" si="185"/>
        <v/>
      </c>
    </row>
    <row r="5772" spans="2:5" x14ac:dyDescent="0.25">
      <c r="B5772">
        <v>43366</v>
      </c>
      <c r="C5772" s="6" t="str">
        <f ca="1">IF(OR($C$7="",$B5772&gt;NOW()),"",IF(INDEX(Data!$A:$G,MATCH($B5772,Data!$A:$A,0),MATCH($C$7,Data!$4:$4,0))="","",INDEX(Data!$A:$G,MATCH($B5772,Data!$A:$A,0),MATCH($C$7,Data!$4:$4,0))))</f>
        <v/>
      </c>
      <c r="D5772" s="148" t="str">
        <f t="shared" ca="1" si="184"/>
        <v/>
      </c>
      <c r="E5772" s="148" t="str">
        <f t="shared" ca="1" si="185"/>
        <v/>
      </c>
    </row>
    <row r="5773" spans="2:5" x14ac:dyDescent="0.25">
      <c r="B5773">
        <v>43367</v>
      </c>
      <c r="C5773" s="6" t="str">
        <f ca="1">IF(OR($C$7="",$B5773&gt;NOW()),"",IF(INDEX(Data!$A:$G,MATCH($B5773,Data!$A:$A,0),MATCH($C$7,Data!$4:$4,0))="","",INDEX(Data!$A:$G,MATCH($B5773,Data!$A:$A,0),MATCH($C$7,Data!$4:$4,0))))</f>
        <v/>
      </c>
      <c r="D5773" s="148" t="str">
        <f t="shared" ca="1" si="184"/>
        <v/>
      </c>
      <c r="E5773" s="148" t="str">
        <f t="shared" ca="1" si="185"/>
        <v/>
      </c>
    </row>
    <row r="5774" spans="2:5" x14ac:dyDescent="0.25">
      <c r="B5774">
        <v>43368</v>
      </c>
      <c r="C5774" s="6" t="str">
        <f ca="1">IF(OR($C$7="",$B5774&gt;NOW()),"",IF(INDEX(Data!$A:$G,MATCH($B5774,Data!$A:$A,0),MATCH($C$7,Data!$4:$4,0))="","",INDEX(Data!$A:$G,MATCH($B5774,Data!$A:$A,0),MATCH($C$7,Data!$4:$4,0))))</f>
        <v/>
      </c>
      <c r="D5774" s="148" t="str">
        <f t="shared" ca="1" si="184"/>
        <v/>
      </c>
      <c r="E5774" s="148" t="str">
        <f t="shared" ca="1" si="185"/>
        <v/>
      </c>
    </row>
    <row r="5775" spans="2:5" x14ac:dyDescent="0.25">
      <c r="B5775">
        <v>43369</v>
      </c>
      <c r="C5775" s="6" t="str">
        <f ca="1">IF(OR($C$7="",$B5775&gt;NOW()),"",IF(INDEX(Data!$A:$G,MATCH($B5775,Data!$A:$A,0),MATCH($C$7,Data!$4:$4,0))="","",INDEX(Data!$A:$G,MATCH($B5775,Data!$A:$A,0),MATCH($C$7,Data!$4:$4,0))))</f>
        <v/>
      </c>
      <c r="D5775" s="148" t="str">
        <f t="shared" ca="1" si="184"/>
        <v/>
      </c>
      <c r="E5775" s="148" t="str">
        <f t="shared" ca="1" si="185"/>
        <v/>
      </c>
    </row>
    <row r="5776" spans="2:5" x14ac:dyDescent="0.25">
      <c r="B5776">
        <v>43370</v>
      </c>
      <c r="C5776" s="6" t="str">
        <f ca="1">IF(OR($C$7="",$B5776&gt;NOW()),"",IF(INDEX(Data!$A:$G,MATCH($B5776,Data!$A:$A,0),MATCH($C$7,Data!$4:$4,0))="","",INDEX(Data!$A:$G,MATCH($B5776,Data!$A:$A,0),MATCH($C$7,Data!$4:$4,0))))</f>
        <v/>
      </c>
      <c r="D5776" s="148" t="str">
        <f t="shared" ca="1" si="184"/>
        <v/>
      </c>
      <c r="E5776" s="148" t="str">
        <f t="shared" ca="1" si="185"/>
        <v/>
      </c>
    </row>
    <row r="5777" spans="2:5" x14ac:dyDescent="0.25">
      <c r="B5777">
        <v>43371</v>
      </c>
      <c r="C5777" s="6" t="str">
        <f ca="1">IF(OR($C$7="",$B5777&gt;NOW()),"",IF(INDEX(Data!$A:$G,MATCH($B5777,Data!$A:$A,0),MATCH($C$7,Data!$4:$4,0))="","",INDEX(Data!$A:$G,MATCH($B5777,Data!$A:$A,0),MATCH($C$7,Data!$4:$4,0))))</f>
        <v/>
      </c>
      <c r="D5777" s="148" t="str">
        <f t="shared" ca="1" si="184"/>
        <v/>
      </c>
      <c r="E5777" s="148" t="str">
        <f t="shared" ca="1" si="185"/>
        <v/>
      </c>
    </row>
    <row r="5778" spans="2:5" x14ac:dyDescent="0.25">
      <c r="B5778">
        <v>43372</v>
      </c>
      <c r="C5778" s="6" t="str">
        <f ca="1">IF(OR($C$7="",$B5778&gt;NOW()),"",IF(INDEX(Data!$A:$G,MATCH($B5778,Data!$A:$A,0),MATCH($C$7,Data!$4:$4,0))="","",INDEX(Data!$A:$G,MATCH($B5778,Data!$A:$A,0),MATCH($C$7,Data!$4:$4,0))))</f>
        <v/>
      </c>
      <c r="D5778" s="148" t="str">
        <f t="shared" ca="1" si="184"/>
        <v/>
      </c>
      <c r="E5778" s="148" t="str">
        <f t="shared" ca="1" si="185"/>
        <v/>
      </c>
    </row>
    <row r="5779" spans="2:5" x14ac:dyDescent="0.25">
      <c r="B5779">
        <v>43373</v>
      </c>
      <c r="C5779" s="6" t="str">
        <f ca="1">IF(OR($C$7="",$B5779&gt;NOW()),"",IF(INDEX(Data!$A:$G,MATCH($B5779,Data!$A:$A,0),MATCH($C$7,Data!$4:$4,0))="","",INDEX(Data!$A:$G,MATCH($B5779,Data!$A:$A,0),MATCH($C$7,Data!$4:$4,0))))</f>
        <v/>
      </c>
      <c r="D5779" s="148" t="str">
        <f t="shared" ca="1" si="184"/>
        <v/>
      </c>
      <c r="E5779" s="148" t="str">
        <f t="shared" ca="1" si="185"/>
        <v/>
      </c>
    </row>
    <row r="5780" spans="2:5" x14ac:dyDescent="0.25">
      <c r="B5780">
        <v>43374</v>
      </c>
      <c r="C5780" s="6" t="str">
        <f ca="1">IF(OR($C$7="",$B5780&gt;NOW()),"",IF(INDEX(Data!$A:$G,MATCH($B5780,Data!$A:$A,0),MATCH($C$7,Data!$4:$4,0))="","",INDEX(Data!$A:$G,MATCH($B5780,Data!$A:$A,0),MATCH($C$7,Data!$4:$4,0))))</f>
        <v/>
      </c>
      <c r="D5780" s="148" t="str">
        <f t="shared" ca="1" si="184"/>
        <v/>
      </c>
      <c r="E5780" s="148" t="str">
        <f t="shared" ca="1" si="185"/>
        <v/>
      </c>
    </row>
    <row r="5781" spans="2:5" x14ac:dyDescent="0.25">
      <c r="B5781">
        <v>43375</v>
      </c>
      <c r="C5781" s="6" t="str">
        <f ca="1">IF(OR($C$7="",$B5781&gt;NOW()),"",IF(INDEX(Data!$A:$G,MATCH($B5781,Data!$A:$A,0),MATCH($C$7,Data!$4:$4,0))="","",INDEX(Data!$A:$G,MATCH($B5781,Data!$A:$A,0),MATCH($C$7,Data!$4:$4,0))))</f>
        <v/>
      </c>
      <c r="D5781" s="148" t="str">
        <f t="shared" ca="1" si="184"/>
        <v/>
      </c>
      <c r="E5781" s="148" t="str">
        <f t="shared" ca="1" si="185"/>
        <v/>
      </c>
    </row>
    <row r="5782" spans="2:5" x14ac:dyDescent="0.25">
      <c r="B5782">
        <v>43376</v>
      </c>
      <c r="C5782" s="6" t="str">
        <f ca="1">IF(OR($C$7="",$B5782&gt;NOW()),"",IF(INDEX(Data!$A:$G,MATCH($B5782,Data!$A:$A,0),MATCH($C$7,Data!$4:$4,0))="","",INDEX(Data!$A:$G,MATCH($B5782,Data!$A:$A,0),MATCH($C$7,Data!$4:$4,0))))</f>
        <v/>
      </c>
      <c r="D5782" s="148" t="str">
        <f t="shared" ca="1" si="184"/>
        <v/>
      </c>
      <c r="E5782" s="148" t="str">
        <f t="shared" ca="1" si="185"/>
        <v/>
      </c>
    </row>
    <row r="5783" spans="2:5" x14ac:dyDescent="0.25">
      <c r="B5783">
        <v>43377</v>
      </c>
      <c r="C5783" s="6" t="str">
        <f ca="1">IF(OR($C$7="",$B5783&gt;NOW()),"",IF(INDEX(Data!$A:$G,MATCH($B5783,Data!$A:$A,0),MATCH($C$7,Data!$4:$4,0))="","",INDEX(Data!$A:$G,MATCH($B5783,Data!$A:$A,0),MATCH($C$7,Data!$4:$4,0))))</f>
        <v/>
      </c>
      <c r="D5783" s="148" t="str">
        <f t="shared" ca="1" si="184"/>
        <v/>
      </c>
      <c r="E5783" s="148" t="str">
        <f t="shared" ca="1" si="185"/>
        <v/>
      </c>
    </row>
    <row r="5784" spans="2:5" x14ac:dyDescent="0.25">
      <c r="B5784">
        <v>43378</v>
      </c>
      <c r="C5784" s="6" t="str">
        <f ca="1">IF(OR($C$7="",$B5784&gt;NOW()),"",IF(INDEX(Data!$A:$G,MATCH($B5784,Data!$A:$A,0),MATCH($C$7,Data!$4:$4,0))="","",INDEX(Data!$A:$G,MATCH($B5784,Data!$A:$A,0),MATCH($C$7,Data!$4:$4,0))))</f>
        <v/>
      </c>
      <c r="D5784" s="148" t="str">
        <f t="shared" ca="1" si="184"/>
        <v/>
      </c>
      <c r="E5784" s="148" t="str">
        <f t="shared" ca="1" si="185"/>
        <v/>
      </c>
    </row>
    <row r="5785" spans="2:5" x14ac:dyDescent="0.25">
      <c r="B5785">
        <v>43379</v>
      </c>
      <c r="C5785" s="6" t="str">
        <f ca="1">IF(OR($C$7="",$B5785&gt;NOW()),"",IF(INDEX(Data!$A:$G,MATCH($B5785,Data!$A:$A,0),MATCH($C$7,Data!$4:$4,0))="","",INDEX(Data!$A:$G,MATCH($B5785,Data!$A:$A,0),MATCH($C$7,Data!$4:$4,0))))</f>
        <v/>
      </c>
      <c r="D5785" s="148" t="str">
        <f t="shared" ca="1" si="184"/>
        <v/>
      </c>
      <c r="E5785" s="148" t="str">
        <f t="shared" ca="1" si="185"/>
        <v/>
      </c>
    </row>
    <row r="5786" spans="2:5" x14ac:dyDescent="0.25">
      <c r="B5786">
        <v>43380</v>
      </c>
      <c r="C5786" s="6" t="str">
        <f ca="1">IF(OR($C$7="",$B5786&gt;NOW()),"",IF(INDEX(Data!$A:$G,MATCH($B5786,Data!$A:$A,0),MATCH($C$7,Data!$4:$4,0))="","",INDEX(Data!$A:$G,MATCH($B5786,Data!$A:$A,0),MATCH($C$7,Data!$4:$4,0))))</f>
        <v/>
      </c>
      <c r="D5786" s="148" t="str">
        <f t="shared" ca="1" si="184"/>
        <v/>
      </c>
      <c r="E5786" s="148" t="str">
        <f t="shared" ca="1" si="185"/>
        <v/>
      </c>
    </row>
    <row r="5787" spans="2:5" x14ac:dyDescent="0.25">
      <c r="B5787">
        <v>43381</v>
      </c>
      <c r="C5787" s="6" t="str">
        <f ca="1">IF(OR($C$7="",$B5787&gt;NOW()),"",IF(INDEX(Data!$A:$G,MATCH($B5787,Data!$A:$A,0),MATCH($C$7,Data!$4:$4,0))="","",INDEX(Data!$A:$G,MATCH($B5787,Data!$A:$A,0),MATCH($C$7,Data!$4:$4,0))))</f>
        <v/>
      </c>
      <c r="D5787" s="148" t="str">
        <f t="shared" ca="1" si="184"/>
        <v/>
      </c>
      <c r="E5787" s="148" t="str">
        <f t="shared" ca="1" si="185"/>
        <v/>
      </c>
    </row>
    <row r="5788" spans="2:5" x14ac:dyDescent="0.25">
      <c r="B5788">
        <v>43382</v>
      </c>
      <c r="C5788" s="6" t="str">
        <f ca="1">IF(OR($C$7="",$B5788&gt;NOW()),"",IF(INDEX(Data!$A:$G,MATCH($B5788,Data!$A:$A,0),MATCH($C$7,Data!$4:$4,0))="","",INDEX(Data!$A:$G,MATCH($B5788,Data!$A:$A,0),MATCH($C$7,Data!$4:$4,0))))</f>
        <v/>
      </c>
      <c r="D5788" s="148" t="str">
        <f t="shared" ca="1" si="184"/>
        <v/>
      </c>
      <c r="E5788" s="148" t="str">
        <f t="shared" ca="1" si="185"/>
        <v/>
      </c>
    </row>
    <row r="5789" spans="2:5" x14ac:dyDescent="0.25">
      <c r="B5789">
        <v>43383</v>
      </c>
      <c r="C5789" s="6" t="str">
        <f ca="1">IF(OR($C$7="",$B5789&gt;NOW()),"",IF(INDEX(Data!$A:$G,MATCH($B5789,Data!$A:$A,0),MATCH($C$7,Data!$4:$4,0))="","",INDEX(Data!$A:$G,MATCH($B5789,Data!$A:$A,0),MATCH($C$7,Data!$4:$4,0))))</f>
        <v/>
      </c>
      <c r="D5789" s="148" t="str">
        <f t="shared" ref="D5789:D5852" ca="1" si="186">IF($C5789="","",IF($C5789&gt;$D$26,0,$D$26-$C5789))</f>
        <v/>
      </c>
      <c r="E5789" s="148" t="str">
        <f t="shared" ref="E5789:E5852" ca="1" si="187">IF($C5789="","",IF($C5789&lt;$E$26,0,$C5789-$E$26))</f>
        <v/>
      </c>
    </row>
    <row r="5790" spans="2:5" x14ac:dyDescent="0.25">
      <c r="B5790">
        <v>43384</v>
      </c>
      <c r="C5790" s="6" t="str">
        <f ca="1">IF(OR($C$7="",$B5790&gt;NOW()),"",IF(INDEX(Data!$A:$G,MATCH($B5790,Data!$A:$A,0),MATCH($C$7,Data!$4:$4,0))="","",INDEX(Data!$A:$G,MATCH($B5790,Data!$A:$A,0),MATCH($C$7,Data!$4:$4,0))))</f>
        <v/>
      </c>
      <c r="D5790" s="148" t="str">
        <f t="shared" ca="1" si="186"/>
        <v/>
      </c>
      <c r="E5790" s="148" t="str">
        <f t="shared" ca="1" si="187"/>
        <v/>
      </c>
    </row>
    <row r="5791" spans="2:5" x14ac:dyDescent="0.25">
      <c r="B5791">
        <v>43385</v>
      </c>
      <c r="C5791" s="6" t="str">
        <f ca="1">IF(OR($C$7="",$B5791&gt;NOW()),"",IF(INDEX(Data!$A:$G,MATCH($B5791,Data!$A:$A,0),MATCH($C$7,Data!$4:$4,0))="","",INDEX(Data!$A:$G,MATCH($B5791,Data!$A:$A,0),MATCH($C$7,Data!$4:$4,0))))</f>
        <v/>
      </c>
      <c r="D5791" s="148" t="str">
        <f t="shared" ca="1" si="186"/>
        <v/>
      </c>
      <c r="E5791" s="148" t="str">
        <f t="shared" ca="1" si="187"/>
        <v/>
      </c>
    </row>
    <row r="5792" spans="2:5" x14ac:dyDescent="0.25">
      <c r="B5792">
        <v>43386</v>
      </c>
      <c r="C5792" s="6" t="str">
        <f ca="1">IF(OR($C$7="",$B5792&gt;NOW()),"",IF(INDEX(Data!$A:$G,MATCH($B5792,Data!$A:$A,0),MATCH($C$7,Data!$4:$4,0))="","",INDEX(Data!$A:$G,MATCH($B5792,Data!$A:$A,0),MATCH($C$7,Data!$4:$4,0))))</f>
        <v/>
      </c>
      <c r="D5792" s="148" t="str">
        <f t="shared" ca="1" si="186"/>
        <v/>
      </c>
      <c r="E5792" s="148" t="str">
        <f t="shared" ca="1" si="187"/>
        <v/>
      </c>
    </row>
    <row r="5793" spans="2:5" x14ac:dyDescent="0.25">
      <c r="B5793">
        <v>43387</v>
      </c>
      <c r="C5793" s="6" t="str">
        <f ca="1">IF(OR($C$7="",$B5793&gt;NOW()),"",IF(INDEX(Data!$A:$G,MATCH($B5793,Data!$A:$A,0),MATCH($C$7,Data!$4:$4,0))="","",INDEX(Data!$A:$G,MATCH($B5793,Data!$A:$A,0),MATCH($C$7,Data!$4:$4,0))))</f>
        <v/>
      </c>
      <c r="D5793" s="148" t="str">
        <f t="shared" ca="1" si="186"/>
        <v/>
      </c>
      <c r="E5793" s="148" t="str">
        <f t="shared" ca="1" si="187"/>
        <v/>
      </c>
    </row>
    <row r="5794" spans="2:5" x14ac:dyDescent="0.25">
      <c r="B5794">
        <v>43388</v>
      </c>
      <c r="C5794" s="6" t="str">
        <f ca="1">IF(OR($C$7="",$B5794&gt;NOW()),"",IF(INDEX(Data!$A:$G,MATCH($B5794,Data!$A:$A,0),MATCH($C$7,Data!$4:$4,0))="","",INDEX(Data!$A:$G,MATCH($B5794,Data!$A:$A,0),MATCH($C$7,Data!$4:$4,0))))</f>
        <v/>
      </c>
      <c r="D5794" s="148" t="str">
        <f t="shared" ca="1" si="186"/>
        <v/>
      </c>
      <c r="E5794" s="148" t="str">
        <f t="shared" ca="1" si="187"/>
        <v/>
      </c>
    </row>
    <row r="5795" spans="2:5" x14ac:dyDescent="0.25">
      <c r="B5795">
        <v>43389</v>
      </c>
      <c r="C5795" s="6" t="str">
        <f ca="1">IF(OR($C$7="",$B5795&gt;NOW()),"",IF(INDEX(Data!$A:$G,MATCH($B5795,Data!$A:$A,0),MATCH($C$7,Data!$4:$4,0))="","",INDEX(Data!$A:$G,MATCH($B5795,Data!$A:$A,0),MATCH($C$7,Data!$4:$4,0))))</f>
        <v/>
      </c>
      <c r="D5795" s="148" t="str">
        <f t="shared" ca="1" si="186"/>
        <v/>
      </c>
      <c r="E5795" s="148" t="str">
        <f t="shared" ca="1" si="187"/>
        <v/>
      </c>
    </row>
    <row r="5796" spans="2:5" x14ac:dyDescent="0.25">
      <c r="B5796">
        <v>43390</v>
      </c>
      <c r="C5796" s="6" t="str">
        <f ca="1">IF(OR($C$7="",$B5796&gt;NOW()),"",IF(INDEX(Data!$A:$G,MATCH($B5796,Data!$A:$A,0),MATCH($C$7,Data!$4:$4,0))="","",INDEX(Data!$A:$G,MATCH($B5796,Data!$A:$A,0),MATCH($C$7,Data!$4:$4,0))))</f>
        <v/>
      </c>
      <c r="D5796" s="148" t="str">
        <f t="shared" ca="1" si="186"/>
        <v/>
      </c>
      <c r="E5796" s="148" t="str">
        <f t="shared" ca="1" si="187"/>
        <v/>
      </c>
    </row>
    <row r="5797" spans="2:5" x14ac:dyDescent="0.25">
      <c r="B5797">
        <v>43391</v>
      </c>
      <c r="C5797" s="6" t="str">
        <f ca="1">IF(OR($C$7="",$B5797&gt;NOW()),"",IF(INDEX(Data!$A:$G,MATCH($B5797,Data!$A:$A,0),MATCH($C$7,Data!$4:$4,0))="","",INDEX(Data!$A:$G,MATCH($B5797,Data!$A:$A,0),MATCH($C$7,Data!$4:$4,0))))</f>
        <v/>
      </c>
      <c r="D5797" s="148" t="str">
        <f t="shared" ca="1" si="186"/>
        <v/>
      </c>
      <c r="E5797" s="148" t="str">
        <f t="shared" ca="1" si="187"/>
        <v/>
      </c>
    </row>
    <row r="5798" spans="2:5" x14ac:dyDescent="0.25">
      <c r="B5798">
        <v>43392</v>
      </c>
      <c r="C5798" s="6" t="str">
        <f ca="1">IF(OR($C$7="",$B5798&gt;NOW()),"",IF(INDEX(Data!$A:$G,MATCH($B5798,Data!$A:$A,0),MATCH($C$7,Data!$4:$4,0))="","",INDEX(Data!$A:$G,MATCH($B5798,Data!$A:$A,0),MATCH($C$7,Data!$4:$4,0))))</f>
        <v/>
      </c>
      <c r="D5798" s="148" t="str">
        <f t="shared" ca="1" si="186"/>
        <v/>
      </c>
      <c r="E5798" s="148" t="str">
        <f t="shared" ca="1" si="187"/>
        <v/>
      </c>
    </row>
    <row r="5799" spans="2:5" x14ac:dyDescent="0.25">
      <c r="B5799">
        <v>43393</v>
      </c>
      <c r="C5799" s="6" t="str">
        <f ca="1">IF(OR($C$7="",$B5799&gt;NOW()),"",IF(INDEX(Data!$A:$G,MATCH($B5799,Data!$A:$A,0),MATCH($C$7,Data!$4:$4,0))="","",INDEX(Data!$A:$G,MATCH($B5799,Data!$A:$A,0),MATCH($C$7,Data!$4:$4,0))))</f>
        <v/>
      </c>
      <c r="D5799" s="148" t="str">
        <f t="shared" ca="1" si="186"/>
        <v/>
      </c>
      <c r="E5799" s="148" t="str">
        <f t="shared" ca="1" si="187"/>
        <v/>
      </c>
    </row>
    <row r="5800" spans="2:5" x14ac:dyDescent="0.25">
      <c r="B5800">
        <v>43394</v>
      </c>
      <c r="C5800" s="6" t="str">
        <f ca="1">IF(OR($C$7="",$B5800&gt;NOW()),"",IF(INDEX(Data!$A:$G,MATCH($B5800,Data!$A:$A,0),MATCH($C$7,Data!$4:$4,0))="","",INDEX(Data!$A:$G,MATCH($B5800,Data!$A:$A,0),MATCH($C$7,Data!$4:$4,0))))</f>
        <v/>
      </c>
      <c r="D5800" s="148" t="str">
        <f t="shared" ca="1" si="186"/>
        <v/>
      </c>
      <c r="E5800" s="148" t="str">
        <f t="shared" ca="1" si="187"/>
        <v/>
      </c>
    </row>
    <row r="5801" spans="2:5" x14ac:dyDescent="0.25">
      <c r="B5801">
        <v>43395</v>
      </c>
      <c r="C5801" s="6" t="str">
        <f ca="1">IF(OR($C$7="",$B5801&gt;NOW()),"",IF(INDEX(Data!$A:$G,MATCH($B5801,Data!$A:$A,0),MATCH($C$7,Data!$4:$4,0))="","",INDEX(Data!$A:$G,MATCH($B5801,Data!$A:$A,0),MATCH($C$7,Data!$4:$4,0))))</f>
        <v/>
      </c>
      <c r="D5801" s="148" t="str">
        <f t="shared" ca="1" si="186"/>
        <v/>
      </c>
      <c r="E5801" s="148" t="str">
        <f t="shared" ca="1" si="187"/>
        <v/>
      </c>
    </row>
    <row r="5802" spans="2:5" x14ac:dyDescent="0.25">
      <c r="B5802">
        <v>43396</v>
      </c>
      <c r="C5802" s="6" t="str">
        <f ca="1">IF(OR($C$7="",$B5802&gt;NOW()),"",IF(INDEX(Data!$A:$G,MATCH($B5802,Data!$A:$A,0),MATCH($C$7,Data!$4:$4,0))="","",INDEX(Data!$A:$G,MATCH($B5802,Data!$A:$A,0),MATCH($C$7,Data!$4:$4,0))))</f>
        <v/>
      </c>
      <c r="D5802" s="148" t="str">
        <f t="shared" ca="1" si="186"/>
        <v/>
      </c>
      <c r="E5802" s="148" t="str">
        <f t="shared" ca="1" si="187"/>
        <v/>
      </c>
    </row>
    <row r="5803" spans="2:5" x14ac:dyDescent="0.25">
      <c r="B5803">
        <v>43397</v>
      </c>
      <c r="C5803" s="6" t="str">
        <f ca="1">IF(OR($C$7="",$B5803&gt;NOW()),"",IF(INDEX(Data!$A:$G,MATCH($B5803,Data!$A:$A,0),MATCH($C$7,Data!$4:$4,0))="","",INDEX(Data!$A:$G,MATCH($B5803,Data!$A:$A,0),MATCH($C$7,Data!$4:$4,0))))</f>
        <v/>
      </c>
      <c r="D5803" s="148" t="str">
        <f t="shared" ca="1" si="186"/>
        <v/>
      </c>
      <c r="E5803" s="148" t="str">
        <f t="shared" ca="1" si="187"/>
        <v/>
      </c>
    </row>
    <row r="5804" spans="2:5" x14ac:dyDescent="0.25">
      <c r="B5804">
        <v>43398</v>
      </c>
      <c r="C5804" s="6" t="str">
        <f ca="1">IF(OR($C$7="",$B5804&gt;NOW()),"",IF(INDEX(Data!$A:$G,MATCH($B5804,Data!$A:$A,0),MATCH($C$7,Data!$4:$4,0))="","",INDEX(Data!$A:$G,MATCH($B5804,Data!$A:$A,0),MATCH($C$7,Data!$4:$4,0))))</f>
        <v/>
      </c>
      <c r="D5804" s="148" t="str">
        <f t="shared" ca="1" si="186"/>
        <v/>
      </c>
      <c r="E5804" s="148" t="str">
        <f t="shared" ca="1" si="187"/>
        <v/>
      </c>
    </row>
    <row r="5805" spans="2:5" x14ac:dyDescent="0.25">
      <c r="B5805">
        <v>43399</v>
      </c>
      <c r="C5805" s="6" t="str">
        <f ca="1">IF(OR($C$7="",$B5805&gt;NOW()),"",IF(INDEX(Data!$A:$G,MATCH($B5805,Data!$A:$A,0),MATCH($C$7,Data!$4:$4,0))="","",INDEX(Data!$A:$G,MATCH($B5805,Data!$A:$A,0),MATCH($C$7,Data!$4:$4,0))))</f>
        <v/>
      </c>
      <c r="D5805" s="148" t="str">
        <f t="shared" ca="1" si="186"/>
        <v/>
      </c>
      <c r="E5805" s="148" t="str">
        <f t="shared" ca="1" si="187"/>
        <v/>
      </c>
    </row>
    <row r="5806" spans="2:5" x14ac:dyDescent="0.25">
      <c r="B5806">
        <v>43400</v>
      </c>
      <c r="C5806" s="6" t="str">
        <f ca="1">IF(OR($C$7="",$B5806&gt;NOW()),"",IF(INDEX(Data!$A:$G,MATCH($B5806,Data!$A:$A,0),MATCH($C$7,Data!$4:$4,0))="","",INDEX(Data!$A:$G,MATCH($B5806,Data!$A:$A,0),MATCH($C$7,Data!$4:$4,0))))</f>
        <v/>
      </c>
      <c r="D5806" s="148" t="str">
        <f t="shared" ca="1" si="186"/>
        <v/>
      </c>
      <c r="E5806" s="148" t="str">
        <f t="shared" ca="1" si="187"/>
        <v/>
      </c>
    </row>
    <row r="5807" spans="2:5" x14ac:dyDescent="0.25">
      <c r="B5807">
        <v>43401</v>
      </c>
      <c r="C5807" s="6" t="str">
        <f ca="1">IF(OR($C$7="",$B5807&gt;NOW()),"",IF(INDEX(Data!$A:$G,MATCH($B5807,Data!$A:$A,0),MATCH($C$7,Data!$4:$4,0))="","",INDEX(Data!$A:$G,MATCH($B5807,Data!$A:$A,0),MATCH($C$7,Data!$4:$4,0))))</f>
        <v/>
      </c>
      <c r="D5807" s="148" t="str">
        <f t="shared" ca="1" si="186"/>
        <v/>
      </c>
      <c r="E5807" s="148" t="str">
        <f t="shared" ca="1" si="187"/>
        <v/>
      </c>
    </row>
    <row r="5808" spans="2:5" x14ac:dyDescent="0.25">
      <c r="B5808">
        <v>43402</v>
      </c>
      <c r="C5808" s="6" t="str">
        <f ca="1">IF(OR($C$7="",$B5808&gt;NOW()),"",IF(INDEX(Data!$A:$G,MATCH($B5808,Data!$A:$A,0),MATCH($C$7,Data!$4:$4,0))="","",INDEX(Data!$A:$G,MATCH($B5808,Data!$A:$A,0),MATCH($C$7,Data!$4:$4,0))))</f>
        <v/>
      </c>
      <c r="D5808" s="148" t="str">
        <f t="shared" ca="1" si="186"/>
        <v/>
      </c>
      <c r="E5808" s="148" t="str">
        <f t="shared" ca="1" si="187"/>
        <v/>
      </c>
    </row>
    <row r="5809" spans="2:5" x14ac:dyDescent="0.25">
      <c r="B5809">
        <v>43403</v>
      </c>
      <c r="C5809" s="6" t="str">
        <f ca="1">IF(OR($C$7="",$B5809&gt;NOW()),"",IF(INDEX(Data!$A:$G,MATCH($B5809,Data!$A:$A,0),MATCH($C$7,Data!$4:$4,0))="","",INDEX(Data!$A:$G,MATCH($B5809,Data!$A:$A,0),MATCH($C$7,Data!$4:$4,0))))</f>
        <v/>
      </c>
      <c r="D5809" s="148" t="str">
        <f t="shared" ca="1" si="186"/>
        <v/>
      </c>
      <c r="E5809" s="148" t="str">
        <f t="shared" ca="1" si="187"/>
        <v/>
      </c>
    </row>
    <row r="5810" spans="2:5" x14ac:dyDescent="0.25">
      <c r="B5810">
        <v>43404</v>
      </c>
      <c r="C5810" s="6" t="str">
        <f ca="1">IF(OR($C$7="",$B5810&gt;NOW()),"",IF(INDEX(Data!$A:$G,MATCH($B5810,Data!$A:$A,0),MATCH($C$7,Data!$4:$4,0))="","",INDEX(Data!$A:$G,MATCH($B5810,Data!$A:$A,0),MATCH($C$7,Data!$4:$4,0))))</f>
        <v/>
      </c>
      <c r="D5810" s="148" t="str">
        <f t="shared" ca="1" si="186"/>
        <v/>
      </c>
      <c r="E5810" s="148" t="str">
        <f t="shared" ca="1" si="187"/>
        <v/>
      </c>
    </row>
    <row r="5811" spans="2:5" x14ac:dyDescent="0.25">
      <c r="B5811">
        <v>43405</v>
      </c>
      <c r="C5811" s="6" t="str">
        <f ca="1">IF(OR($C$7="",$B5811&gt;NOW()),"",IF(INDEX(Data!$A:$G,MATCH($B5811,Data!$A:$A,0),MATCH($C$7,Data!$4:$4,0))="","",INDEX(Data!$A:$G,MATCH($B5811,Data!$A:$A,0),MATCH($C$7,Data!$4:$4,0))))</f>
        <v/>
      </c>
      <c r="D5811" s="148" t="str">
        <f t="shared" ca="1" si="186"/>
        <v/>
      </c>
      <c r="E5811" s="148" t="str">
        <f t="shared" ca="1" si="187"/>
        <v/>
      </c>
    </row>
    <row r="5812" spans="2:5" x14ac:dyDescent="0.25">
      <c r="B5812">
        <v>43406</v>
      </c>
      <c r="C5812" s="6" t="str">
        <f ca="1">IF(OR($C$7="",$B5812&gt;NOW()),"",IF(INDEX(Data!$A:$G,MATCH($B5812,Data!$A:$A,0),MATCH($C$7,Data!$4:$4,0))="","",INDEX(Data!$A:$G,MATCH($B5812,Data!$A:$A,0),MATCH($C$7,Data!$4:$4,0))))</f>
        <v/>
      </c>
      <c r="D5812" s="148" t="str">
        <f t="shared" ca="1" si="186"/>
        <v/>
      </c>
      <c r="E5812" s="148" t="str">
        <f t="shared" ca="1" si="187"/>
        <v/>
      </c>
    </row>
    <row r="5813" spans="2:5" x14ac:dyDescent="0.25">
      <c r="B5813">
        <v>43407</v>
      </c>
      <c r="C5813" s="6" t="str">
        <f ca="1">IF(OR($C$7="",$B5813&gt;NOW()),"",IF(INDEX(Data!$A:$G,MATCH($B5813,Data!$A:$A,0),MATCH($C$7,Data!$4:$4,0))="","",INDEX(Data!$A:$G,MATCH($B5813,Data!$A:$A,0),MATCH($C$7,Data!$4:$4,0))))</f>
        <v/>
      </c>
      <c r="D5813" s="148" t="str">
        <f t="shared" ca="1" si="186"/>
        <v/>
      </c>
      <c r="E5813" s="148" t="str">
        <f t="shared" ca="1" si="187"/>
        <v/>
      </c>
    </row>
    <row r="5814" spans="2:5" x14ac:dyDescent="0.25">
      <c r="B5814">
        <v>43408</v>
      </c>
      <c r="C5814" s="6" t="str">
        <f ca="1">IF(OR($C$7="",$B5814&gt;NOW()),"",IF(INDEX(Data!$A:$G,MATCH($B5814,Data!$A:$A,0),MATCH($C$7,Data!$4:$4,0))="","",INDEX(Data!$A:$G,MATCH($B5814,Data!$A:$A,0),MATCH($C$7,Data!$4:$4,0))))</f>
        <v/>
      </c>
      <c r="D5814" s="148" t="str">
        <f t="shared" ca="1" si="186"/>
        <v/>
      </c>
      <c r="E5814" s="148" t="str">
        <f t="shared" ca="1" si="187"/>
        <v/>
      </c>
    </row>
    <row r="5815" spans="2:5" x14ac:dyDescent="0.25">
      <c r="B5815">
        <v>43409</v>
      </c>
      <c r="C5815" s="6" t="str">
        <f ca="1">IF(OR($C$7="",$B5815&gt;NOW()),"",IF(INDEX(Data!$A:$G,MATCH($B5815,Data!$A:$A,0),MATCH($C$7,Data!$4:$4,0))="","",INDEX(Data!$A:$G,MATCH($B5815,Data!$A:$A,0),MATCH($C$7,Data!$4:$4,0))))</f>
        <v/>
      </c>
      <c r="D5815" s="148" t="str">
        <f t="shared" ca="1" si="186"/>
        <v/>
      </c>
      <c r="E5815" s="148" t="str">
        <f t="shared" ca="1" si="187"/>
        <v/>
      </c>
    </row>
    <row r="5816" spans="2:5" x14ac:dyDescent="0.25">
      <c r="B5816">
        <v>43410</v>
      </c>
      <c r="C5816" s="6" t="str">
        <f ca="1">IF(OR($C$7="",$B5816&gt;NOW()),"",IF(INDEX(Data!$A:$G,MATCH($B5816,Data!$A:$A,0),MATCH($C$7,Data!$4:$4,0))="","",INDEX(Data!$A:$G,MATCH($B5816,Data!$A:$A,0),MATCH($C$7,Data!$4:$4,0))))</f>
        <v/>
      </c>
      <c r="D5816" s="148" t="str">
        <f t="shared" ca="1" si="186"/>
        <v/>
      </c>
      <c r="E5816" s="148" t="str">
        <f t="shared" ca="1" si="187"/>
        <v/>
      </c>
    </row>
    <row r="5817" spans="2:5" x14ac:dyDescent="0.25">
      <c r="B5817">
        <v>43411</v>
      </c>
      <c r="C5817" s="6" t="str">
        <f ca="1">IF(OR($C$7="",$B5817&gt;NOW()),"",IF(INDEX(Data!$A:$G,MATCH($B5817,Data!$A:$A,0),MATCH($C$7,Data!$4:$4,0))="","",INDEX(Data!$A:$G,MATCH($B5817,Data!$A:$A,0),MATCH($C$7,Data!$4:$4,0))))</f>
        <v/>
      </c>
      <c r="D5817" s="148" t="str">
        <f t="shared" ca="1" si="186"/>
        <v/>
      </c>
      <c r="E5817" s="148" t="str">
        <f t="shared" ca="1" si="187"/>
        <v/>
      </c>
    </row>
    <row r="5818" spans="2:5" x14ac:dyDescent="0.25">
      <c r="B5818">
        <v>43412</v>
      </c>
      <c r="C5818" s="6" t="str">
        <f ca="1">IF(OR($C$7="",$B5818&gt;NOW()),"",IF(INDEX(Data!$A:$G,MATCH($B5818,Data!$A:$A,0),MATCH($C$7,Data!$4:$4,0))="","",INDEX(Data!$A:$G,MATCH($B5818,Data!$A:$A,0),MATCH($C$7,Data!$4:$4,0))))</f>
        <v/>
      </c>
      <c r="D5818" s="148" t="str">
        <f t="shared" ca="1" si="186"/>
        <v/>
      </c>
      <c r="E5818" s="148" t="str">
        <f t="shared" ca="1" si="187"/>
        <v/>
      </c>
    </row>
    <row r="5819" spans="2:5" x14ac:dyDescent="0.25">
      <c r="B5819">
        <v>43413</v>
      </c>
      <c r="C5819" s="6" t="str">
        <f ca="1">IF(OR($C$7="",$B5819&gt;NOW()),"",IF(INDEX(Data!$A:$G,MATCH($B5819,Data!$A:$A,0),MATCH($C$7,Data!$4:$4,0))="","",INDEX(Data!$A:$G,MATCH($B5819,Data!$A:$A,0),MATCH($C$7,Data!$4:$4,0))))</f>
        <v/>
      </c>
      <c r="D5819" s="148" t="str">
        <f t="shared" ca="1" si="186"/>
        <v/>
      </c>
      <c r="E5819" s="148" t="str">
        <f t="shared" ca="1" si="187"/>
        <v/>
      </c>
    </row>
    <row r="5820" spans="2:5" x14ac:dyDescent="0.25">
      <c r="B5820">
        <v>43414</v>
      </c>
      <c r="C5820" s="6" t="str">
        <f ca="1">IF(OR($C$7="",$B5820&gt;NOW()),"",IF(INDEX(Data!$A:$G,MATCH($B5820,Data!$A:$A,0),MATCH($C$7,Data!$4:$4,0))="","",INDEX(Data!$A:$G,MATCH($B5820,Data!$A:$A,0),MATCH($C$7,Data!$4:$4,0))))</f>
        <v/>
      </c>
      <c r="D5820" s="148" t="str">
        <f t="shared" ca="1" si="186"/>
        <v/>
      </c>
      <c r="E5820" s="148" t="str">
        <f t="shared" ca="1" si="187"/>
        <v/>
      </c>
    </row>
    <row r="5821" spans="2:5" x14ac:dyDescent="0.25">
      <c r="B5821">
        <v>43415</v>
      </c>
      <c r="C5821" s="6" t="str">
        <f ca="1">IF(OR($C$7="",$B5821&gt;NOW()),"",IF(INDEX(Data!$A:$G,MATCH($B5821,Data!$A:$A,0),MATCH($C$7,Data!$4:$4,0))="","",INDEX(Data!$A:$G,MATCH($B5821,Data!$A:$A,0),MATCH($C$7,Data!$4:$4,0))))</f>
        <v/>
      </c>
      <c r="D5821" s="148" t="str">
        <f t="shared" ca="1" si="186"/>
        <v/>
      </c>
      <c r="E5821" s="148" t="str">
        <f t="shared" ca="1" si="187"/>
        <v/>
      </c>
    </row>
    <row r="5822" spans="2:5" x14ac:dyDescent="0.25">
      <c r="B5822">
        <v>43416</v>
      </c>
      <c r="C5822" s="6" t="str">
        <f ca="1">IF(OR($C$7="",$B5822&gt;NOW()),"",IF(INDEX(Data!$A:$G,MATCH($B5822,Data!$A:$A,0),MATCH($C$7,Data!$4:$4,0))="","",INDEX(Data!$A:$G,MATCH($B5822,Data!$A:$A,0),MATCH($C$7,Data!$4:$4,0))))</f>
        <v/>
      </c>
      <c r="D5822" s="148" t="str">
        <f t="shared" ca="1" si="186"/>
        <v/>
      </c>
      <c r="E5822" s="148" t="str">
        <f t="shared" ca="1" si="187"/>
        <v/>
      </c>
    </row>
    <row r="5823" spans="2:5" x14ac:dyDescent="0.25">
      <c r="B5823">
        <v>43417</v>
      </c>
      <c r="C5823" s="6" t="str">
        <f ca="1">IF(OR($C$7="",$B5823&gt;NOW()),"",IF(INDEX(Data!$A:$G,MATCH($B5823,Data!$A:$A,0),MATCH($C$7,Data!$4:$4,0))="","",INDEX(Data!$A:$G,MATCH($B5823,Data!$A:$A,0),MATCH($C$7,Data!$4:$4,0))))</f>
        <v/>
      </c>
      <c r="D5823" s="148" t="str">
        <f t="shared" ca="1" si="186"/>
        <v/>
      </c>
      <c r="E5823" s="148" t="str">
        <f t="shared" ca="1" si="187"/>
        <v/>
      </c>
    </row>
    <row r="5824" spans="2:5" x14ac:dyDescent="0.25">
      <c r="B5824">
        <v>43418</v>
      </c>
      <c r="C5824" s="6" t="str">
        <f ca="1">IF(OR($C$7="",$B5824&gt;NOW()),"",IF(INDEX(Data!$A:$G,MATCH($B5824,Data!$A:$A,0),MATCH($C$7,Data!$4:$4,0))="","",INDEX(Data!$A:$G,MATCH($B5824,Data!$A:$A,0),MATCH($C$7,Data!$4:$4,0))))</f>
        <v/>
      </c>
      <c r="D5824" s="148" t="str">
        <f t="shared" ca="1" si="186"/>
        <v/>
      </c>
      <c r="E5824" s="148" t="str">
        <f t="shared" ca="1" si="187"/>
        <v/>
      </c>
    </row>
    <row r="5825" spans="2:5" x14ac:dyDescent="0.25">
      <c r="B5825">
        <v>43419</v>
      </c>
      <c r="C5825" s="6" t="str">
        <f ca="1">IF(OR($C$7="",$B5825&gt;NOW()),"",IF(INDEX(Data!$A:$G,MATCH($B5825,Data!$A:$A,0),MATCH($C$7,Data!$4:$4,0))="","",INDEX(Data!$A:$G,MATCH($B5825,Data!$A:$A,0),MATCH($C$7,Data!$4:$4,0))))</f>
        <v/>
      </c>
      <c r="D5825" s="148" t="str">
        <f t="shared" ca="1" si="186"/>
        <v/>
      </c>
      <c r="E5825" s="148" t="str">
        <f t="shared" ca="1" si="187"/>
        <v/>
      </c>
    </row>
    <row r="5826" spans="2:5" x14ac:dyDescent="0.25">
      <c r="B5826">
        <v>43420</v>
      </c>
      <c r="C5826" s="6" t="str">
        <f ca="1">IF(OR($C$7="",$B5826&gt;NOW()),"",IF(INDEX(Data!$A:$G,MATCH($B5826,Data!$A:$A,0),MATCH($C$7,Data!$4:$4,0))="","",INDEX(Data!$A:$G,MATCH($B5826,Data!$A:$A,0),MATCH($C$7,Data!$4:$4,0))))</f>
        <v/>
      </c>
      <c r="D5826" s="148" t="str">
        <f t="shared" ca="1" si="186"/>
        <v/>
      </c>
      <c r="E5826" s="148" t="str">
        <f t="shared" ca="1" si="187"/>
        <v/>
      </c>
    </row>
    <row r="5827" spans="2:5" x14ac:dyDescent="0.25">
      <c r="B5827">
        <v>43421</v>
      </c>
      <c r="C5827" s="6" t="str">
        <f ca="1">IF(OR($C$7="",$B5827&gt;NOW()),"",IF(INDEX(Data!$A:$G,MATCH($B5827,Data!$A:$A,0),MATCH($C$7,Data!$4:$4,0))="","",INDEX(Data!$A:$G,MATCH($B5827,Data!$A:$A,0),MATCH($C$7,Data!$4:$4,0))))</f>
        <v/>
      </c>
      <c r="D5827" s="148" t="str">
        <f t="shared" ca="1" si="186"/>
        <v/>
      </c>
      <c r="E5827" s="148" t="str">
        <f t="shared" ca="1" si="187"/>
        <v/>
      </c>
    </row>
    <row r="5828" spans="2:5" x14ac:dyDescent="0.25">
      <c r="B5828">
        <v>43422</v>
      </c>
      <c r="C5828" s="6" t="str">
        <f ca="1">IF(OR($C$7="",$B5828&gt;NOW()),"",IF(INDEX(Data!$A:$G,MATCH($B5828,Data!$A:$A,0),MATCH($C$7,Data!$4:$4,0))="","",INDEX(Data!$A:$G,MATCH($B5828,Data!$A:$A,0),MATCH($C$7,Data!$4:$4,0))))</f>
        <v/>
      </c>
      <c r="D5828" s="148" t="str">
        <f t="shared" ca="1" si="186"/>
        <v/>
      </c>
      <c r="E5828" s="148" t="str">
        <f t="shared" ca="1" si="187"/>
        <v/>
      </c>
    </row>
    <row r="5829" spans="2:5" x14ac:dyDescent="0.25">
      <c r="B5829">
        <v>43423</v>
      </c>
      <c r="C5829" s="6" t="str">
        <f ca="1">IF(OR($C$7="",$B5829&gt;NOW()),"",IF(INDEX(Data!$A:$G,MATCH($B5829,Data!$A:$A,0),MATCH($C$7,Data!$4:$4,0))="","",INDEX(Data!$A:$G,MATCH($B5829,Data!$A:$A,0),MATCH($C$7,Data!$4:$4,0))))</f>
        <v/>
      </c>
      <c r="D5829" s="148" t="str">
        <f t="shared" ca="1" si="186"/>
        <v/>
      </c>
      <c r="E5829" s="148" t="str">
        <f t="shared" ca="1" si="187"/>
        <v/>
      </c>
    </row>
    <row r="5830" spans="2:5" x14ac:dyDescent="0.25">
      <c r="B5830">
        <v>43424</v>
      </c>
      <c r="C5830" s="6" t="str">
        <f ca="1">IF(OR($C$7="",$B5830&gt;NOW()),"",IF(INDEX(Data!$A:$G,MATCH($B5830,Data!$A:$A,0),MATCH($C$7,Data!$4:$4,0))="","",INDEX(Data!$A:$G,MATCH($B5830,Data!$A:$A,0),MATCH($C$7,Data!$4:$4,0))))</f>
        <v/>
      </c>
      <c r="D5830" s="148" t="str">
        <f t="shared" ca="1" si="186"/>
        <v/>
      </c>
      <c r="E5830" s="148" t="str">
        <f t="shared" ca="1" si="187"/>
        <v/>
      </c>
    </row>
    <row r="5831" spans="2:5" x14ac:dyDescent="0.25">
      <c r="B5831">
        <v>43425</v>
      </c>
      <c r="C5831" s="6" t="str">
        <f ca="1">IF(OR($C$7="",$B5831&gt;NOW()),"",IF(INDEX(Data!$A:$G,MATCH($B5831,Data!$A:$A,0),MATCH($C$7,Data!$4:$4,0))="","",INDEX(Data!$A:$G,MATCH($B5831,Data!$A:$A,0),MATCH($C$7,Data!$4:$4,0))))</f>
        <v/>
      </c>
      <c r="D5831" s="148" t="str">
        <f t="shared" ca="1" si="186"/>
        <v/>
      </c>
      <c r="E5831" s="148" t="str">
        <f t="shared" ca="1" si="187"/>
        <v/>
      </c>
    </row>
    <row r="5832" spans="2:5" x14ac:dyDescent="0.25">
      <c r="B5832">
        <v>43426</v>
      </c>
      <c r="C5832" s="6" t="str">
        <f ca="1">IF(OR($C$7="",$B5832&gt;NOW()),"",IF(INDEX(Data!$A:$G,MATCH($B5832,Data!$A:$A,0),MATCH($C$7,Data!$4:$4,0))="","",INDEX(Data!$A:$G,MATCH($B5832,Data!$A:$A,0),MATCH($C$7,Data!$4:$4,0))))</f>
        <v/>
      </c>
      <c r="D5832" s="148" t="str">
        <f t="shared" ca="1" si="186"/>
        <v/>
      </c>
      <c r="E5832" s="148" t="str">
        <f t="shared" ca="1" si="187"/>
        <v/>
      </c>
    </row>
    <row r="5833" spans="2:5" x14ac:dyDescent="0.25">
      <c r="B5833">
        <v>43427</v>
      </c>
      <c r="C5833" s="6" t="str">
        <f ca="1">IF(OR($C$7="",$B5833&gt;NOW()),"",IF(INDEX(Data!$A:$G,MATCH($B5833,Data!$A:$A,0),MATCH($C$7,Data!$4:$4,0))="","",INDEX(Data!$A:$G,MATCH($B5833,Data!$A:$A,0),MATCH($C$7,Data!$4:$4,0))))</f>
        <v/>
      </c>
      <c r="D5833" s="148" t="str">
        <f t="shared" ca="1" si="186"/>
        <v/>
      </c>
      <c r="E5833" s="148" t="str">
        <f t="shared" ca="1" si="187"/>
        <v/>
      </c>
    </row>
    <row r="5834" spans="2:5" x14ac:dyDescent="0.25">
      <c r="B5834">
        <v>43428</v>
      </c>
      <c r="C5834" s="6" t="str">
        <f ca="1">IF(OR($C$7="",$B5834&gt;NOW()),"",IF(INDEX(Data!$A:$G,MATCH($B5834,Data!$A:$A,0),MATCH($C$7,Data!$4:$4,0))="","",INDEX(Data!$A:$G,MATCH($B5834,Data!$A:$A,0),MATCH($C$7,Data!$4:$4,0))))</f>
        <v/>
      </c>
      <c r="D5834" s="148" t="str">
        <f t="shared" ca="1" si="186"/>
        <v/>
      </c>
      <c r="E5834" s="148" t="str">
        <f t="shared" ca="1" si="187"/>
        <v/>
      </c>
    </row>
    <row r="5835" spans="2:5" x14ac:dyDescent="0.25">
      <c r="B5835">
        <v>43429</v>
      </c>
      <c r="C5835" s="6" t="str">
        <f ca="1">IF(OR($C$7="",$B5835&gt;NOW()),"",IF(INDEX(Data!$A:$G,MATCH($B5835,Data!$A:$A,0),MATCH($C$7,Data!$4:$4,0))="","",INDEX(Data!$A:$G,MATCH($B5835,Data!$A:$A,0),MATCH($C$7,Data!$4:$4,0))))</f>
        <v/>
      </c>
      <c r="D5835" s="148" t="str">
        <f t="shared" ca="1" si="186"/>
        <v/>
      </c>
      <c r="E5835" s="148" t="str">
        <f t="shared" ca="1" si="187"/>
        <v/>
      </c>
    </row>
    <row r="5836" spans="2:5" x14ac:dyDescent="0.25">
      <c r="B5836">
        <v>43430</v>
      </c>
      <c r="C5836" s="6" t="str">
        <f ca="1">IF(OR($C$7="",$B5836&gt;NOW()),"",IF(INDEX(Data!$A:$G,MATCH($B5836,Data!$A:$A,0),MATCH($C$7,Data!$4:$4,0))="","",INDEX(Data!$A:$G,MATCH($B5836,Data!$A:$A,0),MATCH($C$7,Data!$4:$4,0))))</f>
        <v/>
      </c>
      <c r="D5836" s="148" t="str">
        <f t="shared" ca="1" si="186"/>
        <v/>
      </c>
      <c r="E5836" s="148" t="str">
        <f t="shared" ca="1" si="187"/>
        <v/>
      </c>
    </row>
    <row r="5837" spans="2:5" x14ac:dyDescent="0.25">
      <c r="B5837">
        <v>43431</v>
      </c>
      <c r="C5837" s="6" t="str">
        <f ca="1">IF(OR($C$7="",$B5837&gt;NOW()),"",IF(INDEX(Data!$A:$G,MATCH($B5837,Data!$A:$A,0),MATCH($C$7,Data!$4:$4,0))="","",INDEX(Data!$A:$G,MATCH($B5837,Data!$A:$A,0),MATCH($C$7,Data!$4:$4,0))))</f>
        <v/>
      </c>
      <c r="D5837" s="148" t="str">
        <f t="shared" ca="1" si="186"/>
        <v/>
      </c>
      <c r="E5837" s="148" t="str">
        <f t="shared" ca="1" si="187"/>
        <v/>
      </c>
    </row>
    <row r="5838" spans="2:5" x14ac:dyDescent="0.25">
      <c r="B5838">
        <v>43432</v>
      </c>
      <c r="C5838" s="6" t="str">
        <f ca="1">IF(OR($C$7="",$B5838&gt;NOW()),"",IF(INDEX(Data!$A:$G,MATCH($B5838,Data!$A:$A,0),MATCH($C$7,Data!$4:$4,0))="","",INDEX(Data!$A:$G,MATCH($B5838,Data!$A:$A,0),MATCH($C$7,Data!$4:$4,0))))</f>
        <v/>
      </c>
      <c r="D5838" s="148" t="str">
        <f t="shared" ca="1" si="186"/>
        <v/>
      </c>
      <c r="E5838" s="148" t="str">
        <f t="shared" ca="1" si="187"/>
        <v/>
      </c>
    </row>
    <row r="5839" spans="2:5" x14ac:dyDescent="0.25">
      <c r="B5839">
        <v>43433</v>
      </c>
      <c r="C5839" s="6" t="str">
        <f ca="1">IF(OR($C$7="",$B5839&gt;NOW()),"",IF(INDEX(Data!$A:$G,MATCH($B5839,Data!$A:$A,0),MATCH($C$7,Data!$4:$4,0))="","",INDEX(Data!$A:$G,MATCH($B5839,Data!$A:$A,0),MATCH($C$7,Data!$4:$4,0))))</f>
        <v/>
      </c>
      <c r="D5839" s="148" t="str">
        <f t="shared" ca="1" si="186"/>
        <v/>
      </c>
      <c r="E5839" s="148" t="str">
        <f t="shared" ca="1" si="187"/>
        <v/>
      </c>
    </row>
    <row r="5840" spans="2:5" x14ac:dyDescent="0.25">
      <c r="B5840">
        <v>43434</v>
      </c>
      <c r="C5840" s="6" t="str">
        <f ca="1">IF(OR($C$7="",$B5840&gt;NOW()),"",IF(INDEX(Data!$A:$G,MATCH($B5840,Data!$A:$A,0),MATCH($C$7,Data!$4:$4,0))="","",INDEX(Data!$A:$G,MATCH($B5840,Data!$A:$A,0),MATCH($C$7,Data!$4:$4,0))))</f>
        <v/>
      </c>
      <c r="D5840" s="148" t="str">
        <f t="shared" ca="1" si="186"/>
        <v/>
      </c>
      <c r="E5840" s="148" t="str">
        <f t="shared" ca="1" si="187"/>
        <v/>
      </c>
    </row>
    <row r="5841" spans="2:5" x14ac:dyDescent="0.25">
      <c r="B5841">
        <v>43435</v>
      </c>
      <c r="C5841" s="6" t="str">
        <f ca="1">IF(OR($C$7="",$B5841&gt;NOW()),"",IF(INDEX(Data!$A:$G,MATCH($B5841,Data!$A:$A,0),MATCH($C$7,Data!$4:$4,0))="","",INDEX(Data!$A:$G,MATCH($B5841,Data!$A:$A,0),MATCH($C$7,Data!$4:$4,0))))</f>
        <v/>
      </c>
      <c r="D5841" s="148" t="str">
        <f t="shared" ca="1" si="186"/>
        <v/>
      </c>
      <c r="E5841" s="148" t="str">
        <f t="shared" ca="1" si="187"/>
        <v/>
      </c>
    </row>
    <row r="5842" spans="2:5" x14ac:dyDescent="0.25">
      <c r="B5842">
        <v>43436</v>
      </c>
      <c r="C5842" s="6" t="str">
        <f ca="1">IF(OR($C$7="",$B5842&gt;NOW()),"",IF(INDEX(Data!$A:$G,MATCH($B5842,Data!$A:$A,0),MATCH($C$7,Data!$4:$4,0))="","",INDEX(Data!$A:$G,MATCH($B5842,Data!$A:$A,0),MATCH($C$7,Data!$4:$4,0))))</f>
        <v/>
      </c>
      <c r="D5842" s="148" t="str">
        <f t="shared" ca="1" si="186"/>
        <v/>
      </c>
      <c r="E5842" s="148" t="str">
        <f t="shared" ca="1" si="187"/>
        <v/>
      </c>
    </row>
    <row r="5843" spans="2:5" x14ac:dyDescent="0.25">
      <c r="B5843">
        <v>43437</v>
      </c>
      <c r="C5843" s="6" t="str">
        <f ca="1">IF(OR($C$7="",$B5843&gt;NOW()),"",IF(INDEX(Data!$A:$G,MATCH($B5843,Data!$A:$A,0),MATCH($C$7,Data!$4:$4,0))="","",INDEX(Data!$A:$G,MATCH($B5843,Data!$A:$A,0),MATCH($C$7,Data!$4:$4,0))))</f>
        <v/>
      </c>
      <c r="D5843" s="148" t="str">
        <f t="shared" ca="1" si="186"/>
        <v/>
      </c>
      <c r="E5843" s="148" t="str">
        <f t="shared" ca="1" si="187"/>
        <v/>
      </c>
    </row>
    <row r="5844" spans="2:5" x14ac:dyDescent="0.25">
      <c r="B5844">
        <v>43438</v>
      </c>
      <c r="C5844" s="6" t="str">
        <f ca="1">IF(OR($C$7="",$B5844&gt;NOW()),"",IF(INDEX(Data!$A:$G,MATCH($B5844,Data!$A:$A,0),MATCH($C$7,Data!$4:$4,0))="","",INDEX(Data!$A:$G,MATCH($B5844,Data!$A:$A,0),MATCH($C$7,Data!$4:$4,0))))</f>
        <v/>
      </c>
      <c r="D5844" s="148" t="str">
        <f t="shared" ca="1" si="186"/>
        <v/>
      </c>
      <c r="E5844" s="148" t="str">
        <f t="shared" ca="1" si="187"/>
        <v/>
      </c>
    </row>
    <row r="5845" spans="2:5" x14ac:dyDescent="0.25">
      <c r="B5845">
        <v>43439</v>
      </c>
      <c r="C5845" s="6" t="str">
        <f ca="1">IF(OR($C$7="",$B5845&gt;NOW()),"",IF(INDEX(Data!$A:$G,MATCH($B5845,Data!$A:$A,0),MATCH($C$7,Data!$4:$4,0))="","",INDEX(Data!$A:$G,MATCH($B5845,Data!$A:$A,0),MATCH($C$7,Data!$4:$4,0))))</f>
        <v/>
      </c>
      <c r="D5845" s="148" t="str">
        <f t="shared" ca="1" si="186"/>
        <v/>
      </c>
      <c r="E5845" s="148" t="str">
        <f t="shared" ca="1" si="187"/>
        <v/>
      </c>
    </row>
    <row r="5846" spans="2:5" x14ac:dyDescent="0.25">
      <c r="B5846">
        <v>43440</v>
      </c>
      <c r="C5846" s="6" t="str">
        <f ca="1">IF(OR($C$7="",$B5846&gt;NOW()),"",IF(INDEX(Data!$A:$G,MATCH($B5846,Data!$A:$A,0),MATCH($C$7,Data!$4:$4,0))="","",INDEX(Data!$A:$G,MATCH($B5846,Data!$A:$A,0),MATCH($C$7,Data!$4:$4,0))))</f>
        <v/>
      </c>
      <c r="D5846" s="148" t="str">
        <f t="shared" ca="1" si="186"/>
        <v/>
      </c>
      <c r="E5846" s="148" t="str">
        <f t="shared" ca="1" si="187"/>
        <v/>
      </c>
    </row>
    <row r="5847" spans="2:5" x14ac:dyDescent="0.25">
      <c r="B5847">
        <v>43441</v>
      </c>
      <c r="C5847" s="6" t="str">
        <f ca="1">IF(OR($C$7="",$B5847&gt;NOW()),"",IF(INDEX(Data!$A:$G,MATCH($B5847,Data!$A:$A,0),MATCH($C$7,Data!$4:$4,0))="","",INDEX(Data!$A:$G,MATCH($B5847,Data!$A:$A,0),MATCH($C$7,Data!$4:$4,0))))</f>
        <v/>
      </c>
      <c r="D5847" s="148" t="str">
        <f t="shared" ca="1" si="186"/>
        <v/>
      </c>
      <c r="E5847" s="148" t="str">
        <f t="shared" ca="1" si="187"/>
        <v/>
      </c>
    </row>
    <row r="5848" spans="2:5" x14ac:dyDescent="0.25">
      <c r="B5848">
        <v>43442</v>
      </c>
      <c r="C5848" s="6" t="str">
        <f ca="1">IF(OR($C$7="",$B5848&gt;NOW()),"",IF(INDEX(Data!$A:$G,MATCH($B5848,Data!$A:$A,0),MATCH($C$7,Data!$4:$4,0))="","",INDEX(Data!$A:$G,MATCH($B5848,Data!$A:$A,0),MATCH($C$7,Data!$4:$4,0))))</f>
        <v/>
      </c>
      <c r="D5848" s="148" t="str">
        <f t="shared" ca="1" si="186"/>
        <v/>
      </c>
      <c r="E5848" s="148" t="str">
        <f t="shared" ca="1" si="187"/>
        <v/>
      </c>
    </row>
    <row r="5849" spans="2:5" x14ac:dyDescent="0.25">
      <c r="B5849">
        <v>43443</v>
      </c>
      <c r="C5849" s="6" t="str">
        <f ca="1">IF(OR($C$7="",$B5849&gt;NOW()),"",IF(INDEX(Data!$A:$G,MATCH($B5849,Data!$A:$A,0),MATCH($C$7,Data!$4:$4,0))="","",INDEX(Data!$A:$G,MATCH($B5849,Data!$A:$A,0),MATCH($C$7,Data!$4:$4,0))))</f>
        <v/>
      </c>
      <c r="D5849" s="148" t="str">
        <f t="shared" ca="1" si="186"/>
        <v/>
      </c>
      <c r="E5849" s="148" t="str">
        <f t="shared" ca="1" si="187"/>
        <v/>
      </c>
    </row>
    <row r="5850" spans="2:5" x14ac:dyDescent="0.25">
      <c r="B5850">
        <v>43444</v>
      </c>
      <c r="C5850" s="6" t="str">
        <f ca="1">IF(OR($C$7="",$B5850&gt;NOW()),"",IF(INDEX(Data!$A:$G,MATCH($B5850,Data!$A:$A,0),MATCH($C$7,Data!$4:$4,0))="","",INDEX(Data!$A:$G,MATCH($B5850,Data!$A:$A,0),MATCH($C$7,Data!$4:$4,0))))</f>
        <v/>
      </c>
      <c r="D5850" s="148" t="str">
        <f t="shared" ca="1" si="186"/>
        <v/>
      </c>
      <c r="E5850" s="148" t="str">
        <f t="shared" ca="1" si="187"/>
        <v/>
      </c>
    </row>
    <row r="5851" spans="2:5" x14ac:dyDescent="0.25">
      <c r="B5851">
        <v>43445</v>
      </c>
      <c r="C5851" s="6" t="str">
        <f ca="1">IF(OR($C$7="",$B5851&gt;NOW()),"",IF(INDEX(Data!$A:$G,MATCH($B5851,Data!$A:$A,0),MATCH($C$7,Data!$4:$4,0))="","",INDEX(Data!$A:$G,MATCH($B5851,Data!$A:$A,0),MATCH($C$7,Data!$4:$4,0))))</f>
        <v/>
      </c>
      <c r="D5851" s="148" t="str">
        <f t="shared" ca="1" si="186"/>
        <v/>
      </c>
      <c r="E5851" s="148" t="str">
        <f t="shared" ca="1" si="187"/>
        <v/>
      </c>
    </row>
    <row r="5852" spans="2:5" x14ac:dyDescent="0.25">
      <c r="B5852">
        <v>43446</v>
      </c>
      <c r="C5852" s="6" t="str">
        <f ca="1">IF(OR($C$7="",$B5852&gt;NOW()),"",IF(INDEX(Data!$A:$G,MATCH($B5852,Data!$A:$A,0),MATCH($C$7,Data!$4:$4,0))="","",INDEX(Data!$A:$G,MATCH($B5852,Data!$A:$A,0),MATCH($C$7,Data!$4:$4,0))))</f>
        <v/>
      </c>
      <c r="D5852" s="148" t="str">
        <f t="shared" ca="1" si="186"/>
        <v/>
      </c>
      <c r="E5852" s="148" t="str">
        <f t="shared" ca="1" si="187"/>
        <v/>
      </c>
    </row>
    <row r="5853" spans="2:5" x14ac:dyDescent="0.25">
      <c r="B5853">
        <v>43447</v>
      </c>
      <c r="C5853" s="6" t="str">
        <f ca="1">IF(OR($C$7="",$B5853&gt;NOW()),"",IF(INDEX(Data!$A:$G,MATCH($B5853,Data!$A:$A,0),MATCH($C$7,Data!$4:$4,0))="","",INDEX(Data!$A:$G,MATCH($B5853,Data!$A:$A,0),MATCH($C$7,Data!$4:$4,0))))</f>
        <v/>
      </c>
      <c r="D5853" s="148" t="str">
        <f t="shared" ref="D5853:D5916" ca="1" si="188">IF($C5853="","",IF($C5853&gt;$D$26,0,$D$26-$C5853))</f>
        <v/>
      </c>
      <c r="E5853" s="148" t="str">
        <f t="shared" ref="E5853:E5916" ca="1" si="189">IF($C5853="","",IF($C5853&lt;$E$26,0,$C5853-$E$26))</f>
        <v/>
      </c>
    </row>
    <row r="5854" spans="2:5" x14ac:dyDescent="0.25">
      <c r="B5854">
        <v>43448</v>
      </c>
      <c r="C5854" s="6" t="str">
        <f ca="1">IF(OR($C$7="",$B5854&gt;NOW()),"",IF(INDEX(Data!$A:$G,MATCH($B5854,Data!$A:$A,0),MATCH($C$7,Data!$4:$4,0))="","",INDEX(Data!$A:$G,MATCH($B5854,Data!$A:$A,0),MATCH($C$7,Data!$4:$4,0))))</f>
        <v/>
      </c>
      <c r="D5854" s="148" t="str">
        <f t="shared" ca="1" si="188"/>
        <v/>
      </c>
      <c r="E5854" s="148" t="str">
        <f t="shared" ca="1" si="189"/>
        <v/>
      </c>
    </row>
    <row r="5855" spans="2:5" x14ac:dyDescent="0.25">
      <c r="B5855">
        <v>43449</v>
      </c>
      <c r="C5855" s="6" t="str">
        <f ca="1">IF(OR($C$7="",$B5855&gt;NOW()),"",IF(INDEX(Data!$A:$G,MATCH($B5855,Data!$A:$A,0),MATCH($C$7,Data!$4:$4,0))="","",INDEX(Data!$A:$G,MATCH($B5855,Data!$A:$A,0),MATCH($C$7,Data!$4:$4,0))))</f>
        <v/>
      </c>
      <c r="D5855" s="148" t="str">
        <f t="shared" ca="1" si="188"/>
        <v/>
      </c>
      <c r="E5855" s="148" t="str">
        <f t="shared" ca="1" si="189"/>
        <v/>
      </c>
    </row>
    <row r="5856" spans="2:5" x14ac:dyDescent="0.25">
      <c r="B5856">
        <v>43450</v>
      </c>
      <c r="C5856" s="6" t="str">
        <f ca="1">IF(OR($C$7="",$B5856&gt;NOW()),"",IF(INDEX(Data!$A:$G,MATCH($B5856,Data!$A:$A,0),MATCH($C$7,Data!$4:$4,0))="","",INDEX(Data!$A:$G,MATCH($B5856,Data!$A:$A,0),MATCH($C$7,Data!$4:$4,0))))</f>
        <v/>
      </c>
      <c r="D5856" s="148" t="str">
        <f t="shared" ca="1" si="188"/>
        <v/>
      </c>
      <c r="E5856" s="148" t="str">
        <f t="shared" ca="1" si="189"/>
        <v/>
      </c>
    </row>
    <row r="5857" spans="2:5" x14ac:dyDescent="0.25">
      <c r="B5857">
        <v>43451</v>
      </c>
      <c r="C5857" s="6" t="str">
        <f ca="1">IF(OR($C$7="",$B5857&gt;NOW()),"",IF(INDEX(Data!$A:$G,MATCH($B5857,Data!$A:$A,0),MATCH($C$7,Data!$4:$4,0))="","",INDEX(Data!$A:$G,MATCH($B5857,Data!$A:$A,0),MATCH($C$7,Data!$4:$4,0))))</f>
        <v/>
      </c>
      <c r="D5857" s="148" t="str">
        <f t="shared" ca="1" si="188"/>
        <v/>
      </c>
      <c r="E5857" s="148" t="str">
        <f t="shared" ca="1" si="189"/>
        <v/>
      </c>
    </row>
    <row r="5858" spans="2:5" x14ac:dyDescent="0.25">
      <c r="B5858">
        <v>43452</v>
      </c>
      <c r="C5858" s="6" t="str">
        <f ca="1">IF(OR($C$7="",$B5858&gt;NOW()),"",IF(INDEX(Data!$A:$G,MATCH($B5858,Data!$A:$A,0),MATCH($C$7,Data!$4:$4,0))="","",INDEX(Data!$A:$G,MATCH($B5858,Data!$A:$A,0),MATCH($C$7,Data!$4:$4,0))))</f>
        <v/>
      </c>
      <c r="D5858" s="148" t="str">
        <f t="shared" ca="1" si="188"/>
        <v/>
      </c>
      <c r="E5858" s="148" t="str">
        <f t="shared" ca="1" si="189"/>
        <v/>
      </c>
    </row>
    <row r="5859" spans="2:5" x14ac:dyDescent="0.25">
      <c r="B5859">
        <v>43453</v>
      </c>
      <c r="C5859" s="6" t="str">
        <f ca="1">IF(OR($C$7="",$B5859&gt;NOW()),"",IF(INDEX(Data!$A:$G,MATCH($B5859,Data!$A:$A,0),MATCH($C$7,Data!$4:$4,0))="","",INDEX(Data!$A:$G,MATCH($B5859,Data!$A:$A,0),MATCH($C$7,Data!$4:$4,0))))</f>
        <v/>
      </c>
      <c r="D5859" s="148" t="str">
        <f t="shared" ca="1" si="188"/>
        <v/>
      </c>
      <c r="E5859" s="148" t="str">
        <f t="shared" ca="1" si="189"/>
        <v/>
      </c>
    </row>
    <row r="5860" spans="2:5" x14ac:dyDescent="0.25">
      <c r="B5860">
        <v>43454</v>
      </c>
      <c r="C5860" s="6" t="str">
        <f ca="1">IF(OR($C$7="",$B5860&gt;NOW()),"",IF(INDEX(Data!$A:$G,MATCH($B5860,Data!$A:$A,0),MATCH($C$7,Data!$4:$4,0))="","",INDEX(Data!$A:$G,MATCH($B5860,Data!$A:$A,0),MATCH($C$7,Data!$4:$4,0))))</f>
        <v/>
      </c>
      <c r="D5860" s="148" t="str">
        <f t="shared" ca="1" si="188"/>
        <v/>
      </c>
      <c r="E5860" s="148" t="str">
        <f t="shared" ca="1" si="189"/>
        <v/>
      </c>
    </row>
    <row r="5861" spans="2:5" x14ac:dyDescent="0.25">
      <c r="B5861">
        <v>43455</v>
      </c>
      <c r="C5861" s="6" t="str">
        <f ca="1">IF(OR($C$7="",$B5861&gt;NOW()),"",IF(INDEX(Data!$A:$G,MATCH($B5861,Data!$A:$A,0),MATCH($C$7,Data!$4:$4,0))="","",INDEX(Data!$A:$G,MATCH($B5861,Data!$A:$A,0),MATCH($C$7,Data!$4:$4,0))))</f>
        <v/>
      </c>
      <c r="D5861" s="148" t="str">
        <f t="shared" ca="1" si="188"/>
        <v/>
      </c>
      <c r="E5861" s="148" t="str">
        <f t="shared" ca="1" si="189"/>
        <v/>
      </c>
    </row>
    <row r="5862" spans="2:5" x14ac:dyDescent="0.25">
      <c r="B5862">
        <v>43456</v>
      </c>
      <c r="C5862" s="6" t="str">
        <f ca="1">IF(OR($C$7="",$B5862&gt;NOW()),"",IF(INDEX(Data!$A:$G,MATCH($B5862,Data!$A:$A,0),MATCH($C$7,Data!$4:$4,0))="","",INDEX(Data!$A:$G,MATCH($B5862,Data!$A:$A,0),MATCH($C$7,Data!$4:$4,0))))</f>
        <v/>
      </c>
      <c r="D5862" s="148" t="str">
        <f t="shared" ca="1" si="188"/>
        <v/>
      </c>
      <c r="E5862" s="148" t="str">
        <f t="shared" ca="1" si="189"/>
        <v/>
      </c>
    </row>
    <row r="5863" spans="2:5" x14ac:dyDescent="0.25">
      <c r="B5863">
        <v>43457</v>
      </c>
      <c r="C5863" s="6" t="str">
        <f ca="1">IF(OR($C$7="",$B5863&gt;NOW()),"",IF(INDEX(Data!$A:$G,MATCH($B5863,Data!$A:$A,0),MATCH($C$7,Data!$4:$4,0))="","",INDEX(Data!$A:$G,MATCH($B5863,Data!$A:$A,0),MATCH($C$7,Data!$4:$4,0))))</f>
        <v/>
      </c>
      <c r="D5863" s="148" t="str">
        <f t="shared" ca="1" si="188"/>
        <v/>
      </c>
      <c r="E5863" s="148" t="str">
        <f t="shared" ca="1" si="189"/>
        <v/>
      </c>
    </row>
    <row r="5864" spans="2:5" x14ac:dyDescent="0.25">
      <c r="B5864">
        <v>43458</v>
      </c>
      <c r="C5864" s="6" t="str">
        <f ca="1">IF(OR($C$7="",$B5864&gt;NOW()),"",IF(INDEX(Data!$A:$G,MATCH($B5864,Data!$A:$A,0),MATCH($C$7,Data!$4:$4,0))="","",INDEX(Data!$A:$G,MATCH($B5864,Data!$A:$A,0),MATCH($C$7,Data!$4:$4,0))))</f>
        <v/>
      </c>
      <c r="D5864" s="148" t="str">
        <f t="shared" ca="1" si="188"/>
        <v/>
      </c>
      <c r="E5864" s="148" t="str">
        <f t="shared" ca="1" si="189"/>
        <v/>
      </c>
    </row>
    <row r="5865" spans="2:5" x14ac:dyDescent="0.25">
      <c r="B5865">
        <v>43459</v>
      </c>
      <c r="C5865" s="6" t="str">
        <f ca="1">IF(OR($C$7="",$B5865&gt;NOW()),"",IF(INDEX(Data!$A:$G,MATCH($B5865,Data!$A:$A,0),MATCH($C$7,Data!$4:$4,0))="","",INDEX(Data!$A:$G,MATCH($B5865,Data!$A:$A,0),MATCH($C$7,Data!$4:$4,0))))</f>
        <v/>
      </c>
      <c r="D5865" s="148" t="str">
        <f t="shared" ca="1" si="188"/>
        <v/>
      </c>
      <c r="E5865" s="148" t="str">
        <f t="shared" ca="1" si="189"/>
        <v/>
      </c>
    </row>
    <row r="5866" spans="2:5" x14ac:dyDescent="0.25">
      <c r="B5866">
        <v>43460</v>
      </c>
      <c r="C5866" s="6" t="str">
        <f ca="1">IF(OR($C$7="",$B5866&gt;NOW()),"",IF(INDEX(Data!$A:$G,MATCH($B5866,Data!$A:$A,0),MATCH($C$7,Data!$4:$4,0))="","",INDEX(Data!$A:$G,MATCH($B5866,Data!$A:$A,0),MATCH($C$7,Data!$4:$4,0))))</f>
        <v/>
      </c>
      <c r="D5866" s="148" t="str">
        <f t="shared" ca="1" si="188"/>
        <v/>
      </c>
      <c r="E5866" s="148" t="str">
        <f t="shared" ca="1" si="189"/>
        <v/>
      </c>
    </row>
    <row r="5867" spans="2:5" x14ac:dyDescent="0.25">
      <c r="B5867">
        <v>43461</v>
      </c>
      <c r="C5867" s="6" t="str">
        <f ca="1">IF(OR($C$7="",$B5867&gt;NOW()),"",IF(INDEX(Data!$A:$G,MATCH($B5867,Data!$A:$A,0),MATCH($C$7,Data!$4:$4,0))="","",INDEX(Data!$A:$G,MATCH($B5867,Data!$A:$A,0),MATCH($C$7,Data!$4:$4,0))))</f>
        <v/>
      </c>
      <c r="D5867" s="148" t="str">
        <f t="shared" ca="1" si="188"/>
        <v/>
      </c>
      <c r="E5867" s="148" t="str">
        <f t="shared" ca="1" si="189"/>
        <v/>
      </c>
    </row>
    <row r="5868" spans="2:5" x14ac:dyDescent="0.25">
      <c r="B5868">
        <v>43462</v>
      </c>
      <c r="C5868" s="6" t="str">
        <f ca="1">IF(OR($C$7="",$B5868&gt;NOW()),"",IF(INDEX(Data!$A:$G,MATCH($B5868,Data!$A:$A,0),MATCH($C$7,Data!$4:$4,0))="","",INDEX(Data!$A:$G,MATCH($B5868,Data!$A:$A,0),MATCH($C$7,Data!$4:$4,0))))</f>
        <v/>
      </c>
      <c r="D5868" s="148" t="str">
        <f t="shared" ca="1" si="188"/>
        <v/>
      </c>
      <c r="E5868" s="148" t="str">
        <f t="shared" ca="1" si="189"/>
        <v/>
      </c>
    </row>
    <row r="5869" spans="2:5" x14ac:dyDescent="0.25">
      <c r="B5869">
        <v>43463</v>
      </c>
      <c r="C5869" s="6" t="str">
        <f ca="1">IF(OR($C$7="",$B5869&gt;NOW()),"",IF(INDEX(Data!$A:$G,MATCH($B5869,Data!$A:$A,0),MATCH($C$7,Data!$4:$4,0))="","",INDEX(Data!$A:$G,MATCH($B5869,Data!$A:$A,0),MATCH($C$7,Data!$4:$4,0))))</f>
        <v/>
      </c>
      <c r="D5869" s="148" t="str">
        <f t="shared" ca="1" si="188"/>
        <v/>
      </c>
      <c r="E5869" s="148" t="str">
        <f t="shared" ca="1" si="189"/>
        <v/>
      </c>
    </row>
    <row r="5870" spans="2:5" x14ac:dyDescent="0.25">
      <c r="B5870">
        <v>43464</v>
      </c>
      <c r="C5870" s="6" t="str">
        <f ca="1">IF(OR($C$7="",$B5870&gt;NOW()),"",IF(INDEX(Data!$A:$G,MATCH($B5870,Data!$A:$A,0),MATCH($C$7,Data!$4:$4,0))="","",INDEX(Data!$A:$G,MATCH($B5870,Data!$A:$A,0),MATCH($C$7,Data!$4:$4,0))))</f>
        <v/>
      </c>
      <c r="D5870" s="148" t="str">
        <f t="shared" ca="1" si="188"/>
        <v/>
      </c>
      <c r="E5870" s="148" t="str">
        <f t="shared" ca="1" si="189"/>
        <v/>
      </c>
    </row>
    <row r="5871" spans="2:5" x14ac:dyDescent="0.25">
      <c r="B5871">
        <v>43465</v>
      </c>
      <c r="C5871" s="6" t="str">
        <f ca="1">IF(OR($C$7="",$B5871&gt;NOW()),"",IF(INDEX(Data!$A:$G,MATCH($B5871,Data!$A:$A,0),MATCH($C$7,Data!$4:$4,0))="","",INDEX(Data!$A:$G,MATCH($B5871,Data!$A:$A,0),MATCH($C$7,Data!$4:$4,0))))</f>
        <v/>
      </c>
      <c r="D5871" s="148" t="str">
        <f t="shared" ca="1" si="188"/>
        <v/>
      </c>
      <c r="E5871" s="148" t="str">
        <f t="shared" ca="1" si="189"/>
        <v/>
      </c>
    </row>
    <row r="5872" spans="2:5" x14ac:dyDescent="0.25">
      <c r="B5872">
        <v>43466</v>
      </c>
      <c r="C5872" s="6" t="str">
        <f ca="1">IF(OR($C$7="",$B5872&gt;NOW()),"",IF(INDEX(Data!$A:$G,MATCH($B5872,Data!$A:$A,0),MATCH($C$7,Data!$4:$4,0))="","",INDEX(Data!$A:$G,MATCH($B5872,Data!$A:$A,0),MATCH($C$7,Data!$4:$4,0))))</f>
        <v/>
      </c>
      <c r="D5872" s="148" t="str">
        <f t="shared" ca="1" si="188"/>
        <v/>
      </c>
      <c r="E5872" s="148" t="str">
        <f t="shared" ca="1" si="189"/>
        <v/>
      </c>
    </row>
    <row r="5873" spans="2:5" x14ac:dyDescent="0.25">
      <c r="B5873">
        <v>43467</v>
      </c>
      <c r="C5873" s="6" t="str">
        <f ca="1">IF(OR($C$7="",$B5873&gt;NOW()),"",IF(INDEX(Data!$A:$G,MATCH($B5873,Data!$A:$A,0),MATCH($C$7,Data!$4:$4,0))="","",INDEX(Data!$A:$G,MATCH($B5873,Data!$A:$A,0),MATCH($C$7,Data!$4:$4,0))))</f>
        <v/>
      </c>
      <c r="D5873" s="148" t="str">
        <f t="shared" ca="1" si="188"/>
        <v/>
      </c>
      <c r="E5873" s="148" t="str">
        <f t="shared" ca="1" si="189"/>
        <v/>
      </c>
    </row>
    <row r="5874" spans="2:5" x14ac:dyDescent="0.25">
      <c r="B5874">
        <v>43468</v>
      </c>
      <c r="C5874" s="6" t="str">
        <f ca="1">IF(OR($C$7="",$B5874&gt;NOW()),"",IF(INDEX(Data!$A:$G,MATCH($B5874,Data!$A:$A,0),MATCH($C$7,Data!$4:$4,0))="","",INDEX(Data!$A:$G,MATCH($B5874,Data!$A:$A,0),MATCH($C$7,Data!$4:$4,0))))</f>
        <v/>
      </c>
      <c r="D5874" s="148" t="str">
        <f t="shared" ca="1" si="188"/>
        <v/>
      </c>
      <c r="E5874" s="148" t="str">
        <f t="shared" ca="1" si="189"/>
        <v/>
      </c>
    </row>
    <row r="5875" spans="2:5" x14ac:dyDescent="0.25">
      <c r="B5875">
        <v>43469</v>
      </c>
      <c r="C5875" s="6" t="str">
        <f ca="1">IF(OR($C$7="",$B5875&gt;NOW()),"",IF(INDEX(Data!$A:$G,MATCH($B5875,Data!$A:$A,0),MATCH($C$7,Data!$4:$4,0))="","",INDEX(Data!$A:$G,MATCH($B5875,Data!$A:$A,0),MATCH($C$7,Data!$4:$4,0))))</f>
        <v/>
      </c>
      <c r="D5875" s="148" t="str">
        <f t="shared" ca="1" si="188"/>
        <v/>
      </c>
      <c r="E5875" s="148" t="str">
        <f t="shared" ca="1" si="189"/>
        <v/>
      </c>
    </row>
    <row r="5876" spans="2:5" x14ac:dyDescent="0.25">
      <c r="B5876">
        <v>43470</v>
      </c>
      <c r="C5876" s="6" t="str">
        <f ca="1">IF(OR($C$7="",$B5876&gt;NOW()),"",IF(INDEX(Data!$A:$G,MATCH($B5876,Data!$A:$A,0),MATCH($C$7,Data!$4:$4,0))="","",INDEX(Data!$A:$G,MATCH($B5876,Data!$A:$A,0),MATCH($C$7,Data!$4:$4,0))))</f>
        <v/>
      </c>
      <c r="D5876" s="148" t="str">
        <f t="shared" ca="1" si="188"/>
        <v/>
      </c>
      <c r="E5876" s="148" t="str">
        <f t="shared" ca="1" si="189"/>
        <v/>
      </c>
    </row>
    <row r="5877" spans="2:5" x14ac:dyDescent="0.25">
      <c r="B5877">
        <v>43471</v>
      </c>
      <c r="C5877" s="6" t="str">
        <f ca="1">IF(OR($C$7="",$B5877&gt;NOW()),"",IF(INDEX(Data!$A:$G,MATCH($B5877,Data!$A:$A,0),MATCH($C$7,Data!$4:$4,0))="","",INDEX(Data!$A:$G,MATCH($B5877,Data!$A:$A,0),MATCH($C$7,Data!$4:$4,0))))</f>
        <v/>
      </c>
      <c r="D5877" s="148" t="str">
        <f t="shared" ca="1" si="188"/>
        <v/>
      </c>
      <c r="E5877" s="148" t="str">
        <f t="shared" ca="1" si="189"/>
        <v/>
      </c>
    </row>
    <row r="5878" spans="2:5" x14ac:dyDescent="0.25">
      <c r="B5878">
        <v>43472</v>
      </c>
      <c r="C5878" s="6" t="str">
        <f ca="1">IF(OR($C$7="",$B5878&gt;NOW()),"",IF(INDEX(Data!$A:$G,MATCH($B5878,Data!$A:$A,0),MATCH($C$7,Data!$4:$4,0))="","",INDEX(Data!$A:$G,MATCH($B5878,Data!$A:$A,0),MATCH($C$7,Data!$4:$4,0))))</f>
        <v/>
      </c>
      <c r="D5878" s="148" t="str">
        <f t="shared" ca="1" si="188"/>
        <v/>
      </c>
      <c r="E5878" s="148" t="str">
        <f t="shared" ca="1" si="189"/>
        <v/>
      </c>
    </row>
    <row r="5879" spans="2:5" x14ac:dyDescent="0.25">
      <c r="B5879">
        <v>43473</v>
      </c>
      <c r="C5879" s="6" t="str">
        <f ca="1">IF(OR($C$7="",$B5879&gt;NOW()),"",IF(INDEX(Data!$A:$G,MATCH($B5879,Data!$A:$A,0),MATCH($C$7,Data!$4:$4,0))="","",INDEX(Data!$A:$G,MATCH($B5879,Data!$A:$A,0),MATCH($C$7,Data!$4:$4,0))))</f>
        <v/>
      </c>
      <c r="D5879" s="148" t="str">
        <f t="shared" ca="1" si="188"/>
        <v/>
      </c>
      <c r="E5879" s="148" t="str">
        <f t="shared" ca="1" si="189"/>
        <v/>
      </c>
    </row>
    <row r="5880" spans="2:5" x14ac:dyDescent="0.25">
      <c r="B5880">
        <v>43474</v>
      </c>
      <c r="C5880" s="6" t="str">
        <f ca="1">IF(OR($C$7="",$B5880&gt;NOW()),"",IF(INDEX(Data!$A:$G,MATCH($B5880,Data!$A:$A,0),MATCH($C$7,Data!$4:$4,0))="","",INDEX(Data!$A:$G,MATCH($B5880,Data!$A:$A,0),MATCH($C$7,Data!$4:$4,0))))</f>
        <v/>
      </c>
      <c r="D5880" s="148" t="str">
        <f t="shared" ca="1" si="188"/>
        <v/>
      </c>
      <c r="E5880" s="148" t="str">
        <f t="shared" ca="1" si="189"/>
        <v/>
      </c>
    </row>
    <row r="5881" spans="2:5" x14ac:dyDescent="0.25">
      <c r="B5881">
        <v>43475</v>
      </c>
      <c r="C5881" s="6" t="str">
        <f ca="1">IF(OR($C$7="",$B5881&gt;NOW()),"",IF(INDEX(Data!$A:$G,MATCH($B5881,Data!$A:$A,0),MATCH($C$7,Data!$4:$4,0))="","",INDEX(Data!$A:$G,MATCH($B5881,Data!$A:$A,0),MATCH($C$7,Data!$4:$4,0))))</f>
        <v/>
      </c>
      <c r="D5881" s="148" t="str">
        <f t="shared" ca="1" si="188"/>
        <v/>
      </c>
      <c r="E5881" s="148" t="str">
        <f t="shared" ca="1" si="189"/>
        <v/>
      </c>
    </row>
    <row r="5882" spans="2:5" x14ac:dyDescent="0.25">
      <c r="B5882">
        <v>43476</v>
      </c>
      <c r="C5882" s="6" t="str">
        <f ca="1">IF(OR($C$7="",$B5882&gt;NOW()),"",IF(INDEX(Data!$A:$G,MATCH($B5882,Data!$A:$A,0),MATCH($C$7,Data!$4:$4,0))="","",INDEX(Data!$A:$G,MATCH($B5882,Data!$A:$A,0),MATCH($C$7,Data!$4:$4,0))))</f>
        <v/>
      </c>
      <c r="D5882" s="148" t="str">
        <f t="shared" ca="1" si="188"/>
        <v/>
      </c>
      <c r="E5882" s="148" t="str">
        <f t="shared" ca="1" si="189"/>
        <v/>
      </c>
    </row>
    <row r="5883" spans="2:5" x14ac:dyDescent="0.25">
      <c r="B5883">
        <v>43477</v>
      </c>
      <c r="C5883" s="6" t="str">
        <f ca="1">IF(OR($C$7="",$B5883&gt;NOW()),"",IF(INDEX(Data!$A:$G,MATCH($B5883,Data!$A:$A,0),MATCH($C$7,Data!$4:$4,0))="","",INDEX(Data!$A:$G,MATCH($B5883,Data!$A:$A,0),MATCH($C$7,Data!$4:$4,0))))</f>
        <v/>
      </c>
      <c r="D5883" s="148" t="str">
        <f t="shared" ca="1" si="188"/>
        <v/>
      </c>
      <c r="E5883" s="148" t="str">
        <f t="shared" ca="1" si="189"/>
        <v/>
      </c>
    </row>
    <row r="5884" spans="2:5" x14ac:dyDescent="0.25">
      <c r="B5884">
        <v>43478</v>
      </c>
      <c r="C5884" s="6" t="str">
        <f ca="1">IF(OR($C$7="",$B5884&gt;NOW()),"",IF(INDEX(Data!$A:$G,MATCH($B5884,Data!$A:$A,0),MATCH($C$7,Data!$4:$4,0))="","",INDEX(Data!$A:$G,MATCH($B5884,Data!$A:$A,0),MATCH($C$7,Data!$4:$4,0))))</f>
        <v/>
      </c>
      <c r="D5884" s="148" t="str">
        <f t="shared" ca="1" si="188"/>
        <v/>
      </c>
      <c r="E5884" s="148" t="str">
        <f t="shared" ca="1" si="189"/>
        <v/>
      </c>
    </row>
    <row r="5885" spans="2:5" x14ac:dyDescent="0.25">
      <c r="B5885">
        <v>43479</v>
      </c>
      <c r="C5885" s="6" t="str">
        <f ca="1">IF(OR($C$7="",$B5885&gt;NOW()),"",IF(INDEX(Data!$A:$G,MATCH($B5885,Data!$A:$A,0),MATCH($C$7,Data!$4:$4,0))="","",INDEX(Data!$A:$G,MATCH($B5885,Data!$A:$A,0),MATCH($C$7,Data!$4:$4,0))))</f>
        <v/>
      </c>
      <c r="D5885" s="148" t="str">
        <f t="shared" ca="1" si="188"/>
        <v/>
      </c>
      <c r="E5885" s="148" t="str">
        <f t="shared" ca="1" si="189"/>
        <v/>
      </c>
    </row>
    <row r="5886" spans="2:5" x14ac:dyDescent="0.25">
      <c r="B5886">
        <v>43480</v>
      </c>
      <c r="C5886" s="6" t="str">
        <f ca="1">IF(OR($C$7="",$B5886&gt;NOW()),"",IF(INDEX(Data!$A:$G,MATCH($B5886,Data!$A:$A,0),MATCH($C$7,Data!$4:$4,0))="","",INDEX(Data!$A:$G,MATCH($B5886,Data!$A:$A,0),MATCH($C$7,Data!$4:$4,0))))</f>
        <v/>
      </c>
      <c r="D5886" s="148" t="str">
        <f t="shared" ca="1" si="188"/>
        <v/>
      </c>
      <c r="E5886" s="148" t="str">
        <f t="shared" ca="1" si="189"/>
        <v/>
      </c>
    </row>
    <row r="5887" spans="2:5" x14ac:dyDescent="0.25">
      <c r="B5887">
        <v>43481</v>
      </c>
      <c r="C5887" s="6" t="str">
        <f ca="1">IF(OR($C$7="",$B5887&gt;NOW()),"",IF(INDEX(Data!$A:$G,MATCH($B5887,Data!$A:$A,0),MATCH($C$7,Data!$4:$4,0))="","",INDEX(Data!$A:$G,MATCH($B5887,Data!$A:$A,0),MATCH($C$7,Data!$4:$4,0))))</f>
        <v/>
      </c>
      <c r="D5887" s="148" t="str">
        <f t="shared" ca="1" si="188"/>
        <v/>
      </c>
      <c r="E5887" s="148" t="str">
        <f t="shared" ca="1" si="189"/>
        <v/>
      </c>
    </row>
    <row r="5888" spans="2:5" x14ac:dyDescent="0.25">
      <c r="B5888">
        <v>43482</v>
      </c>
      <c r="C5888" s="6" t="str">
        <f ca="1">IF(OR($C$7="",$B5888&gt;NOW()),"",IF(INDEX(Data!$A:$G,MATCH($B5888,Data!$A:$A,0),MATCH($C$7,Data!$4:$4,0))="","",INDEX(Data!$A:$G,MATCH($B5888,Data!$A:$A,0),MATCH($C$7,Data!$4:$4,0))))</f>
        <v/>
      </c>
      <c r="D5888" s="148" t="str">
        <f t="shared" ca="1" si="188"/>
        <v/>
      </c>
      <c r="E5888" s="148" t="str">
        <f t="shared" ca="1" si="189"/>
        <v/>
      </c>
    </row>
    <row r="5889" spans="2:5" x14ac:dyDescent="0.25">
      <c r="B5889">
        <v>43483</v>
      </c>
      <c r="C5889" s="6" t="str">
        <f ca="1">IF(OR($C$7="",$B5889&gt;NOW()),"",IF(INDEX(Data!$A:$G,MATCH($B5889,Data!$A:$A,0),MATCH($C$7,Data!$4:$4,0))="","",INDEX(Data!$A:$G,MATCH($B5889,Data!$A:$A,0),MATCH($C$7,Data!$4:$4,0))))</f>
        <v/>
      </c>
      <c r="D5889" s="148" t="str">
        <f t="shared" ca="1" si="188"/>
        <v/>
      </c>
      <c r="E5889" s="148" t="str">
        <f t="shared" ca="1" si="189"/>
        <v/>
      </c>
    </row>
    <row r="5890" spans="2:5" x14ac:dyDescent="0.25">
      <c r="B5890">
        <v>43484</v>
      </c>
      <c r="C5890" s="6" t="str">
        <f ca="1">IF(OR($C$7="",$B5890&gt;NOW()),"",IF(INDEX(Data!$A:$G,MATCH($B5890,Data!$A:$A,0),MATCH($C$7,Data!$4:$4,0))="","",INDEX(Data!$A:$G,MATCH($B5890,Data!$A:$A,0),MATCH($C$7,Data!$4:$4,0))))</f>
        <v/>
      </c>
      <c r="D5890" s="148" t="str">
        <f t="shared" ca="1" si="188"/>
        <v/>
      </c>
      <c r="E5890" s="148" t="str">
        <f t="shared" ca="1" si="189"/>
        <v/>
      </c>
    </row>
    <row r="5891" spans="2:5" x14ac:dyDescent="0.25">
      <c r="B5891">
        <v>43485</v>
      </c>
      <c r="C5891" s="6" t="str">
        <f ca="1">IF(OR($C$7="",$B5891&gt;NOW()),"",IF(INDEX(Data!$A:$G,MATCH($B5891,Data!$A:$A,0),MATCH($C$7,Data!$4:$4,0))="","",INDEX(Data!$A:$G,MATCH($B5891,Data!$A:$A,0),MATCH($C$7,Data!$4:$4,0))))</f>
        <v/>
      </c>
      <c r="D5891" s="148" t="str">
        <f t="shared" ca="1" si="188"/>
        <v/>
      </c>
      <c r="E5891" s="148" t="str">
        <f t="shared" ca="1" si="189"/>
        <v/>
      </c>
    </row>
    <row r="5892" spans="2:5" x14ac:dyDescent="0.25">
      <c r="B5892">
        <v>43486</v>
      </c>
      <c r="C5892" s="6" t="str">
        <f ca="1">IF(OR($C$7="",$B5892&gt;NOW()),"",IF(INDEX(Data!$A:$G,MATCH($B5892,Data!$A:$A,0),MATCH($C$7,Data!$4:$4,0))="","",INDEX(Data!$A:$G,MATCH($B5892,Data!$A:$A,0),MATCH($C$7,Data!$4:$4,0))))</f>
        <v/>
      </c>
      <c r="D5892" s="148" t="str">
        <f t="shared" ca="1" si="188"/>
        <v/>
      </c>
      <c r="E5892" s="148" t="str">
        <f t="shared" ca="1" si="189"/>
        <v/>
      </c>
    </row>
    <row r="5893" spans="2:5" x14ac:dyDescent="0.25">
      <c r="B5893">
        <v>43487</v>
      </c>
      <c r="C5893" s="6" t="str">
        <f ca="1">IF(OR($C$7="",$B5893&gt;NOW()),"",IF(INDEX(Data!$A:$G,MATCH($B5893,Data!$A:$A,0),MATCH($C$7,Data!$4:$4,0))="","",INDEX(Data!$A:$G,MATCH($B5893,Data!$A:$A,0),MATCH($C$7,Data!$4:$4,0))))</f>
        <v/>
      </c>
      <c r="D5893" s="148" t="str">
        <f t="shared" ca="1" si="188"/>
        <v/>
      </c>
      <c r="E5893" s="148" t="str">
        <f t="shared" ca="1" si="189"/>
        <v/>
      </c>
    </row>
    <row r="5894" spans="2:5" x14ac:dyDescent="0.25">
      <c r="B5894">
        <v>43488</v>
      </c>
      <c r="C5894" s="6" t="str">
        <f ca="1">IF(OR($C$7="",$B5894&gt;NOW()),"",IF(INDEX(Data!$A:$G,MATCH($B5894,Data!$A:$A,0),MATCH($C$7,Data!$4:$4,0))="","",INDEX(Data!$A:$G,MATCH($B5894,Data!$A:$A,0),MATCH($C$7,Data!$4:$4,0))))</f>
        <v/>
      </c>
      <c r="D5894" s="148" t="str">
        <f t="shared" ca="1" si="188"/>
        <v/>
      </c>
      <c r="E5894" s="148" t="str">
        <f t="shared" ca="1" si="189"/>
        <v/>
      </c>
    </row>
    <row r="5895" spans="2:5" x14ac:dyDescent="0.25">
      <c r="B5895">
        <v>43489</v>
      </c>
      <c r="C5895" s="6" t="str">
        <f ca="1">IF(OR($C$7="",$B5895&gt;NOW()),"",IF(INDEX(Data!$A:$G,MATCH($B5895,Data!$A:$A,0),MATCH($C$7,Data!$4:$4,0))="","",INDEX(Data!$A:$G,MATCH($B5895,Data!$A:$A,0),MATCH($C$7,Data!$4:$4,0))))</f>
        <v/>
      </c>
      <c r="D5895" s="148" t="str">
        <f t="shared" ca="1" si="188"/>
        <v/>
      </c>
      <c r="E5895" s="148" t="str">
        <f t="shared" ca="1" si="189"/>
        <v/>
      </c>
    </row>
    <row r="5896" spans="2:5" x14ac:dyDescent="0.25">
      <c r="B5896">
        <v>43490</v>
      </c>
      <c r="C5896" s="6" t="str">
        <f ca="1">IF(OR($C$7="",$B5896&gt;NOW()),"",IF(INDEX(Data!$A:$G,MATCH($B5896,Data!$A:$A,0),MATCH($C$7,Data!$4:$4,0))="","",INDEX(Data!$A:$G,MATCH($B5896,Data!$A:$A,0),MATCH($C$7,Data!$4:$4,0))))</f>
        <v/>
      </c>
      <c r="D5896" s="148" t="str">
        <f t="shared" ca="1" si="188"/>
        <v/>
      </c>
      <c r="E5896" s="148" t="str">
        <f t="shared" ca="1" si="189"/>
        <v/>
      </c>
    </row>
    <row r="5897" spans="2:5" x14ac:dyDescent="0.25">
      <c r="B5897">
        <v>43491</v>
      </c>
      <c r="C5897" s="6" t="str">
        <f ca="1">IF(OR($C$7="",$B5897&gt;NOW()),"",IF(INDEX(Data!$A:$G,MATCH($B5897,Data!$A:$A,0),MATCH($C$7,Data!$4:$4,0))="","",INDEX(Data!$A:$G,MATCH($B5897,Data!$A:$A,0),MATCH($C$7,Data!$4:$4,0))))</f>
        <v/>
      </c>
      <c r="D5897" s="148" t="str">
        <f t="shared" ca="1" si="188"/>
        <v/>
      </c>
      <c r="E5897" s="148" t="str">
        <f t="shared" ca="1" si="189"/>
        <v/>
      </c>
    </row>
    <row r="5898" spans="2:5" x14ac:dyDescent="0.25">
      <c r="B5898">
        <v>43492</v>
      </c>
      <c r="C5898" s="6" t="str">
        <f ca="1">IF(OR($C$7="",$B5898&gt;NOW()),"",IF(INDEX(Data!$A:$G,MATCH($B5898,Data!$A:$A,0),MATCH($C$7,Data!$4:$4,0))="","",INDEX(Data!$A:$G,MATCH($B5898,Data!$A:$A,0),MATCH($C$7,Data!$4:$4,0))))</f>
        <v/>
      </c>
      <c r="D5898" s="148" t="str">
        <f t="shared" ca="1" si="188"/>
        <v/>
      </c>
      <c r="E5898" s="148" t="str">
        <f t="shared" ca="1" si="189"/>
        <v/>
      </c>
    </row>
    <row r="5899" spans="2:5" x14ac:dyDescent="0.25">
      <c r="B5899">
        <v>43493</v>
      </c>
      <c r="C5899" s="6" t="str">
        <f ca="1">IF(OR($C$7="",$B5899&gt;NOW()),"",IF(INDEX(Data!$A:$G,MATCH($B5899,Data!$A:$A,0),MATCH($C$7,Data!$4:$4,0))="","",INDEX(Data!$A:$G,MATCH($B5899,Data!$A:$A,0),MATCH($C$7,Data!$4:$4,0))))</f>
        <v/>
      </c>
      <c r="D5899" s="148" t="str">
        <f t="shared" ca="1" si="188"/>
        <v/>
      </c>
      <c r="E5899" s="148" t="str">
        <f t="shared" ca="1" si="189"/>
        <v/>
      </c>
    </row>
    <row r="5900" spans="2:5" x14ac:dyDescent="0.25">
      <c r="B5900">
        <v>43494</v>
      </c>
      <c r="C5900" s="6" t="str">
        <f ca="1">IF(OR($C$7="",$B5900&gt;NOW()),"",IF(INDEX(Data!$A:$G,MATCH($B5900,Data!$A:$A,0),MATCH($C$7,Data!$4:$4,0))="","",INDEX(Data!$A:$G,MATCH($B5900,Data!$A:$A,0),MATCH($C$7,Data!$4:$4,0))))</f>
        <v/>
      </c>
      <c r="D5900" s="148" t="str">
        <f t="shared" ca="1" si="188"/>
        <v/>
      </c>
      <c r="E5900" s="148" t="str">
        <f t="shared" ca="1" si="189"/>
        <v/>
      </c>
    </row>
    <row r="5901" spans="2:5" x14ac:dyDescent="0.25">
      <c r="B5901">
        <v>43495</v>
      </c>
      <c r="C5901" s="6" t="str">
        <f ca="1">IF(OR($C$7="",$B5901&gt;NOW()),"",IF(INDEX(Data!$A:$G,MATCH($B5901,Data!$A:$A,0),MATCH($C$7,Data!$4:$4,0))="","",INDEX(Data!$A:$G,MATCH($B5901,Data!$A:$A,0),MATCH($C$7,Data!$4:$4,0))))</f>
        <v/>
      </c>
      <c r="D5901" s="148" t="str">
        <f t="shared" ca="1" si="188"/>
        <v/>
      </c>
      <c r="E5901" s="148" t="str">
        <f t="shared" ca="1" si="189"/>
        <v/>
      </c>
    </row>
    <row r="5902" spans="2:5" x14ac:dyDescent="0.25">
      <c r="B5902">
        <v>43496</v>
      </c>
      <c r="C5902" s="6" t="str">
        <f ca="1">IF(OR($C$7="",$B5902&gt;NOW()),"",IF(INDEX(Data!$A:$G,MATCH($B5902,Data!$A:$A,0),MATCH($C$7,Data!$4:$4,0))="","",INDEX(Data!$A:$G,MATCH($B5902,Data!$A:$A,0),MATCH($C$7,Data!$4:$4,0))))</f>
        <v/>
      </c>
      <c r="D5902" s="148" t="str">
        <f t="shared" ca="1" si="188"/>
        <v/>
      </c>
      <c r="E5902" s="148" t="str">
        <f t="shared" ca="1" si="189"/>
        <v/>
      </c>
    </row>
    <row r="5903" spans="2:5" x14ac:dyDescent="0.25">
      <c r="B5903">
        <v>43497</v>
      </c>
      <c r="C5903" s="6" t="str">
        <f ca="1">IF(OR($C$7="",$B5903&gt;NOW()),"",IF(INDEX(Data!$A:$G,MATCH($B5903,Data!$A:$A,0),MATCH($C$7,Data!$4:$4,0))="","",INDEX(Data!$A:$G,MATCH($B5903,Data!$A:$A,0),MATCH($C$7,Data!$4:$4,0))))</f>
        <v/>
      </c>
      <c r="D5903" s="148" t="str">
        <f t="shared" ca="1" si="188"/>
        <v/>
      </c>
      <c r="E5903" s="148" t="str">
        <f t="shared" ca="1" si="189"/>
        <v/>
      </c>
    </row>
    <row r="5904" spans="2:5" x14ac:dyDescent="0.25">
      <c r="B5904">
        <v>43498</v>
      </c>
      <c r="C5904" s="6" t="str">
        <f ca="1">IF(OR($C$7="",$B5904&gt;NOW()),"",IF(INDEX(Data!$A:$G,MATCH($B5904,Data!$A:$A,0),MATCH($C$7,Data!$4:$4,0))="","",INDEX(Data!$A:$G,MATCH($B5904,Data!$A:$A,0),MATCH($C$7,Data!$4:$4,0))))</f>
        <v/>
      </c>
      <c r="D5904" s="148" t="str">
        <f t="shared" ca="1" si="188"/>
        <v/>
      </c>
      <c r="E5904" s="148" t="str">
        <f t="shared" ca="1" si="189"/>
        <v/>
      </c>
    </row>
    <row r="5905" spans="2:5" x14ac:dyDescent="0.25">
      <c r="B5905">
        <v>43499</v>
      </c>
      <c r="C5905" s="6" t="str">
        <f ca="1">IF(OR($C$7="",$B5905&gt;NOW()),"",IF(INDEX(Data!$A:$G,MATCH($B5905,Data!$A:$A,0),MATCH($C$7,Data!$4:$4,0))="","",INDEX(Data!$A:$G,MATCH($B5905,Data!$A:$A,0),MATCH($C$7,Data!$4:$4,0))))</f>
        <v/>
      </c>
      <c r="D5905" s="148" t="str">
        <f t="shared" ca="1" si="188"/>
        <v/>
      </c>
      <c r="E5905" s="148" t="str">
        <f t="shared" ca="1" si="189"/>
        <v/>
      </c>
    </row>
    <row r="5906" spans="2:5" x14ac:dyDescent="0.25">
      <c r="B5906">
        <v>43500</v>
      </c>
      <c r="C5906" s="6" t="str">
        <f ca="1">IF(OR($C$7="",$B5906&gt;NOW()),"",IF(INDEX(Data!$A:$G,MATCH($B5906,Data!$A:$A,0),MATCH($C$7,Data!$4:$4,0))="","",INDEX(Data!$A:$G,MATCH($B5906,Data!$A:$A,0),MATCH($C$7,Data!$4:$4,0))))</f>
        <v/>
      </c>
      <c r="D5906" s="148" t="str">
        <f t="shared" ca="1" si="188"/>
        <v/>
      </c>
      <c r="E5906" s="148" t="str">
        <f t="shared" ca="1" si="189"/>
        <v/>
      </c>
    </row>
    <row r="5907" spans="2:5" x14ac:dyDescent="0.25">
      <c r="B5907">
        <v>43501</v>
      </c>
      <c r="C5907" s="6" t="str">
        <f ca="1">IF(OR($C$7="",$B5907&gt;NOW()),"",IF(INDEX(Data!$A:$G,MATCH($B5907,Data!$A:$A,0),MATCH($C$7,Data!$4:$4,0))="","",INDEX(Data!$A:$G,MATCH($B5907,Data!$A:$A,0),MATCH($C$7,Data!$4:$4,0))))</f>
        <v/>
      </c>
      <c r="D5907" s="148" t="str">
        <f t="shared" ca="1" si="188"/>
        <v/>
      </c>
      <c r="E5907" s="148" t="str">
        <f t="shared" ca="1" si="189"/>
        <v/>
      </c>
    </row>
    <row r="5908" spans="2:5" x14ac:dyDescent="0.25">
      <c r="B5908">
        <v>43502</v>
      </c>
      <c r="C5908" s="6" t="str">
        <f ca="1">IF(OR($C$7="",$B5908&gt;NOW()),"",IF(INDEX(Data!$A:$G,MATCH($B5908,Data!$A:$A,0),MATCH($C$7,Data!$4:$4,0))="","",INDEX(Data!$A:$G,MATCH($B5908,Data!$A:$A,0),MATCH($C$7,Data!$4:$4,0))))</f>
        <v/>
      </c>
      <c r="D5908" s="148" t="str">
        <f t="shared" ca="1" si="188"/>
        <v/>
      </c>
      <c r="E5908" s="148" t="str">
        <f t="shared" ca="1" si="189"/>
        <v/>
      </c>
    </row>
    <row r="5909" spans="2:5" x14ac:dyDescent="0.25">
      <c r="B5909">
        <v>43503</v>
      </c>
      <c r="C5909" s="6" t="str">
        <f ca="1">IF(OR($C$7="",$B5909&gt;NOW()),"",IF(INDEX(Data!$A:$G,MATCH($B5909,Data!$A:$A,0),MATCH($C$7,Data!$4:$4,0))="","",INDEX(Data!$A:$G,MATCH($B5909,Data!$A:$A,0),MATCH($C$7,Data!$4:$4,0))))</f>
        <v/>
      </c>
      <c r="D5909" s="148" t="str">
        <f t="shared" ca="1" si="188"/>
        <v/>
      </c>
      <c r="E5909" s="148" t="str">
        <f t="shared" ca="1" si="189"/>
        <v/>
      </c>
    </row>
    <row r="5910" spans="2:5" x14ac:dyDescent="0.25">
      <c r="B5910">
        <v>43504</v>
      </c>
      <c r="C5910" s="6" t="str">
        <f ca="1">IF(OR($C$7="",$B5910&gt;NOW()),"",IF(INDEX(Data!$A:$G,MATCH($B5910,Data!$A:$A,0),MATCH($C$7,Data!$4:$4,0))="","",INDEX(Data!$A:$G,MATCH($B5910,Data!$A:$A,0),MATCH($C$7,Data!$4:$4,0))))</f>
        <v/>
      </c>
      <c r="D5910" s="148" t="str">
        <f t="shared" ca="1" si="188"/>
        <v/>
      </c>
      <c r="E5910" s="148" t="str">
        <f t="shared" ca="1" si="189"/>
        <v/>
      </c>
    </row>
    <row r="5911" spans="2:5" x14ac:dyDescent="0.25">
      <c r="B5911">
        <v>43505</v>
      </c>
      <c r="C5911" s="6" t="str">
        <f ca="1">IF(OR($C$7="",$B5911&gt;NOW()),"",IF(INDEX(Data!$A:$G,MATCH($B5911,Data!$A:$A,0),MATCH($C$7,Data!$4:$4,0))="","",INDEX(Data!$A:$G,MATCH($B5911,Data!$A:$A,0),MATCH($C$7,Data!$4:$4,0))))</f>
        <v/>
      </c>
      <c r="D5911" s="148" t="str">
        <f t="shared" ca="1" si="188"/>
        <v/>
      </c>
      <c r="E5911" s="148" t="str">
        <f t="shared" ca="1" si="189"/>
        <v/>
      </c>
    </row>
    <row r="5912" spans="2:5" x14ac:dyDescent="0.25">
      <c r="B5912">
        <v>43506</v>
      </c>
      <c r="C5912" s="6" t="str">
        <f ca="1">IF(OR($C$7="",$B5912&gt;NOW()),"",IF(INDEX(Data!$A:$G,MATCH($B5912,Data!$A:$A,0),MATCH($C$7,Data!$4:$4,0))="","",INDEX(Data!$A:$G,MATCH($B5912,Data!$A:$A,0),MATCH($C$7,Data!$4:$4,0))))</f>
        <v/>
      </c>
      <c r="D5912" s="148" t="str">
        <f t="shared" ca="1" si="188"/>
        <v/>
      </c>
      <c r="E5912" s="148" t="str">
        <f t="shared" ca="1" si="189"/>
        <v/>
      </c>
    </row>
    <row r="5913" spans="2:5" x14ac:dyDescent="0.25">
      <c r="B5913">
        <v>43507</v>
      </c>
      <c r="C5913" s="6" t="str">
        <f ca="1">IF(OR($C$7="",$B5913&gt;NOW()),"",IF(INDEX(Data!$A:$G,MATCH($B5913,Data!$A:$A,0),MATCH($C$7,Data!$4:$4,0))="","",INDEX(Data!$A:$G,MATCH($B5913,Data!$A:$A,0),MATCH($C$7,Data!$4:$4,0))))</f>
        <v/>
      </c>
      <c r="D5913" s="148" t="str">
        <f t="shared" ca="1" si="188"/>
        <v/>
      </c>
      <c r="E5913" s="148" t="str">
        <f t="shared" ca="1" si="189"/>
        <v/>
      </c>
    </row>
    <row r="5914" spans="2:5" x14ac:dyDescent="0.25">
      <c r="B5914">
        <v>43508</v>
      </c>
      <c r="C5914" s="6" t="str">
        <f ca="1">IF(OR($C$7="",$B5914&gt;NOW()),"",IF(INDEX(Data!$A:$G,MATCH($B5914,Data!$A:$A,0),MATCH($C$7,Data!$4:$4,0))="","",INDEX(Data!$A:$G,MATCH($B5914,Data!$A:$A,0),MATCH($C$7,Data!$4:$4,0))))</f>
        <v/>
      </c>
      <c r="D5914" s="148" t="str">
        <f t="shared" ca="1" si="188"/>
        <v/>
      </c>
      <c r="E5914" s="148" t="str">
        <f t="shared" ca="1" si="189"/>
        <v/>
      </c>
    </row>
    <row r="5915" spans="2:5" x14ac:dyDescent="0.25">
      <c r="B5915">
        <v>43509</v>
      </c>
      <c r="C5915" s="6" t="str">
        <f ca="1">IF(OR($C$7="",$B5915&gt;NOW()),"",IF(INDEX(Data!$A:$G,MATCH($B5915,Data!$A:$A,0),MATCH($C$7,Data!$4:$4,0))="","",INDEX(Data!$A:$G,MATCH($B5915,Data!$A:$A,0),MATCH($C$7,Data!$4:$4,0))))</f>
        <v/>
      </c>
      <c r="D5915" s="148" t="str">
        <f t="shared" ca="1" si="188"/>
        <v/>
      </c>
      <c r="E5915" s="148" t="str">
        <f t="shared" ca="1" si="189"/>
        <v/>
      </c>
    </row>
    <row r="5916" spans="2:5" x14ac:dyDescent="0.25">
      <c r="B5916">
        <v>43510</v>
      </c>
      <c r="C5916" s="6" t="str">
        <f ca="1">IF(OR($C$7="",$B5916&gt;NOW()),"",IF(INDEX(Data!$A:$G,MATCH($B5916,Data!$A:$A,0),MATCH($C$7,Data!$4:$4,0))="","",INDEX(Data!$A:$G,MATCH($B5916,Data!$A:$A,0),MATCH($C$7,Data!$4:$4,0))))</f>
        <v/>
      </c>
      <c r="D5916" s="148" t="str">
        <f t="shared" ca="1" si="188"/>
        <v/>
      </c>
      <c r="E5916" s="148" t="str">
        <f t="shared" ca="1" si="189"/>
        <v/>
      </c>
    </row>
    <row r="5917" spans="2:5" x14ac:dyDescent="0.25">
      <c r="B5917">
        <v>43511</v>
      </c>
      <c r="C5917" s="6" t="str">
        <f ca="1">IF(OR($C$7="",$B5917&gt;NOW()),"",IF(INDEX(Data!$A:$G,MATCH($B5917,Data!$A:$A,0),MATCH($C$7,Data!$4:$4,0))="","",INDEX(Data!$A:$G,MATCH($B5917,Data!$A:$A,0),MATCH($C$7,Data!$4:$4,0))))</f>
        <v/>
      </c>
      <c r="D5917" s="148" t="str">
        <f t="shared" ref="D5917:D5980" ca="1" si="190">IF($C5917="","",IF($C5917&gt;$D$26,0,$D$26-$C5917))</f>
        <v/>
      </c>
      <c r="E5917" s="148" t="str">
        <f t="shared" ref="E5917:E5980" ca="1" si="191">IF($C5917="","",IF($C5917&lt;$E$26,0,$C5917-$E$26))</f>
        <v/>
      </c>
    </row>
    <row r="5918" spans="2:5" x14ac:dyDescent="0.25">
      <c r="B5918">
        <v>43512</v>
      </c>
      <c r="C5918" s="6" t="str">
        <f ca="1">IF(OR($C$7="",$B5918&gt;NOW()),"",IF(INDEX(Data!$A:$G,MATCH($B5918,Data!$A:$A,0),MATCH($C$7,Data!$4:$4,0))="","",INDEX(Data!$A:$G,MATCH($B5918,Data!$A:$A,0),MATCH($C$7,Data!$4:$4,0))))</f>
        <v/>
      </c>
      <c r="D5918" s="148" t="str">
        <f t="shared" ca="1" si="190"/>
        <v/>
      </c>
      <c r="E5918" s="148" t="str">
        <f t="shared" ca="1" si="191"/>
        <v/>
      </c>
    </row>
    <row r="5919" spans="2:5" x14ac:dyDescent="0.25">
      <c r="B5919">
        <v>43513</v>
      </c>
      <c r="C5919" s="6" t="str">
        <f ca="1">IF(OR($C$7="",$B5919&gt;NOW()),"",IF(INDEX(Data!$A:$G,MATCH($B5919,Data!$A:$A,0),MATCH($C$7,Data!$4:$4,0))="","",INDEX(Data!$A:$G,MATCH($B5919,Data!$A:$A,0),MATCH($C$7,Data!$4:$4,0))))</f>
        <v/>
      </c>
      <c r="D5919" s="148" t="str">
        <f t="shared" ca="1" si="190"/>
        <v/>
      </c>
      <c r="E5919" s="148" t="str">
        <f t="shared" ca="1" si="191"/>
        <v/>
      </c>
    </row>
    <row r="5920" spans="2:5" x14ac:dyDescent="0.25">
      <c r="B5920">
        <v>43514</v>
      </c>
      <c r="C5920" s="6" t="str">
        <f ca="1">IF(OR($C$7="",$B5920&gt;NOW()),"",IF(INDEX(Data!$A:$G,MATCH($B5920,Data!$A:$A,0),MATCH($C$7,Data!$4:$4,0))="","",INDEX(Data!$A:$G,MATCH($B5920,Data!$A:$A,0),MATCH($C$7,Data!$4:$4,0))))</f>
        <v/>
      </c>
      <c r="D5920" s="148" t="str">
        <f t="shared" ca="1" si="190"/>
        <v/>
      </c>
      <c r="E5920" s="148" t="str">
        <f t="shared" ca="1" si="191"/>
        <v/>
      </c>
    </row>
    <row r="5921" spans="2:5" x14ac:dyDescent="0.25">
      <c r="B5921">
        <v>43515</v>
      </c>
      <c r="C5921" s="6" t="str">
        <f ca="1">IF(OR($C$7="",$B5921&gt;NOW()),"",IF(INDEX(Data!$A:$G,MATCH($B5921,Data!$A:$A,0),MATCH($C$7,Data!$4:$4,0))="","",INDEX(Data!$A:$G,MATCH($B5921,Data!$A:$A,0),MATCH($C$7,Data!$4:$4,0))))</f>
        <v/>
      </c>
      <c r="D5921" s="148" t="str">
        <f t="shared" ca="1" si="190"/>
        <v/>
      </c>
      <c r="E5921" s="148" t="str">
        <f t="shared" ca="1" si="191"/>
        <v/>
      </c>
    </row>
    <row r="5922" spans="2:5" x14ac:dyDescent="0.25">
      <c r="B5922">
        <v>43516</v>
      </c>
      <c r="C5922" s="6" t="str">
        <f ca="1">IF(OR($C$7="",$B5922&gt;NOW()),"",IF(INDEX(Data!$A:$G,MATCH($B5922,Data!$A:$A,0),MATCH($C$7,Data!$4:$4,0))="","",INDEX(Data!$A:$G,MATCH($B5922,Data!$A:$A,0),MATCH($C$7,Data!$4:$4,0))))</f>
        <v/>
      </c>
      <c r="D5922" s="148" t="str">
        <f t="shared" ca="1" si="190"/>
        <v/>
      </c>
      <c r="E5922" s="148" t="str">
        <f t="shared" ca="1" si="191"/>
        <v/>
      </c>
    </row>
    <row r="5923" spans="2:5" x14ac:dyDescent="0.25">
      <c r="B5923">
        <v>43517</v>
      </c>
      <c r="C5923" s="6" t="str">
        <f ca="1">IF(OR($C$7="",$B5923&gt;NOW()),"",IF(INDEX(Data!$A:$G,MATCH($B5923,Data!$A:$A,0),MATCH($C$7,Data!$4:$4,0))="","",INDEX(Data!$A:$G,MATCH($B5923,Data!$A:$A,0),MATCH($C$7,Data!$4:$4,0))))</f>
        <v/>
      </c>
      <c r="D5923" s="148" t="str">
        <f t="shared" ca="1" si="190"/>
        <v/>
      </c>
      <c r="E5923" s="148" t="str">
        <f t="shared" ca="1" si="191"/>
        <v/>
      </c>
    </row>
    <row r="5924" spans="2:5" x14ac:dyDescent="0.25">
      <c r="B5924">
        <v>43518</v>
      </c>
      <c r="C5924" s="6" t="str">
        <f ca="1">IF(OR($C$7="",$B5924&gt;NOW()),"",IF(INDEX(Data!$A:$G,MATCH($B5924,Data!$A:$A,0),MATCH($C$7,Data!$4:$4,0))="","",INDEX(Data!$A:$G,MATCH($B5924,Data!$A:$A,0),MATCH($C$7,Data!$4:$4,0))))</f>
        <v/>
      </c>
      <c r="D5924" s="148" t="str">
        <f t="shared" ca="1" si="190"/>
        <v/>
      </c>
      <c r="E5924" s="148" t="str">
        <f t="shared" ca="1" si="191"/>
        <v/>
      </c>
    </row>
    <row r="5925" spans="2:5" x14ac:dyDescent="0.25">
      <c r="B5925">
        <v>43519</v>
      </c>
      <c r="C5925" s="6" t="str">
        <f ca="1">IF(OR($C$7="",$B5925&gt;NOW()),"",IF(INDEX(Data!$A:$G,MATCH($B5925,Data!$A:$A,0),MATCH($C$7,Data!$4:$4,0))="","",INDEX(Data!$A:$G,MATCH($B5925,Data!$A:$A,0),MATCH($C$7,Data!$4:$4,0))))</f>
        <v/>
      </c>
      <c r="D5925" s="148" t="str">
        <f t="shared" ca="1" si="190"/>
        <v/>
      </c>
      <c r="E5925" s="148" t="str">
        <f t="shared" ca="1" si="191"/>
        <v/>
      </c>
    </row>
    <row r="5926" spans="2:5" x14ac:dyDescent="0.25">
      <c r="B5926">
        <v>43520</v>
      </c>
      <c r="C5926" s="6" t="str">
        <f ca="1">IF(OR($C$7="",$B5926&gt;NOW()),"",IF(INDEX(Data!$A:$G,MATCH($B5926,Data!$A:$A,0),MATCH($C$7,Data!$4:$4,0))="","",INDEX(Data!$A:$G,MATCH($B5926,Data!$A:$A,0),MATCH($C$7,Data!$4:$4,0))))</f>
        <v/>
      </c>
      <c r="D5926" s="148" t="str">
        <f t="shared" ca="1" si="190"/>
        <v/>
      </c>
      <c r="E5926" s="148" t="str">
        <f t="shared" ca="1" si="191"/>
        <v/>
      </c>
    </row>
    <row r="5927" spans="2:5" x14ac:dyDescent="0.25">
      <c r="B5927">
        <v>43521</v>
      </c>
      <c r="C5927" s="6" t="str">
        <f ca="1">IF(OR($C$7="",$B5927&gt;NOW()),"",IF(INDEX(Data!$A:$G,MATCH($B5927,Data!$A:$A,0),MATCH($C$7,Data!$4:$4,0))="","",INDEX(Data!$A:$G,MATCH($B5927,Data!$A:$A,0),MATCH($C$7,Data!$4:$4,0))))</f>
        <v/>
      </c>
      <c r="D5927" s="148" t="str">
        <f t="shared" ca="1" si="190"/>
        <v/>
      </c>
      <c r="E5927" s="148" t="str">
        <f t="shared" ca="1" si="191"/>
        <v/>
      </c>
    </row>
    <row r="5928" spans="2:5" x14ac:dyDescent="0.25">
      <c r="B5928">
        <v>43522</v>
      </c>
      <c r="C5928" s="6" t="str">
        <f ca="1">IF(OR($C$7="",$B5928&gt;NOW()),"",IF(INDEX(Data!$A:$G,MATCH($B5928,Data!$A:$A,0),MATCH($C$7,Data!$4:$4,0))="","",INDEX(Data!$A:$G,MATCH($B5928,Data!$A:$A,0),MATCH($C$7,Data!$4:$4,0))))</f>
        <v/>
      </c>
      <c r="D5928" s="148" t="str">
        <f t="shared" ca="1" si="190"/>
        <v/>
      </c>
      <c r="E5928" s="148" t="str">
        <f t="shared" ca="1" si="191"/>
        <v/>
      </c>
    </row>
    <row r="5929" spans="2:5" x14ac:dyDescent="0.25">
      <c r="B5929">
        <v>43523</v>
      </c>
      <c r="C5929" s="6" t="str">
        <f ca="1">IF(OR($C$7="",$B5929&gt;NOW()),"",IF(INDEX(Data!$A:$G,MATCH($B5929,Data!$A:$A,0),MATCH($C$7,Data!$4:$4,0))="","",INDEX(Data!$A:$G,MATCH($B5929,Data!$A:$A,0),MATCH($C$7,Data!$4:$4,0))))</f>
        <v/>
      </c>
      <c r="D5929" s="148" t="str">
        <f t="shared" ca="1" si="190"/>
        <v/>
      </c>
      <c r="E5929" s="148" t="str">
        <f t="shared" ca="1" si="191"/>
        <v/>
      </c>
    </row>
    <row r="5930" spans="2:5" x14ac:dyDescent="0.25">
      <c r="B5930">
        <v>43524</v>
      </c>
      <c r="C5930" s="6" t="str">
        <f ca="1">IF(OR($C$7="",$B5930&gt;NOW()),"",IF(INDEX(Data!$A:$G,MATCH($B5930,Data!$A:$A,0),MATCH($C$7,Data!$4:$4,0))="","",INDEX(Data!$A:$G,MATCH($B5930,Data!$A:$A,0),MATCH($C$7,Data!$4:$4,0))))</f>
        <v/>
      </c>
      <c r="D5930" s="148" t="str">
        <f t="shared" ca="1" si="190"/>
        <v/>
      </c>
      <c r="E5930" s="148" t="str">
        <f t="shared" ca="1" si="191"/>
        <v/>
      </c>
    </row>
    <row r="5931" spans="2:5" x14ac:dyDescent="0.25">
      <c r="B5931">
        <v>43525</v>
      </c>
      <c r="C5931" s="6" t="str">
        <f ca="1">IF(OR($C$7="",$B5931&gt;NOW()),"",IF(INDEX(Data!$A:$G,MATCH($B5931,Data!$A:$A,0),MATCH($C$7,Data!$4:$4,0))="","",INDEX(Data!$A:$G,MATCH($B5931,Data!$A:$A,0),MATCH($C$7,Data!$4:$4,0))))</f>
        <v/>
      </c>
      <c r="D5931" s="148" t="str">
        <f t="shared" ca="1" si="190"/>
        <v/>
      </c>
      <c r="E5931" s="148" t="str">
        <f t="shared" ca="1" si="191"/>
        <v/>
      </c>
    </row>
    <row r="5932" spans="2:5" x14ac:dyDescent="0.25">
      <c r="B5932">
        <v>43526</v>
      </c>
      <c r="C5932" s="6" t="str">
        <f ca="1">IF(OR($C$7="",$B5932&gt;NOW()),"",IF(INDEX(Data!$A:$G,MATCH($B5932,Data!$A:$A,0),MATCH($C$7,Data!$4:$4,0))="","",INDEX(Data!$A:$G,MATCH($B5932,Data!$A:$A,0),MATCH($C$7,Data!$4:$4,0))))</f>
        <v/>
      </c>
      <c r="D5932" s="148" t="str">
        <f t="shared" ca="1" si="190"/>
        <v/>
      </c>
      <c r="E5932" s="148" t="str">
        <f t="shared" ca="1" si="191"/>
        <v/>
      </c>
    </row>
    <row r="5933" spans="2:5" x14ac:dyDescent="0.25">
      <c r="B5933">
        <v>43527</v>
      </c>
      <c r="C5933" s="6" t="str">
        <f ca="1">IF(OR($C$7="",$B5933&gt;NOW()),"",IF(INDEX(Data!$A:$G,MATCH($B5933,Data!$A:$A,0),MATCH($C$7,Data!$4:$4,0))="","",INDEX(Data!$A:$G,MATCH($B5933,Data!$A:$A,0),MATCH($C$7,Data!$4:$4,0))))</f>
        <v/>
      </c>
      <c r="D5933" s="148" t="str">
        <f t="shared" ca="1" si="190"/>
        <v/>
      </c>
      <c r="E5933" s="148" t="str">
        <f t="shared" ca="1" si="191"/>
        <v/>
      </c>
    </row>
    <row r="5934" spans="2:5" x14ac:dyDescent="0.25">
      <c r="B5934">
        <v>43528</v>
      </c>
      <c r="C5934" s="6" t="str">
        <f ca="1">IF(OR($C$7="",$B5934&gt;NOW()),"",IF(INDEX(Data!$A:$G,MATCH($B5934,Data!$A:$A,0),MATCH($C$7,Data!$4:$4,0))="","",INDEX(Data!$A:$G,MATCH($B5934,Data!$A:$A,0),MATCH($C$7,Data!$4:$4,0))))</f>
        <v/>
      </c>
      <c r="D5934" s="148" t="str">
        <f t="shared" ca="1" si="190"/>
        <v/>
      </c>
      <c r="E5934" s="148" t="str">
        <f t="shared" ca="1" si="191"/>
        <v/>
      </c>
    </row>
    <row r="5935" spans="2:5" x14ac:dyDescent="0.25">
      <c r="B5935">
        <v>43529</v>
      </c>
      <c r="C5935" s="6" t="str">
        <f ca="1">IF(OR($C$7="",$B5935&gt;NOW()),"",IF(INDEX(Data!$A:$G,MATCH($B5935,Data!$A:$A,0),MATCH($C$7,Data!$4:$4,0))="","",INDEX(Data!$A:$G,MATCH($B5935,Data!$A:$A,0),MATCH($C$7,Data!$4:$4,0))))</f>
        <v/>
      </c>
      <c r="D5935" s="148" t="str">
        <f t="shared" ca="1" si="190"/>
        <v/>
      </c>
      <c r="E5935" s="148" t="str">
        <f t="shared" ca="1" si="191"/>
        <v/>
      </c>
    </row>
    <row r="5936" spans="2:5" x14ac:dyDescent="0.25">
      <c r="B5936">
        <v>43530</v>
      </c>
      <c r="C5936" s="6" t="str">
        <f ca="1">IF(OR($C$7="",$B5936&gt;NOW()),"",IF(INDEX(Data!$A:$G,MATCH($B5936,Data!$A:$A,0),MATCH($C$7,Data!$4:$4,0))="","",INDEX(Data!$A:$G,MATCH($B5936,Data!$A:$A,0),MATCH($C$7,Data!$4:$4,0))))</f>
        <v/>
      </c>
      <c r="D5936" s="148" t="str">
        <f t="shared" ca="1" si="190"/>
        <v/>
      </c>
      <c r="E5936" s="148" t="str">
        <f t="shared" ca="1" si="191"/>
        <v/>
      </c>
    </row>
    <row r="5937" spans="2:5" x14ac:dyDescent="0.25">
      <c r="B5937">
        <v>43531</v>
      </c>
      <c r="C5937" s="6" t="str">
        <f ca="1">IF(OR($C$7="",$B5937&gt;NOW()),"",IF(INDEX(Data!$A:$G,MATCH($B5937,Data!$A:$A,0),MATCH($C$7,Data!$4:$4,0))="","",INDEX(Data!$A:$G,MATCH($B5937,Data!$A:$A,0),MATCH($C$7,Data!$4:$4,0))))</f>
        <v/>
      </c>
      <c r="D5937" s="148" t="str">
        <f t="shared" ca="1" si="190"/>
        <v/>
      </c>
      <c r="E5937" s="148" t="str">
        <f t="shared" ca="1" si="191"/>
        <v/>
      </c>
    </row>
    <row r="5938" spans="2:5" x14ac:dyDescent="0.25">
      <c r="B5938">
        <v>43532</v>
      </c>
      <c r="C5938" s="6" t="str">
        <f ca="1">IF(OR($C$7="",$B5938&gt;NOW()),"",IF(INDEX(Data!$A:$G,MATCH($B5938,Data!$A:$A,0),MATCH($C$7,Data!$4:$4,0))="","",INDEX(Data!$A:$G,MATCH($B5938,Data!$A:$A,0),MATCH($C$7,Data!$4:$4,0))))</f>
        <v/>
      </c>
      <c r="D5938" s="148" t="str">
        <f t="shared" ca="1" si="190"/>
        <v/>
      </c>
      <c r="E5938" s="148" t="str">
        <f t="shared" ca="1" si="191"/>
        <v/>
      </c>
    </row>
    <row r="5939" spans="2:5" x14ac:dyDescent="0.25">
      <c r="B5939">
        <v>43533</v>
      </c>
      <c r="C5939" s="6" t="str">
        <f ca="1">IF(OR($C$7="",$B5939&gt;NOW()),"",IF(INDEX(Data!$A:$G,MATCH($B5939,Data!$A:$A,0),MATCH($C$7,Data!$4:$4,0))="","",INDEX(Data!$A:$G,MATCH($B5939,Data!$A:$A,0),MATCH($C$7,Data!$4:$4,0))))</f>
        <v/>
      </c>
      <c r="D5939" s="148" t="str">
        <f t="shared" ca="1" si="190"/>
        <v/>
      </c>
      <c r="E5939" s="148" t="str">
        <f t="shared" ca="1" si="191"/>
        <v/>
      </c>
    </row>
    <row r="5940" spans="2:5" x14ac:dyDescent="0.25">
      <c r="B5940">
        <v>43534</v>
      </c>
      <c r="C5940" s="6" t="str">
        <f ca="1">IF(OR($C$7="",$B5940&gt;NOW()),"",IF(INDEX(Data!$A:$G,MATCH($B5940,Data!$A:$A,0),MATCH($C$7,Data!$4:$4,0))="","",INDEX(Data!$A:$G,MATCH($B5940,Data!$A:$A,0),MATCH($C$7,Data!$4:$4,0))))</f>
        <v/>
      </c>
      <c r="D5940" s="148" t="str">
        <f t="shared" ca="1" si="190"/>
        <v/>
      </c>
      <c r="E5940" s="148" t="str">
        <f t="shared" ca="1" si="191"/>
        <v/>
      </c>
    </row>
    <row r="5941" spans="2:5" x14ac:dyDescent="0.25">
      <c r="B5941">
        <v>43535</v>
      </c>
      <c r="C5941" s="6" t="str">
        <f ca="1">IF(OR($C$7="",$B5941&gt;NOW()),"",IF(INDEX(Data!$A:$G,MATCH($B5941,Data!$A:$A,0),MATCH($C$7,Data!$4:$4,0))="","",INDEX(Data!$A:$G,MATCH($B5941,Data!$A:$A,0),MATCH($C$7,Data!$4:$4,0))))</f>
        <v/>
      </c>
      <c r="D5941" s="148" t="str">
        <f t="shared" ca="1" si="190"/>
        <v/>
      </c>
      <c r="E5941" s="148" t="str">
        <f t="shared" ca="1" si="191"/>
        <v/>
      </c>
    </row>
    <row r="5942" spans="2:5" x14ac:dyDescent="0.25">
      <c r="B5942">
        <v>43536</v>
      </c>
      <c r="C5942" s="6" t="str">
        <f ca="1">IF(OR($C$7="",$B5942&gt;NOW()),"",IF(INDEX(Data!$A:$G,MATCH($B5942,Data!$A:$A,0),MATCH($C$7,Data!$4:$4,0))="","",INDEX(Data!$A:$G,MATCH($B5942,Data!$A:$A,0),MATCH($C$7,Data!$4:$4,0))))</f>
        <v/>
      </c>
      <c r="D5942" s="148" t="str">
        <f t="shared" ca="1" si="190"/>
        <v/>
      </c>
      <c r="E5942" s="148" t="str">
        <f t="shared" ca="1" si="191"/>
        <v/>
      </c>
    </row>
    <row r="5943" spans="2:5" x14ac:dyDescent="0.25">
      <c r="B5943">
        <v>43537</v>
      </c>
      <c r="C5943" s="6" t="str">
        <f ca="1">IF(OR($C$7="",$B5943&gt;NOW()),"",IF(INDEX(Data!$A:$G,MATCH($B5943,Data!$A:$A,0),MATCH($C$7,Data!$4:$4,0))="","",INDEX(Data!$A:$G,MATCH($B5943,Data!$A:$A,0),MATCH($C$7,Data!$4:$4,0))))</f>
        <v/>
      </c>
      <c r="D5943" s="148" t="str">
        <f t="shared" ca="1" si="190"/>
        <v/>
      </c>
      <c r="E5943" s="148" t="str">
        <f t="shared" ca="1" si="191"/>
        <v/>
      </c>
    </row>
    <row r="5944" spans="2:5" x14ac:dyDescent="0.25">
      <c r="B5944">
        <v>43538</v>
      </c>
      <c r="C5944" s="6" t="str">
        <f ca="1">IF(OR($C$7="",$B5944&gt;NOW()),"",IF(INDEX(Data!$A:$G,MATCH($B5944,Data!$A:$A,0),MATCH($C$7,Data!$4:$4,0))="","",INDEX(Data!$A:$G,MATCH($B5944,Data!$A:$A,0),MATCH($C$7,Data!$4:$4,0))))</f>
        <v/>
      </c>
      <c r="D5944" s="148" t="str">
        <f t="shared" ca="1" si="190"/>
        <v/>
      </c>
      <c r="E5944" s="148" t="str">
        <f t="shared" ca="1" si="191"/>
        <v/>
      </c>
    </row>
    <row r="5945" spans="2:5" x14ac:dyDescent="0.25">
      <c r="B5945">
        <v>43539</v>
      </c>
      <c r="C5945" s="6" t="str">
        <f ca="1">IF(OR($C$7="",$B5945&gt;NOW()),"",IF(INDEX(Data!$A:$G,MATCH($B5945,Data!$A:$A,0),MATCH($C$7,Data!$4:$4,0))="","",INDEX(Data!$A:$G,MATCH($B5945,Data!$A:$A,0),MATCH($C$7,Data!$4:$4,0))))</f>
        <v/>
      </c>
      <c r="D5945" s="148" t="str">
        <f t="shared" ca="1" si="190"/>
        <v/>
      </c>
      <c r="E5945" s="148" t="str">
        <f t="shared" ca="1" si="191"/>
        <v/>
      </c>
    </row>
    <row r="5946" spans="2:5" x14ac:dyDescent="0.25">
      <c r="B5946">
        <v>43540</v>
      </c>
      <c r="C5946" s="6" t="str">
        <f ca="1">IF(OR($C$7="",$B5946&gt;NOW()),"",IF(INDEX(Data!$A:$G,MATCH($B5946,Data!$A:$A,0),MATCH($C$7,Data!$4:$4,0))="","",INDEX(Data!$A:$G,MATCH($B5946,Data!$A:$A,0),MATCH($C$7,Data!$4:$4,0))))</f>
        <v/>
      </c>
      <c r="D5946" s="148" t="str">
        <f t="shared" ca="1" si="190"/>
        <v/>
      </c>
      <c r="E5946" s="148" t="str">
        <f t="shared" ca="1" si="191"/>
        <v/>
      </c>
    </row>
    <row r="5947" spans="2:5" x14ac:dyDescent="0.25">
      <c r="B5947">
        <v>43541</v>
      </c>
      <c r="C5947" s="6" t="str">
        <f ca="1">IF(OR($C$7="",$B5947&gt;NOW()),"",IF(INDEX(Data!$A:$G,MATCH($B5947,Data!$A:$A,0),MATCH($C$7,Data!$4:$4,0))="","",INDEX(Data!$A:$G,MATCH($B5947,Data!$A:$A,0),MATCH($C$7,Data!$4:$4,0))))</f>
        <v/>
      </c>
      <c r="D5947" s="148" t="str">
        <f t="shared" ca="1" si="190"/>
        <v/>
      </c>
      <c r="E5947" s="148" t="str">
        <f t="shared" ca="1" si="191"/>
        <v/>
      </c>
    </row>
    <row r="5948" spans="2:5" x14ac:dyDescent="0.25">
      <c r="B5948">
        <v>43542</v>
      </c>
      <c r="C5948" s="6" t="str">
        <f ca="1">IF(OR($C$7="",$B5948&gt;NOW()),"",IF(INDEX(Data!$A:$G,MATCH($B5948,Data!$A:$A,0),MATCH($C$7,Data!$4:$4,0))="","",INDEX(Data!$A:$G,MATCH($B5948,Data!$A:$A,0),MATCH($C$7,Data!$4:$4,0))))</f>
        <v/>
      </c>
      <c r="D5948" s="148" t="str">
        <f t="shared" ca="1" si="190"/>
        <v/>
      </c>
      <c r="E5948" s="148" t="str">
        <f t="shared" ca="1" si="191"/>
        <v/>
      </c>
    </row>
    <row r="5949" spans="2:5" x14ac:dyDescent="0.25">
      <c r="B5949">
        <v>43543</v>
      </c>
      <c r="C5949" s="6" t="str">
        <f ca="1">IF(OR($C$7="",$B5949&gt;NOW()),"",IF(INDEX(Data!$A:$G,MATCH($B5949,Data!$A:$A,0),MATCH($C$7,Data!$4:$4,0))="","",INDEX(Data!$A:$G,MATCH($B5949,Data!$A:$A,0),MATCH($C$7,Data!$4:$4,0))))</f>
        <v/>
      </c>
      <c r="D5949" s="148" t="str">
        <f t="shared" ca="1" si="190"/>
        <v/>
      </c>
      <c r="E5949" s="148" t="str">
        <f t="shared" ca="1" si="191"/>
        <v/>
      </c>
    </row>
    <row r="5950" spans="2:5" x14ac:dyDescent="0.25">
      <c r="B5950">
        <v>43544</v>
      </c>
      <c r="C5950" s="6" t="str">
        <f ca="1">IF(OR($C$7="",$B5950&gt;NOW()),"",IF(INDEX(Data!$A:$G,MATCH($B5950,Data!$A:$A,0),MATCH($C$7,Data!$4:$4,0))="","",INDEX(Data!$A:$G,MATCH($B5950,Data!$A:$A,0),MATCH($C$7,Data!$4:$4,0))))</f>
        <v/>
      </c>
      <c r="D5950" s="148" t="str">
        <f t="shared" ca="1" si="190"/>
        <v/>
      </c>
      <c r="E5950" s="148" t="str">
        <f t="shared" ca="1" si="191"/>
        <v/>
      </c>
    </row>
    <row r="5951" spans="2:5" x14ac:dyDescent="0.25">
      <c r="B5951">
        <v>43545</v>
      </c>
      <c r="C5951" s="6" t="str">
        <f ca="1">IF(OR($C$7="",$B5951&gt;NOW()),"",IF(INDEX(Data!$A:$G,MATCH($B5951,Data!$A:$A,0),MATCH($C$7,Data!$4:$4,0))="","",INDEX(Data!$A:$G,MATCH($B5951,Data!$A:$A,0),MATCH($C$7,Data!$4:$4,0))))</f>
        <v/>
      </c>
      <c r="D5951" s="148" t="str">
        <f t="shared" ca="1" si="190"/>
        <v/>
      </c>
      <c r="E5951" s="148" t="str">
        <f t="shared" ca="1" si="191"/>
        <v/>
      </c>
    </row>
    <row r="5952" spans="2:5" x14ac:dyDescent="0.25">
      <c r="B5952">
        <v>43546</v>
      </c>
      <c r="C5952" s="6" t="str">
        <f ca="1">IF(OR($C$7="",$B5952&gt;NOW()),"",IF(INDEX(Data!$A:$G,MATCH($B5952,Data!$A:$A,0),MATCH($C$7,Data!$4:$4,0))="","",INDEX(Data!$A:$G,MATCH($B5952,Data!$A:$A,0),MATCH($C$7,Data!$4:$4,0))))</f>
        <v/>
      </c>
      <c r="D5952" s="148" t="str">
        <f t="shared" ca="1" si="190"/>
        <v/>
      </c>
      <c r="E5952" s="148" t="str">
        <f t="shared" ca="1" si="191"/>
        <v/>
      </c>
    </row>
    <row r="5953" spans="2:5" x14ac:dyDescent="0.25">
      <c r="B5953">
        <v>43547</v>
      </c>
      <c r="C5953" s="6" t="str">
        <f ca="1">IF(OR($C$7="",$B5953&gt;NOW()),"",IF(INDEX(Data!$A:$G,MATCH($B5953,Data!$A:$A,0),MATCH($C$7,Data!$4:$4,0))="","",INDEX(Data!$A:$G,MATCH($B5953,Data!$A:$A,0),MATCH($C$7,Data!$4:$4,0))))</f>
        <v/>
      </c>
      <c r="D5953" s="148" t="str">
        <f t="shared" ca="1" si="190"/>
        <v/>
      </c>
      <c r="E5953" s="148" t="str">
        <f t="shared" ca="1" si="191"/>
        <v/>
      </c>
    </row>
    <row r="5954" spans="2:5" x14ac:dyDescent="0.25">
      <c r="B5954">
        <v>43548</v>
      </c>
      <c r="C5954" s="6" t="str">
        <f ca="1">IF(OR($C$7="",$B5954&gt;NOW()),"",IF(INDEX(Data!$A:$G,MATCH($B5954,Data!$A:$A,0),MATCH($C$7,Data!$4:$4,0))="","",INDEX(Data!$A:$G,MATCH($B5954,Data!$A:$A,0),MATCH($C$7,Data!$4:$4,0))))</f>
        <v/>
      </c>
      <c r="D5954" s="148" t="str">
        <f t="shared" ca="1" si="190"/>
        <v/>
      </c>
      <c r="E5954" s="148" t="str">
        <f t="shared" ca="1" si="191"/>
        <v/>
      </c>
    </row>
    <row r="5955" spans="2:5" x14ac:dyDescent="0.25">
      <c r="B5955">
        <v>43549</v>
      </c>
      <c r="C5955" s="6" t="str">
        <f ca="1">IF(OR($C$7="",$B5955&gt;NOW()),"",IF(INDEX(Data!$A:$G,MATCH($B5955,Data!$A:$A,0),MATCH($C$7,Data!$4:$4,0))="","",INDEX(Data!$A:$G,MATCH($B5955,Data!$A:$A,0),MATCH($C$7,Data!$4:$4,0))))</f>
        <v/>
      </c>
      <c r="D5955" s="148" t="str">
        <f t="shared" ca="1" si="190"/>
        <v/>
      </c>
      <c r="E5955" s="148" t="str">
        <f t="shared" ca="1" si="191"/>
        <v/>
      </c>
    </row>
    <row r="5956" spans="2:5" x14ac:dyDescent="0.25">
      <c r="B5956">
        <v>43550</v>
      </c>
      <c r="C5956" s="6" t="str">
        <f ca="1">IF(OR($C$7="",$B5956&gt;NOW()),"",IF(INDEX(Data!$A:$G,MATCH($B5956,Data!$A:$A,0),MATCH($C$7,Data!$4:$4,0))="","",INDEX(Data!$A:$G,MATCH($B5956,Data!$A:$A,0),MATCH($C$7,Data!$4:$4,0))))</f>
        <v/>
      </c>
      <c r="D5956" s="148" t="str">
        <f t="shared" ca="1" si="190"/>
        <v/>
      </c>
      <c r="E5956" s="148" t="str">
        <f t="shared" ca="1" si="191"/>
        <v/>
      </c>
    </row>
    <row r="5957" spans="2:5" x14ac:dyDescent="0.25">
      <c r="B5957">
        <v>43551</v>
      </c>
      <c r="C5957" s="6" t="str">
        <f ca="1">IF(OR($C$7="",$B5957&gt;NOW()),"",IF(INDEX(Data!$A:$G,MATCH($B5957,Data!$A:$A,0),MATCH($C$7,Data!$4:$4,0))="","",INDEX(Data!$A:$G,MATCH($B5957,Data!$A:$A,0),MATCH($C$7,Data!$4:$4,0))))</f>
        <v/>
      </c>
      <c r="D5957" s="148" t="str">
        <f t="shared" ca="1" si="190"/>
        <v/>
      </c>
      <c r="E5957" s="148" t="str">
        <f t="shared" ca="1" si="191"/>
        <v/>
      </c>
    </row>
    <row r="5958" spans="2:5" x14ac:dyDescent="0.25">
      <c r="B5958">
        <v>43552</v>
      </c>
      <c r="C5958" s="6" t="str">
        <f ca="1">IF(OR($C$7="",$B5958&gt;NOW()),"",IF(INDEX(Data!$A:$G,MATCH($B5958,Data!$A:$A,0),MATCH($C$7,Data!$4:$4,0))="","",INDEX(Data!$A:$G,MATCH($B5958,Data!$A:$A,0),MATCH($C$7,Data!$4:$4,0))))</f>
        <v/>
      </c>
      <c r="D5958" s="148" t="str">
        <f t="shared" ca="1" si="190"/>
        <v/>
      </c>
      <c r="E5958" s="148" t="str">
        <f t="shared" ca="1" si="191"/>
        <v/>
      </c>
    </row>
    <row r="5959" spans="2:5" x14ac:dyDescent="0.25">
      <c r="B5959">
        <v>43553</v>
      </c>
      <c r="C5959" s="6" t="str">
        <f ca="1">IF(OR($C$7="",$B5959&gt;NOW()),"",IF(INDEX(Data!$A:$G,MATCH($B5959,Data!$A:$A,0),MATCH($C$7,Data!$4:$4,0))="","",INDEX(Data!$A:$G,MATCH($B5959,Data!$A:$A,0),MATCH($C$7,Data!$4:$4,0))))</f>
        <v/>
      </c>
      <c r="D5959" s="148" t="str">
        <f t="shared" ca="1" si="190"/>
        <v/>
      </c>
      <c r="E5959" s="148" t="str">
        <f t="shared" ca="1" si="191"/>
        <v/>
      </c>
    </row>
    <row r="5960" spans="2:5" x14ac:dyDescent="0.25">
      <c r="B5960">
        <v>43554</v>
      </c>
      <c r="C5960" s="6" t="str">
        <f ca="1">IF(OR($C$7="",$B5960&gt;NOW()),"",IF(INDEX(Data!$A:$G,MATCH($B5960,Data!$A:$A,0),MATCH($C$7,Data!$4:$4,0))="","",INDEX(Data!$A:$G,MATCH($B5960,Data!$A:$A,0),MATCH($C$7,Data!$4:$4,0))))</f>
        <v/>
      </c>
      <c r="D5960" s="148" t="str">
        <f t="shared" ca="1" si="190"/>
        <v/>
      </c>
      <c r="E5960" s="148" t="str">
        <f t="shared" ca="1" si="191"/>
        <v/>
      </c>
    </row>
    <row r="5961" spans="2:5" x14ac:dyDescent="0.25">
      <c r="B5961">
        <v>43555</v>
      </c>
      <c r="C5961" s="6" t="str">
        <f ca="1">IF(OR($C$7="",$B5961&gt;NOW()),"",IF(INDEX(Data!$A:$G,MATCH($B5961,Data!$A:$A,0),MATCH($C$7,Data!$4:$4,0))="","",INDEX(Data!$A:$G,MATCH($B5961,Data!$A:$A,0),MATCH($C$7,Data!$4:$4,0))))</f>
        <v/>
      </c>
      <c r="D5961" s="148" t="str">
        <f t="shared" ca="1" si="190"/>
        <v/>
      </c>
      <c r="E5961" s="148" t="str">
        <f t="shared" ca="1" si="191"/>
        <v/>
      </c>
    </row>
    <row r="5962" spans="2:5" x14ac:dyDescent="0.25">
      <c r="B5962">
        <v>43556</v>
      </c>
      <c r="C5962" s="6" t="str">
        <f ca="1">IF(OR($C$7="",$B5962&gt;NOW()),"",IF(INDEX(Data!$A:$G,MATCH($B5962,Data!$A:$A,0),MATCH($C$7,Data!$4:$4,0))="","",INDEX(Data!$A:$G,MATCH($B5962,Data!$A:$A,0),MATCH($C$7,Data!$4:$4,0))))</f>
        <v/>
      </c>
      <c r="D5962" s="148" t="str">
        <f t="shared" ca="1" si="190"/>
        <v/>
      </c>
      <c r="E5962" s="148" t="str">
        <f t="shared" ca="1" si="191"/>
        <v/>
      </c>
    </row>
    <row r="5963" spans="2:5" x14ac:dyDescent="0.25">
      <c r="B5963">
        <v>43557</v>
      </c>
      <c r="C5963" s="6" t="str">
        <f ca="1">IF(OR($C$7="",$B5963&gt;NOW()),"",IF(INDEX(Data!$A:$G,MATCH($B5963,Data!$A:$A,0),MATCH($C$7,Data!$4:$4,0))="","",INDEX(Data!$A:$G,MATCH($B5963,Data!$A:$A,0),MATCH($C$7,Data!$4:$4,0))))</f>
        <v/>
      </c>
      <c r="D5963" s="148" t="str">
        <f t="shared" ca="1" si="190"/>
        <v/>
      </c>
      <c r="E5963" s="148" t="str">
        <f t="shared" ca="1" si="191"/>
        <v/>
      </c>
    </row>
    <row r="5964" spans="2:5" x14ac:dyDescent="0.25">
      <c r="B5964">
        <v>43558</v>
      </c>
      <c r="C5964" s="6" t="str">
        <f ca="1">IF(OR($C$7="",$B5964&gt;NOW()),"",IF(INDEX(Data!$A:$G,MATCH($B5964,Data!$A:$A,0),MATCH($C$7,Data!$4:$4,0))="","",INDEX(Data!$A:$G,MATCH($B5964,Data!$A:$A,0),MATCH($C$7,Data!$4:$4,0))))</f>
        <v/>
      </c>
      <c r="D5964" s="148" t="str">
        <f t="shared" ca="1" si="190"/>
        <v/>
      </c>
      <c r="E5964" s="148" t="str">
        <f t="shared" ca="1" si="191"/>
        <v/>
      </c>
    </row>
    <row r="5965" spans="2:5" x14ac:dyDescent="0.25">
      <c r="B5965">
        <v>43559</v>
      </c>
      <c r="C5965" s="6" t="str">
        <f ca="1">IF(OR($C$7="",$B5965&gt;NOW()),"",IF(INDEX(Data!$A:$G,MATCH($B5965,Data!$A:$A,0),MATCH($C$7,Data!$4:$4,0))="","",INDEX(Data!$A:$G,MATCH($B5965,Data!$A:$A,0),MATCH($C$7,Data!$4:$4,0))))</f>
        <v/>
      </c>
      <c r="D5965" s="148" t="str">
        <f t="shared" ca="1" si="190"/>
        <v/>
      </c>
      <c r="E5965" s="148" t="str">
        <f t="shared" ca="1" si="191"/>
        <v/>
      </c>
    </row>
    <row r="5966" spans="2:5" x14ac:dyDescent="0.25">
      <c r="B5966">
        <v>43560</v>
      </c>
      <c r="C5966" s="6" t="str">
        <f ca="1">IF(OR($C$7="",$B5966&gt;NOW()),"",IF(INDEX(Data!$A:$G,MATCH($B5966,Data!$A:$A,0),MATCH($C$7,Data!$4:$4,0))="","",INDEX(Data!$A:$G,MATCH($B5966,Data!$A:$A,0),MATCH($C$7,Data!$4:$4,0))))</f>
        <v/>
      </c>
      <c r="D5966" s="148" t="str">
        <f t="shared" ca="1" si="190"/>
        <v/>
      </c>
      <c r="E5966" s="148" t="str">
        <f t="shared" ca="1" si="191"/>
        <v/>
      </c>
    </row>
    <row r="5967" spans="2:5" x14ac:dyDescent="0.25">
      <c r="B5967">
        <v>43561</v>
      </c>
      <c r="C5967" s="6" t="str">
        <f ca="1">IF(OR($C$7="",$B5967&gt;NOW()),"",IF(INDEX(Data!$A:$G,MATCH($B5967,Data!$A:$A,0),MATCH($C$7,Data!$4:$4,0))="","",INDEX(Data!$A:$G,MATCH($B5967,Data!$A:$A,0),MATCH($C$7,Data!$4:$4,0))))</f>
        <v/>
      </c>
      <c r="D5967" s="148" t="str">
        <f t="shared" ca="1" si="190"/>
        <v/>
      </c>
      <c r="E5967" s="148" t="str">
        <f t="shared" ca="1" si="191"/>
        <v/>
      </c>
    </row>
    <row r="5968" spans="2:5" x14ac:dyDescent="0.25">
      <c r="B5968">
        <v>43562</v>
      </c>
      <c r="C5968" s="6" t="str">
        <f ca="1">IF(OR($C$7="",$B5968&gt;NOW()),"",IF(INDEX(Data!$A:$G,MATCH($B5968,Data!$A:$A,0),MATCH($C$7,Data!$4:$4,0))="","",INDEX(Data!$A:$G,MATCH($B5968,Data!$A:$A,0),MATCH($C$7,Data!$4:$4,0))))</f>
        <v/>
      </c>
      <c r="D5968" s="148" t="str">
        <f t="shared" ca="1" si="190"/>
        <v/>
      </c>
      <c r="E5968" s="148" t="str">
        <f t="shared" ca="1" si="191"/>
        <v/>
      </c>
    </row>
    <row r="5969" spans="2:5" x14ac:dyDescent="0.25">
      <c r="B5969">
        <v>43563</v>
      </c>
      <c r="C5969" s="6" t="str">
        <f ca="1">IF(OR($C$7="",$B5969&gt;NOW()),"",IF(INDEX(Data!$A:$G,MATCH($B5969,Data!$A:$A,0),MATCH($C$7,Data!$4:$4,0))="","",INDEX(Data!$A:$G,MATCH($B5969,Data!$A:$A,0),MATCH($C$7,Data!$4:$4,0))))</f>
        <v/>
      </c>
      <c r="D5969" s="148" t="str">
        <f t="shared" ca="1" si="190"/>
        <v/>
      </c>
      <c r="E5969" s="148" t="str">
        <f t="shared" ca="1" si="191"/>
        <v/>
      </c>
    </row>
    <row r="5970" spans="2:5" x14ac:dyDescent="0.25">
      <c r="B5970">
        <v>43564</v>
      </c>
      <c r="C5970" s="6" t="str">
        <f ca="1">IF(OR($C$7="",$B5970&gt;NOW()),"",IF(INDEX(Data!$A:$G,MATCH($B5970,Data!$A:$A,0),MATCH($C$7,Data!$4:$4,0))="","",INDEX(Data!$A:$G,MATCH($B5970,Data!$A:$A,0),MATCH($C$7,Data!$4:$4,0))))</f>
        <v/>
      </c>
      <c r="D5970" s="148" t="str">
        <f t="shared" ca="1" si="190"/>
        <v/>
      </c>
      <c r="E5970" s="148" t="str">
        <f t="shared" ca="1" si="191"/>
        <v/>
      </c>
    </row>
    <row r="5971" spans="2:5" x14ac:dyDescent="0.25">
      <c r="B5971">
        <v>43565</v>
      </c>
      <c r="C5971" s="6" t="str">
        <f ca="1">IF(OR($C$7="",$B5971&gt;NOW()),"",IF(INDEX(Data!$A:$G,MATCH($B5971,Data!$A:$A,0),MATCH($C$7,Data!$4:$4,0))="","",INDEX(Data!$A:$G,MATCH($B5971,Data!$A:$A,0),MATCH($C$7,Data!$4:$4,0))))</f>
        <v/>
      </c>
      <c r="D5971" s="148" t="str">
        <f t="shared" ca="1" si="190"/>
        <v/>
      </c>
      <c r="E5971" s="148" t="str">
        <f t="shared" ca="1" si="191"/>
        <v/>
      </c>
    </row>
    <row r="5972" spans="2:5" x14ac:dyDescent="0.25">
      <c r="B5972">
        <v>43566</v>
      </c>
      <c r="C5972" s="6" t="str">
        <f ca="1">IF(OR($C$7="",$B5972&gt;NOW()),"",IF(INDEX(Data!$A:$G,MATCH($B5972,Data!$A:$A,0),MATCH($C$7,Data!$4:$4,0))="","",INDEX(Data!$A:$G,MATCH($B5972,Data!$A:$A,0),MATCH($C$7,Data!$4:$4,0))))</f>
        <v/>
      </c>
      <c r="D5972" s="148" t="str">
        <f t="shared" ca="1" si="190"/>
        <v/>
      </c>
      <c r="E5972" s="148" t="str">
        <f t="shared" ca="1" si="191"/>
        <v/>
      </c>
    </row>
    <row r="5973" spans="2:5" x14ac:dyDescent="0.25">
      <c r="B5973">
        <v>43567</v>
      </c>
      <c r="C5973" s="6" t="str">
        <f ca="1">IF(OR($C$7="",$B5973&gt;NOW()),"",IF(INDEX(Data!$A:$G,MATCH($B5973,Data!$A:$A,0),MATCH($C$7,Data!$4:$4,0))="","",INDEX(Data!$A:$G,MATCH($B5973,Data!$A:$A,0),MATCH($C$7,Data!$4:$4,0))))</f>
        <v/>
      </c>
      <c r="D5973" s="148" t="str">
        <f t="shared" ca="1" si="190"/>
        <v/>
      </c>
      <c r="E5973" s="148" t="str">
        <f t="shared" ca="1" si="191"/>
        <v/>
      </c>
    </row>
    <row r="5974" spans="2:5" x14ac:dyDescent="0.25">
      <c r="B5974">
        <v>43568</v>
      </c>
      <c r="C5974" s="6" t="str">
        <f ca="1">IF(OR($C$7="",$B5974&gt;NOW()),"",IF(INDEX(Data!$A:$G,MATCH($B5974,Data!$A:$A,0),MATCH($C$7,Data!$4:$4,0))="","",INDEX(Data!$A:$G,MATCH($B5974,Data!$A:$A,0),MATCH($C$7,Data!$4:$4,0))))</f>
        <v/>
      </c>
      <c r="D5974" s="148" t="str">
        <f t="shared" ca="1" si="190"/>
        <v/>
      </c>
      <c r="E5974" s="148" t="str">
        <f t="shared" ca="1" si="191"/>
        <v/>
      </c>
    </row>
    <row r="5975" spans="2:5" x14ac:dyDescent="0.25">
      <c r="B5975">
        <v>43569</v>
      </c>
      <c r="C5975" s="6" t="str">
        <f ca="1">IF(OR($C$7="",$B5975&gt;NOW()),"",IF(INDEX(Data!$A:$G,MATCH($B5975,Data!$A:$A,0),MATCH($C$7,Data!$4:$4,0))="","",INDEX(Data!$A:$G,MATCH($B5975,Data!$A:$A,0),MATCH($C$7,Data!$4:$4,0))))</f>
        <v/>
      </c>
      <c r="D5975" s="148" t="str">
        <f t="shared" ca="1" si="190"/>
        <v/>
      </c>
      <c r="E5975" s="148" t="str">
        <f t="shared" ca="1" si="191"/>
        <v/>
      </c>
    </row>
    <row r="5976" spans="2:5" x14ac:dyDescent="0.25">
      <c r="B5976">
        <v>43570</v>
      </c>
      <c r="C5976" s="6" t="str">
        <f ca="1">IF(OR($C$7="",$B5976&gt;NOW()),"",IF(INDEX(Data!$A:$G,MATCH($B5976,Data!$A:$A,0),MATCH($C$7,Data!$4:$4,0))="","",INDEX(Data!$A:$G,MATCH($B5976,Data!$A:$A,0),MATCH($C$7,Data!$4:$4,0))))</f>
        <v/>
      </c>
      <c r="D5976" s="148" t="str">
        <f t="shared" ca="1" si="190"/>
        <v/>
      </c>
      <c r="E5976" s="148" t="str">
        <f t="shared" ca="1" si="191"/>
        <v/>
      </c>
    </row>
    <row r="5977" spans="2:5" x14ac:dyDescent="0.25">
      <c r="B5977">
        <v>43571</v>
      </c>
      <c r="C5977" s="6" t="str">
        <f ca="1">IF(OR($C$7="",$B5977&gt;NOW()),"",IF(INDEX(Data!$A:$G,MATCH($B5977,Data!$A:$A,0),MATCH($C$7,Data!$4:$4,0))="","",INDEX(Data!$A:$G,MATCH($B5977,Data!$A:$A,0),MATCH($C$7,Data!$4:$4,0))))</f>
        <v/>
      </c>
      <c r="D5977" s="148" t="str">
        <f t="shared" ca="1" si="190"/>
        <v/>
      </c>
      <c r="E5977" s="148" t="str">
        <f t="shared" ca="1" si="191"/>
        <v/>
      </c>
    </row>
    <row r="5978" spans="2:5" x14ac:dyDescent="0.25">
      <c r="B5978">
        <v>43572</v>
      </c>
      <c r="C5978" s="6" t="str">
        <f ca="1">IF(OR($C$7="",$B5978&gt;NOW()),"",IF(INDEX(Data!$A:$G,MATCH($B5978,Data!$A:$A,0),MATCH($C$7,Data!$4:$4,0))="","",INDEX(Data!$A:$G,MATCH($B5978,Data!$A:$A,0),MATCH($C$7,Data!$4:$4,0))))</f>
        <v/>
      </c>
      <c r="D5978" s="148" t="str">
        <f t="shared" ca="1" si="190"/>
        <v/>
      </c>
      <c r="E5978" s="148" t="str">
        <f t="shared" ca="1" si="191"/>
        <v/>
      </c>
    </row>
    <row r="5979" spans="2:5" x14ac:dyDescent="0.25">
      <c r="B5979">
        <v>43573</v>
      </c>
      <c r="C5979" s="6" t="str">
        <f ca="1">IF(OR($C$7="",$B5979&gt;NOW()),"",IF(INDEX(Data!$A:$G,MATCH($B5979,Data!$A:$A,0),MATCH($C$7,Data!$4:$4,0))="","",INDEX(Data!$A:$G,MATCH($B5979,Data!$A:$A,0),MATCH($C$7,Data!$4:$4,0))))</f>
        <v/>
      </c>
      <c r="D5979" s="148" t="str">
        <f t="shared" ca="1" si="190"/>
        <v/>
      </c>
      <c r="E5979" s="148" t="str">
        <f t="shared" ca="1" si="191"/>
        <v/>
      </c>
    </row>
    <row r="5980" spans="2:5" x14ac:dyDescent="0.25">
      <c r="B5980">
        <v>43574</v>
      </c>
      <c r="C5980" s="6" t="str">
        <f ca="1">IF(OR($C$7="",$B5980&gt;NOW()),"",IF(INDEX(Data!$A:$G,MATCH($B5980,Data!$A:$A,0),MATCH($C$7,Data!$4:$4,0))="","",INDEX(Data!$A:$G,MATCH($B5980,Data!$A:$A,0),MATCH($C$7,Data!$4:$4,0))))</f>
        <v/>
      </c>
      <c r="D5980" s="148" t="str">
        <f t="shared" ca="1" si="190"/>
        <v/>
      </c>
      <c r="E5980" s="148" t="str">
        <f t="shared" ca="1" si="191"/>
        <v/>
      </c>
    </row>
    <row r="5981" spans="2:5" x14ac:dyDescent="0.25">
      <c r="B5981">
        <v>43575</v>
      </c>
      <c r="C5981" s="6" t="str">
        <f ca="1">IF(OR($C$7="",$B5981&gt;NOW()),"",IF(INDEX(Data!$A:$G,MATCH($B5981,Data!$A:$A,0),MATCH($C$7,Data!$4:$4,0))="","",INDEX(Data!$A:$G,MATCH($B5981,Data!$A:$A,0),MATCH($C$7,Data!$4:$4,0))))</f>
        <v/>
      </c>
      <c r="D5981" s="148" t="str">
        <f t="shared" ref="D5981:D6044" ca="1" si="192">IF($C5981="","",IF($C5981&gt;$D$26,0,$D$26-$C5981))</f>
        <v/>
      </c>
      <c r="E5981" s="148" t="str">
        <f t="shared" ref="E5981:E6044" ca="1" si="193">IF($C5981="","",IF($C5981&lt;$E$26,0,$C5981-$E$26))</f>
        <v/>
      </c>
    </row>
    <row r="5982" spans="2:5" x14ac:dyDescent="0.25">
      <c r="B5982">
        <v>43576</v>
      </c>
      <c r="C5982" s="6" t="str">
        <f ca="1">IF(OR($C$7="",$B5982&gt;NOW()),"",IF(INDEX(Data!$A:$G,MATCH($B5982,Data!$A:$A,0),MATCH($C$7,Data!$4:$4,0))="","",INDEX(Data!$A:$G,MATCH($B5982,Data!$A:$A,0),MATCH($C$7,Data!$4:$4,0))))</f>
        <v/>
      </c>
      <c r="D5982" s="148" t="str">
        <f t="shared" ca="1" si="192"/>
        <v/>
      </c>
      <c r="E5982" s="148" t="str">
        <f t="shared" ca="1" si="193"/>
        <v/>
      </c>
    </row>
    <row r="5983" spans="2:5" x14ac:dyDescent="0.25">
      <c r="B5983">
        <v>43577</v>
      </c>
      <c r="C5983" s="6" t="str">
        <f ca="1">IF(OR($C$7="",$B5983&gt;NOW()),"",IF(INDEX(Data!$A:$G,MATCH($B5983,Data!$A:$A,0),MATCH($C$7,Data!$4:$4,0))="","",INDEX(Data!$A:$G,MATCH($B5983,Data!$A:$A,0),MATCH($C$7,Data!$4:$4,0))))</f>
        <v/>
      </c>
      <c r="D5983" s="148" t="str">
        <f t="shared" ca="1" si="192"/>
        <v/>
      </c>
      <c r="E5983" s="148" t="str">
        <f t="shared" ca="1" si="193"/>
        <v/>
      </c>
    </row>
    <row r="5984" spans="2:5" x14ac:dyDescent="0.25">
      <c r="B5984">
        <v>43578</v>
      </c>
      <c r="C5984" s="6" t="str">
        <f ca="1">IF(OR($C$7="",$B5984&gt;NOW()),"",IF(INDEX(Data!$A:$G,MATCH($B5984,Data!$A:$A,0),MATCH($C$7,Data!$4:$4,0))="","",INDEX(Data!$A:$G,MATCH($B5984,Data!$A:$A,0),MATCH($C$7,Data!$4:$4,0))))</f>
        <v/>
      </c>
      <c r="D5984" s="148" t="str">
        <f t="shared" ca="1" si="192"/>
        <v/>
      </c>
      <c r="E5984" s="148" t="str">
        <f t="shared" ca="1" si="193"/>
        <v/>
      </c>
    </row>
    <row r="5985" spans="2:5" x14ac:dyDescent="0.25">
      <c r="B5985">
        <v>43579</v>
      </c>
      <c r="C5985" s="6" t="str">
        <f ca="1">IF(OR($C$7="",$B5985&gt;NOW()),"",IF(INDEX(Data!$A:$G,MATCH($B5985,Data!$A:$A,0),MATCH($C$7,Data!$4:$4,0))="","",INDEX(Data!$A:$G,MATCH($B5985,Data!$A:$A,0),MATCH($C$7,Data!$4:$4,0))))</f>
        <v/>
      </c>
      <c r="D5985" s="148" t="str">
        <f t="shared" ca="1" si="192"/>
        <v/>
      </c>
      <c r="E5985" s="148" t="str">
        <f t="shared" ca="1" si="193"/>
        <v/>
      </c>
    </row>
    <row r="5986" spans="2:5" x14ac:dyDescent="0.25">
      <c r="B5986">
        <v>43580</v>
      </c>
      <c r="C5986" s="6" t="str">
        <f ca="1">IF(OR($C$7="",$B5986&gt;NOW()),"",IF(INDEX(Data!$A:$G,MATCH($B5986,Data!$A:$A,0),MATCH($C$7,Data!$4:$4,0))="","",INDEX(Data!$A:$G,MATCH($B5986,Data!$A:$A,0),MATCH($C$7,Data!$4:$4,0))))</f>
        <v/>
      </c>
      <c r="D5986" s="148" t="str">
        <f t="shared" ca="1" si="192"/>
        <v/>
      </c>
      <c r="E5986" s="148" t="str">
        <f t="shared" ca="1" si="193"/>
        <v/>
      </c>
    </row>
    <row r="5987" spans="2:5" x14ac:dyDescent="0.25">
      <c r="B5987">
        <v>43581</v>
      </c>
      <c r="C5987" s="6" t="str">
        <f ca="1">IF(OR($C$7="",$B5987&gt;NOW()),"",IF(INDEX(Data!$A:$G,MATCH($B5987,Data!$A:$A,0),MATCH($C$7,Data!$4:$4,0))="","",INDEX(Data!$A:$G,MATCH($B5987,Data!$A:$A,0),MATCH($C$7,Data!$4:$4,0))))</f>
        <v/>
      </c>
      <c r="D5987" s="148" t="str">
        <f t="shared" ca="1" si="192"/>
        <v/>
      </c>
      <c r="E5987" s="148" t="str">
        <f t="shared" ca="1" si="193"/>
        <v/>
      </c>
    </row>
    <row r="5988" spans="2:5" x14ac:dyDescent="0.25">
      <c r="B5988">
        <v>43582</v>
      </c>
      <c r="C5988" s="6" t="str">
        <f ca="1">IF(OR($C$7="",$B5988&gt;NOW()),"",IF(INDEX(Data!$A:$G,MATCH($B5988,Data!$A:$A,0),MATCH($C$7,Data!$4:$4,0))="","",INDEX(Data!$A:$G,MATCH($B5988,Data!$A:$A,0),MATCH($C$7,Data!$4:$4,0))))</f>
        <v/>
      </c>
      <c r="D5988" s="148" t="str">
        <f t="shared" ca="1" si="192"/>
        <v/>
      </c>
      <c r="E5988" s="148" t="str">
        <f t="shared" ca="1" si="193"/>
        <v/>
      </c>
    </row>
    <row r="5989" spans="2:5" x14ac:dyDescent="0.25">
      <c r="B5989">
        <v>43583</v>
      </c>
      <c r="C5989" s="6" t="str">
        <f ca="1">IF(OR($C$7="",$B5989&gt;NOW()),"",IF(INDEX(Data!$A:$G,MATCH($B5989,Data!$A:$A,0),MATCH($C$7,Data!$4:$4,0))="","",INDEX(Data!$A:$G,MATCH($B5989,Data!$A:$A,0),MATCH($C$7,Data!$4:$4,0))))</f>
        <v/>
      </c>
      <c r="D5989" s="148" t="str">
        <f t="shared" ca="1" si="192"/>
        <v/>
      </c>
      <c r="E5989" s="148" t="str">
        <f t="shared" ca="1" si="193"/>
        <v/>
      </c>
    </row>
    <row r="5990" spans="2:5" x14ac:dyDescent="0.25">
      <c r="B5990">
        <v>43584</v>
      </c>
      <c r="C5990" s="6" t="str">
        <f ca="1">IF(OR($C$7="",$B5990&gt;NOW()),"",IF(INDEX(Data!$A:$G,MATCH($B5990,Data!$A:$A,0),MATCH($C$7,Data!$4:$4,0))="","",INDEX(Data!$A:$G,MATCH($B5990,Data!$A:$A,0),MATCH($C$7,Data!$4:$4,0))))</f>
        <v/>
      </c>
      <c r="D5990" s="148" t="str">
        <f t="shared" ca="1" si="192"/>
        <v/>
      </c>
      <c r="E5990" s="148" t="str">
        <f t="shared" ca="1" si="193"/>
        <v/>
      </c>
    </row>
    <row r="5991" spans="2:5" x14ac:dyDescent="0.25">
      <c r="B5991">
        <v>43585</v>
      </c>
      <c r="C5991" s="6" t="str">
        <f ca="1">IF(OR($C$7="",$B5991&gt;NOW()),"",IF(INDEX(Data!$A:$G,MATCH($B5991,Data!$A:$A,0),MATCH($C$7,Data!$4:$4,0))="","",INDEX(Data!$A:$G,MATCH($B5991,Data!$A:$A,0),MATCH($C$7,Data!$4:$4,0))))</f>
        <v/>
      </c>
      <c r="D5991" s="148" t="str">
        <f t="shared" ca="1" si="192"/>
        <v/>
      </c>
      <c r="E5991" s="148" t="str">
        <f t="shared" ca="1" si="193"/>
        <v/>
      </c>
    </row>
    <row r="5992" spans="2:5" x14ac:dyDescent="0.25">
      <c r="B5992">
        <v>43586</v>
      </c>
      <c r="C5992" s="6" t="str">
        <f ca="1">IF(OR($C$7="",$B5992&gt;NOW()),"",IF(INDEX(Data!$A:$G,MATCH($B5992,Data!$A:$A,0),MATCH($C$7,Data!$4:$4,0))="","",INDEX(Data!$A:$G,MATCH($B5992,Data!$A:$A,0),MATCH($C$7,Data!$4:$4,0))))</f>
        <v/>
      </c>
      <c r="D5992" s="148" t="str">
        <f t="shared" ca="1" si="192"/>
        <v/>
      </c>
      <c r="E5992" s="148" t="str">
        <f t="shared" ca="1" si="193"/>
        <v/>
      </c>
    </row>
    <row r="5993" spans="2:5" x14ac:dyDescent="0.25">
      <c r="B5993">
        <v>43587</v>
      </c>
      <c r="C5993" s="6" t="str">
        <f ca="1">IF(OR($C$7="",$B5993&gt;NOW()),"",IF(INDEX(Data!$A:$G,MATCH($B5993,Data!$A:$A,0),MATCH($C$7,Data!$4:$4,0))="","",INDEX(Data!$A:$G,MATCH($B5993,Data!$A:$A,0),MATCH($C$7,Data!$4:$4,0))))</f>
        <v/>
      </c>
      <c r="D5993" s="148" t="str">
        <f t="shared" ca="1" si="192"/>
        <v/>
      </c>
      <c r="E5993" s="148" t="str">
        <f t="shared" ca="1" si="193"/>
        <v/>
      </c>
    </row>
    <row r="5994" spans="2:5" x14ac:dyDescent="0.25">
      <c r="B5994">
        <v>43588</v>
      </c>
      <c r="C5994" s="6" t="str">
        <f ca="1">IF(OR($C$7="",$B5994&gt;NOW()),"",IF(INDEX(Data!$A:$G,MATCH($B5994,Data!$A:$A,0),MATCH($C$7,Data!$4:$4,0))="","",INDEX(Data!$A:$G,MATCH($B5994,Data!$A:$A,0),MATCH($C$7,Data!$4:$4,0))))</f>
        <v/>
      </c>
      <c r="D5994" s="148" t="str">
        <f t="shared" ca="1" si="192"/>
        <v/>
      </c>
      <c r="E5994" s="148" t="str">
        <f t="shared" ca="1" si="193"/>
        <v/>
      </c>
    </row>
    <row r="5995" spans="2:5" x14ac:dyDescent="0.25">
      <c r="B5995">
        <v>43589</v>
      </c>
      <c r="C5995" s="6" t="str">
        <f ca="1">IF(OR($C$7="",$B5995&gt;NOW()),"",IF(INDEX(Data!$A:$G,MATCH($B5995,Data!$A:$A,0),MATCH($C$7,Data!$4:$4,0))="","",INDEX(Data!$A:$G,MATCH($B5995,Data!$A:$A,0),MATCH($C$7,Data!$4:$4,0))))</f>
        <v/>
      </c>
      <c r="D5995" s="148" t="str">
        <f t="shared" ca="1" si="192"/>
        <v/>
      </c>
      <c r="E5995" s="148" t="str">
        <f t="shared" ca="1" si="193"/>
        <v/>
      </c>
    </row>
    <row r="5996" spans="2:5" x14ac:dyDescent="0.25">
      <c r="B5996">
        <v>43590</v>
      </c>
      <c r="C5996" s="6" t="str">
        <f ca="1">IF(OR($C$7="",$B5996&gt;NOW()),"",IF(INDEX(Data!$A:$G,MATCH($B5996,Data!$A:$A,0),MATCH($C$7,Data!$4:$4,0))="","",INDEX(Data!$A:$G,MATCH($B5996,Data!$A:$A,0),MATCH($C$7,Data!$4:$4,0))))</f>
        <v/>
      </c>
      <c r="D5996" s="148" t="str">
        <f t="shared" ca="1" si="192"/>
        <v/>
      </c>
      <c r="E5996" s="148" t="str">
        <f t="shared" ca="1" si="193"/>
        <v/>
      </c>
    </row>
    <row r="5997" spans="2:5" x14ac:dyDescent="0.25">
      <c r="B5997">
        <v>43591</v>
      </c>
      <c r="C5997" s="6" t="str">
        <f ca="1">IF(OR($C$7="",$B5997&gt;NOW()),"",IF(INDEX(Data!$A:$G,MATCH($B5997,Data!$A:$A,0),MATCH($C$7,Data!$4:$4,0))="","",INDEX(Data!$A:$G,MATCH($B5997,Data!$A:$A,0),MATCH($C$7,Data!$4:$4,0))))</f>
        <v/>
      </c>
      <c r="D5997" s="148" t="str">
        <f t="shared" ca="1" si="192"/>
        <v/>
      </c>
      <c r="E5997" s="148" t="str">
        <f t="shared" ca="1" si="193"/>
        <v/>
      </c>
    </row>
    <row r="5998" spans="2:5" x14ac:dyDescent="0.25">
      <c r="B5998">
        <v>43592</v>
      </c>
      <c r="C5998" s="6" t="str">
        <f ca="1">IF(OR($C$7="",$B5998&gt;NOW()),"",IF(INDEX(Data!$A:$G,MATCH($B5998,Data!$A:$A,0),MATCH($C$7,Data!$4:$4,0))="","",INDEX(Data!$A:$G,MATCH($B5998,Data!$A:$A,0),MATCH($C$7,Data!$4:$4,0))))</f>
        <v/>
      </c>
      <c r="D5998" s="148" t="str">
        <f t="shared" ca="1" si="192"/>
        <v/>
      </c>
      <c r="E5998" s="148" t="str">
        <f t="shared" ca="1" si="193"/>
        <v/>
      </c>
    </row>
    <row r="5999" spans="2:5" x14ac:dyDescent="0.25">
      <c r="B5999">
        <v>43593</v>
      </c>
      <c r="C5999" s="6" t="str">
        <f ca="1">IF(OR($C$7="",$B5999&gt;NOW()),"",IF(INDEX(Data!$A:$G,MATCH($B5999,Data!$A:$A,0),MATCH($C$7,Data!$4:$4,0))="","",INDEX(Data!$A:$G,MATCH($B5999,Data!$A:$A,0),MATCH($C$7,Data!$4:$4,0))))</f>
        <v/>
      </c>
      <c r="D5999" s="148" t="str">
        <f t="shared" ca="1" si="192"/>
        <v/>
      </c>
      <c r="E5999" s="148" t="str">
        <f t="shared" ca="1" si="193"/>
        <v/>
      </c>
    </row>
    <row r="6000" spans="2:5" x14ac:dyDescent="0.25">
      <c r="B6000">
        <v>43594</v>
      </c>
      <c r="C6000" s="6" t="str">
        <f ca="1">IF(OR($C$7="",$B6000&gt;NOW()),"",IF(INDEX(Data!$A:$G,MATCH($B6000,Data!$A:$A,0),MATCH($C$7,Data!$4:$4,0))="","",INDEX(Data!$A:$G,MATCH($B6000,Data!$A:$A,0),MATCH($C$7,Data!$4:$4,0))))</f>
        <v/>
      </c>
      <c r="D6000" s="148" t="str">
        <f t="shared" ca="1" si="192"/>
        <v/>
      </c>
      <c r="E6000" s="148" t="str">
        <f t="shared" ca="1" si="193"/>
        <v/>
      </c>
    </row>
    <row r="6001" spans="2:5" x14ac:dyDescent="0.25">
      <c r="B6001">
        <v>43595</v>
      </c>
      <c r="C6001" s="6" t="str">
        <f ca="1">IF(OR($C$7="",$B6001&gt;NOW()),"",IF(INDEX(Data!$A:$G,MATCH($B6001,Data!$A:$A,0),MATCH($C$7,Data!$4:$4,0))="","",INDEX(Data!$A:$G,MATCH($B6001,Data!$A:$A,0),MATCH($C$7,Data!$4:$4,0))))</f>
        <v/>
      </c>
      <c r="D6001" s="148" t="str">
        <f t="shared" ca="1" si="192"/>
        <v/>
      </c>
      <c r="E6001" s="148" t="str">
        <f t="shared" ca="1" si="193"/>
        <v/>
      </c>
    </row>
    <row r="6002" spans="2:5" x14ac:dyDescent="0.25">
      <c r="B6002">
        <v>43596</v>
      </c>
      <c r="C6002" s="6" t="str">
        <f ca="1">IF(OR($C$7="",$B6002&gt;NOW()),"",IF(INDEX(Data!$A:$G,MATCH($B6002,Data!$A:$A,0),MATCH($C$7,Data!$4:$4,0))="","",INDEX(Data!$A:$G,MATCH($B6002,Data!$A:$A,0),MATCH($C$7,Data!$4:$4,0))))</f>
        <v/>
      </c>
      <c r="D6002" s="148" t="str">
        <f t="shared" ca="1" si="192"/>
        <v/>
      </c>
      <c r="E6002" s="148" t="str">
        <f t="shared" ca="1" si="193"/>
        <v/>
      </c>
    </row>
    <row r="6003" spans="2:5" x14ac:dyDescent="0.25">
      <c r="B6003">
        <v>43597</v>
      </c>
      <c r="C6003" s="6" t="str">
        <f ca="1">IF(OR($C$7="",$B6003&gt;NOW()),"",IF(INDEX(Data!$A:$G,MATCH($B6003,Data!$A:$A,0),MATCH($C$7,Data!$4:$4,0))="","",INDEX(Data!$A:$G,MATCH($B6003,Data!$A:$A,0),MATCH($C$7,Data!$4:$4,0))))</f>
        <v/>
      </c>
      <c r="D6003" s="148" t="str">
        <f t="shared" ca="1" si="192"/>
        <v/>
      </c>
      <c r="E6003" s="148" t="str">
        <f t="shared" ca="1" si="193"/>
        <v/>
      </c>
    </row>
    <row r="6004" spans="2:5" x14ac:dyDescent="0.25">
      <c r="B6004">
        <v>43598</v>
      </c>
      <c r="C6004" s="6" t="str">
        <f ca="1">IF(OR($C$7="",$B6004&gt;NOW()),"",IF(INDEX(Data!$A:$G,MATCH($B6004,Data!$A:$A,0),MATCH($C$7,Data!$4:$4,0))="","",INDEX(Data!$A:$G,MATCH($B6004,Data!$A:$A,0),MATCH($C$7,Data!$4:$4,0))))</f>
        <v/>
      </c>
      <c r="D6004" s="148" t="str">
        <f t="shared" ca="1" si="192"/>
        <v/>
      </c>
      <c r="E6004" s="148" t="str">
        <f t="shared" ca="1" si="193"/>
        <v/>
      </c>
    </row>
    <row r="6005" spans="2:5" x14ac:dyDescent="0.25">
      <c r="B6005">
        <v>43599</v>
      </c>
      <c r="C6005" s="6" t="str">
        <f ca="1">IF(OR($C$7="",$B6005&gt;NOW()),"",IF(INDEX(Data!$A:$G,MATCH($B6005,Data!$A:$A,0),MATCH($C$7,Data!$4:$4,0))="","",INDEX(Data!$A:$G,MATCH($B6005,Data!$A:$A,0),MATCH($C$7,Data!$4:$4,0))))</f>
        <v/>
      </c>
      <c r="D6005" s="148" t="str">
        <f t="shared" ca="1" si="192"/>
        <v/>
      </c>
      <c r="E6005" s="148" t="str">
        <f t="shared" ca="1" si="193"/>
        <v/>
      </c>
    </row>
    <row r="6006" spans="2:5" x14ac:dyDescent="0.25">
      <c r="B6006">
        <v>43600</v>
      </c>
      <c r="C6006" s="6" t="str">
        <f ca="1">IF(OR($C$7="",$B6006&gt;NOW()),"",IF(INDEX(Data!$A:$G,MATCH($B6006,Data!$A:$A,0),MATCH($C$7,Data!$4:$4,0))="","",INDEX(Data!$A:$G,MATCH($B6006,Data!$A:$A,0),MATCH($C$7,Data!$4:$4,0))))</f>
        <v/>
      </c>
      <c r="D6006" s="148" t="str">
        <f t="shared" ca="1" si="192"/>
        <v/>
      </c>
      <c r="E6006" s="148" t="str">
        <f t="shared" ca="1" si="193"/>
        <v/>
      </c>
    </row>
    <row r="6007" spans="2:5" x14ac:dyDescent="0.25">
      <c r="B6007">
        <v>43601</v>
      </c>
      <c r="C6007" s="6" t="str">
        <f ca="1">IF(OR($C$7="",$B6007&gt;NOW()),"",IF(INDEX(Data!$A:$G,MATCH($B6007,Data!$A:$A,0),MATCH($C$7,Data!$4:$4,0))="","",INDEX(Data!$A:$G,MATCH($B6007,Data!$A:$A,0),MATCH($C$7,Data!$4:$4,0))))</f>
        <v/>
      </c>
      <c r="D6007" s="148" t="str">
        <f t="shared" ca="1" si="192"/>
        <v/>
      </c>
      <c r="E6007" s="148" t="str">
        <f t="shared" ca="1" si="193"/>
        <v/>
      </c>
    </row>
    <row r="6008" spans="2:5" x14ac:dyDescent="0.25">
      <c r="B6008">
        <v>43602</v>
      </c>
      <c r="C6008" s="6" t="str">
        <f ca="1">IF(OR($C$7="",$B6008&gt;NOW()),"",IF(INDEX(Data!$A:$G,MATCH($B6008,Data!$A:$A,0),MATCH($C$7,Data!$4:$4,0))="","",INDEX(Data!$A:$G,MATCH($B6008,Data!$A:$A,0),MATCH($C$7,Data!$4:$4,0))))</f>
        <v/>
      </c>
      <c r="D6008" s="148" t="str">
        <f t="shared" ca="1" si="192"/>
        <v/>
      </c>
      <c r="E6008" s="148" t="str">
        <f t="shared" ca="1" si="193"/>
        <v/>
      </c>
    </row>
    <row r="6009" spans="2:5" x14ac:dyDescent="0.25">
      <c r="B6009">
        <v>43603</v>
      </c>
      <c r="C6009" s="6" t="str">
        <f ca="1">IF(OR($C$7="",$B6009&gt;NOW()),"",IF(INDEX(Data!$A:$G,MATCH($B6009,Data!$A:$A,0),MATCH($C$7,Data!$4:$4,0))="","",INDEX(Data!$A:$G,MATCH($B6009,Data!$A:$A,0),MATCH($C$7,Data!$4:$4,0))))</f>
        <v/>
      </c>
      <c r="D6009" s="148" t="str">
        <f t="shared" ca="1" si="192"/>
        <v/>
      </c>
      <c r="E6009" s="148" t="str">
        <f t="shared" ca="1" si="193"/>
        <v/>
      </c>
    </row>
    <row r="6010" spans="2:5" x14ac:dyDescent="0.25">
      <c r="B6010">
        <v>43604</v>
      </c>
      <c r="C6010" s="6" t="str">
        <f ca="1">IF(OR($C$7="",$B6010&gt;NOW()),"",IF(INDEX(Data!$A:$G,MATCH($B6010,Data!$A:$A,0),MATCH($C$7,Data!$4:$4,0))="","",INDEX(Data!$A:$G,MATCH($B6010,Data!$A:$A,0),MATCH($C$7,Data!$4:$4,0))))</f>
        <v/>
      </c>
      <c r="D6010" s="148" t="str">
        <f t="shared" ca="1" si="192"/>
        <v/>
      </c>
      <c r="E6010" s="148" t="str">
        <f t="shared" ca="1" si="193"/>
        <v/>
      </c>
    </row>
    <row r="6011" spans="2:5" x14ac:dyDescent="0.25">
      <c r="B6011">
        <v>43605</v>
      </c>
      <c r="C6011" s="6" t="str">
        <f ca="1">IF(OR($C$7="",$B6011&gt;NOW()),"",IF(INDEX(Data!$A:$G,MATCH($B6011,Data!$A:$A,0),MATCH($C$7,Data!$4:$4,0))="","",INDEX(Data!$A:$G,MATCH($B6011,Data!$A:$A,0),MATCH($C$7,Data!$4:$4,0))))</f>
        <v/>
      </c>
      <c r="D6011" s="148" t="str">
        <f t="shared" ca="1" si="192"/>
        <v/>
      </c>
      <c r="E6011" s="148" t="str">
        <f t="shared" ca="1" si="193"/>
        <v/>
      </c>
    </row>
    <row r="6012" spans="2:5" x14ac:dyDescent="0.25">
      <c r="B6012">
        <v>43606</v>
      </c>
      <c r="C6012" s="6" t="str">
        <f ca="1">IF(OR($C$7="",$B6012&gt;NOW()),"",IF(INDEX(Data!$A:$G,MATCH($B6012,Data!$A:$A,0),MATCH($C$7,Data!$4:$4,0))="","",INDEX(Data!$A:$G,MATCH($B6012,Data!$A:$A,0),MATCH($C$7,Data!$4:$4,0))))</f>
        <v/>
      </c>
      <c r="D6012" s="148" t="str">
        <f t="shared" ca="1" si="192"/>
        <v/>
      </c>
      <c r="E6012" s="148" t="str">
        <f t="shared" ca="1" si="193"/>
        <v/>
      </c>
    </row>
    <row r="6013" spans="2:5" x14ac:dyDescent="0.25">
      <c r="B6013">
        <v>43607</v>
      </c>
      <c r="C6013" s="6" t="str">
        <f ca="1">IF(OR($C$7="",$B6013&gt;NOW()),"",IF(INDEX(Data!$A:$G,MATCH($B6013,Data!$A:$A,0),MATCH($C$7,Data!$4:$4,0))="","",INDEX(Data!$A:$G,MATCH($B6013,Data!$A:$A,0),MATCH($C$7,Data!$4:$4,0))))</f>
        <v/>
      </c>
      <c r="D6013" s="148" t="str">
        <f t="shared" ca="1" si="192"/>
        <v/>
      </c>
      <c r="E6013" s="148" t="str">
        <f t="shared" ca="1" si="193"/>
        <v/>
      </c>
    </row>
    <row r="6014" spans="2:5" x14ac:dyDescent="0.25">
      <c r="B6014">
        <v>43608</v>
      </c>
      <c r="C6014" s="6" t="str">
        <f ca="1">IF(OR($C$7="",$B6014&gt;NOW()),"",IF(INDEX(Data!$A:$G,MATCH($B6014,Data!$A:$A,0),MATCH($C$7,Data!$4:$4,0))="","",INDEX(Data!$A:$G,MATCH($B6014,Data!$A:$A,0),MATCH($C$7,Data!$4:$4,0))))</f>
        <v/>
      </c>
      <c r="D6014" s="148" t="str">
        <f t="shared" ca="1" si="192"/>
        <v/>
      </c>
      <c r="E6014" s="148" t="str">
        <f t="shared" ca="1" si="193"/>
        <v/>
      </c>
    </row>
    <row r="6015" spans="2:5" x14ac:dyDescent="0.25">
      <c r="B6015">
        <v>43609</v>
      </c>
      <c r="C6015" s="6" t="str">
        <f ca="1">IF(OR($C$7="",$B6015&gt;NOW()),"",IF(INDEX(Data!$A:$G,MATCH($B6015,Data!$A:$A,0),MATCH($C$7,Data!$4:$4,0))="","",INDEX(Data!$A:$G,MATCH($B6015,Data!$A:$A,0),MATCH($C$7,Data!$4:$4,0))))</f>
        <v/>
      </c>
      <c r="D6015" s="148" t="str">
        <f t="shared" ca="1" si="192"/>
        <v/>
      </c>
      <c r="E6015" s="148" t="str">
        <f t="shared" ca="1" si="193"/>
        <v/>
      </c>
    </row>
    <row r="6016" spans="2:5" x14ac:dyDescent="0.25">
      <c r="B6016">
        <v>43610</v>
      </c>
      <c r="C6016" s="6" t="str">
        <f ca="1">IF(OR($C$7="",$B6016&gt;NOW()),"",IF(INDEX(Data!$A:$G,MATCH($B6016,Data!$A:$A,0),MATCH($C$7,Data!$4:$4,0))="","",INDEX(Data!$A:$G,MATCH($B6016,Data!$A:$A,0),MATCH($C$7,Data!$4:$4,0))))</f>
        <v/>
      </c>
      <c r="D6016" s="148" t="str">
        <f t="shared" ca="1" si="192"/>
        <v/>
      </c>
      <c r="E6016" s="148" t="str">
        <f t="shared" ca="1" si="193"/>
        <v/>
      </c>
    </row>
    <row r="6017" spans="2:5" x14ac:dyDescent="0.25">
      <c r="B6017">
        <v>43611</v>
      </c>
      <c r="C6017" s="6" t="str">
        <f ca="1">IF(OR($C$7="",$B6017&gt;NOW()),"",IF(INDEX(Data!$A:$G,MATCH($B6017,Data!$A:$A,0),MATCH($C$7,Data!$4:$4,0))="","",INDEX(Data!$A:$G,MATCH($B6017,Data!$A:$A,0),MATCH($C$7,Data!$4:$4,0))))</f>
        <v/>
      </c>
      <c r="D6017" s="148" t="str">
        <f t="shared" ca="1" si="192"/>
        <v/>
      </c>
      <c r="E6017" s="148" t="str">
        <f t="shared" ca="1" si="193"/>
        <v/>
      </c>
    </row>
    <row r="6018" spans="2:5" x14ac:dyDescent="0.25">
      <c r="B6018">
        <v>43612</v>
      </c>
      <c r="C6018" s="6" t="str">
        <f ca="1">IF(OR($C$7="",$B6018&gt;NOW()),"",IF(INDEX(Data!$A:$G,MATCH($B6018,Data!$A:$A,0),MATCH($C$7,Data!$4:$4,0))="","",INDEX(Data!$A:$G,MATCH($B6018,Data!$A:$A,0),MATCH($C$7,Data!$4:$4,0))))</f>
        <v/>
      </c>
      <c r="D6018" s="148" t="str">
        <f t="shared" ca="1" si="192"/>
        <v/>
      </c>
      <c r="E6018" s="148" t="str">
        <f t="shared" ca="1" si="193"/>
        <v/>
      </c>
    </row>
    <row r="6019" spans="2:5" x14ac:dyDescent="0.25">
      <c r="B6019">
        <v>43613</v>
      </c>
      <c r="C6019" s="6" t="str">
        <f ca="1">IF(OR($C$7="",$B6019&gt;NOW()),"",IF(INDEX(Data!$A:$G,MATCH($B6019,Data!$A:$A,0),MATCH($C$7,Data!$4:$4,0))="","",INDEX(Data!$A:$G,MATCH($B6019,Data!$A:$A,0),MATCH($C$7,Data!$4:$4,0))))</f>
        <v/>
      </c>
      <c r="D6019" s="148" t="str">
        <f t="shared" ca="1" si="192"/>
        <v/>
      </c>
      <c r="E6019" s="148" t="str">
        <f t="shared" ca="1" si="193"/>
        <v/>
      </c>
    </row>
    <row r="6020" spans="2:5" x14ac:dyDescent="0.25">
      <c r="B6020">
        <v>43614</v>
      </c>
      <c r="C6020" s="6" t="str">
        <f ca="1">IF(OR($C$7="",$B6020&gt;NOW()),"",IF(INDEX(Data!$A:$G,MATCH($B6020,Data!$A:$A,0),MATCH($C$7,Data!$4:$4,0))="","",INDEX(Data!$A:$G,MATCH($B6020,Data!$A:$A,0),MATCH($C$7,Data!$4:$4,0))))</f>
        <v/>
      </c>
      <c r="D6020" s="148" t="str">
        <f t="shared" ca="1" si="192"/>
        <v/>
      </c>
      <c r="E6020" s="148" t="str">
        <f t="shared" ca="1" si="193"/>
        <v/>
      </c>
    </row>
    <row r="6021" spans="2:5" x14ac:dyDescent="0.25">
      <c r="B6021">
        <v>43615</v>
      </c>
      <c r="C6021" s="6" t="str">
        <f ca="1">IF(OR($C$7="",$B6021&gt;NOW()),"",IF(INDEX(Data!$A:$G,MATCH($B6021,Data!$A:$A,0),MATCH($C$7,Data!$4:$4,0))="","",INDEX(Data!$A:$G,MATCH($B6021,Data!$A:$A,0),MATCH($C$7,Data!$4:$4,0))))</f>
        <v/>
      </c>
      <c r="D6021" s="148" t="str">
        <f t="shared" ca="1" si="192"/>
        <v/>
      </c>
      <c r="E6021" s="148" t="str">
        <f t="shared" ca="1" si="193"/>
        <v/>
      </c>
    </row>
    <row r="6022" spans="2:5" x14ac:dyDescent="0.25">
      <c r="B6022">
        <v>43616</v>
      </c>
      <c r="C6022" s="6" t="str">
        <f ca="1">IF(OR($C$7="",$B6022&gt;NOW()),"",IF(INDEX(Data!$A:$G,MATCH($B6022,Data!$A:$A,0),MATCH($C$7,Data!$4:$4,0))="","",INDEX(Data!$A:$G,MATCH($B6022,Data!$A:$A,0),MATCH($C$7,Data!$4:$4,0))))</f>
        <v/>
      </c>
      <c r="D6022" s="148" t="str">
        <f t="shared" ca="1" si="192"/>
        <v/>
      </c>
      <c r="E6022" s="148" t="str">
        <f t="shared" ca="1" si="193"/>
        <v/>
      </c>
    </row>
    <row r="6023" spans="2:5" x14ac:dyDescent="0.25">
      <c r="B6023">
        <v>43617</v>
      </c>
      <c r="C6023" s="6" t="str">
        <f ca="1">IF(OR($C$7="",$B6023&gt;NOW()),"",IF(INDEX(Data!$A:$G,MATCH($B6023,Data!$A:$A,0),MATCH($C$7,Data!$4:$4,0))="","",INDEX(Data!$A:$G,MATCH($B6023,Data!$A:$A,0),MATCH($C$7,Data!$4:$4,0))))</f>
        <v/>
      </c>
      <c r="D6023" s="148" t="str">
        <f t="shared" ca="1" si="192"/>
        <v/>
      </c>
      <c r="E6023" s="148" t="str">
        <f t="shared" ca="1" si="193"/>
        <v/>
      </c>
    </row>
    <row r="6024" spans="2:5" x14ac:dyDescent="0.25">
      <c r="B6024">
        <v>43618</v>
      </c>
      <c r="C6024" s="6" t="str">
        <f ca="1">IF(OR($C$7="",$B6024&gt;NOW()),"",IF(INDEX(Data!$A:$G,MATCH($B6024,Data!$A:$A,0),MATCH($C$7,Data!$4:$4,0))="","",INDEX(Data!$A:$G,MATCH($B6024,Data!$A:$A,0),MATCH($C$7,Data!$4:$4,0))))</f>
        <v/>
      </c>
      <c r="D6024" s="148" t="str">
        <f t="shared" ca="1" si="192"/>
        <v/>
      </c>
      <c r="E6024" s="148" t="str">
        <f t="shared" ca="1" si="193"/>
        <v/>
      </c>
    </row>
    <row r="6025" spans="2:5" x14ac:dyDescent="0.25">
      <c r="B6025">
        <v>43619</v>
      </c>
      <c r="C6025" s="6" t="str">
        <f ca="1">IF(OR($C$7="",$B6025&gt;NOW()),"",IF(INDEX(Data!$A:$G,MATCH($B6025,Data!$A:$A,0),MATCH($C$7,Data!$4:$4,0))="","",INDEX(Data!$A:$G,MATCH($B6025,Data!$A:$A,0),MATCH($C$7,Data!$4:$4,0))))</f>
        <v/>
      </c>
      <c r="D6025" s="148" t="str">
        <f t="shared" ca="1" si="192"/>
        <v/>
      </c>
      <c r="E6025" s="148" t="str">
        <f t="shared" ca="1" si="193"/>
        <v/>
      </c>
    </row>
    <row r="6026" spans="2:5" x14ac:dyDescent="0.25">
      <c r="B6026">
        <v>43620</v>
      </c>
      <c r="C6026" s="6" t="str">
        <f ca="1">IF(OR($C$7="",$B6026&gt;NOW()),"",IF(INDEX(Data!$A:$G,MATCH($B6026,Data!$A:$A,0),MATCH($C$7,Data!$4:$4,0))="","",INDEX(Data!$A:$G,MATCH($B6026,Data!$A:$A,0),MATCH($C$7,Data!$4:$4,0))))</f>
        <v/>
      </c>
      <c r="D6026" s="148" t="str">
        <f t="shared" ca="1" si="192"/>
        <v/>
      </c>
      <c r="E6026" s="148" t="str">
        <f t="shared" ca="1" si="193"/>
        <v/>
      </c>
    </row>
    <row r="6027" spans="2:5" x14ac:dyDescent="0.25">
      <c r="B6027">
        <v>43621</v>
      </c>
      <c r="C6027" s="6" t="str">
        <f ca="1">IF(OR($C$7="",$B6027&gt;NOW()),"",IF(INDEX(Data!$A:$G,MATCH($B6027,Data!$A:$A,0),MATCH($C$7,Data!$4:$4,0))="","",INDEX(Data!$A:$G,MATCH($B6027,Data!$A:$A,0),MATCH($C$7,Data!$4:$4,0))))</f>
        <v/>
      </c>
      <c r="D6027" s="148" t="str">
        <f t="shared" ca="1" si="192"/>
        <v/>
      </c>
      <c r="E6027" s="148" t="str">
        <f t="shared" ca="1" si="193"/>
        <v/>
      </c>
    </row>
    <row r="6028" spans="2:5" x14ac:dyDescent="0.25">
      <c r="B6028">
        <v>43622</v>
      </c>
      <c r="C6028" s="6" t="str">
        <f ca="1">IF(OR($C$7="",$B6028&gt;NOW()),"",IF(INDEX(Data!$A:$G,MATCH($B6028,Data!$A:$A,0),MATCH($C$7,Data!$4:$4,0))="","",INDEX(Data!$A:$G,MATCH($B6028,Data!$A:$A,0),MATCH($C$7,Data!$4:$4,0))))</f>
        <v/>
      </c>
      <c r="D6028" s="148" t="str">
        <f t="shared" ca="1" si="192"/>
        <v/>
      </c>
      <c r="E6028" s="148" t="str">
        <f t="shared" ca="1" si="193"/>
        <v/>
      </c>
    </row>
    <row r="6029" spans="2:5" x14ac:dyDescent="0.25">
      <c r="B6029">
        <v>43623</v>
      </c>
      <c r="C6029" s="6" t="str">
        <f ca="1">IF(OR($C$7="",$B6029&gt;NOW()),"",IF(INDEX(Data!$A:$G,MATCH($B6029,Data!$A:$A,0),MATCH($C$7,Data!$4:$4,0))="","",INDEX(Data!$A:$G,MATCH($B6029,Data!$A:$A,0),MATCH($C$7,Data!$4:$4,0))))</f>
        <v/>
      </c>
      <c r="D6029" s="148" t="str">
        <f t="shared" ca="1" si="192"/>
        <v/>
      </c>
      <c r="E6029" s="148" t="str">
        <f t="shared" ca="1" si="193"/>
        <v/>
      </c>
    </row>
    <row r="6030" spans="2:5" x14ac:dyDescent="0.25">
      <c r="B6030">
        <v>43624</v>
      </c>
      <c r="C6030" s="6" t="str">
        <f ca="1">IF(OR($C$7="",$B6030&gt;NOW()),"",IF(INDEX(Data!$A:$G,MATCH($B6030,Data!$A:$A,0),MATCH($C$7,Data!$4:$4,0))="","",INDEX(Data!$A:$G,MATCH($B6030,Data!$A:$A,0),MATCH($C$7,Data!$4:$4,0))))</f>
        <v/>
      </c>
      <c r="D6030" s="148" t="str">
        <f t="shared" ca="1" si="192"/>
        <v/>
      </c>
      <c r="E6030" s="148" t="str">
        <f t="shared" ca="1" si="193"/>
        <v/>
      </c>
    </row>
    <row r="6031" spans="2:5" x14ac:dyDescent="0.25">
      <c r="B6031">
        <v>43625</v>
      </c>
      <c r="C6031" s="6" t="str">
        <f ca="1">IF(OR($C$7="",$B6031&gt;NOW()),"",IF(INDEX(Data!$A:$G,MATCH($B6031,Data!$A:$A,0),MATCH($C$7,Data!$4:$4,0))="","",INDEX(Data!$A:$G,MATCH($B6031,Data!$A:$A,0),MATCH($C$7,Data!$4:$4,0))))</f>
        <v/>
      </c>
      <c r="D6031" s="148" t="str">
        <f t="shared" ca="1" si="192"/>
        <v/>
      </c>
      <c r="E6031" s="148" t="str">
        <f t="shared" ca="1" si="193"/>
        <v/>
      </c>
    </row>
    <row r="6032" spans="2:5" x14ac:dyDescent="0.25">
      <c r="B6032">
        <v>43626</v>
      </c>
      <c r="C6032" s="6" t="str">
        <f ca="1">IF(OR($C$7="",$B6032&gt;NOW()),"",IF(INDEX(Data!$A:$G,MATCH($B6032,Data!$A:$A,0),MATCH($C$7,Data!$4:$4,0))="","",INDEX(Data!$A:$G,MATCH($B6032,Data!$A:$A,0),MATCH($C$7,Data!$4:$4,0))))</f>
        <v/>
      </c>
      <c r="D6032" s="148" t="str">
        <f t="shared" ca="1" si="192"/>
        <v/>
      </c>
      <c r="E6032" s="148" t="str">
        <f t="shared" ca="1" si="193"/>
        <v/>
      </c>
    </row>
    <row r="6033" spans="2:5" x14ac:dyDescent="0.25">
      <c r="B6033">
        <v>43627</v>
      </c>
      <c r="C6033" s="6" t="str">
        <f ca="1">IF(OR($C$7="",$B6033&gt;NOW()),"",IF(INDEX(Data!$A:$G,MATCH($B6033,Data!$A:$A,0),MATCH($C$7,Data!$4:$4,0))="","",INDEX(Data!$A:$G,MATCH($B6033,Data!$A:$A,0),MATCH($C$7,Data!$4:$4,0))))</f>
        <v/>
      </c>
      <c r="D6033" s="148" t="str">
        <f t="shared" ca="1" si="192"/>
        <v/>
      </c>
      <c r="E6033" s="148" t="str">
        <f t="shared" ca="1" si="193"/>
        <v/>
      </c>
    </row>
    <row r="6034" spans="2:5" x14ac:dyDescent="0.25">
      <c r="B6034">
        <v>43628</v>
      </c>
      <c r="C6034" s="6" t="str">
        <f ca="1">IF(OR($C$7="",$B6034&gt;NOW()),"",IF(INDEX(Data!$A:$G,MATCH($B6034,Data!$A:$A,0),MATCH($C$7,Data!$4:$4,0))="","",INDEX(Data!$A:$G,MATCH($B6034,Data!$A:$A,0),MATCH($C$7,Data!$4:$4,0))))</f>
        <v/>
      </c>
      <c r="D6034" s="148" t="str">
        <f t="shared" ca="1" si="192"/>
        <v/>
      </c>
      <c r="E6034" s="148" t="str">
        <f t="shared" ca="1" si="193"/>
        <v/>
      </c>
    </row>
    <row r="6035" spans="2:5" x14ac:dyDescent="0.25">
      <c r="B6035">
        <v>43629</v>
      </c>
      <c r="C6035" s="6" t="str">
        <f ca="1">IF(OR($C$7="",$B6035&gt;NOW()),"",IF(INDEX(Data!$A:$G,MATCH($B6035,Data!$A:$A,0),MATCH($C$7,Data!$4:$4,0))="","",INDEX(Data!$A:$G,MATCH($B6035,Data!$A:$A,0),MATCH($C$7,Data!$4:$4,0))))</f>
        <v/>
      </c>
      <c r="D6035" s="148" t="str">
        <f t="shared" ca="1" si="192"/>
        <v/>
      </c>
      <c r="E6035" s="148" t="str">
        <f t="shared" ca="1" si="193"/>
        <v/>
      </c>
    </row>
    <row r="6036" spans="2:5" x14ac:dyDescent="0.25">
      <c r="B6036">
        <v>43630</v>
      </c>
      <c r="C6036" s="6" t="str">
        <f ca="1">IF(OR($C$7="",$B6036&gt;NOW()),"",IF(INDEX(Data!$A:$G,MATCH($B6036,Data!$A:$A,0),MATCH($C$7,Data!$4:$4,0))="","",INDEX(Data!$A:$G,MATCH($B6036,Data!$A:$A,0),MATCH($C$7,Data!$4:$4,0))))</f>
        <v/>
      </c>
      <c r="D6036" s="148" t="str">
        <f t="shared" ca="1" si="192"/>
        <v/>
      </c>
      <c r="E6036" s="148" t="str">
        <f t="shared" ca="1" si="193"/>
        <v/>
      </c>
    </row>
    <row r="6037" spans="2:5" x14ac:dyDescent="0.25">
      <c r="B6037">
        <v>43631</v>
      </c>
      <c r="C6037" s="6" t="str">
        <f ca="1">IF(OR($C$7="",$B6037&gt;NOW()),"",IF(INDEX(Data!$A:$G,MATCH($B6037,Data!$A:$A,0),MATCH($C$7,Data!$4:$4,0))="","",INDEX(Data!$A:$G,MATCH($B6037,Data!$A:$A,0),MATCH($C$7,Data!$4:$4,0))))</f>
        <v/>
      </c>
      <c r="D6037" s="148" t="str">
        <f t="shared" ca="1" si="192"/>
        <v/>
      </c>
      <c r="E6037" s="148" t="str">
        <f t="shared" ca="1" si="193"/>
        <v/>
      </c>
    </row>
    <row r="6038" spans="2:5" x14ac:dyDescent="0.25">
      <c r="B6038">
        <v>43632</v>
      </c>
      <c r="C6038" s="6" t="str">
        <f ca="1">IF(OR($C$7="",$B6038&gt;NOW()),"",IF(INDEX(Data!$A:$G,MATCH($B6038,Data!$A:$A,0),MATCH($C$7,Data!$4:$4,0))="","",INDEX(Data!$A:$G,MATCH($B6038,Data!$A:$A,0),MATCH($C$7,Data!$4:$4,0))))</f>
        <v/>
      </c>
      <c r="D6038" s="148" t="str">
        <f t="shared" ca="1" si="192"/>
        <v/>
      </c>
      <c r="E6038" s="148" t="str">
        <f t="shared" ca="1" si="193"/>
        <v/>
      </c>
    </row>
    <row r="6039" spans="2:5" x14ac:dyDescent="0.25">
      <c r="B6039">
        <v>43633</v>
      </c>
      <c r="C6039" s="6" t="str">
        <f ca="1">IF(OR($C$7="",$B6039&gt;NOW()),"",IF(INDEX(Data!$A:$G,MATCH($B6039,Data!$A:$A,0),MATCH($C$7,Data!$4:$4,0))="","",INDEX(Data!$A:$G,MATCH($B6039,Data!$A:$A,0),MATCH($C$7,Data!$4:$4,0))))</f>
        <v/>
      </c>
      <c r="D6039" s="148" t="str">
        <f t="shared" ca="1" si="192"/>
        <v/>
      </c>
      <c r="E6039" s="148" t="str">
        <f t="shared" ca="1" si="193"/>
        <v/>
      </c>
    </row>
    <row r="6040" spans="2:5" x14ac:dyDescent="0.25">
      <c r="B6040">
        <v>43634</v>
      </c>
      <c r="C6040" s="6" t="str">
        <f ca="1">IF(OR($C$7="",$B6040&gt;NOW()),"",IF(INDEX(Data!$A:$G,MATCH($B6040,Data!$A:$A,0),MATCH($C$7,Data!$4:$4,0))="","",INDEX(Data!$A:$G,MATCH($B6040,Data!$A:$A,0),MATCH($C$7,Data!$4:$4,0))))</f>
        <v/>
      </c>
      <c r="D6040" s="148" t="str">
        <f t="shared" ca="1" si="192"/>
        <v/>
      </c>
      <c r="E6040" s="148" t="str">
        <f t="shared" ca="1" si="193"/>
        <v/>
      </c>
    </row>
    <row r="6041" spans="2:5" x14ac:dyDescent="0.25">
      <c r="B6041">
        <v>43635</v>
      </c>
      <c r="C6041" s="6" t="str">
        <f ca="1">IF(OR($C$7="",$B6041&gt;NOW()),"",IF(INDEX(Data!$A:$G,MATCH($B6041,Data!$A:$A,0),MATCH($C$7,Data!$4:$4,0))="","",INDEX(Data!$A:$G,MATCH($B6041,Data!$A:$A,0),MATCH($C$7,Data!$4:$4,0))))</f>
        <v/>
      </c>
      <c r="D6041" s="148" t="str">
        <f t="shared" ca="1" si="192"/>
        <v/>
      </c>
      <c r="E6041" s="148" t="str">
        <f t="shared" ca="1" si="193"/>
        <v/>
      </c>
    </row>
    <row r="6042" spans="2:5" x14ac:dyDescent="0.25">
      <c r="B6042">
        <v>43636</v>
      </c>
      <c r="C6042" s="6" t="str">
        <f ca="1">IF(OR($C$7="",$B6042&gt;NOW()),"",IF(INDEX(Data!$A:$G,MATCH($B6042,Data!$A:$A,0),MATCH($C$7,Data!$4:$4,0))="","",INDEX(Data!$A:$G,MATCH($B6042,Data!$A:$A,0),MATCH($C$7,Data!$4:$4,0))))</f>
        <v/>
      </c>
      <c r="D6042" s="148" t="str">
        <f t="shared" ca="1" si="192"/>
        <v/>
      </c>
      <c r="E6042" s="148" t="str">
        <f t="shared" ca="1" si="193"/>
        <v/>
      </c>
    </row>
    <row r="6043" spans="2:5" x14ac:dyDescent="0.25">
      <c r="B6043">
        <v>43637</v>
      </c>
      <c r="C6043" s="6" t="str">
        <f ca="1">IF(OR($C$7="",$B6043&gt;NOW()),"",IF(INDEX(Data!$A:$G,MATCH($B6043,Data!$A:$A,0),MATCH($C$7,Data!$4:$4,0))="","",INDEX(Data!$A:$G,MATCH($B6043,Data!$A:$A,0),MATCH($C$7,Data!$4:$4,0))))</f>
        <v/>
      </c>
      <c r="D6043" s="148" t="str">
        <f t="shared" ca="1" si="192"/>
        <v/>
      </c>
      <c r="E6043" s="148" t="str">
        <f t="shared" ca="1" si="193"/>
        <v/>
      </c>
    </row>
    <row r="6044" spans="2:5" x14ac:dyDescent="0.25">
      <c r="B6044">
        <v>43638</v>
      </c>
      <c r="C6044" s="6" t="str">
        <f ca="1">IF(OR($C$7="",$B6044&gt;NOW()),"",IF(INDEX(Data!$A:$G,MATCH($B6044,Data!$A:$A,0),MATCH($C$7,Data!$4:$4,0))="","",INDEX(Data!$A:$G,MATCH($B6044,Data!$A:$A,0),MATCH($C$7,Data!$4:$4,0))))</f>
        <v/>
      </c>
      <c r="D6044" s="148" t="str">
        <f t="shared" ca="1" si="192"/>
        <v/>
      </c>
      <c r="E6044" s="148" t="str">
        <f t="shared" ca="1" si="193"/>
        <v/>
      </c>
    </row>
    <row r="6045" spans="2:5" x14ac:dyDescent="0.25">
      <c r="B6045">
        <v>43639</v>
      </c>
      <c r="C6045" s="6" t="str">
        <f ca="1">IF(OR($C$7="",$B6045&gt;NOW()),"",IF(INDEX(Data!$A:$G,MATCH($B6045,Data!$A:$A,0),MATCH($C$7,Data!$4:$4,0))="","",INDEX(Data!$A:$G,MATCH($B6045,Data!$A:$A,0),MATCH($C$7,Data!$4:$4,0))))</f>
        <v/>
      </c>
      <c r="D6045" s="148" t="str">
        <f t="shared" ref="D6045:D6108" ca="1" si="194">IF($C6045="","",IF($C6045&gt;$D$26,0,$D$26-$C6045))</f>
        <v/>
      </c>
      <c r="E6045" s="148" t="str">
        <f t="shared" ref="E6045:E6108" ca="1" si="195">IF($C6045="","",IF($C6045&lt;$E$26,0,$C6045-$E$26))</f>
        <v/>
      </c>
    </row>
    <row r="6046" spans="2:5" x14ac:dyDescent="0.25">
      <c r="B6046">
        <v>43640</v>
      </c>
      <c r="C6046" s="6" t="str">
        <f ca="1">IF(OR($C$7="",$B6046&gt;NOW()),"",IF(INDEX(Data!$A:$G,MATCH($B6046,Data!$A:$A,0),MATCH($C$7,Data!$4:$4,0))="","",INDEX(Data!$A:$G,MATCH($B6046,Data!$A:$A,0),MATCH($C$7,Data!$4:$4,0))))</f>
        <v/>
      </c>
      <c r="D6046" s="148" t="str">
        <f t="shared" ca="1" si="194"/>
        <v/>
      </c>
      <c r="E6046" s="148" t="str">
        <f t="shared" ca="1" si="195"/>
        <v/>
      </c>
    </row>
    <row r="6047" spans="2:5" x14ac:dyDescent="0.25">
      <c r="B6047">
        <v>43641</v>
      </c>
      <c r="C6047" s="6" t="str">
        <f ca="1">IF(OR($C$7="",$B6047&gt;NOW()),"",IF(INDEX(Data!$A:$G,MATCH($B6047,Data!$A:$A,0),MATCH($C$7,Data!$4:$4,0))="","",INDEX(Data!$A:$G,MATCH($B6047,Data!$A:$A,0),MATCH($C$7,Data!$4:$4,0))))</f>
        <v/>
      </c>
      <c r="D6047" s="148" t="str">
        <f t="shared" ca="1" si="194"/>
        <v/>
      </c>
      <c r="E6047" s="148" t="str">
        <f t="shared" ca="1" si="195"/>
        <v/>
      </c>
    </row>
    <row r="6048" spans="2:5" x14ac:dyDescent="0.25">
      <c r="B6048">
        <v>43642</v>
      </c>
      <c r="C6048" s="6" t="str">
        <f ca="1">IF(OR($C$7="",$B6048&gt;NOW()),"",IF(INDEX(Data!$A:$G,MATCH($B6048,Data!$A:$A,0),MATCH($C$7,Data!$4:$4,0))="","",INDEX(Data!$A:$G,MATCH($B6048,Data!$A:$A,0),MATCH($C$7,Data!$4:$4,0))))</f>
        <v/>
      </c>
      <c r="D6048" s="148" t="str">
        <f t="shared" ca="1" si="194"/>
        <v/>
      </c>
      <c r="E6048" s="148" t="str">
        <f t="shared" ca="1" si="195"/>
        <v/>
      </c>
    </row>
    <row r="6049" spans="2:5" x14ac:dyDescent="0.25">
      <c r="B6049">
        <v>43643</v>
      </c>
      <c r="C6049" s="6" t="str">
        <f ca="1">IF(OR($C$7="",$B6049&gt;NOW()),"",IF(INDEX(Data!$A:$G,MATCH($B6049,Data!$A:$A,0),MATCH($C$7,Data!$4:$4,0))="","",INDEX(Data!$A:$G,MATCH($B6049,Data!$A:$A,0),MATCH($C$7,Data!$4:$4,0))))</f>
        <v/>
      </c>
      <c r="D6049" s="148" t="str">
        <f t="shared" ca="1" si="194"/>
        <v/>
      </c>
      <c r="E6049" s="148" t="str">
        <f t="shared" ca="1" si="195"/>
        <v/>
      </c>
    </row>
    <row r="6050" spans="2:5" x14ac:dyDescent="0.25">
      <c r="B6050">
        <v>43644</v>
      </c>
      <c r="C6050" s="6" t="str">
        <f ca="1">IF(OR($C$7="",$B6050&gt;NOW()),"",IF(INDEX(Data!$A:$G,MATCH($B6050,Data!$A:$A,0),MATCH($C$7,Data!$4:$4,0))="","",INDEX(Data!$A:$G,MATCH($B6050,Data!$A:$A,0),MATCH($C$7,Data!$4:$4,0))))</f>
        <v/>
      </c>
      <c r="D6050" s="148" t="str">
        <f t="shared" ca="1" si="194"/>
        <v/>
      </c>
      <c r="E6050" s="148" t="str">
        <f t="shared" ca="1" si="195"/>
        <v/>
      </c>
    </row>
    <row r="6051" spans="2:5" x14ac:dyDescent="0.25">
      <c r="B6051">
        <v>43645</v>
      </c>
      <c r="C6051" s="6" t="str">
        <f ca="1">IF(OR($C$7="",$B6051&gt;NOW()),"",IF(INDEX(Data!$A:$G,MATCH($B6051,Data!$A:$A,0),MATCH($C$7,Data!$4:$4,0))="","",INDEX(Data!$A:$G,MATCH($B6051,Data!$A:$A,0),MATCH($C$7,Data!$4:$4,0))))</f>
        <v/>
      </c>
      <c r="D6051" s="148" t="str">
        <f t="shared" ca="1" si="194"/>
        <v/>
      </c>
      <c r="E6051" s="148" t="str">
        <f t="shared" ca="1" si="195"/>
        <v/>
      </c>
    </row>
    <row r="6052" spans="2:5" x14ac:dyDescent="0.25">
      <c r="B6052">
        <v>43646</v>
      </c>
      <c r="C6052" s="6" t="str">
        <f ca="1">IF(OR($C$7="",$B6052&gt;NOW()),"",IF(INDEX(Data!$A:$G,MATCH($B6052,Data!$A:$A,0),MATCH($C$7,Data!$4:$4,0))="","",INDEX(Data!$A:$G,MATCH($B6052,Data!$A:$A,0),MATCH($C$7,Data!$4:$4,0))))</f>
        <v/>
      </c>
      <c r="D6052" s="148" t="str">
        <f t="shared" ca="1" si="194"/>
        <v/>
      </c>
      <c r="E6052" s="148" t="str">
        <f t="shared" ca="1" si="195"/>
        <v/>
      </c>
    </row>
    <row r="6053" spans="2:5" x14ac:dyDescent="0.25">
      <c r="B6053">
        <v>43647</v>
      </c>
      <c r="C6053" s="6" t="str">
        <f ca="1">IF(OR($C$7="",$B6053&gt;NOW()),"",IF(INDEX(Data!$A:$G,MATCH($B6053,Data!$A:$A,0),MATCH($C$7,Data!$4:$4,0))="","",INDEX(Data!$A:$G,MATCH($B6053,Data!$A:$A,0),MATCH($C$7,Data!$4:$4,0))))</f>
        <v/>
      </c>
      <c r="D6053" s="148" t="str">
        <f t="shared" ca="1" si="194"/>
        <v/>
      </c>
      <c r="E6053" s="148" t="str">
        <f t="shared" ca="1" si="195"/>
        <v/>
      </c>
    </row>
    <row r="6054" spans="2:5" x14ac:dyDescent="0.25">
      <c r="B6054">
        <v>43648</v>
      </c>
      <c r="C6054" s="6" t="str">
        <f ca="1">IF(OR($C$7="",$B6054&gt;NOW()),"",IF(INDEX(Data!$A:$G,MATCH($B6054,Data!$A:$A,0),MATCH($C$7,Data!$4:$4,0))="","",INDEX(Data!$A:$G,MATCH($B6054,Data!$A:$A,0),MATCH($C$7,Data!$4:$4,0))))</f>
        <v/>
      </c>
      <c r="D6054" s="148" t="str">
        <f t="shared" ca="1" si="194"/>
        <v/>
      </c>
      <c r="E6054" s="148" t="str">
        <f t="shared" ca="1" si="195"/>
        <v/>
      </c>
    </row>
    <row r="6055" spans="2:5" x14ac:dyDescent="0.25">
      <c r="B6055">
        <v>43649</v>
      </c>
      <c r="C6055" s="6" t="str">
        <f ca="1">IF(OR($C$7="",$B6055&gt;NOW()),"",IF(INDEX(Data!$A:$G,MATCH($B6055,Data!$A:$A,0),MATCH($C$7,Data!$4:$4,0))="","",INDEX(Data!$A:$G,MATCH($B6055,Data!$A:$A,0),MATCH($C$7,Data!$4:$4,0))))</f>
        <v/>
      </c>
      <c r="D6055" s="148" t="str">
        <f t="shared" ca="1" si="194"/>
        <v/>
      </c>
      <c r="E6055" s="148" t="str">
        <f t="shared" ca="1" si="195"/>
        <v/>
      </c>
    </row>
    <row r="6056" spans="2:5" x14ac:dyDescent="0.25">
      <c r="B6056">
        <v>43650</v>
      </c>
      <c r="C6056" s="6" t="str">
        <f ca="1">IF(OR($C$7="",$B6056&gt;NOW()),"",IF(INDEX(Data!$A:$G,MATCH($B6056,Data!$A:$A,0),MATCH($C$7,Data!$4:$4,0))="","",INDEX(Data!$A:$G,MATCH($B6056,Data!$A:$A,0),MATCH($C$7,Data!$4:$4,0))))</f>
        <v/>
      </c>
      <c r="D6056" s="148" t="str">
        <f t="shared" ca="1" si="194"/>
        <v/>
      </c>
      <c r="E6056" s="148" t="str">
        <f t="shared" ca="1" si="195"/>
        <v/>
      </c>
    </row>
    <row r="6057" spans="2:5" x14ac:dyDescent="0.25">
      <c r="B6057">
        <v>43651</v>
      </c>
      <c r="C6057" s="6" t="str">
        <f ca="1">IF(OR($C$7="",$B6057&gt;NOW()),"",IF(INDEX(Data!$A:$G,MATCH($B6057,Data!$A:$A,0),MATCH($C$7,Data!$4:$4,0))="","",INDEX(Data!$A:$G,MATCH($B6057,Data!$A:$A,0),MATCH($C$7,Data!$4:$4,0))))</f>
        <v/>
      </c>
      <c r="D6057" s="148" t="str">
        <f t="shared" ca="1" si="194"/>
        <v/>
      </c>
      <c r="E6057" s="148" t="str">
        <f t="shared" ca="1" si="195"/>
        <v/>
      </c>
    </row>
    <row r="6058" spans="2:5" x14ac:dyDescent="0.25">
      <c r="B6058">
        <v>43652</v>
      </c>
      <c r="C6058" s="6" t="str">
        <f ca="1">IF(OR($C$7="",$B6058&gt;NOW()),"",IF(INDEX(Data!$A:$G,MATCH($B6058,Data!$A:$A,0),MATCH($C$7,Data!$4:$4,0))="","",INDEX(Data!$A:$G,MATCH($B6058,Data!$A:$A,0),MATCH($C$7,Data!$4:$4,0))))</f>
        <v/>
      </c>
      <c r="D6058" s="148" t="str">
        <f t="shared" ca="1" si="194"/>
        <v/>
      </c>
      <c r="E6058" s="148" t="str">
        <f t="shared" ca="1" si="195"/>
        <v/>
      </c>
    </row>
    <row r="6059" spans="2:5" x14ac:dyDescent="0.25">
      <c r="B6059">
        <v>43653</v>
      </c>
      <c r="C6059" s="6" t="str">
        <f ca="1">IF(OR($C$7="",$B6059&gt;NOW()),"",IF(INDEX(Data!$A:$G,MATCH($B6059,Data!$A:$A,0),MATCH($C$7,Data!$4:$4,0))="","",INDEX(Data!$A:$G,MATCH($B6059,Data!$A:$A,0),MATCH($C$7,Data!$4:$4,0))))</f>
        <v/>
      </c>
      <c r="D6059" s="148" t="str">
        <f t="shared" ca="1" si="194"/>
        <v/>
      </c>
      <c r="E6059" s="148" t="str">
        <f t="shared" ca="1" si="195"/>
        <v/>
      </c>
    </row>
    <row r="6060" spans="2:5" x14ac:dyDescent="0.25">
      <c r="B6060">
        <v>43654</v>
      </c>
      <c r="C6060" s="6" t="str">
        <f ca="1">IF(OR($C$7="",$B6060&gt;NOW()),"",IF(INDEX(Data!$A:$G,MATCH($B6060,Data!$A:$A,0),MATCH($C$7,Data!$4:$4,0))="","",INDEX(Data!$A:$G,MATCH($B6060,Data!$A:$A,0),MATCH($C$7,Data!$4:$4,0))))</f>
        <v/>
      </c>
      <c r="D6060" s="148" t="str">
        <f t="shared" ca="1" si="194"/>
        <v/>
      </c>
      <c r="E6060" s="148" t="str">
        <f t="shared" ca="1" si="195"/>
        <v/>
      </c>
    </row>
    <row r="6061" spans="2:5" x14ac:dyDescent="0.25">
      <c r="B6061">
        <v>43655</v>
      </c>
      <c r="C6061" s="6" t="str">
        <f ca="1">IF(OR($C$7="",$B6061&gt;NOW()),"",IF(INDEX(Data!$A:$G,MATCH($B6061,Data!$A:$A,0),MATCH($C$7,Data!$4:$4,0))="","",INDEX(Data!$A:$G,MATCH($B6061,Data!$A:$A,0),MATCH($C$7,Data!$4:$4,0))))</f>
        <v/>
      </c>
      <c r="D6061" s="148" t="str">
        <f t="shared" ca="1" si="194"/>
        <v/>
      </c>
      <c r="E6061" s="148" t="str">
        <f t="shared" ca="1" si="195"/>
        <v/>
      </c>
    </row>
    <row r="6062" spans="2:5" x14ac:dyDescent="0.25">
      <c r="B6062">
        <v>43656</v>
      </c>
      <c r="C6062" s="6" t="str">
        <f ca="1">IF(OR($C$7="",$B6062&gt;NOW()),"",IF(INDEX(Data!$A:$G,MATCH($B6062,Data!$A:$A,0),MATCH($C$7,Data!$4:$4,0))="","",INDEX(Data!$A:$G,MATCH($B6062,Data!$A:$A,0),MATCH($C$7,Data!$4:$4,0))))</f>
        <v/>
      </c>
      <c r="D6062" s="148" t="str">
        <f t="shared" ca="1" si="194"/>
        <v/>
      </c>
      <c r="E6062" s="148" t="str">
        <f t="shared" ca="1" si="195"/>
        <v/>
      </c>
    </row>
    <row r="6063" spans="2:5" x14ac:dyDescent="0.25">
      <c r="B6063">
        <v>43657</v>
      </c>
      <c r="C6063" s="6" t="str">
        <f ca="1">IF(OR($C$7="",$B6063&gt;NOW()),"",IF(INDEX(Data!$A:$G,MATCH($B6063,Data!$A:$A,0),MATCH($C$7,Data!$4:$4,0))="","",INDEX(Data!$A:$G,MATCH($B6063,Data!$A:$A,0),MATCH($C$7,Data!$4:$4,0))))</f>
        <v/>
      </c>
      <c r="D6063" s="148" t="str">
        <f t="shared" ca="1" si="194"/>
        <v/>
      </c>
      <c r="E6063" s="148" t="str">
        <f t="shared" ca="1" si="195"/>
        <v/>
      </c>
    </row>
    <row r="6064" spans="2:5" x14ac:dyDescent="0.25">
      <c r="B6064">
        <v>43658</v>
      </c>
      <c r="C6064" s="6" t="str">
        <f ca="1">IF(OR($C$7="",$B6064&gt;NOW()),"",IF(INDEX(Data!$A:$G,MATCH($B6064,Data!$A:$A,0),MATCH($C$7,Data!$4:$4,0))="","",INDEX(Data!$A:$G,MATCH($B6064,Data!$A:$A,0),MATCH($C$7,Data!$4:$4,0))))</f>
        <v/>
      </c>
      <c r="D6064" s="148" t="str">
        <f t="shared" ca="1" si="194"/>
        <v/>
      </c>
      <c r="E6064" s="148" t="str">
        <f t="shared" ca="1" si="195"/>
        <v/>
      </c>
    </row>
    <row r="6065" spans="2:5" x14ac:dyDescent="0.25">
      <c r="B6065">
        <v>43659</v>
      </c>
      <c r="C6065" s="6" t="str">
        <f ca="1">IF(OR($C$7="",$B6065&gt;NOW()),"",IF(INDEX(Data!$A:$G,MATCH($B6065,Data!$A:$A,0),MATCH($C$7,Data!$4:$4,0))="","",INDEX(Data!$A:$G,MATCH($B6065,Data!$A:$A,0),MATCH($C$7,Data!$4:$4,0))))</f>
        <v/>
      </c>
      <c r="D6065" s="148" t="str">
        <f t="shared" ca="1" si="194"/>
        <v/>
      </c>
      <c r="E6065" s="148" t="str">
        <f t="shared" ca="1" si="195"/>
        <v/>
      </c>
    </row>
    <row r="6066" spans="2:5" x14ac:dyDescent="0.25">
      <c r="B6066">
        <v>43660</v>
      </c>
      <c r="C6066" s="6" t="str">
        <f ca="1">IF(OR($C$7="",$B6066&gt;NOW()),"",IF(INDEX(Data!$A:$G,MATCH($B6066,Data!$A:$A,0),MATCH($C$7,Data!$4:$4,0))="","",INDEX(Data!$A:$G,MATCH($B6066,Data!$A:$A,0),MATCH($C$7,Data!$4:$4,0))))</f>
        <v/>
      </c>
      <c r="D6066" s="148" t="str">
        <f t="shared" ca="1" si="194"/>
        <v/>
      </c>
      <c r="E6066" s="148" t="str">
        <f t="shared" ca="1" si="195"/>
        <v/>
      </c>
    </row>
    <row r="6067" spans="2:5" x14ac:dyDescent="0.25">
      <c r="B6067">
        <v>43661</v>
      </c>
      <c r="C6067" s="6" t="str">
        <f ca="1">IF(OR($C$7="",$B6067&gt;NOW()),"",IF(INDEX(Data!$A:$G,MATCH($B6067,Data!$A:$A,0),MATCH($C$7,Data!$4:$4,0))="","",INDEX(Data!$A:$G,MATCH($B6067,Data!$A:$A,0),MATCH($C$7,Data!$4:$4,0))))</f>
        <v/>
      </c>
      <c r="D6067" s="148" t="str">
        <f t="shared" ca="1" si="194"/>
        <v/>
      </c>
      <c r="E6067" s="148" t="str">
        <f t="shared" ca="1" si="195"/>
        <v/>
      </c>
    </row>
    <row r="6068" spans="2:5" x14ac:dyDescent="0.25">
      <c r="B6068">
        <v>43662</v>
      </c>
      <c r="C6068" s="6" t="str">
        <f ca="1">IF(OR($C$7="",$B6068&gt;NOW()),"",IF(INDEX(Data!$A:$G,MATCH($B6068,Data!$A:$A,0),MATCH($C$7,Data!$4:$4,0))="","",INDEX(Data!$A:$G,MATCH($B6068,Data!$A:$A,0),MATCH($C$7,Data!$4:$4,0))))</f>
        <v/>
      </c>
      <c r="D6068" s="148" t="str">
        <f t="shared" ca="1" si="194"/>
        <v/>
      </c>
      <c r="E6068" s="148" t="str">
        <f t="shared" ca="1" si="195"/>
        <v/>
      </c>
    </row>
    <row r="6069" spans="2:5" x14ac:dyDescent="0.25">
      <c r="B6069">
        <v>43663</v>
      </c>
      <c r="C6069" s="6" t="str">
        <f ca="1">IF(OR($C$7="",$B6069&gt;NOW()),"",IF(INDEX(Data!$A:$G,MATCH($B6069,Data!$A:$A,0),MATCH($C$7,Data!$4:$4,0))="","",INDEX(Data!$A:$G,MATCH($B6069,Data!$A:$A,0),MATCH($C$7,Data!$4:$4,0))))</f>
        <v/>
      </c>
      <c r="D6069" s="148" t="str">
        <f t="shared" ca="1" si="194"/>
        <v/>
      </c>
      <c r="E6069" s="148" t="str">
        <f t="shared" ca="1" si="195"/>
        <v/>
      </c>
    </row>
    <row r="6070" spans="2:5" x14ac:dyDescent="0.25">
      <c r="B6070">
        <v>43664</v>
      </c>
      <c r="C6070" s="6" t="str">
        <f ca="1">IF(OR($C$7="",$B6070&gt;NOW()),"",IF(INDEX(Data!$A:$G,MATCH($B6070,Data!$A:$A,0),MATCH($C$7,Data!$4:$4,0))="","",INDEX(Data!$A:$G,MATCH($B6070,Data!$A:$A,0),MATCH($C$7,Data!$4:$4,0))))</f>
        <v/>
      </c>
      <c r="D6070" s="148" t="str">
        <f t="shared" ca="1" si="194"/>
        <v/>
      </c>
      <c r="E6070" s="148" t="str">
        <f t="shared" ca="1" si="195"/>
        <v/>
      </c>
    </row>
    <row r="6071" spans="2:5" x14ac:dyDescent="0.25">
      <c r="B6071">
        <v>43665</v>
      </c>
      <c r="C6071" s="6" t="str">
        <f ca="1">IF(OR($C$7="",$B6071&gt;NOW()),"",IF(INDEX(Data!$A:$G,MATCH($B6071,Data!$A:$A,0),MATCH($C$7,Data!$4:$4,0))="","",INDEX(Data!$A:$G,MATCH($B6071,Data!$A:$A,0),MATCH($C$7,Data!$4:$4,0))))</f>
        <v/>
      </c>
      <c r="D6071" s="148" t="str">
        <f t="shared" ca="1" si="194"/>
        <v/>
      </c>
      <c r="E6071" s="148" t="str">
        <f t="shared" ca="1" si="195"/>
        <v/>
      </c>
    </row>
    <row r="6072" spans="2:5" x14ac:dyDescent="0.25">
      <c r="B6072">
        <v>43666</v>
      </c>
      <c r="C6072" s="6" t="str">
        <f ca="1">IF(OR($C$7="",$B6072&gt;NOW()),"",IF(INDEX(Data!$A:$G,MATCH($B6072,Data!$A:$A,0),MATCH($C$7,Data!$4:$4,0))="","",INDEX(Data!$A:$G,MATCH($B6072,Data!$A:$A,0),MATCH($C$7,Data!$4:$4,0))))</f>
        <v/>
      </c>
      <c r="D6072" s="148" t="str">
        <f t="shared" ca="1" si="194"/>
        <v/>
      </c>
      <c r="E6072" s="148" t="str">
        <f t="shared" ca="1" si="195"/>
        <v/>
      </c>
    </row>
    <row r="6073" spans="2:5" x14ac:dyDescent="0.25">
      <c r="B6073">
        <v>43667</v>
      </c>
      <c r="C6073" s="6" t="str">
        <f ca="1">IF(OR($C$7="",$B6073&gt;NOW()),"",IF(INDEX(Data!$A:$G,MATCH($B6073,Data!$A:$A,0),MATCH($C$7,Data!$4:$4,0))="","",INDEX(Data!$A:$G,MATCH($B6073,Data!$A:$A,0),MATCH($C$7,Data!$4:$4,0))))</f>
        <v/>
      </c>
      <c r="D6073" s="148" t="str">
        <f t="shared" ca="1" si="194"/>
        <v/>
      </c>
      <c r="E6073" s="148" t="str">
        <f t="shared" ca="1" si="195"/>
        <v/>
      </c>
    </row>
    <row r="6074" spans="2:5" x14ac:dyDescent="0.25">
      <c r="B6074">
        <v>43668</v>
      </c>
      <c r="C6074" s="6" t="str">
        <f ca="1">IF(OR($C$7="",$B6074&gt;NOW()),"",IF(INDEX(Data!$A:$G,MATCH($B6074,Data!$A:$A,0),MATCH($C$7,Data!$4:$4,0))="","",INDEX(Data!$A:$G,MATCH($B6074,Data!$A:$A,0),MATCH($C$7,Data!$4:$4,0))))</f>
        <v/>
      </c>
      <c r="D6074" s="148" t="str">
        <f t="shared" ca="1" si="194"/>
        <v/>
      </c>
      <c r="E6074" s="148" t="str">
        <f t="shared" ca="1" si="195"/>
        <v/>
      </c>
    </row>
    <row r="6075" spans="2:5" x14ac:dyDescent="0.25">
      <c r="B6075">
        <v>43669</v>
      </c>
      <c r="C6075" s="6" t="str">
        <f ca="1">IF(OR($C$7="",$B6075&gt;NOW()),"",IF(INDEX(Data!$A:$G,MATCH($B6075,Data!$A:$A,0),MATCH($C$7,Data!$4:$4,0))="","",INDEX(Data!$A:$G,MATCH($B6075,Data!$A:$A,0),MATCH($C$7,Data!$4:$4,0))))</f>
        <v/>
      </c>
      <c r="D6075" s="148" t="str">
        <f t="shared" ca="1" si="194"/>
        <v/>
      </c>
      <c r="E6075" s="148" t="str">
        <f t="shared" ca="1" si="195"/>
        <v/>
      </c>
    </row>
    <row r="6076" spans="2:5" x14ac:dyDescent="0.25">
      <c r="B6076">
        <v>43670</v>
      </c>
      <c r="C6076" s="6" t="str">
        <f ca="1">IF(OR($C$7="",$B6076&gt;NOW()),"",IF(INDEX(Data!$A:$G,MATCH($B6076,Data!$A:$A,0),MATCH($C$7,Data!$4:$4,0))="","",INDEX(Data!$A:$G,MATCH($B6076,Data!$A:$A,0),MATCH($C$7,Data!$4:$4,0))))</f>
        <v/>
      </c>
      <c r="D6076" s="148" t="str">
        <f t="shared" ca="1" si="194"/>
        <v/>
      </c>
      <c r="E6076" s="148" t="str">
        <f t="shared" ca="1" si="195"/>
        <v/>
      </c>
    </row>
    <row r="6077" spans="2:5" x14ac:dyDescent="0.25">
      <c r="B6077">
        <v>43671</v>
      </c>
      <c r="C6077" s="6" t="str">
        <f ca="1">IF(OR($C$7="",$B6077&gt;NOW()),"",IF(INDEX(Data!$A:$G,MATCH($B6077,Data!$A:$A,0),MATCH($C$7,Data!$4:$4,0))="","",INDEX(Data!$A:$G,MATCH($B6077,Data!$A:$A,0),MATCH($C$7,Data!$4:$4,0))))</f>
        <v/>
      </c>
      <c r="D6077" s="148" t="str">
        <f t="shared" ca="1" si="194"/>
        <v/>
      </c>
      <c r="E6077" s="148" t="str">
        <f t="shared" ca="1" si="195"/>
        <v/>
      </c>
    </row>
    <row r="6078" spans="2:5" x14ac:dyDescent="0.25">
      <c r="B6078">
        <v>43672</v>
      </c>
      <c r="C6078" s="6" t="str">
        <f ca="1">IF(OR($C$7="",$B6078&gt;NOW()),"",IF(INDEX(Data!$A:$G,MATCH($B6078,Data!$A:$A,0),MATCH($C$7,Data!$4:$4,0))="","",INDEX(Data!$A:$G,MATCH($B6078,Data!$A:$A,0),MATCH($C$7,Data!$4:$4,0))))</f>
        <v/>
      </c>
      <c r="D6078" s="148" t="str">
        <f t="shared" ca="1" si="194"/>
        <v/>
      </c>
      <c r="E6078" s="148" t="str">
        <f t="shared" ca="1" si="195"/>
        <v/>
      </c>
    </row>
    <row r="6079" spans="2:5" x14ac:dyDescent="0.25">
      <c r="B6079">
        <v>43673</v>
      </c>
      <c r="C6079" s="6" t="str">
        <f ca="1">IF(OR($C$7="",$B6079&gt;NOW()),"",IF(INDEX(Data!$A:$G,MATCH($B6079,Data!$A:$A,0),MATCH($C$7,Data!$4:$4,0))="","",INDEX(Data!$A:$G,MATCH($B6079,Data!$A:$A,0),MATCH($C$7,Data!$4:$4,0))))</f>
        <v/>
      </c>
      <c r="D6079" s="148" t="str">
        <f t="shared" ca="1" si="194"/>
        <v/>
      </c>
      <c r="E6079" s="148" t="str">
        <f t="shared" ca="1" si="195"/>
        <v/>
      </c>
    </row>
    <row r="6080" spans="2:5" x14ac:dyDescent="0.25">
      <c r="B6080">
        <v>43674</v>
      </c>
      <c r="C6080" s="6" t="str">
        <f ca="1">IF(OR($C$7="",$B6080&gt;NOW()),"",IF(INDEX(Data!$A:$G,MATCH($B6080,Data!$A:$A,0),MATCH($C$7,Data!$4:$4,0))="","",INDEX(Data!$A:$G,MATCH($B6080,Data!$A:$A,0),MATCH($C$7,Data!$4:$4,0))))</f>
        <v/>
      </c>
      <c r="D6080" s="148" t="str">
        <f t="shared" ca="1" si="194"/>
        <v/>
      </c>
      <c r="E6080" s="148" t="str">
        <f t="shared" ca="1" si="195"/>
        <v/>
      </c>
    </row>
    <row r="6081" spans="2:5" x14ac:dyDescent="0.25">
      <c r="B6081">
        <v>43675</v>
      </c>
      <c r="C6081" s="6" t="str">
        <f ca="1">IF(OR($C$7="",$B6081&gt;NOW()),"",IF(INDEX(Data!$A:$G,MATCH($B6081,Data!$A:$A,0),MATCH($C$7,Data!$4:$4,0))="","",INDEX(Data!$A:$G,MATCH($B6081,Data!$A:$A,0),MATCH($C$7,Data!$4:$4,0))))</f>
        <v/>
      </c>
      <c r="D6081" s="148" t="str">
        <f t="shared" ca="1" si="194"/>
        <v/>
      </c>
      <c r="E6081" s="148" t="str">
        <f t="shared" ca="1" si="195"/>
        <v/>
      </c>
    </row>
    <row r="6082" spans="2:5" x14ac:dyDescent="0.25">
      <c r="B6082">
        <v>43676</v>
      </c>
      <c r="C6082" s="6" t="str">
        <f ca="1">IF(OR($C$7="",$B6082&gt;NOW()),"",IF(INDEX(Data!$A:$G,MATCH($B6082,Data!$A:$A,0),MATCH($C$7,Data!$4:$4,0))="","",INDEX(Data!$A:$G,MATCH($B6082,Data!$A:$A,0),MATCH($C$7,Data!$4:$4,0))))</f>
        <v/>
      </c>
      <c r="D6082" s="148" t="str">
        <f t="shared" ca="1" si="194"/>
        <v/>
      </c>
      <c r="E6082" s="148" t="str">
        <f t="shared" ca="1" si="195"/>
        <v/>
      </c>
    </row>
    <row r="6083" spans="2:5" x14ac:dyDescent="0.25">
      <c r="B6083">
        <v>43677</v>
      </c>
      <c r="C6083" s="6" t="str">
        <f ca="1">IF(OR($C$7="",$B6083&gt;NOW()),"",IF(INDEX(Data!$A:$G,MATCH($B6083,Data!$A:$A,0),MATCH($C$7,Data!$4:$4,0))="","",INDEX(Data!$A:$G,MATCH($B6083,Data!$A:$A,0),MATCH($C$7,Data!$4:$4,0))))</f>
        <v/>
      </c>
      <c r="D6083" s="148" t="str">
        <f t="shared" ca="1" si="194"/>
        <v/>
      </c>
      <c r="E6083" s="148" t="str">
        <f t="shared" ca="1" si="195"/>
        <v/>
      </c>
    </row>
    <row r="6084" spans="2:5" x14ac:dyDescent="0.25">
      <c r="B6084">
        <v>43678</v>
      </c>
      <c r="C6084" s="6" t="str">
        <f ca="1">IF(OR($C$7="",$B6084&gt;NOW()),"",IF(INDEX(Data!$A:$G,MATCH($B6084,Data!$A:$A,0),MATCH($C$7,Data!$4:$4,0))="","",INDEX(Data!$A:$G,MATCH($B6084,Data!$A:$A,0),MATCH($C$7,Data!$4:$4,0))))</f>
        <v/>
      </c>
      <c r="D6084" s="148" t="str">
        <f t="shared" ca="1" si="194"/>
        <v/>
      </c>
      <c r="E6084" s="148" t="str">
        <f t="shared" ca="1" si="195"/>
        <v/>
      </c>
    </row>
    <row r="6085" spans="2:5" x14ac:dyDescent="0.25">
      <c r="B6085">
        <v>43679</v>
      </c>
      <c r="C6085" s="6" t="str">
        <f ca="1">IF(OR($C$7="",$B6085&gt;NOW()),"",IF(INDEX(Data!$A:$G,MATCH($B6085,Data!$A:$A,0),MATCH($C$7,Data!$4:$4,0))="","",INDEX(Data!$A:$G,MATCH($B6085,Data!$A:$A,0),MATCH($C$7,Data!$4:$4,0))))</f>
        <v/>
      </c>
      <c r="D6085" s="148" t="str">
        <f t="shared" ca="1" si="194"/>
        <v/>
      </c>
      <c r="E6085" s="148" t="str">
        <f t="shared" ca="1" si="195"/>
        <v/>
      </c>
    </row>
    <row r="6086" spans="2:5" x14ac:dyDescent="0.25">
      <c r="B6086">
        <v>43680</v>
      </c>
      <c r="C6086" s="6" t="str">
        <f ca="1">IF(OR($C$7="",$B6086&gt;NOW()),"",IF(INDEX(Data!$A:$G,MATCH($B6086,Data!$A:$A,0),MATCH($C$7,Data!$4:$4,0))="","",INDEX(Data!$A:$G,MATCH($B6086,Data!$A:$A,0),MATCH($C$7,Data!$4:$4,0))))</f>
        <v/>
      </c>
      <c r="D6086" s="148" t="str">
        <f t="shared" ca="1" si="194"/>
        <v/>
      </c>
      <c r="E6086" s="148" t="str">
        <f t="shared" ca="1" si="195"/>
        <v/>
      </c>
    </row>
    <row r="6087" spans="2:5" x14ac:dyDescent="0.25">
      <c r="B6087">
        <v>43681</v>
      </c>
      <c r="C6087" s="6" t="str">
        <f ca="1">IF(OR($C$7="",$B6087&gt;NOW()),"",IF(INDEX(Data!$A:$G,MATCH($B6087,Data!$A:$A,0),MATCH($C$7,Data!$4:$4,0))="","",INDEX(Data!$A:$G,MATCH($B6087,Data!$A:$A,0),MATCH($C$7,Data!$4:$4,0))))</f>
        <v/>
      </c>
      <c r="D6087" s="148" t="str">
        <f t="shared" ca="1" si="194"/>
        <v/>
      </c>
      <c r="E6087" s="148" t="str">
        <f t="shared" ca="1" si="195"/>
        <v/>
      </c>
    </row>
    <row r="6088" spans="2:5" x14ac:dyDescent="0.25">
      <c r="B6088">
        <v>43682</v>
      </c>
      <c r="C6088" s="6" t="str">
        <f ca="1">IF(OR($C$7="",$B6088&gt;NOW()),"",IF(INDEX(Data!$A:$G,MATCH($B6088,Data!$A:$A,0),MATCH($C$7,Data!$4:$4,0))="","",INDEX(Data!$A:$G,MATCH($B6088,Data!$A:$A,0),MATCH($C$7,Data!$4:$4,0))))</f>
        <v/>
      </c>
      <c r="D6088" s="148" t="str">
        <f t="shared" ca="1" si="194"/>
        <v/>
      </c>
      <c r="E6088" s="148" t="str">
        <f t="shared" ca="1" si="195"/>
        <v/>
      </c>
    </row>
    <row r="6089" spans="2:5" x14ac:dyDescent="0.25">
      <c r="B6089">
        <v>43683</v>
      </c>
      <c r="C6089" s="6" t="str">
        <f ca="1">IF(OR($C$7="",$B6089&gt;NOW()),"",IF(INDEX(Data!$A:$G,MATCH($B6089,Data!$A:$A,0),MATCH($C$7,Data!$4:$4,0))="","",INDEX(Data!$A:$G,MATCH($B6089,Data!$A:$A,0),MATCH($C$7,Data!$4:$4,0))))</f>
        <v/>
      </c>
      <c r="D6089" s="148" t="str">
        <f t="shared" ca="1" si="194"/>
        <v/>
      </c>
      <c r="E6089" s="148" t="str">
        <f t="shared" ca="1" si="195"/>
        <v/>
      </c>
    </row>
    <row r="6090" spans="2:5" x14ac:dyDescent="0.25">
      <c r="B6090">
        <v>43684</v>
      </c>
      <c r="C6090" s="6" t="str">
        <f ca="1">IF(OR($C$7="",$B6090&gt;NOW()),"",IF(INDEX(Data!$A:$G,MATCH($B6090,Data!$A:$A,0),MATCH($C$7,Data!$4:$4,0))="","",INDEX(Data!$A:$G,MATCH($B6090,Data!$A:$A,0),MATCH($C$7,Data!$4:$4,0))))</f>
        <v/>
      </c>
      <c r="D6090" s="148" t="str">
        <f t="shared" ca="1" si="194"/>
        <v/>
      </c>
      <c r="E6090" s="148" t="str">
        <f t="shared" ca="1" si="195"/>
        <v/>
      </c>
    </row>
    <row r="6091" spans="2:5" x14ac:dyDescent="0.25">
      <c r="B6091">
        <v>43685</v>
      </c>
      <c r="C6091" s="6" t="str">
        <f ca="1">IF(OR($C$7="",$B6091&gt;NOW()),"",IF(INDEX(Data!$A:$G,MATCH($B6091,Data!$A:$A,0),MATCH($C$7,Data!$4:$4,0))="","",INDEX(Data!$A:$G,MATCH($B6091,Data!$A:$A,0),MATCH($C$7,Data!$4:$4,0))))</f>
        <v/>
      </c>
      <c r="D6091" s="148" t="str">
        <f t="shared" ca="1" si="194"/>
        <v/>
      </c>
      <c r="E6091" s="148" t="str">
        <f t="shared" ca="1" si="195"/>
        <v/>
      </c>
    </row>
    <row r="6092" spans="2:5" x14ac:dyDescent="0.25">
      <c r="B6092">
        <v>43686</v>
      </c>
      <c r="C6092" s="6" t="str">
        <f ca="1">IF(OR($C$7="",$B6092&gt;NOW()),"",IF(INDEX(Data!$A:$G,MATCH($B6092,Data!$A:$A,0),MATCH($C$7,Data!$4:$4,0))="","",INDEX(Data!$A:$G,MATCH($B6092,Data!$A:$A,0),MATCH($C$7,Data!$4:$4,0))))</f>
        <v/>
      </c>
      <c r="D6092" s="148" t="str">
        <f t="shared" ca="1" si="194"/>
        <v/>
      </c>
      <c r="E6092" s="148" t="str">
        <f t="shared" ca="1" si="195"/>
        <v/>
      </c>
    </row>
    <row r="6093" spans="2:5" x14ac:dyDescent="0.25">
      <c r="B6093">
        <v>43687</v>
      </c>
      <c r="C6093" s="6" t="str">
        <f ca="1">IF(OR($C$7="",$B6093&gt;NOW()),"",IF(INDEX(Data!$A:$G,MATCH($B6093,Data!$A:$A,0),MATCH($C$7,Data!$4:$4,0))="","",INDEX(Data!$A:$G,MATCH($B6093,Data!$A:$A,0),MATCH($C$7,Data!$4:$4,0))))</f>
        <v/>
      </c>
      <c r="D6093" s="148" t="str">
        <f t="shared" ca="1" si="194"/>
        <v/>
      </c>
      <c r="E6093" s="148" t="str">
        <f t="shared" ca="1" si="195"/>
        <v/>
      </c>
    </row>
    <row r="6094" spans="2:5" x14ac:dyDescent="0.25">
      <c r="B6094">
        <v>43688</v>
      </c>
      <c r="C6094" s="6" t="str">
        <f ca="1">IF(OR($C$7="",$B6094&gt;NOW()),"",IF(INDEX(Data!$A:$G,MATCH($B6094,Data!$A:$A,0),MATCH($C$7,Data!$4:$4,0))="","",INDEX(Data!$A:$G,MATCH($B6094,Data!$A:$A,0),MATCH($C$7,Data!$4:$4,0))))</f>
        <v/>
      </c>
      <c r="D6094" s="148" t="str">
        <f t="shared" ca="1" si="194"/>
        <v/>
      </c>
      <c r="E6094" s="148" t="str">
        <f t="shared" ca="1" si="195"/>
        <v/>
      </c>
    </row>
    <row r="6095" spans="2:5" x14ac:dyDescent="0.25">
      <c r="B6095">
        <v>43689</v>
      </c>
      <c r="C6095" s="6" t="str">
        <f ca="1">IF(OR($C$7="",$B6095&gt;NOW()),"",IF(INDEX(Data!$A:$G,MATCH($B6095,Data!$A:$A,0),MATCH($C$7,Data!$4:$4,0))="","",INDEX(Data!$A:$G,MATCH($B6095,Data!$A:$A,0),MATCH($C$7,Data!$4:$4,0))))</f>
        <v/>
      </c>
      <c r="D6095" s="148" t="str">
        <f t="shared" ca="1" si="194"/>
        <v/>
      </c>
      <c r="E6095" s="148" t="str">
        <f t="shared" ca="1" si="195"/>
        <v/>
      </c>
    </row>
    <row r="6096" spans="2:5" x14ac:dyDescent="0.25">
      <c r="B6096">
        <v>43690</v>
      </c>
      <c r="C6096" s="6" t="str">
        <f ca="1">IF(OR($C$7="",$B6096&gt;NOW()),"",IF(INDEX(Data!$A:$G,MATCH($B6096,Data!$A:$A,0),MATCH($C$7,Data!$4:$4,0))="","",INDEX(Data!$A:$G,MATCH($B6096,Data!$A:$A,0),MATCH($C$7,Data!$4:$4,0))))</f>
        <v/>
      </c>
      <c r="D6096" s="148" t="str">
        <f t="shared" ca="1" si="194"/>
        <v/>
      </c>
      <c r="E6096" s="148" t="str">
        <f t="shared" ca="1" si="195"/>
        <v/>
      </c>
    </row>
    <row r="6097" spans="2:5" x14ac:dyDescent="0.25">
      <c r="B6097">
        <v>43691</v>
      </c>
      <c r="C6097" s="6" t="str">
        <f ca="1">IF(OR($C$7="",$B6097&gt;NOW()),"",IF(INDEX(Data!$A:$G,MATCH($B6097,Data!$A:$A,0),MATCH($C$7,Data!$4:$4,0))="","",INDEX(Data!$A:$G,MATCH($B6097,Data!$A:$A,0),MATCH($C$7,Data!$4:$4,0))))</f>
        <v/>
      </c>
      <c r="D6097" s="148" t="str">
        <f t="shared" ca="1" si="194"/>
        <v/>
      </c>
      <c r="E6097" s="148" t="str">
        <f t="shared" ca="1" si="195"/>
        <v/>
      </c>
    </row>
    <row r="6098" spans="2:5" x14ac:dyDescent="0.25">
      <c r="B6098">
        <v>43692</v>
      </c>
      <c r="C6098" s="6" t="str">
        <f ca="1">IF(OR($C$7="",$B6098&gt;NOW()),"",IF(INDEX(Data!$A:$G,MATCH($B6098,Data!$A:$A,0),MATCH($C$7,Data!$4:$4,0))="","",INDEX(Data!$A:$G,MATCH($B6098,Data!$A:$A,0),MATCH($C$7,Data!$4:$4,0))))</f>
        <v/>
      </c>
      <c r="D6098" s="148" t="str">
        <f t="shared" ca="1" si="194"/>
        <v/>
      </c>
      <c r="E6098" s="148" t="str">
        <f t="shared" ca="1" si="195"/>
        <v/>
      </c>
    </row>
    <row r="6099" spans="2:5" x14ac:dyDescent="0.25">
      <c r="B6099">
        <v>43693</v>
      </c>
      <c r="C6099" s="6" t="str">
        <f ca="1">IF(OR($C$7="",$B6099&gt;NOW()),"",IF(INDEX(Data!$A:$G,MATCH($B6099,Data!$A:$A,0),MATCH($C$7,Data!$4:$4,0))="","",INDEX(Data!$A:$G,MATCH($B6099,Data!$A:$A,0),MATCH($C$7,Data!$4:$4,0))))</f>
        <v/>
      </c>
      <c r="D6099" s="148" t="str">
        <f t="shared" ca="1" si="194"/>
        <v/>
      </c>
      <c r="E6099" s="148" t="str">
        <f t="shared" ca="1" si="195"/>
        <v/>
      </c>
    </row>
    <row r="6100" spans="2:5" x14ac:dyDescent="0.25">
      <c r="B6100">
        <v>43694</v>
      </c>
      <c r="C6100" s="6" t="str">
        <f ca="1">IF(OR($C$7="",$B6100&gt;NOW()),"",IF(INDEX(Data!$A:$G,MATCH($B6100,Data!$A:$A,0),MATCH($C$7,Data!$4:$4,0))="","",INDEX(Data!$A:$G,MATCH($B6100,Data!$A:$A,0),MATCH($C$7,Data!$4:$4,0))))</f>
        <v/>
      </c>
      <c r="D6100" s="148" t="str">
        <f t="shared" ca="1" si="194"/>
        <v/>
      </c>
      <c r="E6100" s="148" t="str">
        <f t="shared" ca="1" si="195"/>
        <v/>
      </c>
    </row>
    <row r="6101" spans="2:5" x14ac:dyDescent="0.25">
      <c r="B6101">
        <v>43695</v>
      </c>
      <c r="C6101" s="6" t="str">
        <f ca="1">IF(OR($C$7="",$B6101&gt;NOW()),"",IF(INDEX(Data!$A:$G,MATCH($B6101,Data!$A:$A,0),MATCH($C$7,Data!$4:$4,0))="","",INDEX(Data!$A:$G,MATCH($B6101,Data!$A:$A,0),MATCH($C$7,Data!$4:$4,0))))</f>
        <v/>
      </c>
      <c r="D6101" s="148" t="str">
        <f t="shared" ca="1" si="194"/>
        <v/>
      </c>
      <c r="E6101" s="148" t="str">
        <f t="shared" ca="1" si="195"/>
        <v/>
      </c>
    </row>
    <row r="6102" spans="2:5" x14ac:dyDescent="0.25">
      <c r="B6102">
        <v>43696</v>
      </c>
      <c r="C6102" s="6" t="str">
        <f ca="1">IF(OR($C$7="",$B6102&gt;NOW()),"",IF(INDEX(Data!$A:$G,MATCH($B6102,Data!$A:$A,0),MATCH($C$7,Data!$4:$4,0))="","",INDEX(Data!$A:$G,MATCH($B6102,Data!$A:$A,0),MATCH($C$7,Data!$4:$4,0))))</f>
        <v/>
      </c>
      <c r="D6102" s="148" t="str">
        <f t="shared" ca="1" si="194"/>
        <v/>
      </c>
      <c r="E6102" s="148" t="str">
        <f t="shared" ca="1" si="195"/>
        <v/>
      </c>
    </row>
    <row r="6103" spans="2:5" x14ac:dyDescent="0.25">
      <c r="B6103">
        <v>43697</v>
      </c>
      <c r="C6103" s="6" t="str">
        <f ca="1">IF(OR($C$7="",$B6103&gt;NOW()),"",IF(INDEX(Data!$A:$G,MATCH($B6103,Data!$A:$A,0),MATCH($C$7,Data!$4:$4,0))="","",INDEX(Data!$A:$G,MATCH($B6103,Data!$A:$A,0),MATCH($C$7,Data!$4:$4,0))))</f>
        <v/>
      </c>
      <c r="D6103" s="148" t="str">
        <f t="shared" ca="1" si="194"/>
        <v/>
      </c>
      <c r="E6103" s="148" t="str">
        <f t="shared" ca="1" si="195"/>
        <v/>
      </c>
    </row>
    <row r="6104" spans="2:5" x14ac:dyDescent="0.25">
      <c r="B6104">
        <v>43698</v>
      </c>
      <c r="C6104" s="6" t="str">
        <f ca="1">IF(OR($C$7="",$B6104&gt;NOW()),"",IF(INDEX(Data!$A:$G,MATCH($B6104,Data!$A:$A,0),MATCH($C$7,Data!$4:$4,0))="","",INDEX(Data!$A:$G,MATCH($B6104,Data!$A:$A,0),MATCH($C$7,Data!$4:$4,0))))</f>
        <v/>
      </c>
      <c r="D6104" s="148" t="str">
        <f t="shared" ca="1" si="194"/>
        <v/>
      </c>
      <c r="E6104" s="148" t="str">
        <f t="shared" ca="1" si="195"/>
        <v/>
      </c>
    </row>
    <row r="6105" spans="2:5" x14ac:dyDescent="0.25">
      <c r="B6105">
        <v>43699</v>
      </c>
      <c r="C6105" s="6" t="str">
        <f ca="1">IF(OR($C$7="",$B6105&gt;NOW()),"",IF(INDEX(Data!$A:$G,MATCH($B6105,Data!$A:$A,0),MATCH($C$7,Data!$4:$4,0))="","",INDEX(Data!$A:$G,MATCH($B6105,Data!$A:$A,0),MATCH($C$7,Data!$4:$4,0))))</f>
        <v/>
      </c>
      <c r="D6105" s="148" t="str">
        <f t="shared" ca="1" si="194"/>
        <v/>
      </c>
      <c r="E6105" s="148" t="str">
        <f t="shared" ca="1" si="195"/>
        <v/>
      </c>
    </row>
    <row r="6106" spans="2:5" x14ac:dyDescent="0.25">
      <c r="B6106">
        <v>43700</v>
      </c>
      <c r="C6106" s="6" t="str">
        <f ca="1">IF(OR($C$7="",$B6106&gt;NOW()),"",IF(INDEX(Data!$A:$G,MATCH($B6106,Data!$A:$A,0),MATCH($C$7,Data!$4:$4,0))="","",INDEX(Data!$A:$G,MATCH($B6106,Data!$A:$A,0),MATCH($C$7,Data!$4:$4,0))))</f>
        <v/>
      </c>
      <c r="D6106" s="148" t="str">
        <f t="shared" ca="1" si="194"/>
        <v/>
      </c>
      <c r="E6106" s="148" t="str">
        <f t="shared" ca="1" si="195"/>
        <v/>
      </c>
    </row>
    <row r="6107" spans="2:5" x14ac:dyDescent="0.25">
      <c r="B6107">
        <v>43701</v>
      </c>
      <c r="C6107" s="6" t="str">
        <f ca="1">IF(OR($C$7="",$B6107&gt;NOW()),"",IF(INDEX(Data!$A:$G,MATCH($B6107,Data!$A:$A,0),MATCH($C$7,Data!$4:$4,0))="","",INDEX(Data!$A:$G,MATCH($B6107,Data!$A:$A,0),MATCH($C$7,Data!$4:$4,0))))</f>
        <v/>
      </c>
      <c r="D6107" s="148" t="str">
        <f t="shared" ca="1" si="194"/>
        <v/>
      </c>
      <c r="E6107" s="148" t="str">
        <f t="shared" ca="1" si="195"/>
        <v/>
      </c>
    </row>
    <row r="6108" spans="2:5" x14ac:dyDescent="0.25">
      <c r="B6108">
        <v>43702</v>
      </c>
      <c r="C6108" s="6" t="str">
        <f ca="1">IF(OR($C$7="",$B6108&gt;NOW()),"",IF(INDEX(Data!$A:$G,MATCH($B6108,Data!$A:$A,0),MATCH($C$7,Data!$4:$4,0))="","",INDEX(Data!$A:$G,MATCH($B6108,Data!$A:$A,0),MATCH($C$7,Data!$4:$4,0))))</f>
        <v/>
      </c>
      <c r="D6108" s="148" t="str">
        <f t="shared" ca="1" si="194"/>
        <v/>
      </c>
      <c r="E6108" s="148" t="str">
        <f t="shared" ca="1" si="195"/>
        <v/>
      </c>
    </row>
    <row r="6109" spans="2:5" x14ac:dyDescent="0.25">
      <c r="B6109">
        <v>43703</v>
      </c>
      <c r="C6109" s="6" t="str">
        <f ca="1">IF(OR($C$7="",$B6109&gt;NOW()),"",IF(INDEX(Data!$A:$G,MATCH($B6109,Data!$A:$A,0),MATCH($C$7,Data!$4:$4,0))="","",INDEX(Data!$A:$G,MATCH($B6109,Data!$A:$A,0),MATCH($C$7,Data!$4:$4,0))))</f>
        <v/>
      </c>
      <c r="D6109" s="148" t="str">
        <f t="shared" ref="D6109:D6172" ca="1" si="196">IF($C6109="","",IF($C6109&gt;$D$26,0,$D$26-$C6109))</f>
        <v/>
      </c>
      <c r="E6109" s="148" t="str">
        <f t="shared" ref="E6109:E6172" ca="1" si="197">IF($C6109="","",IF($C6109&lt;$E$26,0,$C6109-$E$26))</f>
        <v/>
      </c>
    </row>
    <row r="6110" spans="2:5" x14ac:dyDescent="0.25">
      <c r="B6110">
        <v>43704</v>
      </c>
      <c r="C6110" s="6" t="str">
        <f ca="1">IF(OR($C$7="",$B6110&gt;NOW()),"",IF(INDEX(Data!$A:$G,MATCH($B6110,Data!$A:$A,0),MATCH($C$7,Data!$4:$4,0))="","",INDEX(Data!$A:$G,MATCH($B6110,Data!$A:$A,0),MATCH($C$7,Data!$4:$4,0))))</f>
        <v/>
      </c>
      <c r="D6110" s="148" t="str">
        <f t="shared" ca="1" si="196"/>
        <v/>
      </c>
      <c r="E6110" s="148" t="str">
        <f t="shared" ca="1" si="197"/>
        <v/>
      </c>
    </row>
    <row r="6111" spans="2:5" x14ac:dyDescent="0.25">
      <c r="B6111">
        <v>43705</v>
      </c>
      <c r="C6111" s="6" t="str">
        <f ca="1">IF(OR($C$7="",$B6111&gt;NOW()),"",IF(INDEX(Data!$A:$G,MATCH($B6111,Data!$A:$A,0),MATCH($C$7,Data!$4:$4,0))="","",INDEX(Data!$A:$G,MATCH($B6111,Data!$A:$A,0),MATCH($C$7,Data!$4:$4,0))))</f>
        <v/>
      </c>
      <c r="D6111" s="148" t="str">
        <f t="shared" ca="1" si="196"/>
        <v/>
      </c>
      <c r="E6111" s="148" t="str">
        <f t="shared" ca="1" si="197"/>
        <v/>
      </c>
    </row>
    <row r="6112" spans="2:5" x14ac:dyDescent="0.25">
      <c r="B6112">
        <v>43706</v>
      </c>
      <c r="C6112" s="6" t="str">
        <f ca="1">IF(OR($C$7="",$B6112&gt;NOW()),"",IF(INDEX(Data!$A:$G,MATCH($B6112,Data!$A:$A,0),MATCH($C$7,Data!$4:$4,0))="","",INDEX(Data!$A:$G,MATCH($B6112,Data!$A:$A,0),MATCH($C$7,Data!$4:$4,0))))</f>
        <v/>
      </c>
      <c r="D6112" s="148" t="str">
        <f t="shared" ca="1" si="196"/>
        <v/>
      </c>
      <c r="E6112" s="148" t="str">
        <f t="shared" ca="1" si="197"/>
        <v/>
      </c>
    </row>
    <row r="6113" spans="2:5" x14ac:dyDescent="0.25">
      <c r="B6113">
        <v>43707</v>
      </c>
      <c r="C6113" s="6" t="str">
        <f ca="1">IF(OR($C$7="",$B6113&gt;NOW()),"",IF(INDEX(Data!$A:$G,MATCH($B6113,Data!$A:$A,0),MATCH($C$7,Data!$4:$4,0))="","",INDEX(Data!$A:$G,MATCH($B6113,Data!$A:$A,0),MATCH($C$7,Data!$4:$4,0))))</f>
        <v/>
      </c>
      <c r="D6113" s="148" t="str">
        <f t="shared" ca="1" si="196"/>
        <v/>
      </c>
      <c r="E6113" s="148" t="str">
        <f t="shared" ca="1" si="197"/>
        <v/>
      </c>
    </row>
    <row r="6114" spans="2:5" x14ac:dyDescent="0.25">
      <c r="B6114">
        <v>43708</v>
      </c>
      <c r="C6114" s="6" t="str">
        <f ca="1">IF(OR($C$7="",$B6114&gt;NOW()),"",IF(INDEX(Data!$A:$G,MATCH($B6114,Data!$A:$A,0),MATCH($C$7,Data!$4:$4,0))="","",INDEX(Data!$A:$G,MATCH($B6114,Data!$A:$A,0),MATCH($C$7,Data!$4:$4,0))))</f>
        <v/>
      </c>
      <c r="D6114" s="148" t="str">
        <f t="shared" ca="1" si="196"/>
        <v/>
      </c>
      <c r="E6114" s="148" t="str">
        <f t="shared" ca="1" si="197"/>
        <v/>
      </c>
    </row>
    <row r="6115" spans="2:5" x14ac:dyDescent="0.25">
      <c r="B6115">
        <v>43709</v>
      </c>
      <c r="C6115" s="6" t="str">
        <f ca="1">IF(OR($C$7="",$B6115&gt;NOW()),"",IF(INDEX(Data!$A:$G,MATCH($B6115,Data!$A:$A,0),MATCH($C$7,Data!$4:$4,0))="","",INDEX(Data!$A:$G,MATCH($B6115,Data!$A:$A,0),MATCH($C$7,Data!$4:$4,0))))</f>
        <v/>
      </c>
      <c r="D6115" s="148" t="str">
        <f t="shared" ca="1" si="196"/>
        <v/>
      </c>
      <c r="E6115" s="148" t="str">
        <f t="shared" ca="1" si="197"/>
        <v/>
      </c>
    </row>
    <row r="6116" spans="2:5" x14ac:dyDescent="0.25">
      <c r="B6116">
        <v>43710</v>
      </c>
      <c r="C6116" s="6" t="str">
        <f ca="1">IF(OR($C$7="",$B6116&gt;NOW()),"",IF(INDEX(Data!$A:$G,MATCH($B6116,Data!$A:$A,0),MATCH($C$7,Data!$4:$4,0))="","",INDEX(Data!$A:$G,MATCH($B6116,Data!$A:$A,0),MATCH($C$7,Data!$4:$4,0))))</f>
        <v/>
      </c>
      <c r="D6116" s="148" t="str">
        <f t="shared" ca="1" si="196"/>
        <v/>
      </c>
      <c r="E6116" s="148" t="str">
        <f t="shared" ca="1" si="197"/>
        <v/>
      </c>
    </row>
    <row r="6117" spans="2:5" x14ac:dyDescent="0.25">
      <c r="B6117">
        <v>43711</v>
      </c>
      <c r="C6117" s="6" t="str">
        <f ca="1">IF(OR($C$7="",$B6117&gt;NOW()),"",IF(INDEX(Data!$A:$G,MATCH($B6117,Data!$A:$A,0),MATCH($C$7,Data!$4:$4,0))="","",INDEX(Data!$A:$G,MATCH($B6117,Data!$A:$A,0),MATCH($C$7,Data!$4:$4,0))))</f>
        <v/>
      </c>
      <c r="D6117" s="148" t="str">
        <f t="shared" ca="1" si="196"/>
        <v/>
      </c>
      <c r="E6117" s="148" t="str">
        <f t="shared" ca="1" si="197"/>
        <v/>
      </c>
    </row>
    <row r="6118" spans="2:5" x14ac:dyDescent="0.25">
      <c r="B6118">
        <v>43712</v>
      </c>
      <c r="C6118" s="6" t="str">
        <f ca="1">IF(OR($C$7="",$B6118&gt;NOW()),"",IF(INDEX(Data!$A:$G,MATCH($B6118,Data!$A:$A,0),MATCH($C$7,Data!$4:$4,0))="","",INDEX(Data!$A:$G,MATCH($B6118,Data!$A:$A,0),MATCH($C$7,Data!$4:$4,0))))</f>
        <v/>
      </c>
      <c r="D6118" s="148" t="str">
        <f t="shared" ca="1" si="196"/>
        <v/>
      </c>
      <c r="E6118" s="148" t="str">
        <f t="shared" ca="1" si="197"/>
        <v/>
      </c>
    </row>
    <row r="6119" spans="2:5" x14ac:dyDescent="0.25">
      <c r="B6119">
        <v>43713</v>
      </c>
      <c r="C6119" s="6" t="str">
        <f ca="1">IF(OR($C$7="",$B6119&gt;NOW()),"",IF(INDEX(Data!$A:$G,MATCH($B6119,Data!$A:$A,0),MATCH($C$7,Data!$4:$4,0))="","",INDEX(Data!$A:$G,MATCH($B6119,Data!$A:$A,0),MATCH($C$7,Data!$4:$4,0))))</f>
        <v/>
      </c>
      <c r="D6119" s="148" t="str">
        <f t="shared" ca="1" si="196"/>
        <v/>
      </c>
      <c r="E6119" s="148" t="str">
        <f t="shared" ca="1" si="197"/>
        <v/>
      </c>
    </row>
    <row r="6120" spans="2:5" x14ac:dyDescent="0.25">
      <c r="B6120">
        <v>43714</v>
      </c>
      <c r="C6120" s="6" t="str">
        <f ca="1">IF(OR($C$7="",$B6120&gt;NOW()),"",IF(INDEX(Data!$A:$G,MATCH($B6120,Data!$A:$A,0),MATCH($C$7,Data!$4:$4,0))="","",INDEX(Data!$A:$G,MATCH($B6120,Data!$A:$A,0),MATCH($C$7,Data!$4:$4,0))))</f>
        <v/>
      </c>
      <c r="D6120" s="148" t="str">
        <f t="shared" ca="1" si="196"/>
        <v/>
      </c>
      <c r="E6120" s="148" t="str">
        <f t="shared" ca="1" si="197"/>
        <v/>
      </c>
    </row>
    <row r="6121" spans="2:5" x14ac:dyDescent="0.25">
      <c r="B6121">
        <v>43715</v>
      </c>
      <c r="C6121" s="6" t="str">
        <f ca="1">IF(OR($C$7="",$B6121&gt;NOW()),"",IF(INDEX(Data!$A:$G,MATCH($B6121,Data!$A:$A,0),MATCH($C$7,Data!$4:$4,0))="","",INDEX(Data!$A:$G,MATCH($B6121,Data!$A:$A,0),MATCH($C$7,Data!$4:$4,0))))</f>
        <v/>
      </c>
      <c r="D6121" s="148" t="str">
        <f t="shared" ca="1" si="196"/>
        <v/>
      </c>
      <c r="E6121" s="148" t="str">
        <f t="shared" ca="1" si="197"/>
        <v/>
      </c>
    </row>
    <row r="6122" spans="2:5" x14ac:dyDescent="0.25">
      <c r="B6122">
        <v>43716</v>
      </c>
      <c r="C6122" s="6" t="str">
        <f ca="1">IF(OR($C$7="",$B6122&gt;NOW()),"",IF(INDEX(Data!$A:$G,MATCH($B6122,Data!$A:$A,0),MATCH($C$7,Data!$4:$4,0))="","",INDEX(Data!$A:$G,MATCH($B6122,Data!$A:$A,0),MATCH($C$7,Data!$4:$4,0))))</f>
        <v/>
      </c>
      <c r="D6122" s="148" t="str">
        <f t="shared" ca="1" si="196"/>
        <v/>
      </c>
      <c r="E6122" s="148" t="str">
        <f t="shared" ca="1" si="197"/>
        <v/>
      </c>
    </row>
    <row r="6123" spans="2:5" x14ac:dyDescent="0.25">
      <c r="B6123">
        <v>43717</v>
      </c>
      <c r="C6123" s="6" t="str">
        <f ca="1">IF(OR($C$7="",$B6123&gt;NOW()),"",IF(INDEX(Data!$A:$G,MATCH($B6123,Data!$A:$A,0),MATCH($C$7,Data!$4:$4,0))="","",INDEX(Data!$A:$G,MATCH($B6123,Data!$A:$A,0),MATCH($C$7,Data!$4:$4,0))))</f>
        <v/>
      </c>
      <c r="D6123" s="148" t="str">
        <f t="shared" ca="1" si="196"/>
        <v/>
      </c>
      <c r="E6123" s="148" t="str">
        <f t="shared" ca="1" si="197"/>
        <v/>
      </c>
    </row>
    <row r="6124" spans="2:5" x14ac:dyDescent="0.25">
      <c r="B6124">
        <v>43718</v>
      </c>
      <c r="C6124" s="6" t="str">
        <f ca="1">IF(OR($C$7="",$B6124&gt;NOW()),"",IF(INDEX(Data!$A:$G,MATCH($B6124,Data!$A:$A,0),MATCH($C$7,Data!$4:$4,0))="","",INDEX(Data!$A:$G,MATCH($B6124,Data!$A:$A,0),MATCH($C$7,Data!$4:$4,0))))</f>
        <v/>
      </c>
      <c r="D6124" s="148" t="str">
        <f t="shared" ca="1" si="196"/>
        <v/>
      </c>
      <c r="E6124" s="148" t="str">
        <f t="shared" ca="1" si="197"/>
        <v/>
      </c>
    </row>
    <row r="6125" spans="2:5" x14ac:dyDescent="0.25">
      <c r="B6125">
        <v>43719</v>
      </c>
      <c r="C6125" s="6" t="str">
        <f ca="1">IF(OR($C$7="",$B6125&gt;NOW()),"",IF(INDEX(Data!$A:$G,MATCH($B6125,Data!$A:$A,0),MATCH($C$7,Data!$4:$4,0))="","",INDEX(Data!$A:$G,MATCH($B6125,Data!$A:$A,0),MATCH($C$7,Data!$4:$4,0))))</f>
        <v/>
      </c>
      <c r="D6125" s="148" t="str">
        <f t="shared" ca="1" si="196"/>
        <v/>
      </c>
      <c r="E6125" s="148" t="str">
        <f t="shared" ca="1" si="197"/>
        <v/>
      </c>
    </row>
    <row r="6126" spans="2:5" x14ac:dyDescent="0.25">
      <c r="B6126">
        <v>43720</v>
      </c>
      <c r="C6126" s="6" t="str">
        <f ca="1">IF(OR($C$7="",$B6126&gt;NOW()),"",IF(INDEX(Data!$A:$G,MATCH($B6126,Data!$A:$A,0),MATCH($C$7,Data!$4:$4,0))="","",INDEX(Data!$A:$G,MATCH($B6126,Data!$A:$A,0),MATCH($C$7,Data!$4:$4,0))))</f>
        <v/>
      </c>
      <c r="D6126" s="148" t="str">
        <f t="shared" ca="1" si="196"/>
        <v/>
      </c>
      <c r="E6126" s="148" t="str">
        <f t="shared" ca="1" si="197"/>
        <v/>
      </c>
    </row>
    <row r="6127" spans="2:5" x14ac:dyDescent="0.25">
      <c r="B6127">
        <v>43721</v>
      </c>
      <c r="C6127" s="6" t="str">
        <f ca="1">IF(OR($C$7="",$B6127&gt;NOW()),"",IF(INDEX(Data!$A:$G,MATCH($B6127,Data!$A:$A,0),MATCH($C$7,Data!$4:$4,0))="","",INDEX(Data!$A:$G,MATCH($B6127,Data!$A:$A,0),MATCH($C$7,Data!$4:$4,0))))</f>
        <v/>
      </c>
      <c r="D6127" s="148" t="str">
        <f t="shared" ca="1" si="196"/>
        <v/>
      </c>
      <c r="E6127" s="148" t="str">
        <f t="shared" ca="1" si="197"/>
        <v/>
      </c>
    </row>
    <row r="6128" spans="2:5" x14ac:dyDescent="0.25">
      <c r="B6128">
        <v>43722</v>
      </c>
      <c r="C6128" s="6" t="str">
        <f ca="1">IF(OR($C$7="",$B6128&gt;NOW()),"",IF(INDEX(Data!$A:$G,MATCH($B6128,Data!$A:$A,0),MATCH($C$7,Data!$4:$4,0))="","",INDEX(Data!$A:$G,MATCH($B6128,Data!$A:$A,0),MATCH($C$7,Data!$4:$4,0))))</f>
        <v/>
      </c>
      <c r="D6128" s="148" t="str">
        <f t="shared" ca="1" si="196"/>
        <v/>
      </c>
      <c r="E6128" s="148" t="str">
        <f t="shared" ca="1" si="197"/>
        <v/>
      </c>
    </row>
    <row r="6129" spans="2:5" x14ac:dyDescent="0.25">
      <c r="B6129">
        <v>43723</v>
      </c>
      <c r="C6129" s="6" t="str">
        <f ca="1">IF(OR($C$7="",$B6129&gt;NOW()),"",IF(INDEX(Data!$A:$G,MATCH($B6129,Data!$A:$A,0),MATCH($C$7,Data!$4:$4,0))="","",INDEX(Data!$A:$G,MATCH($B6129,Data!$A:$A,0),MATCH($C$7,Data!$4:$4,0))))</f>
        <v/>
      </c>
      <c r="D6129" s="148" t="str">
        <f t="shared" ca="1" si="196"/>
        <v/>
      </c>
      <c r="E6129" s="148" t="str">
        <f t="shared" ca="1" si="197"/>
        <v/>
      </c>
    </row>
    <row r="6130" spans="2:5" x14ac:dyDescent="0.25">
      <c r="B6130">
        <v>43724</v>
      </c>
      <c r="C6130" s="6" t="str">
        <f ca="1">IF(OR($C$7="",$B6130&gt;NOW()),"",IF(INDEX(Data!$A:$G,MATCH($B6130,Data!$A:$A,0),MATCH($C$7,Data!$4:$4,0))="","",INDEX(Data!$A:$G,MATCH($B6130,Data!$A:$A,0),MATCH($C$7,Data!$4:$4,0))))</f>
        <v/>
      </c>
      <c r="D6130" s="148" t="str">
        <f t="shared" ca="1" si="196"/>
        <v/>
      </c>
      <c r="E6130" s="148" t="str">
        <f t="shared" ca="1" si="197"/>
        <v/>
      </c>
    </row>
    <row r="6131" spans="2:5" x14ac:dyDescent="0.25">
      <c r="B6131">
        <v>43725</v>
      </c>
      <c r="C6131" s="6" t="str">
        <f ca="1">IF(OR($C$7="",$B6131&gt;NOW()),"",IF(INDEX(Data!$A:$G,MATCH($B6131,Data!$A:$A,0),MATCH($C$7,Data!$4:$4,0))="","",INDEX(Data!$A:$G,MATCH($B6131,Data!$A:$A,0),MATCH($C$7,Data!$4:$4,0))))</f>
        <v/>
      </c>
      <c r="D6131" s="148" t="str">
        <f t="shared" ca="1" si="196"/>
        <v/>
      </c>
      <c r="E6131" s="148" t="str">
        <f t="shared" ca="1" si="197"/>
        <v/>
      </c>
    </row>
    <row r="6132" spans="2:5" x14ac:dyDescent="0.25">
      <c r="B6132">
        <v>43726</v>
      </c>
      <c r="C6132" s="6" t="str">
        <f ca="1">IF(OR($C$7="",$B6132&gt;NOW()),"",IF(INDEX(Data!$A:$G,MATCH($B6132,Data!$A:$A,0),MATCH($C$7,Data!$4:$4,0))="","",INDEX(Data!$A:$G,MATCH($B6132,Data!$A:$A,0),MATCH($C$7,Data!$4:$4,0))))</f>
        <v/>
      </c>
      <c r="D6132" s="148" t="str">
        <f t="shared" ca="1" si="196"/>
        <v/>
      </c>
      <c r="E6132" s="148" t="str">
        <f t="shared" ca="1" si="197"/>
        <v/>
      </c>
    </row>
    <row r="6133" spans="2:5" x14ac:dyDescent="0.25">
      <c r="B6133">
        <v>43727</v>
      </c>
      <c r="C6133" s="6" t="str">
        <f ca="1">IF(OR($C$7="",$B6133&gt;NOW()),"",IF(INDEX(Data!$A:$G,MATCH($B6133,Data!$A:$A,0),MATCH($C$7,Data!$4:$4,0))="","",INDEX(Data!$A:$G,MATCH($B6133,Data!$A:$A,0),MATCH($C$7,Data!$4:$4,0))))</f>
        <v/>
      </c>
      <c r="D6133" s="148" t="str">
        <f t="shared" ca="1" si="196"/>
        <v/>
      </c>
      <c r="E6133" s="148" t="str">
        <f t="shared" ca="1" si="197"/>
        <v/>
      </c>
    </row>
    <row r="6134" spans="2:5" x14ac:dyDescent="0.25">
      <c r="B6134">
        <v>43728</v>
      </c>
      <c r="C6134" s="6" t="str">
        <f ca="1">IF(OR($C$7="",$B6134&gt;NOW()),"",IF(INDEX(Data!$A:$G,MATCH($B6134,Data!$A:$A,0),MATCH($C$7,Data!$4:$4,0))="","",INDEX(Data!$A:$G,MATCH($B6134,Data!$A:$A,0),MATCH($C$7,Data!$4:$4,0))))</f>
        <v/>
      </c>
      <c r="D6134" s="148" t="str">
        <f t="shared" ca="1" si="196"/>
        <v/>
      </c>
      <c r="E6134" s="148" t="str">
        <f t="shared" ca="1" si="197"/>
        <v/>
      </c>
    </row>
    <row r="6135" spans="2:5" x14ac:dyDescent="0.25">
      <c r="B6135">
        <v>43729</v>
      </c>
      <c r="C6135" s="6" t="str">
        <f ca="1">IF(OR($C$7="",$B6135&gt;NOW()),"",IF(INDEX(Data!$A:$G,MATCH($B6135,Data!$A:$A,0),MATCH($C$7,Data!$4:$4,0))="","",INDEX(Data!$A:$G,MATCH($B6135,Data!$A:$A,0),MATCH($C$7,Data!$4:$4,0))))</f>
        <v/>
      </c>
      <c r="D6135" s="148" t="str">
        <f t="shared" ca="1" si="196"/>
        <v/>
      </c>
      <c r="E6135" s="148" t="str">
        <f t="shared" ca="1" si="197"/>
        <v/>
      </c>
    </row>
    <row r="6136" spans="2:5" x14ac:dyDescent="0.25">
      <c r="B6136">
        <v>43730</v>
      </c>
      <c r="C6136" s="6" t="str">
        <f ca="1">IF(OR($C$7="",$B6136&gt;NOW()),"",IF(INDEX(Data!$A:$G,MATCH($B6136,Data!$A:$A,0),MATCH($C$7,Data!$4:$4,0))="","",INDEX(Data!$A:$G,MATCH($B6136,Data!$A:$A,0),MATCH($C$7,Data!$4:$4,0))))</f>
        <v/>
      </c>
      <c r="D6136" s="148" t="str">
        <f t="shared" ca="1" si="196"/>
        <v/>
      </c>
      <c r="E6136" s="148" t="str">
        <f t="shared" ca="1" si="197"/>
        <v/>
      </c>
    </row>
    <row r="6137" spans="2:5" x14ac:dyDescent="0.25">
      <c r="B6137">
        <v>43731</v>
      </c>
      <c r="C6137" s="6" t="str">
        <f ca="1">IF(OR($C$7="",$B6137&gt;NOW()),"",IF(INDEX(Data!$A:$G,MATCH($B6137,Data!$A:$A,0),MATCH($C$7,Data!$4:$4,0))="","",INDEX(Data!$A:$G,MATCH($B6137,Data!$A:$A,0),MATCH($C$7,Data!$4:$4,0))))</f>
        <v/>
      </c>
      <c r="D6137" s="148" t="str">
        <f t="shared" ca="1" si="196"/>
        <v/>
      </c>
      <c r="E6137" s="148" t="str">
        <f t="shared" ca="1" si="197"/>
        <v/>
      </c>
    </row>
    <row r="6138" spans="2:5" x14ac:dyDescent="0.25">
      <c r="B6138">
        <v>43732</v>
      </c>
      <c r="C6138" s="6" t="str">
        <f ca="1">IF(OR($C$7="",$B6138&gt;NOW()),"",IF(INDEX(Data!$A:$G,MATCH($B6138,Data!$A:$A,0),MATCH($C$7,Data!$4:$4,0))="","",INDEX(Data!$A:$G,MATCH($B6138,Data!$A:$A,0),MATCH($C$7,Data!$4:$4,0))))</f>
        <v/>
      </c>
      <c r="D6138" s="148" t="str">
        <f t="shared" ca="1" si="196"/>
        <v/>
      </c>
      <c r="E6138" s="148" t="str">
        <f t="shared" ca="1" si="197"/>
        <v/>
      </c>
    </row>
    <row r="6139" spans="2:5" x14ac:dyDescent="0.25">
      <c r="B6139">
        <v>43733</v>
      </c>
      <c r="C6139" s="6" t="str">
        <f ca="1">IF(OR($C$7="",$B6139&gt;NOW()),"",IF(INDEX(Data!$A:$G,MATCH($B6139,Data!$A:$A,0),MATCH($C$7,Data!$4:$4,0))="","",INDEX(Data!$A:$G,MATCH($B6139,Data!$A:$A,0),MATCH($C$7,Data!$4:$4,0))))</f>
        <v/>
      </c>
      <c r="D6139" s="148" t="str">
        <f t="shared" ca="1" si="196"/>
        <v/>
      </c>
      <c r="E6139" s="148" t="str">
        <f t="shared" ca="1" si="197"/>
        <v/>
      </c>
    </row>
    <row r="6140" spans="2:5" x14ac:dyDescent="0.25">
      <c r="B6140">
        <v>43734</v>
      </c>
      <c r="C6140" s="6" t="str">
        <f ca="1">IF(OR($C$7="",$B6140&gt;NOW()),"",IF(INDEX(Data!$A:$G,MATCH($B6140,Data!$A:$A,0),MATCH($C$7,Data!$4:$4,0))="","",INDEX(Data!$A:$G,MATCH($B6140,Data!$A:$A,0),MATCH($C$7,Data!$4:$4,0))))</f>
        <v/>
      </c>
      <c r="D6140" s="148" t="str">
        <f t="shared" ca="1" si="196"/>
        <v/>
      </c>
      <c r="E6140" s="148" t="str">
        <f t="shared" ca="1" si="197"/>
        <v/>
      </c>
    </row>
    <row r="6141" spans="2:5" x14ac:dyDescent="0.25">
      <c r="B6141">
        <v>43735</v>
      </c>
      <c r="C6141" s="6" t="str">
        <f ca="1">IF(OR($C$7="",$B6141&gt;NOW()),"",IF(INDEX(Data!$A:$G,MATCH($B6141,Data!$A:$A,0),MATCH($C$7,Data!$4:$4,0))="","",INDEX(Data!$A:$G,MATCH($B6141,Data!$A:$A,0),MATCH($C$7,Data!$4:$4,0))))</f>
        <v/>
      </c>
      <c r="D6141" s="148" t="str">
        <f t="shared" ca="1" si="196"/>
        <v/>
      </c>
      <c r="E6141" s="148" t="str">
        <f t="shared" ca="1" si="197"/>
        <v/>
      </c>
    </row>
    <row r="6142" spans="2:5" x14ac:dyDescent="0.25">
      <c r="B6142">
        <v>43736</v>
      </c>
      <c r="C6142" s="6" t="str">
        <f ca="1">IF(OR($C$7="",$B6142&gt;NOW()),"",IF(INDEX(Data!$A:$G,MATCH($B6142,Data!$A:$A,0),MATCH($C$7,Data!$4:$4,0))="","",INDEX(Data!$A:$G,MATCH($B6142,Data!$A:$A,0),MATCH($C$7,Data!$4:$4,0))))</f>
        <v/>
      </c>
      <c r="D6142" s="148" t="str">
        <f t="shared" ca="1" si="196"/>
        <v/>
      </c>
      <c r="E6142" s="148" t="str">
        <f t="shared" ca="1" si="197"/>
        <v/>
      </c>
    </row>
    <row r="6143" spans="2:5" x14ac:dyDescent="0.25">
      <c r="B6143">
        <v>43737</v>
      </c>
      <c r="C6143" s="6" t="str">
        <f ca="1">IF(OR($C$7="",$B6143&gt;NOW()),"",IF(INDEX(Data!$A:$G,MATCH($B6143,Data!$A:$A,0),MATCH($C$7,Data!$4:$4,0))="","",INDEX(Data!$A:$G,MATCH($B6143,Data!$A:$A,0),MATCH($C$7,Data!$4:$4,0))))</f>
        <v/>
      </c>
      <c r="D6143" s="148" t="str">
        <f t="shared" ca="1" si="196"/>
        <v/>
      </c>
      <c r="E6143" s="148" t="str">
        <f t="shared" ca="1" si="197"/>
        <v/>
      </c>
    </row>
    <row r="6144" spans="2:5" x14ac:dyDescent="0.25">
      <c r="B6144">
        <v>43738</v>
      </c>
      <c r="C6144" s="6" t="str">
        <f ca="1">IF(OR($C$7="",$B6144&gt;NOW()),"",IF(INDEX(Data!$A:$G,MATCH($B6144,Data!$A:$A,0),MATCH($C$7,Data!$4:$4,0))="","",INDEX(Data!$A:$G,MATCH($B6144,Data!$A:$A,0),MATCH($C$7,Data!$4:$4,0))))</f>
        <v/>
      </c>
      <c r="D6144" s="148" t="str">
        <f t="shared" ca="1" si="196"/>
        <v/>
      </c>
      <c r="E6144" s="148" t="str">
        <f t="shared" ca="1" si="197"/>
        <v/>
      </c>
    </row>
    <row r="6145" spans="2:5" x14ac:dyDescent="0.25">
      <c r="B6145">
        <v>43739</v>
      </c>
      <c r="C6145" s="6" t="str">
        <f ca="1">IF(OR($C$7="",$B6145&gt;NOW()),"",IF(INDEX(Data!$A:$G,MATCH($B6145,Data!$A:$A,0),MATCH($C$7,Data!$4:$4,0))="","",INDEX(Data!$A:$G,MATCH($B6145,Data!$A:$A,0),MATCH($C$7,Data!$4:$4,0))))</f>
        <v/>
      </c>
      <c r="D6145" s="148" t="str">
        <f t="shared" ca="1" si="196"/>
        <v/>
      </c>
      <c r="E6145" s="148" t="str">
        <f t="shared" ca="1" si="197"/>
        <v/>
      </c>
    </row>
    <row r="6146" spans="2:5" x14ac:dyDescent="0.25">
      <c r="B6146">
        <v>43740</v>
      </c>
      <c r="C6146" s="6" t="str">
        <f ca="1">IF(OR($C$7="",$B6146&gt;NOW()),"",IF(INDEX(Data!$A:$G,MATCH($B6146,Data!$A:$A,0),MATCH($C$7,Data!$4:$4,0))="","",INDEX(Data!$A:$G,MATCH($B6146,Data!$A:$A,0),MATCH($C$7,Data!$4:$4,0))))</f>
        <v/>
      </c>
      <c r="D6146" s="148" t="str">
        <f t="shared" ca="1" si="196"/>
        <v/>
      </c>
      <c r="E6146" s="148" t="str">
        <f t="shared" ca="1" si="197"/>
        <v/>
      </c>
    </row>
    <row r="6147" spans="2:5" x14ac:dyDescent="0.25">
      <c r="B6147">
        <v>43741</v>
      </c>
      <c r="C6147" s="6" t="str">
        <f ca="1">IF(OR($C$7="",$B6147&gt;NOW()),"",IF(INDEX(Data!$A:$G,MATCH($B6147,Data!$A:$A,0),MATCH($C$7,Data!$4:$4,0))="","",INDEX(Data!$A:$G,MATCH($B6147,Data!$A:$A,0),MATCH($C$7,Data!$4:$4,0))))</f>
        <v/>
      </c>
      <c r="D6147" s="148" t="str">
        <f t="shared" ca="1" si="196"/>
        <v/>
      </c>
      <c r="E6147" s="148" t="str">
        <f t="shared" ca="1" si="197"/>
        <v/>
      </c>
    </row>
    <row r="6148" spans="2:5" x14ac:dyDescent="0.25">
      <c r="B6148">
        <v>43742</v>
      </c>
      <c r="C6148" s="6" t="str">
        <f ca="1">IF(OR($C$7="",$B6148&gt;NOW()),"",IF(INDEX(Data!$A:$G,MATCH($B6148,Data!$A:$A,0),MATCH($C$7,Data!$4:$4,0))="","",INDEX(Data!$A:$G,MATCH($B6148,Data!$A:$A,0),MATCH($C$7,Data!$4:$4,0))))</f>
        <v/>
      </c>
      <c r="D6148" s="148" t="str">
        <f t="shared" ca="1" si="196"/>
        <v/>
      </c>
      <c r="E6148" s="148" t="str">
        <f t="shared" ca="1" si="197"/>
        <v/>
      </c>
    </row>
    <row r="6149" spans="2:5" x14ac:dyDescent="0.25">
      <c r="B6149">
        <v>43743</v>
      </c>
      <c r="C6149" s="6" t="str">
        <f ca="1">IF(OR($C$7="",$B6149&gt;NOW()),"",IF(INDEX(Data!$A:$G,MATCH($B6149,Data!$A:$A,0),MATCH($C$7,Data!$4:$4,0))="","",INDEX(Data!$A:$G,MATCH($B6149,Data!$A:$A,0),MATCH($C$7,Data!$4:$4,0))))</f>
        <v/>
      </c>
      <c r="D6149" s="148" t="str">
        <f t="shared" ca="1" si="196"/>
        <v/>
      </c>
      <c r="E6149" s="148" t="str">
        <f t="shared" ca="1" si="197"/>
        <v/>
      </c>
    </row>
    <row r="6150" spans="2:5" x14ac:dyDescent="0.25">
      <c r="B6150">
        <v>43744</v>
      </c>
      <c r="C6150" s="6" t="str">
        <f ca="1">IF(OR($C$7="",$B6150&gt;NOW()),"",IF(INDEX(Data!$A:$G,MATCH($B6150,Data!$A:$A,0),MATCH($C$7,Data!$4:$4,0))="","",INDEX(Data!$A:$G,MATCH($B6150,Data!$A:$A,0),MATCH($C$7,Data!$4:$4,0))))</f>
        <v/>
      </c>
      <c r="D6150" s="148" t="str">
        <f t="shared" ca="1" si="196"/>
        <v/>
      </c>
      <c r="E6150" s="148" t="str">
        <f t="shared" ca="1" si="197"/>
        <v/>
      </c>
    </row>
    <row r="6151" spans="2:5" x14ac:dyDescent="0.25">
      <c r="B6151">
        <v>43745</v>
      </c>
      <c r="C6151" s="6" t="str">
        <f ca="1">IF(OR($C$7="",$B6151&gt;NOW()),"",IF(INDEX(Data!$A:$G,MATCH($B6151,Data!$A:$A,0),MATCH($C$7,Data!$4:$4,0))="","",INDEX(Data!$A:$G,MATCH($B6151,Data!$A:$A,0),MATCH($C$7,Data!$4:$4,0))))</f>
        <v/>
      </c>
      <c r="D6151" s="148" t="str">
        <f t="shared" ca="1" si="196"/>
        <v/>
      </c>
      <c r="E6151" s="148" t="str">
        <f t="shared" ca="1" si="197"/>
        <v/>
      </c>
    </row>
    <row r="6152" spans="2:5" x14ac:dyDescent="0.25">
      <c r="B6152">
        <v>43746</v>
      </c>
      <c r="C6152" s="6" t="str">
        <f ca="1">IF(OR($C$7="",$B6152&gt;NOW()),"",IF(INDEX(Data!$A:$G,MATCH($B6152,Data!$A:$A,0),MATCH($C$7,Data!$4:$4,0))="","",INDEX(Data!$A:$G,MATCH($B6152,Data!$A:$A,0),MATCH($C$7,Data!$4:$4,0))))</f>
        <v/>
      </c>
      <c r="D6152" s="148" t="str">
        <f t="shared" ca="1" si="196"/>
        <v/>
      </c>
      <c r="E6152" s="148" t="str">
        <f t="shared" ca="1" si="197"/>
        <v/>
      </c>
    </row>
    <row r="6153" spans="2:5" x14ac:dyDescent="0.25">
      <c r="B6153">
        <v>43747</v>
      </c>
      <c r="C6153" s="6" t="str">
        <f ca="1">IF(OR($C$7="",$B6153&gt;NOW()),"",IF(INDEX(Data!$A:$G,MATCH($B6153,Data!$A:$A,0),MATCH($C$7,Data!$4:$4,0))="","",INDEX(Data!$A:$G,MATCH($B6153,Data!$A:$A,0),MATCH($C$7,Data!$4:$4,0))))</f>
        <v/>
      </c>
      <c r="D6153" s="148" t="str">
        <f t="shared" ca="1" si="196"/>
        <v/>
      </c>
      <c r="E6153" s="148" t="str">
        <f t="shared" ca="1" si="197"/>
        <v/>
      </c>
    </row>
    <row r="6154" spans="2:5" x14ac:dyDescent="0.25">
      <c r="B6154">
        <v>43748</v>
      </c>
      <c r="C6154" s="6" t="str">
        <f ca="1">IF(OR($C$7="",$B6154&gt;NOW()),"",IF(INDEX(Data!$A:$G,MATCH($B6154,Data!$A:$A,0),MATCH($C$7,Data!$4:$4,0))="","",INDEX(Data!$A:$G,MATCH($B6154,Data!$A:$A,0),MATCH($C$7,Data!$4:$4,0))))</f>
        <v/>
      </c>
      <c r="D6154" s="148" t="str">
        <f t="shared" ca="1" si="196"/>
        <v/>
      </c>
      <c r="E6154" s="148" t="str">
        <f t="shared" ca="1" si="197"/>
        <v/>
      </c>
    </row>
    <row r="6155" spans="2:5" x14ac:dyDescent="0.25">
      <c r="B6155">
        <v>43749</v>
      </c>
      <c r="C6155" s="6" t="str">
        <f ca="1">IF(OR($C$7="",$B6155&gt;NOW()),"",IF(INDEX(Data!$A:$G,MATCH($B6155,Data!$A:$A,0),MATCH($C$7,Data!$4:$4,0))="","",INDEX(Data!$A:$G,MATCH($B6155,Data!$A:$A,0),MATCH($C$7,Data!$4:$4,0))))</f>
        <v/>
      </c>
      <c r="D6155" s="148" t="str">
        <f t="shared" ca="1" si="196"/>
        <v/>
      </c>
      <c r="E6155" s="148" t="str">
        <f t="shared" ca="1" si="197"/>
        <v/>
      </c>
    </row>
    <row r="6156" spans="2:5" x14ac:dyDescent="0.25">
      <c r="B6156">
        <v>43750</v>
      </c>
      <c r="C6156" s="6" t="str">
        <f ca="1">IF(OR($C$7="",$B6156&gt;NOW()),"",IF(INDEX(Data!$A:$G,MATCH($B6156,Data!$A:$A,0),MATCH($C$7,Data!$4:$4,0))="","",INDEX(Data!$A:$G,MATCH($B6156,Data!$A:$A,0),MATCH($C$7,Data!$4:$4,0))))</f>
        <v/>
      </c>
      <c r="D6156" s="148" t="str">
        <f t="shared" ca="1" si="196"/>
        <v/>
      </c>
      <c r="E6156" s="148" t="str">
        <f t="shared" ca="1" si="197"/>
        <v/>
      </c>
    </row>
    <row r="6157" spans="2:5" x14ac:dyDescent="0.25">
      <c r="B6157">
        <v>43751</v>
      </c>
      <c r="C6157" s="6" t="str">
        <f ca="1">IF(OR($C$7="",$B6157&gt;NOW()),"",IF(INDEX(Data!$A:$G,MATCH($B6157,Data!$A:$A,0),MATCH($C$7,Data!$4:$4,0))="","",INDEX(Data!$A:$G,MATCH($B6157,Data!$A:$A,0),MATCH($C$7,Data!$4:$4,0))))</f>
        <v/>
      </c>
      <c r="D6157" s="148" t="str">
        <f t="shared" ca="1" si="196"/>
        <v/>
      </c>
      <c r="E6157" s="148" t="str">
        <f t="shared" ca="1" si="197"/>
        <v/>
      </c>
    </row>
    <row r="6158" spans="2:5" x14ac:dyDescent="0.25">
      <c r="B6158">
        <v>43752</v>
      </c>
      <c r="C6158" s="6" t="str">
        <f ca="1">IF(OR($C$7="",$B6158&gt;NOW()),"",IF(INDEX(Data!$A:$G,MATCH($B6158,Data!$A:$A,0),MATCH($C$7,Data!$4:$4,0))="","",INDEX(Data!$A:$G,MATCH($B6158,Data!$A:$A,0),MATCH($C$7,Data!$4:$4,0))))</f>
        <v/>
      </c>
      <c r="D6158" s="148" t="str">
        <f t="shared" ca="1" si="196"/>
        <v/>
      </c>
      <c r="E6158" s="148" t="str">
        <f t="shared" ca="1" si="197"/>
        <v/>
      </c>
    </row>
    <row r="6159" spans="2:5" x14ac:dyDescent="0.25">
      <c r="B6159">
        <v>43753</v>
      </c>
      <c r="C6159" s="6" t="str">
        <f ca="1">IF(OR($C$7="",$B6159&gt;NOW()),"",IF(INDEX(Data!$A:$G,MATCH($B6159,Data!$A:$A,0),MATCH($C$7,Data!$4:$4,0))="","",INDEX(Data!$A:$G,MATCH($B6159,Data!$A:$A,0),MATCH($C$7,Data!$4:$4,0))))</f>
        <v/>
      </c>
      <c r="D6159" s="148" t="str">
        <f t="shared" ca="1" si="196"/>
        <v/>
      </c>
      <c r="E6159" s="148" t="str">
        <f t="shared" ca="1" si="197"/>
        <v/>
      </c>
    </row>
    <row r="6160" spans="2:5" x14ac:dyDescent="0.25">
      <c r="B6160">
        <v>43754</v>
      </c>
      <c r="C6160" s="6" t="str">
        <f ca="1">IF(OR($C$7="",$B6160&gt;NOW()),"",IF(INDEX(Data!$A:$G,MATCH($B6160,Data!$A:$A,0),MATCH($C$7,Data!$4:$4,0))="","",INDEX(Data!$A:$G,MATCH($B6160,Data!$A:$A,0),MATCH($C$7,Data!$4:$4,0))))</f>
        <v/>
      </c>
      <c r="D6160" s="148" t="str">
        <f t="shared" ca="1" si="196"/>
        <v/>
      </c>
      <c r="E6160" s="148" t="str">
        <f t="shared" ca="1" si="197"/>
        <v/>
      </c>
    </row>
    <row r="6161" spans="2:5" x14ac:dyDescent="0.25">
      <c r="B6161">
        <v>43755</v>
      </c>
      <c r="C6161" s="6" t="str">
        <f ca="1">IF(OR($C$7="",$B6161&gt;NOW()),"",IF(INDEX(Data!$A:$G,MATCH($B6161,Data!$A:$A,0),MATCH($C$7,Data!$4:$4,0))="","",INDEX(Data!$A:$G,MATCH($B6161,Data!$A:$A,0),MATCH($C$7,Data!$4:$4,0))))</f>
        <v/>
      </c>
      <c r="D6161" s="148" t="str">
        <f t="shared" ca="1" si="196"/>
        <v/>
      </c>
      <c r="E6161" s="148" t="str">
        <f t="shared" ca="1" si="197"/>
        <v/>
      </c>
    </row>
    <row r="6162" spans="2:5" x14ac:dyDescent="0.25">
      <c r="B6162">
        <v>43756</v>
      </c>
      <c r="C6162" s="6" t="str">
        <f ca="1">IF(OR($C$7="",$B6162&gt;NOW()),"",IF(INDEX(Data!$A:$G,MATCH($B6162,Data!$A:$A,0),MATCH($C$7,Data!$4:$4,0))="","",INDEX(Data!$A:$G,MATCH($B6162,Data!$A:$A,0),MATCH($C$7,Data!$4:$4,0))))</f>
        <v/>
      </c>
      <c r="D6162" s="148" t="str">
        <f t="shared" ca="1" si="196"/>
        <v/>
      </c>
      <c r="E6162" s="148" t="str">
        <f t="shared" ca="1" si="197"/>
        <v/>
      </c>
    </row>
    <row r="6163" spans="2:5" x14ac:dyDescent="0.25">
      <c r="B6163">
        <v>43757</v>
      </c>
      <c r="C6163" s="6" t="str">
        <f ca="1">IF(OR($C$7="",$B6163&gt;NOW()),"",IF(INDEX(Data!$A:$G,MATCH($B6163,Data!$A:$A,0),MATCH($C$7,Data!$4:$4,0))="","",INDEX(Data!$A:$G,MATCH($B6163,Data!$A:$A,0),MATCH($C$7,Data!$4:$4,0))))</f>
        <v/>
      </c>
      <c r="D6163" s="148" t="str">
        <f t="shared" ca="1" si="196"/>
        <v/>
      </c>
      <c r="E6163" s="148" t="str">
        <f t="shared" ca="1" si="197"/>
        <v/>
      </c>
    </row>
    <row r="6164" spans="2:5" x14ac:dyDescent="0.25">
      <c r="B6164">
        <v>43758</v>
      </c>
      <c r="C6164" s="6" t="str">
        <f ca="1">IF(OR($C$7="",$B6164&gt;NOW()),"",IF(INDEX(Data!$A:$G,MATCH($B6164,Data!$A:$A,0),MATCH($C$7,Data!$4:$4,0))="","",INDEX(Data!$A:$G,MATCH($B6164,Data!$A:$A,0),MATCH($C$7,Data!$4:$4,0))))</f>
        <v/>
      </c>
      <c r="D6164" s="148" t="str">
        <f t="shared" ca="1" si="196"/>
        <v/>
      </c>
      <c r="E6164" s="148" t="str">
        <f t="shared" ca="1" si="197"/>
        <v/>
      </c>
    </row>
    <row r="6165" spans="2:5" x14ac:dyDescent="0.25">
      <c r="B6165">
        <v>43759</v>
      </c>
      <c r="C6165" s="6" t="str">
        <f ca="1">IF(OR($C$7="",$B6165&gt;NOW()),"",IF(INDEX(Data!$A:$G,MATCH($B6165,Data!$A:$A,0),MATCH($C$7,Data!$4:$4,0))="","",INDEX(Data!$A:$G,MATCH($B6165,Data!$A:$A,0),MATCH($C$7,Data!$4:$4,0))))</f>
        <v/>
      </c>
      <c r="D6165" s="148" t="str">
        <f t="shared" ca="1" si="196"/>
        <v/>
      </c>
      <c r="E6165" s="148" t="str">
        <f t="shared" ca="1" si="197"/>
        <v/>
      </c>
    </row>
    <row r="6166" spans="2:5" x14ac:dyDescent="0.25">
      <c r="B6166">
        <v>43760</v>
      </c>
      <c r="C6166" s="6" t="str">
        <f ca="1">IF(OR($C$7="",$B6166&gt;NOW()),"",IF(INDEX(Data!$A:$G,MATCH($B6166,Data!$A:$A,0),MATCH($C$7,Data!$4:$4,0))="","",INDEX(Data!$A:$G,MATCH($B6166,Data!$A:$A,0),MATCH($C$7,Data!$4:$4,0))))</f>
        <v/>
      </c>
      <c r="D6166" s="148" t="str">
        <f t="shared" ca="1" si="196"/>
        <v/>
      </c>
      <c r="E6166" s="148" t="str">
        <f t="shared" ca="1" si="197"/>
        <v/>
      </c>
    </row>
    <row r="6167" spans="2:5" x14ac:dyDescent="0.25">
      <c r="B6167">
        <v>43761</v>
      </c>
      <c r="C6167" s="6" t="str">
        <f ca="1">IF(OR($C$7="",$B6167&gt;NOW()),"",IF(INDEX(Data!$A:$G,MATCH($B6167,Data!$A:$A,0),MATCH($C$7,Data!$4:$4,0))="","",INDEX(Data!$A:$G,MATCH($B6167,Data!$A:$A,0),MATCH($C$7,Data!$4:$4,0))))</f>
        <v/>
      </c>
      <c r="D6167" s="148" t="str">
        <f t="shared" ca="1" si="196"/>
        <v/>
      </c>
      <c r="E6167" s="148" t="str">
        <f t="shared" ca="1" si="197"/>
        <v/>
      </c>
    </row>
    <row r="6168" spans="2:5" x14ac:dyDescent="0.25">
      <c r="B6168">
        <v>43762</v>
      </c>
      <c r="C6168" s="6" t="str">
        <f ca="1">IF(OR($C$7="",$B6168&gt;NOW()),"",IF(INDEX(Data!$A:$G,MATCH($B6168,Data!$A:$A,0),MATCH($C$7,Data!$4:$4,0))="","",INDEX(Data!$A:$G,MATCH($B6168,Data!$A:$A,0),MATCH($C$7,Data!$4:$4,0))))</f>
        <v/>
      </c>
      <c r="D6168" s="148" t="str">
        <f t="shared" ca="1" si="196"/>
        <v/>
      </c>
      <c r="E6168" s="148" t="str">
        <f t="shared" ca="1" si="197"/>
        <v/>
      </c>
    </row>
    <row r="6169" spans="2:5" x14ac:dyDescent="0.25">
      <c r="B6169">
        <v>43763</v>
      </c>
      <c r="C6169" s="6" t="str">
        <f ca="1">IF(OR($C$7="",$B6169&gt;NOW()),"",IF(INDEX(Data!$A:$G,MATCH($B6169,Data!$A:$A,0),MATCH($C$7,Data!$4:$4,0))="","",INDEX(Data!$A:$G,MATCH($B6169,Data!$A:$A,0),MATCH($C$7,Data!$4:$4,0))))</f>
        <v/>
      </c>
      <c r="D6169" s="148" t="str">
        <f t="shared" ca="1" si="196"/>
        <v/>
      </c>
      <c r="E6169" s="148" t="str">
        <f t="shared" ca="1" si="197"/>
        <v/>
      </c>
    </row>
    <row r="6170" spans="2:5" x14ac:dyDescent="0.25">
      <c r="B6170">
        <v>43764</v>
      </c>
      <c r="C6170" s="6" t="str">
        <f ca="1">IF(OR($C$7="",$B6170&gt;NOW()),"",IF(INDEX(Data!$A:$G,MATCH($B6170,Data!$A:$A,0),MATCH($C$7,Data!$4:$4,0))="","",INDEX(Data!$A:$G,MATCH($B6170,Data!$A:$A,0),MATCH($C$7,Data!$4:$4,0))))</f>
        <v/>
      </c>
      <c r="D6170" s="148" t="str">
        <f t="shared" ca="1" si="196"/>
        <v/>
      </c>
      <c r="E6170" s="148" t="str">
        <f t="shared" ca="1" si="197"/>
        <v/>
      </c>
    </row>
    <row r="6171" spans="2:5" x14ac:dyDescent="0.25">
      <c r="B6171">
        <v>43765</v>
      </c>
      <c r="C6171" s="6" t="str">
        <f ca="1">IF(OR($C$7="",$B6171&gt;NOW()),"",IF(INDEX(Data!$A:$G,MATCH($B6171,Data!$A:$A,0),MATCH($C$7,Data!$4:$4,0))="","",INDEX(Data!$A:$G,MATCH($B6171,Data!$A:$A,0),MATCH($C$7,Data!$4:$4,0))))</f>
        <v/>
      </c>
      <c r="D6171" s="148" t="str">
        <f t="shared" ca="1" si="196"/>
        <v/>
      </c>
      <c r="E6171" s="148" t="str">
        <f t="shared" ca="1" si="197"/>
        <v/>
      </c>
    </row>
    <row r="6172" spans="2:5" x14ac:dyDescent="0.25">
      <c r="B6172">
        <v>43766</v>
      </c>
      <c r="C6172" s="6" t="str">
        <f ca="1">IF(OR($C$7="",$B6172&gt;NOW()),"",IF(INDEX(Data!$A:$G,MATCH($B6172,Data!$A:$A,0),MATCH($C$7,Data!$4:$4,0))="","",INDEX(Data!$A:$G,MATCH($B6172,Data!$A:$A,0),MATCH($C$7,Data!$4:$4,0))))</f>
        <v/>
      </c>
      <c r="D6172" s="148" t="str">
        <f t="shared" ca="1" si="196"/>
        <v/>
      </c>
      <c r="E6172" s="148" t="str">
        <f t="shared" ca="1" si="197"/>
        <v/>
      </c>
    </row>
    <row r="6173" spans="2:5" x14ac:dyDescent="0.25">
      <c r="B6173">
        <v>43767</v>
      </c>
      <c r="C6173" s="6" t="str">
        <f ca="1">IF(OR($C$7="",$B6173&gt;NOW()),"",IF(INDEX(Data!$A:$G,MATCH($B6173,Data!$A:$A,0),MATCH($C$7,Data!$4:$4,0))="","",INDEX(Data!$A:$G,MATCH($B6173,Data!$A:$A,0),MATCH($C$7,Data!$4:$4,0))))</f>
        <v/>
      </c>
      <c r="D6173" s="148" t="str">
        <f t="shared" ref="D6173:D6236" ca="1" si="198">IF($C6173="","",IF($C6173&gt;$D$26,0,$D$26-$C6173))</f>
        <v/>
      </c>
      <c r="E6173" s="148" t="str">
        <f t="shared" ref="E6173:E6236" ca="1" si="199">IF($C6173="","",IF($C6173&lt;$E$26,0,$C6173-$E$26))</f>
        <v/>
      </c>
    </row>
    <row r="6174" spans="2:5" x14ac:dyDescent="0.25">
      <c r="B6174">
        <v>43768</v>
      </c>
      <c r="C6174" s="6" t="str">
        <f ca="1">IF(OR($C$7="",$B6174&gt;NOW()),"",IF(INDEX(Data!$A:$G,MATCH($B6174,Data!$A:$A,0),MATCH($C$7,Data!$4:$4,0))="","",INDEX(Data!$A:$G,MATCH($B6174,Data!$A:$A,0),MATCH($C$7,Data!$4:$4,0))))</f>
        <v/>
      </c>
      <c r="D6174" s="148" t="str">
        <f t="shared" ca="1" si="198"/>
        <v/>
      </c>
      <c r="E6174" s="148" t="str">
        <f t="shared" ca="1" si="199"/>
        <v/>
      </c>
    </row>
    <row r="6175" spans="2:5" x14ac:dyDescent="0.25">
      <c r="B6175">
        <v>43769</v>
      </c>
      <c r="C6175" s="6" t="str">
        <f ca="1">IF(OR($C$7="",$B6175&gt;NOW()),"",IF(INDEX(Data!$A:$G,MATCH($B6175,Data!$A:$A,0),MATCH($C$7,Data!$4:$4,0))="","",INDEX(Data!$A:$G,MATCH($B6175,Data!$A:$A,0),MATCH($C$7,Data!$4:$4,0))))</f>
        <v/>
      </c>
      <c r="D6175" s="148" t="str">
        <f t="shared" ca="1" si="198"/>
        <v/>
      </c>
      <c r="E6175" s="148" t="str">
        <f t="shared" ca="1" si="199"/>
        <v/>
      </c>
    </row>
    <row r="6176" spans="2:5" x14ac:dyDescent="0.25">
      <c r="B6176">
        <v>43770</v>
      </c>
      <c r="C6176" s="6" t="str">
        <f ca="1">IF(OR($C$7="",$B6176&gt;NOW()),"",IF(INDEX(Data!$A:$G,MATCH($B6176,Data!$A:$A,0),MATCH($C$7,Data!$4:$4,0))="","",INDEX(Data!$A:$G,MATCH($B6176,Data!$A:$A,0),MATCH($C$7,Data!$4:$4,0))))</f>
        <v/>
      </c>
      <c r="D6176" s="148" t="str">
        <f t="shared" ca="1" si="198"/>
        <v/>
      </c>
      <c r="E6176" s="148" t="str">
        <f t="shared" ca="1" si="199"/>
        <v/>
      </c>
    </row>
    <row r="6177" spans="2:5" x14ac:dyDescent="0.25">
      <c r="B6177">
        <v>43771</v>
      </c>
      <c r="C6177" s="6" t="str">
        <f ca="1">IF(OR($C$7="",$B6177&gt;NOW()),"",IF(INDEX(Data!$A:$G,MATCH($B6177,Data!$A:$A,0),MATCH($C$7,Data!$4:$4,0))="","",INDEX(Data!$A:$G,MATCH($B6177,Data!$A:$A,0),MATCH($C$7,Data!$4:$4,0))))</f>
        <v/>
      </c>
      <c r="D6177" s="148" t="str">
        <f t="shared" ca="1" si="198"/>
        <v/>
      </c>
      <c r="E6177" s="148" t="str">
        <f t="shared" ca="1" si="199"/>
        <v/>
      </c>
    </row>
    <row r="6178" spans="2:5" x14ac:dyDescent="0.25">
      <c r="B6178">
        <v>43772</v>
      </c>
      <c r="C6178" s="6" t="str">
        <f ca="1">IF(OR($C$7="",$B6178&gt;NOW()),"",IF(INDEX(Data!$A:$G,MATCH($B6178,Data!$A:$A,0),MATCH($C$7,Data!$4:$4,0))="","",INDEX(Data!$A:$G,MATCH($B6178,Data!$A:$A,0),MATCH($C$7,Data!$4:$4,0))))</f>
        <v/>
      </c>
      <c r="D6178" s="148" t="str">
        <f t="shared" ca="1" si="198"/>
        <v/>
      </c>
      <c r="E6178" s="148" t="str">
        <f t="shared" ca="1" si="199"/>
        <v/>
      </c>
    </row>
    <row r="6179" spans="2:5" x14ac:dyDescent="0.25">
      <c r="B6179">
        <v>43773</v>
      </c>
      <c r="C6179" s="6" t="str">
        <f ca="1">IF(OR($C$7="",$B6179&gt;NOW()),"",IF(INDEX(Data!$A:$G,MATCH($B6179,Data!$A:$A,0),MATCH($C$7,Data!$4:$4,0))="","",INDEX(Data!$A:$G,MATCH($B6179,Data!$A:$A,0),MATCH($C$7,Data!$4:$4,0))))</f>
        <v/>
      </c>
      <c r="D6179" s="148" t="str">
        <f t="shared" ca="1" si="198"/>
        <v/>
      </c>
      <c r="E6179" s="148" t="str">
        <f t="shared" ca="1" si="199"/>
        <v/>
      </c>
    </row>
    <row r="6180" spans="2:5" x14ac:dyDescent="0.25">
      <c r="B6180">
        <v>43774</v>
      </c>
      <c r="C6180" s="6" t="str">
        <f ca="1">IF(OR($C$7="",$B6180&gt;NOW()),"",IF(INDEX(Data!$A:$G,MATCH($B6180,Data!$A:$A,0),MATCH($C$7,Data!$4:$4,0))="","",INDEX(Data!$A:$G,MATCH($B6180,Data!$A:$A,0),MATCH($C$7,Data!$4:$4,0))))</f>
        <v/>
      </c>
      <c r="D6180" s="148" t="str">
        <f t="shared" ca="1" si="198"/>
        <v/>
      </c>
      <c r="E6180" s="148" t="str">
        <f t="shared" ca="1" si="199"/>
        <v/>
      </c>
    </row>
    <row r="6181" spans="2:5" x14ac:dyDescent="0.25">
      <c r="B6181">
        <v>43775</v>
      </c>
      <c r="C6181" s="6" t="str">
        <f ca="1">IF(OR($C$7="",$B6181&gt;NOW()),"",IF(INDEX(Data!$A:$G,MATCH($B6181,Data!$A:$A,0),MATCH($C$7,Data!$4:$4,0))="","",INDEX(Data!$A:$G,MATCH($B6181,Data!$A:$A,0),MATCH($C$7,Data!$4:$4,0))))</f>
        <v/>
      </c>
      <c r="D6181" s="148" t="str">
        <f t="shared" ca="1" si="198"/>
        <v/>
      </c>
      <c r="E6181" s="148" t="str">
        <f t="shared" ca="1" si="199"/>
        <v/>
      </c>
    </row>
    <row r="6182" spans="2:5" x14ac:dyDescent="0.25">
      <c r="B6182">
        <v>43776</v>
      </c>
      <c r="C6182" s="6" t="str">
        <f ca="1">IF(OR($C$7="",$B6182&gt;NOW()),"",IF(INDEX(Data!$A:$G,MATCH($B6182,Data!$A:$A,0),MATCH($C$7,Data!$4:$4,0))="","",INDEX(Data!$A:$G,MATCH($B6182,Data!$A:$A,0),MATCH($C$7,Data!$4:$4,0))))</f>
        <v/>
      </c>
      <c r="D6182" s="148" t="str">
        <f t="shared" ca="1" si="198"/>
        <v/>
      </c>
      <c r="E6182" s="148" t="str">
        <f t="shared" ca="1" si="199"/>
        <v/>
      </c>
    </row>
    <row r="6183" spans="2:5" x14ac:dyDescent="0.25">
      <c r="B6183">
        <v>43777</v>
      </c>
      <c r="C6183" s="6" t="str">
        <f ca="1">IF(OR($C$7="",$B6183&gt;NOW()),"",IF(INDEX(Data!$A:$G,MATCH($B6183,Data!$A:$A,0),MATCH($C$7,Data!$4:$4,0))="","",INDEX(Data!$A:$G,MATCH($B6183,Data!$A:$A,0),MATCH($C$7,Data!$4:$4,0))))</f>
        <v/>
      </c>
      <c r="D6183" s="148" t="str">
        <f t="shared" ca="1" si="198"/>
        <v/>
      </c>
      <c r="E6183" s="148" t="str">
        <f t="shared" ca="1" si="199"/>
        <v/>
      </c>
    </row>
    <row r="6184" spans="2:5" x14ac:dyDescent="0.25">
      <c r="B6184">
        <v>43778</v>
      </c>
      <c r="C6184" s="6" t="str">
        <f ca="1">IF(OR($C$7="",$B6184&gt;NOW()),"",IF(INDEX(Data!$A:$G,MATCH($B6184,Data!$A:$A,0),MATCH($C$7,Data!$4:$4,0))="","",INDEX(Data!$A:$G,MATCH($B6184,Data!$A:$A,0),MATCH($C$7,Data!$4:$4,0))))</f>
        <v/>
      </c>
      <c r="D6184" s="148" t="str">
        <f t="shared" ca="1" si="198"/>
        <v/>
      </c>
      <c r="E6184" s="148" t="str">
        <f t="shared" ca="1" si="199"/>
        <v/>
      </c>
    </row>
    <row r="6185" spans="2:5" x14ac:dyDescent="0.25">
      <c r="B6185">
        <v>43779</v>
      </c>
      <c r="C6185" s="6" t="str">
        <f ca="1">IF(OR($C$7="",$B6185&gt;NOW()),"",IF(INDEX(Data!$A:$G,MATCH($B6185,Data!$A:$A,0),MATCH($C$7,Data!$4:$4,0))="","",INDEX(Data!$A:$G,MATCH($B6185,Data!$A:$A,0),MATCH($C$7,Data!$4:$4,0))))</f>
        <v/>
      </c>
      <c r="D6185" s="148" t="str">
        <f t="shared" ca="1" si="198"/>
        <v/>
      </c>
      <c r="E6185" s="148" t="str">
        <f t="shared" ca="1" si="199"/>
        <v/>
      </c>
    </row>
    <row r="6186" spans="2:5" x14ac:dyDescent="0.25">
      <c r="B6186">
        <v>43780</v>
      </c>
      <c r="C6186" s="6" t="str">
        <f ca="1">IF(OR($C$7="",$B6186&gt;NOW()),"",IF(INDEX(Data!$A:$G,MATCH($B6186,Data!$A:$A,0),MATCH($C$7,Data!$4:$4,0))="","",INDEX(Data!$A:$G,MATCH($B6186,Data!$A:$A,0),MATCH($C$7,Data!$4:$4,0))))</f>
        <v/>
      </c>
      <c r="D6186" s="148" t="str">
        <f t="shared" ca="1" si="198"/>
        <v/>
      </c>
      <c r="E6186" s="148" t="str">
        <f t="shared" ca="1" si="199"/>
        <v/>
      </c>
    </row>
    <row r="6187" spans="2:5" x14ac:dyDescent="0.25">
      <c r="B6187">
        <v>43781</v>
      </c>
      <c r="C6187" s="6" t="str">
        <f ca="1">IF(OR($C$7="",$B6187&gt;NOW()),"",IF(INDEX(Data!$A:$G,MATCH($B6187,Data!$A:$A,0),MATCH($C$7,Data!$4:$4,0))="","",INDEX(Data!$A:$G,MATCH($B6187,Data!$A:$A,0),MATCH($C$7,Data!$4:$4,0))))</f>
        <v/>
      </c>
      <c r="D6187" s="148" t="str">
        <f t="shared" ca="1" si="198"/>
        <v/>
      </c>
      <c r="E6187" s="148" t="str">
        <f t="shared" ca="1" si="199"/>
        <v/>
      </c>
    </row>
    <row r="6188" spans="2:5" x14ac:dyDescent="0.25">
      <c r="B6188">
        <v>43782</v>
      </c>
      <c r="C6188" s="6" t="str">
        <f ca="1">IF(OR($C$7="",$B6188&gt;NOW()),"",IF(INDEX(Data!$A:$G,MATCH($B6188,Data!$A:$A,0),MATCH($C$7,Data!$4:$4,0))="","",INDEX(Data!$A:$G,MATCH($B6188,Data!$A:$A,0),MATCH($C$7,Data!$4:$4,0))))</f>
        <v/>
      </c>
      <c r="D6188" s="148" t="str">
        <f t="shared" ca="1" si="198"/>
        <v/>
      </c>
      <c r="E6188" s="148" t="str">
        <f t="shared" ca="1" si="199"/>
        <v/>
      </c>
    </row>
    <row r="6189" spans="2:5" x14ac:dyDescent="0.25">
      <c r="B6189">
        <v>43783</v>
      </c>
      <c r="C6189" s="6" t="str">
        <f ca="1">IF(OR($C$7="",$B6189&gt;NOW()),"",IF(INDEX(Data!$A:$G,MATCH($B6189,Data!$A:$A,0),MATCH($C$7,Data!$4:$4,0))="","",INDEX(Data!$A:$G,MATCH($B6189,Data!$A:$A,0),MATCH($C$7,Data!$4:$4,0))))</f>
        <v/>
      </c>
      <c r="D6189" s="148" t="str">
        <f t="shared" ca="1" si="198"/>
        <v/>
      </c>
      <c r="E6189" s="148" t="str">
        <f t="shared" ca="1" si="199"/>
        <v/>
      </c>
    </row>
    <row r="6190" spans="2:5" x14ac:dyDescent="0.25">
      <c r="B6190">
        <v>43784</v>
      </c>
      <c r="C6190" s="6" t="str">
        <f ca="1">IF(OR($C$7="",$B6190&gt;NOW()),"",IF(INDEX(Data!$A:$G,MATCH($B6190,Data!$A:$A,0),MATCH($C$7,Data!$4:$4,0))="","",INDEX(Data!$A:$G,MATCH($B6190,Data!$A:$A,0),MATCH($C$7,Data!$4:$4,0))))</f>
        <v/>
      </c>
      <c r="D6190" s="148" t="str">
        <f t="shared" ca="1" si="198"/>
        <v/>
      </c>
      <c r="E6190" s="148" t="str">
        <f t="shared" ca="1" si="199"/>
        <v/>
      </c>
    </row>
    <row r="6191" spans="2:5" x14ac:dyDescent="0.25">
      <c r="B6191">
        <v>43785</v>
      </c>
      <c r="C6191" s="6" t="str">
        <f ca="1">IF(OR($C$7="",$B6191&gt;NOW()),"",IF(INDEX(Data!$A:$G,MATCH($B6191,Data!$A:$A,0),MATCH($C$7,Data!$4:$4,0))="","",INDEX(Data!$A:$G,MATCH($B6191,Data!$A:$A,0),MATCH($C$7,Data!$4:$4,0))))</f>
        <v/>
      </c>
      <c r="D6191" s="148" t="str">
        <f t="shared" ca="1" si="198"/>
        <v/>
      </c>
      <c r="E6191" s="148" t="str">
        <f t="shared" ca="1" si="199"/>
        <v/>
      </c>
    </row>
    <row r="6192" spans="2:5" x14ac:dyDescent="0.25">
      <c r="B6192">
        <v>43786</v>
      </c>
      <c r="C6192" s="6" t="str">
        <f ca="1">IF(OR($C$7="",$B6192&gt;NOW()),"",IF(INDEX(Data!$A:$G,MATCH($B6192,Data!$A:$A,0),MATCH($C$7,Data!$4:$4,0))="","",INDEX(Data!$A:$G,MATCH($B6192,Data!$A:$A,0),MATCH($C$7,Data!$4:$4,0))))</f>
        <v/>
      </c>
      <c r="D6192" s="148" t="str">
        <f t="shared" ca="1" si="198"/>
        <v/>
      </c>
      <c r="E6192" s="148" t="str">
        <f t="shared" ca="1" si="199"/>
        <v/>
      </c>
    </row>
    <row r="6193" spans="2:5" x14ac:dyDescent="0.25">
      <c r="B6193">
        <v>43787</v>
      </c>
      <c r="C6193" s="6" t="str">
        <f ca="1">IF(OR($C$7="",$B6193&gt;NOW()),"",IF(INDEX(Data!$A:$G,MATCH($B6193,Data!$A:$A,0),MATCH($C$7,Data!$4:$4,0))="","",INDEX(Data!$A:$G,MATCH($B6193,Data!$A:$A,0),MATCH($C$7,Data!$4:$4,0))))</f>
        <v/>
      </c>
      <c r="D6193" s="148" t="str">
        <f t="shared" ca="1" si="198"/>
        <v/>
      </c>
      <c r="E6193" s="148" t="str">
        <f t="shared" ca="1" si="199"/>
        <v/>
      </c>
    </row>
    <row r="6194" spans="2:5" x14ac:dyDescent="0.25">
      <c r="B6194">
        <v>43788</v>
      </c>
      <c r="C6194" s="6" t="str">
        <f ca="1">IF(OR($C$7="",$B6194&gt;NOW()),"",IF(INDEX(Data!$A:$G,MATCH($B6194,Data!$A:$A,0),MATCH($C$7,Data!$4:$4,0))="","",INDEX(Data!$A:$G,MATCH($B6194,Data!$A:$A,0),MATCH($C$7,Data!$4:$4,0))))</f>
        <v/>
      </c>
      <c r="D6194" s="148" t="str">
        <f t="shared" ca="1" si="198"/>
        <v/>
      </c>
      <c r="E6194" s="148" t="str">
        <f t="shared" ca="1" si="199"/>
        <v/>
      </c>
    </row>
    <row r="6195" spans="2:5" x14ac:dyDescent="0.25">
      <c r="B6195">
        <v>43789</v>
      </c>
      <c r="C6195" s="6" t="str">
        <f ca="1">IF(OR($C$7="",$B6195&gt;NOW()),"",IF(INDEX(Data!$A:$G,MATCH($B6195,Data!$A:$A,0),MATCH($C$7,Data!$4:$4,0))="","",INDEX(Data!$A:$G,MATCH($B6195,Data!$A:$A,0),MATCH($C$7,Data!$4:$4,0))))</f>
        <v/>
      </c>
      <c r="D6195" s="148" t="str">
        <f t="shared" ca="1" si="198"/>
        <v/>
      </c>
      <c r="E6195" s="148" t="str">
        <f t="shared" ca="1" si="199"/>
        <v/>
      </c>
    </row>
    <row r="6196" spans="2:5" x14ac:dyDescent="0.25">
      <c r="B6196">
        <v>43790</v>
      </c>
      <c r="C6196" s="6" t="str">
        <f ca="1">IF(OR($C$7="",$B6196&gt;NOW()),"",IF(INDEX(Data!$A:$G,MATCH($B6196,Data!$A:$A,0),MATCH($C$7,Data!$4:$4,0))="","",INDEX(Data!$A:$G,MATCH($B6196,Data!$A:$A,0),MATCH($C$7,Data!$4:$4,0))))</f>
        <v/>
      </c>
      <c r="D6196" s="148" t="str">
        <f t="shared" ca="1" si="198"/>
        <v/>
      </c>
      <c r="E6196" s="148" t="str">
        <f t="shared" ca="1" si="199"/>
        <v/>
      </c>
    </row>
    <row r="6197" spans="2:5" x14ac:dyDescent="0.25">
      <c r="B6197">
        <v>43791</v>
      </c>
      <c r="C6197" s="6" t="str">
        <f ca="1">IF(OR($C$7="",$B6197&gt;NOW()),"",IF(INDEX(Data!$A:$G,MATCH($B6197,Data!$A:$A,0),MATCH($C$7,Data!$4:$4,0))="","",INDEX(Data!$A:$G,MATCH($B6197,Data!$A:$A,0),MATCH($C$7,Data!$4:$4,0))))</f>
        <v/>
      </c>
      <c r="D6197" s="148" t="str">
        <f t="shared" ca="1" si="198"/>
        <v/>
      </c>
      <c r="E6197" s="148" t="str">
        <f t="shared" ca="1" si="199"/>
        <v/>
      </c>
    </row>
    <row r="6198" spans="2:5" x14ac:dyDescent="0.25">
      <c r="B6198">
        <v>43792</v>
      </c>
      <c r="C6198" s="6" t="str">
        <f ca="1">IF(OR($C$7="",$B6198&gt;NOW()),"",IF(INDEX(Data!$A:$G,MATCH($B6198,Data!$A:$A,0),MATCH($C$7,Data!$4:$4,0))="","",INDEX(Data!$A:$G,MATCH($B6198,Data!$A:$A,0),MATCH($C$7,Data!$4:$4,0))))</f>
        <v/>
      </c>
      <c r="D6198" s="148" t="str">
        <f t="shared" ca="1" si="198"/>
        <v/>
      </c>
      <c r="E6198" s="148" t="str">
        <f t="shared" ca="1" si="199"/>
        <v/>
      </c>
    </row>
    <row r="6199" spans="2:5" x14ac:dyDescent="0.25">
      <c r="B6199">
        <v>43793</v>
      </c>
      <c r="C6199" s="6" t="str">
        <f ca="1">IF(OR($C$7="",$B6199&gt;NOW()),"",IF(INDEX(Data!$A:$G,MATCH($B6199,Data!$A:$A,0),MATCH($C$7,Data!$4:$4,0))="","",INDEX(Data!$A:$G,MATCH($B6199,Data!$A:$A,0),MATCH($C$7,Data!$4:$4,0))))</f>
        <v/>
      </c>
      <c r="D6199" s="148" t="str">
        <f t="shared" ca="1" si="198"/>
        <v/>
      </c>
      <c r="E6199" s="148" t="str">
        <f t="shared" ca="1" si="199"/>
        <v/>
      </c>
    </row>
    <row r="6200" spans="2:5" x14ac:dyDescent="0.25">
      <c r="B6200">
        <v>43794</v>
      </c>
      <c r="C6200" s="6" t="str">
        <f ca="1">IF(OR($C$7="",$B6200&gt;NOW()),"",IF(INDEX(Data!$A:$G,MATCH($B6200,Data!$A:$A,0),MATCH($C$7,Data!$4:$4,0))="","",INDEX(Data!$A:$G,MATCH($B6200,Data!$A:$A,0),MATCH($C$7,Data!$4:$4,0))))</f>
        <v/>
      </c>
      <c r="D6200" s="148" t="str">
        <f t="shared" ca="1" si="198"/>
        <v/>
      </c>
      <c r="E6200" s="148" t="str">
        <f t="shared" ca="1" si="199"/>
        <v/>
      </c>
    </row>
    <row r="6201" spans="2:5" x14ac:dyDescent="0.25">
      <c r="B6201">
        <v>43795</v>
      </c>
      <c r="C6201" s="6" t="str">
        <f ca="1">IF(OR($C$7="",$B6201&gt;NOW()),"",IF(INDEX(Data!$A:$G,MATCH($B6201,Data!$A:$A,0),MATCH($C$7,Data!$4:$4,0))="","",INDEX(Data!$A:$G,MATCH($B6201,Data!$A:$A,0),MATCH($C$7,Data!$4:$4,0))))</f>
        <v/>
      </c>
      <c r="D6201" s="148" t="str">
        <f t="shared" ca="1" si="198"/>
        <v/>
      </c>
      <c r="E6201" s="148" t="str">
        <f t="shared" ca="1" si="199"/>
        <v/>
      </c>
    </row>
    <row r="6202" spans="2:5" x14ac:dyDescent="0.25">
      <c r="B6202">
        <v>43796</v>
      </c>
      <c r="C6202" s="6" t="str">
        <f ca="1">IF(OR($C$7="",$B6202&gt;NOW()),"",IF(INDEX(Data!$A:$G,MATCH($B6202,Data!$A:$A,0),MATCH($C$7,Data!$4:$4,0))="","",INDEX(Data!$A:$G,MATCH($B6202,Data!$A:$A,0),MATCH($C$7,Data!$4:$4,0))))</f>
        <v/>
      </c>
      <c r="D6202" s="148" t="str">
        <f t="shared" ca="1" si="198"/>
        <v/>
      </c>
      <c r="E6202" s="148" t="str">
        <f t="shared" ca="1" si="199"/>
        <v/>
      </c>
    </row>
    <row r="6203" spans="2:5" x14ac:dyDescent="0.25">
      <c r="B6203">
        <v>43797</v>
      </c>
      <c r="C6203" s="6" t="str">
        <f ca="1">IF(OR($C$7="",$B6203&gt;NOW()),"",IF(INDEX(Data!$A:$G,MATCH($B6203,Data!$A:$A,0),MATCH($C$7,Data!$4:$4,0))="","",INDEX(Data!$A:$G,MATCH($B6203,Data!$A:$A,0),MATCH($C$7,Data!$4:$4,0))))</f>
        <v/>
      </c>
      <c r="D6203" s="148" t="str">
        <f t="shared" ca="1" si="198"/>
        <v/>
      </c>
      <c r="E6203" s="148" t="str">
        <f t="shared" ca="1" si="199"/>
        <v/>
      </c>
    </row>
    <row r="6204" spans="2:5" x14ac:dyDescent="0.25">
      <c r="B6204">
        <v>43798</v>
      </c>
      <c r="C6204" s="6" t="str">
        <f ca="1">IF(OR($C$7="",$B6204&gt;NOW()),"",IF(INDEX(Data!$A:$G,MATCH($B6204,Data!$A:$A,0),MATCH($C$7,Data!$4:$4,0))="","",INDEX(Data!$A:$G,MATCH($B6204,Data!$A:$A,0),MATCH($C$7,Data!$4:$4,0))))</f>
        <v/>
      </c>
      <c r="D6204" s="148" t="str">
        <f t="shared" ca="1" si="198"/>
        <v/>
      </c>
      <c r="E6204" s="148" t="str">
        <f t="shared" ca="1" si="199"/>
        <v/>
      </c>
    </row>
    <row r="6205" spans="2:5" x14ac:dyDescent="0.25">
      <c r="B6205">
        <v>43799</v>
      </c>
      <c r="C6205" s="6" t="str">
        <f ca="1">IF(OR($C$7="",$B6205&gt;NOW()),"",IF(INDEX(Data!$A:$G,MATCH($B6205,Data!$A:$A,0),MATCH($C$7,Data!$4:$4,0))="","",INDEX(Data!$A:$G,MATCH($B6205,Data!$A:$A,0),MATCH($C$7,Data!$4:$4,0))))</f>
        <v/>
      </c>
      <c r="D6205" s="148" t="str">
        <f t="shared" ca="1" si="198"/>
        <v/>
      </c>
      <c r="E6205" s="148" t="str">
        <f t="shared" ca="1" si="199"/>
        <v/>
      </c>
    </row>
    <row r="6206" spans="2:5" x14ac:dyDescent="0.25">
      <c r="B6206">
        <v>43800</v>
      </c>
      <c r="C6206" s="6" t="str">
        <f ca="1">IF(OR($C$7="",$B6206&gt;NOW()),"",IF(INDEX(Data!$A:$G,MATCH($B6206,Data!$A:$A,0),MATCH($C$7,Data!$4:$4,0))="","",INDEX(Data!$A:$G,MATCH($B6206,Data!$A:$A,0),MATCH($C$7,Data!$4:$4,0))))</f>
        <v/>
      </c>
      <c r="D6206" s="148" t="str">
        <f t="shared" ca="1" si="198"/>
        <v/>
      </c>
      <c r="E6206" s="148" t="str">
        <f t="shared" ca="1" si="199"/>
        <v/>
      </c>
    </row>
    <row r="6207" spans="2:5" x14ac:dyDescent="0.25">
      <c r="B6207">
        <v>43801</v>
      </c>
      <c r="C6207" s="6" t="str">
        <f ca="1">IF(OR($C$7="",$B6207&gt;NOW()),"",IF(INDEX(Data!$A:$G,MATCH($B6207,Data!$A:$A,0),MATCH($C$7,Data!$4:$4,0))="","",INDEX(Data!$A:$G,MATCH($B6207,Data!$A:$A,0),MATCH($C$7,Data!$4:$4,0))))</f>
        <v/>
      </c>
      <c r="D6207" s="148" t="str">
        <f t="shared" ca="1" si="198"/>
        <v/>
      </c>
      <c r="E6207" s="148" t="str">
        <f t="shared" ca="1" si="199"/>
        <v/>
      </c>
    </row>
    <row r="6208" spans="2:5" x14ac:dyDescent="0.25">
      <c r="B6208">
        <v>43802</v>
      </c>
      <c r="C6208" s="6" t="str">
        <f ca="1">IF(OR($C$7="",$B6208&gt;NOW()),"",IF(INDEX(Data!$A:$G,MATCH($B6208,Data!$A:$A,0),MATCH($C$7,Data!$4:$4,0))="","",INDEX(Data!$A:$G,MATCH($B6208,Data!$A:$A,0),MATCH($C$7,Data!$4:$4,0))))</f>
        <v/>
      </c>
      <c r="D6208" s="148" t="str">
        <f t="shared" ca="1" si="198"/>
        <v/>
      </c>
      <c r="E6208" s="148" t="str">
        <f t="shared" ca="1" si="199"/>
        <v/>
      </c>
    </row>
    <row r="6209" spans="2:5" x14ac:dyDescent="0.25">
      <c r="B6209">
        <v>43803</v>
      </c>
      <c r="C6209" s="6" t="str">
        <f ca="1">IF(OR($C$7="",$B6209&gt;NOW()),"",IF(INDEX(Data!$A:$G,MATCH($B6209,Data!$A:$A,0),MATCH($C$7,Data!$4:$4,0))="","",INDEX(Data!$A:$G,MATCH($B6209,Data!$A:$A,0),MATCH($C$7,Data!$4:$4,0))))</f>
        <v/>
      </c>
      <c r="D6209" s="148" t="str">
        <f t="shared" ca="1" si="198"/>
        <v/>
      </c>
      <c r="E6209" s="148" t="str">
        <f t="shared" ca="1" si="199"/>
        <v/>
      </c>
    </row>
    <row r="6210" spans="2:5" x14ac:dyDescent="0.25">
      <c r="B6210">
        <v>43804</v>
      </c>
      <c r="C6210" s="6" t="str">
        <f ca="1">IF(OR($C$7="",$B6210&gt;NOW()),"",IF(INDEX(Data!$A:$G,MATCH($B6210,Data!$A:$A,0),MATCH($C$7,Data!$4:$4,0))="","",INDEX(Data!$A:$G,MATCH($B6210,Data!$A:$A,0),MATCH($C$7,Data!$4:$4,0))))</f>
        <v/>
      </c>
      <c r="D6210" s="148" t="str">
        <f t="shared" ca="1" si="198"/>
        <v/>
      </c>
      <c r="E6210" s="148" t="str">
        <f t="shared" ca="1" si="199"/>
        <v/>
      </c>
    </row>
    <row r="6211" spans="2:5" x14ac:dyDescent="0.25">
      <c r="B6211">
        <v>43805</v>
      </c>
      <c r="C6211" s="6" t="str">
        <f ca="1">IF(OR($C$7="",$B6211&gt;NOW()),"",IF(INDEX(Data!$A:$G,MATCH($B6211,Data!$A:$A,0),MATCH($C$7,Data!$4:$4,0))="","",INDEX(Data!$A:$G,MATCH($B6211,Data!$A:$A,0),MATCH($C$7,Data!$4:$4,0))))</f>
        <v/>
      </c>
      <c r="D6211" s="148" t="str">
        <f t="shared" ca="1" si="198"/>
        <v/>
      </c>
      <c r="E6211" s="148" t="str">
        <f t="shared" ca="1" si="199"/>
        <v/>
      </c>
    </row>
    <row r="6212" spans="2:5" x14ac:dyDescent="0.25">
      <c r="B6212">
        <v>43806</v>
      </c>
      <c r="C6212" s="6" t="str">
        <f ca="1">IF(OR($C$7="",$B6212&gt;NOW()),"",IF(INDEX(Data!$A:$G,MATCH($B6212,Data!$A:$A,0),MATCH($C$7,Data!$4:$4,0))="","",INDEX(Data!$A:$G,MATCH($B6212,Data!$A:$A,0),MATCH($C$7,Data!$4:$4,0))))</f>
        <v/>
      </c>
      <c r="D6212" s="148" t="str">
        <f t="shared" ca="1" si="198"/>
        <v/>
      </c>
      <c r="E6212" s="148" t="str">
        <f t="shared" ca="1" si="199"/>
        <v/>
      </c>
    </row>
    <row r="6213" spans="2:5" x14ac:dyDescent="0.25">
      <c r="B6213">
        <v>43807</v>
      </c>
      <c r="C6213" s="6" t="str">
        <f ca="1">IF(OR($C$7="",$B6213&gt;NOW()),"",IF(INDEX(Data!$A:$G,MATCH($B6213,Data!$A:$A,0),MATCH($C$7,Data!$4:$4,0))="","",INDEX(Data!$A:$G,MATCH($B6213,Data!$A:$A,0),MATCH($C$7,Data!$4:$4,0))))</f>
        <v/>
      </c>
      <c r="D6213" s="148" t="str">
        <f t="shared" ca="1" si="198"/>
        <v/>
      </c>
      <c r="E6213" s="148" t="str">
        <f t="shared" ca="1" si="199"/>
        <v/>
      </c>
    </row>
    <row r="6214" spans="2:5" x14ac:dyDescent="0.25">
      <c r="B6214">
        <v>43808</v>
      </c>
      <c r="C6214" s="6" t="str">
        <f ca="1">IF(OR($C$7="",$B6214&gt;NOW()),"",IF(INDEX(Data!$A:$G,MATCH($B6214,Data!$A:$A,0),MATCH($C$7,Data!$4:$4,0))="","",INDEX(Data!$A:$G,MATCH($B6214,Data!$A:$A,0),MATCH($C$7,Data!$4:$4,0))))</f>
        <v/>
      </c>
      <c r="D6214" s="148" t="str">
        <f t="shared" ca="1" si="198"/>
        <v/>
      </c>
      <c r="E6214" s="148" t="str">
        <f t="shared" ca="1" si="199"/>
        <v/>
      </c>
    </row>
    <row r="6215" spans="2:5" x14ac:dyDescent="0.25">
      <c r="B6215">
        <v>43809</v>
      </c>
      <c r="C6215" s="6" t="str">
        <f ca="1">IF(OR($C$7="",$B6215&gt;NOW()),"",IF(INDEX(Data!$A:$G,MATCH($B6215,Data!$A:$A,0),MATCH($C$7,Data!$4:$4,0))="","",INDEX(Data!$A:$G,MATCH($B6215,Data!$A:$A,0),MATCH($C$7,Data!$4:$4,0))))</f>
        <v/>
      </c>
      <c r="D6215" s="148" t="str">
        <f t="shared" ca="1" si="198"/>
        <v/>
      </c>
      <c r="E6215" s="148" t="str">
        <f t="shared" ca="1" si="199"/>
        <v/>
      </c>
    </row>
    <row r="6216" spans="2:5" x14ac:dyDescent="0.25">
      <c r="B6216">
        <v>43810</v>
      </c>
      <c r="C6216" s="6" t="str">
        <f ca="1">IF(OR($C$7="",$B6216&gt;NOW()),"",IF(INDEX(Data!$A:$G,MATCH($B6216,Data!$A:$A,0),MATCH($C$7,Data!$4:$4,0))="","",INDEX(Data!$A:$G,MATCH($B6216,Data!$A:$A,0),MATCH($C$7,Data!$4:$4,0))))</f>
        <v/>
      </c>
      <c r="D6216" s="148" t="str">
        <f t="shared" ca="1" si="198"/>
        <v/>
      </c>
      <c r="E6216" s="148" t="str">
        <f t="shared" ca="1" si="199"/>
        <v/>
      </c>
    </row>
    <row r="6217" spans="2:5" x14ac:dyDescent="0.25">
      <c r="B6217">
        <v>43811</v>
      </c>
      <c r="C6217" s="6" t="str">
        <f ca="1">IF(OR($C$7="",$B6217&gt;NOW()),"",IF(INDEX(Data!$A:$G,MATCH($B6217,Data!$A:$A,0),MATCH($C$7,Data!$4:$4,0))="","",INDEX(Data!$A:$G,MATCH($B6217,Data!$A:$A,0),MATCH($C$7,Data!$4:$4,0))))</f>
        <v/>
      </c>
      <c r="D6217" s="148" t="str">
        <f t="shared" ca="1" si="198"/>
        <v/>
      </c>
      <c r="E6217" s="148" t="str">
        <f t="shared" ca="1" si="199"/>
        <v/>
      </c>
    </row>
    <row r="6218" spans="2:5" x14ac:dyDescent="0.25">
      <c r="B6218">
        <v>43812</v>
      </c>
      <c r="C6218" s="6" t="str">
        <f ca="1">IF(OR($C$7="",$B6218&gt;NOW()),"",IF(INDEX(Data!$A:$G,MATCH($B6218,Data!$A:$A,0),MATCH($C$7,Data!$4:$4,0))="","",INDEX(Data!$A:$G,MATCH($B6218,Data!$A:$A,0),MATCH($C$7,Data!$4:$4,0))))</f>
        <v/>
      </c>
      <c r="D6218" s="148" t="str">
        <f t="shared" ca="1" si="198"/>
        <v/>
      </c>
      <c r="E6218" s="148" t="str">
        <f t="shared" ca="1" si="199"/>
        <v/>
      </c>
    </row>
    <row r="6219" spans="2:5" x14ac:dyDescent="0.25">
      <c r="B6219">
        <v>43813</v>
      </c>
      <c r="C6219" s="6" t="str">
        <f ca="1">IF(OR($C$7="",$B6219&gt;NOW()),"",IF(INDEX(Data!$A:$G,MATCH($B6219,Data!$A:$A,0),MATCH($C$7,Data!$4:$4,0))="","",INDEX(Data!$A:$G,MATCH($B6219,Data!$A:$A,0),MATCH($C$7,Data!$4:$4,0))))</f>
        <v/>
      </c>
      <c r="D6219" s="148" t="str">
        <f t="shared" ca="1" si="198"/>
        <v/>
      </c>
      <c r="E6219" s="148" t="str">
        <f t="shared" ca="1" si="199"/>
        <v/>
      </c>
    </row>
    <row r="6220" spans="2:5" x14ac:dyDescent="0.25">
      <c r="B6220">
        <v>43814</v>
      </c>
      <c r="C6220" s="6" t="str">
        <f ca="1">IF(OR($C$7="",$B6220&gt;NOW()),"",IF(INDEX(Data!$A:$G,MATCH($B6220,Data!$A:$A,0),MATCH($C$7,Data!$4:$4,0))="","",INDEX(Data!$A:$G,MATCH($B6220,Data!$A:$A,0),MATCH($C$7,Data!$4:$4,0))))</f>
        <v/>
      </c>
      <c r="D6220" s="148" t="str">
        <f t="shared" ca="1" si="198"/>
        <v/>
      </c>
      <c r="E6220" s="148" t="str">
        <f t="shared" ca="1" si="199"/>
        <v/>
      </c>
    </row>
    <row r="6221" spans="2:5" x14ac:dyDescent="0.25">
      <c r="B6221">
        <v>43815</v>
      </c>
      <c r="C6221" s="6" t="str">
        <f ca="1">IF(OR($C$7="",$B6221&gt;NOW()),"",IF(INDEX(Data!$A:$G,MATCH($B6221,Data!$A:$A,0),MATCH($C$7,Data!$4:$4,0))="","",INDEX(Data!$A:$G,MATCH($B6221,Data!$A:$A,0),MATCH($C$7,Data!$4:$4,0))))</f>
        <v/>
      </c>
      <c r="D6221" s="148" t="str">
        <f t="shared" ca="1" si="198"/>
        <v/>
      </c>
      <c r="E6221" s="148" t="str">
        <f t="shared" ca="1" si="199"/>
        <v/>
      </c>
    </row>
    <row r="6222" spans="2:5" x14ac:dyDescent="0.25">
      <c r="B6222">
        <v>43816</v>
      </c>
      <c r="C6222" s="6" t="str">
        <f ca="1">IF(OR($C$7="",$B6222&gt;NOW()),"",IF(INDEX(Data!$A:$G,MATCH($B6222,Data!$A:$A,0),MATCH($C$7,Data!$4:$4,0))="","",INDEX(Data!$A:$G,MATCH($B6222,Data!$A:$A,0),MATCH($C$7,Data!$4:$4,0))))</f>
        <v/>
      </c>
      <c r="D6222" s="148" t="str">
        <f t="shared" ca="1" si="198"/>
        <v/>
      </c>
      <c r="E6222" s="148" t="str">
        <f t="shared" ca="1" si="199"/>
        <v/>
      </c>
    </row>
    <row r="6223" spans="2:5" x14ac:dyDescent="0.25">
      <c r="B6223">
        <v>43817</v>
      </c>
      <c r="C6223" s="6" t="str">
        <f ca="1">IF(OR($C$7="",$B6223&gt;NOW()),"",IF(INDEX(Data!$A:$G,MATCH($B6223,Data!$A:$A,0),MATCH($C$7,Data!$4:$4,0))="","",INDEX(Data!$A:$G,MATCH($B6223,Data!$A:$A,0),MATCH($C$7,Data!$4:$4,0))))</f>
        <v/>
      </c>
      <c r="D6223" s="148" t="str">
        <f t="shared" ca="1" si="198"/>
        <v/>
      </c>
      <c r="E6223" s="148" t="str">
        <f t="shared" ca="1" si="199"/>
        <v/>
      </c>
    </row>
    <row r="6224" spans="2:5" x14ac:dyDescent="0.25">
      <c r="B6224">
        <v>43818</v>
      </c>
      <c r="C6224" s="6" t="str">
        <f ca="1">IF(OR($C$7="",$B6224&gt;NOW()),"",IF(INDEX(Data!$A:$G,MATCH($B6224,Data!$A:$A,0),MATCH($C$7,Data!$4:$4,0))="","",INDEX(Data!$A:$G,MATCH($B6224,Data!$A:$A,0),MATCH($C$7,Data!$4:$4,0))))</f>
        <v/>
      </c>
      <c r="D6224" s="148" t="str">
        <f t="shared" ca="1" si="198"/>
        <v/>
      </c>
      <c r="E6224" s="148" t="str">
        <f t="shared" ca="1" si="199"/>
        <v/>
      </c>
    </row>
    <row r="6225" spans="2:5" x14ac:dyDescent="0.25">
      <c r="B6225">
        <v>43819</v>
      </c>
      <c r="C6225" s="6" t="str">
        <f ca="1">IF(OR($C$7="",$B6225&gt;NOW()),"",IF(INDEX(Data!$A:$G,MATCH($B6225,Data!$A:$A,0),MATCH($C$7,Data!$4:$4,0))="","",INDEX(Data!$A:$G,MATCH($B6225,Data!$A:$A,0),MATCH($C$7,Data!$4:$4,0))))</f>
        <v/>
      </c>
      <c r="D6225" s="148" t="str">
        <f t="shared" ca="1" si="198"/>
        <v/>
      </c>
      <c r="E6225" s="148" t="str">
        <f t="shared" ca="1" si="199"/>
        <v/>
      </c>
    </row>
    <row r="6226" spans="2:5" x14ac:dyDescent="0.25">
      <c r="B6226">
        <v>43820</v>
      </c>
      <c r="C6226" s="6" t="str">
        <f ca="1">IF(OR($C$7="",$B6226&gt;NOW()),"",IF(INDEX(Data!$A:$G,MATCH($B6226,Data!$A:$A,0),MATCH($C$7,Data!$4:$4,0))="","",INDEX(Data!$A:$G,MATCH($B6226,Data!$A:$A,0),MATCH($C$7,Data!$4:$4,0))))</f>
        <v/>
      </c>
      <c r="D6226" s="148" t="str">
        <f t="shared" ca="1" si="198"/>
        <v/>
      </c>
      <c r="E6226" s="148" t="str">
        <f t="shared" ca="1" si="199"/>
        <v/>
      </c>
    </row>
    <row r="6227" spans="2:5" x14ac:dyDescent="0.25">
      <c r="B6227">
        <v>43821</v>
      </c>
      <c r="C6227" s="6" t="str">
        <f ca="1">IF(OR($C$7="",$B6227&gt;NOW()),"",IF(INDEX(Data!$A:$G,MATCH($B6227,Data!$A:$A,0),MATCH($C$7,Data!$4:$4,0))="","",INDEX(Data!$A:$G,MATCH($B6227,Data!$A:$A,0),MATCH($C$7,Data!$4:$4,0))))</f>
        <v/>
      </c>
      <c r="D6227" s="148" t="str">
        <f t="shared" ca="1" si="198"/>
        <v/>
      </c>
      <c r="E6227" s="148" t="str">
        <f t="shared" ca="1" si="199"/>
        <v/>
      </c>
    </row>
    <row r="6228" spans="2:5" x14ac:dyDescent="0.25">
      <c r="B6228">
        <v>43822</v>
      </c>
      <c r="C6228" s="6" t="str">
        <f ca="1">IF(OR($C$7="",$B6228&gt;NOW()),"",IF(INDEX(Data!$A:$G,MATCH($B6228,Data!$A:$A,0),MATCH($C$7,Data!$4:$4,0))="","",INDEX(Data!$A:$G,MATCH($B6228,Data!$A:$A,0),MATCH($C$7,Data!$4:$4,0))))</f>
        <v/>
      </c>
      <c r="D6228" s="148" t="str">
        <f t="shared" ca="1" si="198"/>
        <v/>
      </c>
      <c r="E6228" s="148" t="str">
        <f t="shared" ca="1" si="199"/>
        <v/>
      </c>
    </row>
    <row r="6229" spans="2:5" x14ac:dyDescent="0.25">
      <c r="B6229">
        <v>43823</v>
      </c>
      <c r="C6229" s="6" t="str">
        <f ca="1">IF(OR($C$7="",$B6229&gt;NOW()),"",IF(INDEX(Data!$A:$G,MATCH($B6229,Data!$A:$A,0),MATCH($C$7,Data!$4:$4,0))="","",INDEX(Data!$A:$G,MATCH($B6229,Data!$A:$A,0),MATCH($C$7,Data!$4:$4,0))))</f>
        <v/>
      </c>
      <c r="D6229" s="148" t="str">
        <f t="shared" ca="1" si="198"/>
        <v/>
      </c>
      <c r="E6229" s="148" t="str">
        <f t="shared" ca="1" si="199"/>
        <v/>
      </c>
    </row>
    <row r="6230" spans="2:5" x14ac:dyDescent="0.25">
      <c r="B6230">
        <v>43824</v>
      </c>
      <c r="C6230" s="6" t="str">
        <f ca="1">IF(OR($C$7="",$B6230&gt;NOW()),"",IF(INDEX(Data!$A:$G,MATCH($B6230,Data!$A:$A,0),MATCH($C$7,Data!$4:$4,0))="","",INDEX(Data!$A:$G,MATCH($B6230,Data!$A:$A,0),MATCH($C$7,Data!$4:$4,0))))</f>
        <v/>
      </c>
      <c r="D6230" s="148" t="str">
        <f t="shared" ca="1" si="198"/>
        <v/>
      </c>
      <c r="E6230" s="148" t="str">
        <f t="shared" ca="1" si="199"/>
        <v/>
      </c>
    </row>
    <row r="6231" spans="2:5" x14ac:dyDescent="0.25">
      <c r="B6231">
        <v>43825</v>
      </c>
      <c r="C6231" s="6" t="str">
        <f ca="1">IF(OR($C$7="",$B6231&gt;NOW()),"",IF(INDEX(Data!$A:$G,MATCH($B6231,Data!$A:$A,0),MATCH($C$7,Data!$4:$4,0))="","",INDEX(Data!$A:$G,MATCH($B6231,Data!$A:$A,0),MATCH($C$7,Data!$4:$4,0))))</f>
        <v/>
      </c>
      <c r="D6231" s="148" t="str">
        <f t="shared" ca="1" si="198"/>
        <v/>
      </c>
      <c r="E6231" s="148" t="str">
        <f t="shared" ca="1" si="199"/>
        <v/>
      </c>
    </row>
    <row r="6232" spans="2:5" x14ac:dyDescent="0.25">
      <c r="B6232">
        <v>43826</v>
      </c>
      <c r="C6232" s="6" t="str">
        <f ca="1">IF(OR($C$7="",$B6232&gt;NOW()),"",IF(INDEX(Data!$A:$G,MATCH($B6232,Data!$A:$A,0),MATCH($C$7,Data!$4:$4,0))="","",INDEX(Data!$A:$G,MATCH($B6232,Data!$A:$A,0),MATCH($C$7,Data!$4:$4,0))))</f>
        <v/>
      </c>
      <c r="D6232" s="148" t="str">
        <f t="shared" ca="1" si="198"/>
        <v/>
      </c>
      <c r="E6232" s="148" t="str">
        <f t="shared" ca="1" si="199"/>
        <v/>
      </c>
    </row>
    <row r="6233" spans="2:5" x14ac:dyDescent="0.25">
      <c r="B6233">
        <v>43827</v>
      </c>
      <c r="C6233" s="6" t="str">
        <f ca="1">IF(OR($C$7="",$B6233&gt;NOW()),"",IF(INDEX(Data!$A:$G,MATCH($B6233,Data!$A:$A,0),MATCH($C$7,Data!$4:$4,0))="","",INDEX(Data!$A:$G,MATCH($B6233,Data!$A:$A,0),MATCH($C$7,Data!$4:$4,0))))</f>
        <v/>
      </c>
      <c r="D6233" s="148" t="str">
        <f t="shared" ca="1" si="198"/>
        <v/>
      </c>
      <c r="E6233" s="148" t="str">
        <f t="shared" ca="1" si="199"/>
        <v/>
      </c>
    </row>
    <row r="6234" spans="2:5" x14ac:dyDescent="0.25">
      <c r="B6234">
        <v>43828</v>
      </c>
      <c r="C6234" s="6" t="str">
        <f ca="1">IF(OR($C$7="",$B6234&gt;NOW()),"",IF(INDEX(Data!$A:$G,MATCH($B6234,Data!$A:$A,0),MATCH($C$7,Data!$4:$4,0))="","",INDEX(Data!$A:$G,MATCH($B6234,Data!$A:$A,0),MATCH($C$7,Data!$4:$4,0))))</f>
        <v/>
      </c>
      <c r="D6234" s="148" t="str">
        <f t="shared" ca="1" si="198"/>
        <v/>
      </c>
      <c r="E6234" s="148" t="str">
        <f t="shared" ca="1" si="199"/>
        <v/>
      </c>
    </row>
    <row r="6235" spans="2:5" x14ac:dyDescent="0.25">
      <c r="B6235">
        <v>43829</v>
      </c>
      <c r="C6235" s="6" t="str">
        <f ca="1">IF(OR($C$7="",$B6235&gt;NOW()),"",IF(INDEX(Data!$A:$G,MATCH($B6235,Data!$A:$A,0),MATCH($C$7,Data!$4:$4,0))="","",INDEX(Data!$A:$G,MATCH($B6235,Data!$A:$A,0),MATCH($C$7,Data!$4:$4,0))))</f>
        <v/>
      </c>
      <c r="D6235" s="148" t="str">
        <f t="shared" ca="1" si="198"/>
        <v/>
      </c>
      <c r="E6235" s="148" t="str">
        <f t="shared" ca="1" si="199"/>
        <v/>
      </c>
    </row>
    <row r="6236" spans="2:5" x14ac:dyDescent="0.25">
      <c r="B6236">
        <v>43830</v>
      </c>
      <c r="C6236" s="6" t="str">
        <f ca="1">IF(OR($C$7="",$B6236&gt;NOW()),"",IF(INDEX(Data!$A:$G,MATCH($B6236,Data!$A:$A,0),MATCH($C$7,Data!$4:$4,0))="","",INDEX(Data!$A:$G,MATCH($B6236,Data!$A:$A,0),MATCH($C$7,Data!$4:$4,0))))</f>
        <v/>
      </c>
      <c r="D6236" s="148" t="str">
        <f t="shared" ca="1" si="198"/>
        <v/>
      </c>
      <c r="E6236" s="148" t="str">
        <f t="shared" ca="1" si="199"/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Data!$B$4:$XFD$4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gression1">
    <tabColor theme="6"/>
    <outlinePr summaryBelow="0" summaryRight="0"/>
  </sheetPr>
  <dimension ref="A1:U189"/>
  <sheetViews>
    <sheetView showGridLines="0" zoomScale="85" zoomScaleNormal="85" workbookViewId="0">
      <selection activeCell="G16" sqref="G16"/>
    </sheetView>
  </sheetViews>
  <sheetFormatPr defaultRowHeight="15" outlineLevelRow="1" x14ac:dyDescent="0.25"/>
  <cols>
    <col min="2" max="2" width="4.140625" customWidth="1"/>
    <col min="3" max="3" width="11.28515625" customWidth="1"/>
    <col min="4" max="4" width="11.7109375" customWidth="1"/>
    <col min="5" max="9" width="8.85546875" customWidth="1"/>
    <col min="10" max="10" width="10.140625" customWidth="1"/>
    <col min="11" max="11" width="8.85546875" customWidth="1"/>
    <col min="12" max="12" width="11.28515625" customWidth="1"/>
    <col min="13" max="15" width="13.5703125" customWidth="1"/>
    <col min="16" max="17" width="11.7109375" customWidth="1"/>
    <col min="24" max="25" width="9.5703125" customWidth="1"/>
  </cols>
  <sheetData>
    <row r="1" spans="1:16" x14ac:dyDescent="0.25">
      <c r="A1" s="31" t="s">
        <v>73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1:16" ht="15.75" thickBot="1" x14ac:dyDescent="0.3"/>
    <row r="3" spans="1:16" ht="18.75" thickBot="1" x14ac:dyDescent="0.3">
      <c r="C3" s="33"/>
      <c r="D3" s="60" t="s">
        <v>54</v>
      </c>
      <c r="E3" s="99" t="s">
        <v>56</v>
      </c>
      <c r="G3" s="159" t="s">
        <v>66</v>
      </c>
      <c r="H3" s="160"/>
      <c r="I3" s="37" t="s">
        <v>50</v>
      </c>
      <c r="J3" s="37" t="s">
        <v>51</v>
      </c>
      <c r="K3" s="37" t="s">
        <v>52</v>
      </c>
      <c r="L3" s="38" t="s">
        <v>53</v>
      </c>
      <c r="M3" s="93" t="s">
        <v>45</v>
      </c>
      <c r="N3" s="94" t="s">
        <v>46</v>
      </c>
      <c r="O3" s="94" t="s">
        <v>47</v>
      </c>
      <c r="P3" s="95" t="s">
        <v>85</v>
      </c>
    </row>
    <row r="4" spans="1:16" x14ac:dyDescent="0.25">
      <c r="C4" s="21" t="s">
        <v>42</v>
      </c>
      <c r="D4" s="61">
        <v>65</v>
      </c>
      <c r="E4" s="99" t="s">
        <v>55</v>
      </c>
      <c r="G4" s="161" t="s">
        <v>62</v>
      </c>
      <c r="H4" s="162"/>
      <c r="I4" s="71">
        <f ca="1">D183</f>
        <v>0.88271255736616827</v>
      </c>
      <c r="J4" s="71">
        <f ca="1">D184</f>
        <v>0.8387297663784814</v>
      </c>
      <c r="K4" s="69">
        <f ca="1">D186</f>
        <v>7.4834432839807632E-2</v>
      </c>
      <c r="L4" s="128">
        <f ca="1">D188</f>
        <v>8.5497607421990383E-6</v>
      </c>
      <c r="M4" s="132">
        <f ca="1">D121</f>
        <v>308.51101381018299</v>
      </c>
      <c r="N4" s="133">
        <f ca="1">D122</f>
        <v>6.2871055119823769</v>
      </c>
      <c r="O4" s="133">
        <f ca="1">D123</f>
        <v>24.463496356480157</v>
      </c>
      <c r="P4" s="134">
        <f>D181</f>
        <v>3</v>
      </c>
    </row>
    <row r="5" spans="1:16" ht="15.75" thickBot="1" x14ac:dyDescent="0.3">
      <c r="C5" s="23" t="s">
        <v>43</v>
      </c>
      <c r="D5" s="62">
        <v>65</v>
      </c>
      <c r="E5" s="99" t="s">
        <v>55</v>
      </c>
      <c r="G5" s="163" t="s">
        <v>63</v>
      </c>
      <c r="H5" s="164"/>
      <c r="I5" s="72">
        <f ca="1">J183</f>
        <v>0.17805434173499632</v>
      </c>
      <c r="J5" s="72">
        <f ca="1">J184</f>
        <v>-4.6002489905601074E-3</v>
      </c>
      <c r="K5" s="70">
        <f ca="1">J186</f>
        <v>0.20362990889145877</v>
      </c>
      <c r="L5" s="129">
        <f ca="1">J188</f>
        <v>1.7813809930525466E-4</v>
      </c>
      <c r="M5" s="135">
        <f ca="1">K121</f>
        <v>483.79476846333063</v>
      </c>
      <c r="N5" s="136">
        <f ca="1">K122</f>
        <v>-2.5278793692203927E-2</v>
      </c>
      <c r="O5" s="137">
        <v>0</v>
      </c>
      <c r="P5" s="138">
        <f>J181</f>
        <v>2</v>
      </c>
    </row>
    <row r="6" spans="1:16" x14ac:dyDescent="0.25">
      <c r="C6" s="155"/>
      <c r="D6" s="155"/>
      <c r="E6" s="100"/>
      <c r="G6" s="165" t="s">
        <v>64</v>
      </c>
      <c r="H6" s="166"/>
      <c r="I6" s="124">
        <f ca="1">O183</f>
        <v>0.5398508727752892</v>
      </c>
      <c r="J6" s="124">
        <f ca="1">O184</f>
        <v>0.43759551116979789</v>
      </c>
      <c r="K6" s="125">
        <f ca="1">O186</f>
        <v>0.14915733764291034</v>
      </c>
      <c r="L6" s="130">
        <f ca="1">O188</f>
        <v>1.9925125587153802E-4</v>
      </c>
      <c r="M6" s="139">
        <f ca="1">P121</f>
        <v>437.50595017429544</v>
      </c>
      <c r="N6" s="140">
        <v>0</v>
      </c>
      <c r="O6" s="141">
        <f ca="1">P122</f>
        <v>13.06242278165384</v>
      </c>
      <c r="P6" s="142">
        <f>O181</f>
        <v>2</v>
      </c>
    </row>
    <row r="7" spans="1:16" ht="15.75" thickBot="1" x14ac:dyDescent="0.3">
      <c r="G7" s="167" t="s">
        <v>87</v>
      </c>
      <c r="H7" s="168"/>
      <c r="I7" s="126">
        <f ca="1">T183</f>
        <v>0.17716429178620952</v>
      </c>
      <c r="J7" s="126">
        <f ca="1">T184</f>
        <v>9.4880720964830467E-2</v>
      </c>
      <c r="K7" s="127">
        <f ca="1">T186</f>
        <v>0.20364219482189222</v>
      </c>
      <c r="L7" s="131">
        <f ca="1">T188</f>
        <v>-3.4434904655949123E-18</v>
      </c>
      <c r="M7" s="143">
        <f>I66/F66</f>
        <v>482.41095890410958</v>
      </c>
      <c r="N7" s="144">
        <v>0</v>
      </c>
      <c r="O7" s="145">
        <v>0</v>
      </c>
      <c r="P7" s="146">
        <f>T181</f>
        <v>1</v>
      </c>
    </row>
    <row r="8" spans="1:16" x14ac:dyDescent="0.25">
      <c r="C8" s="169" t="s">
        <v>72</v>
      </c>
      <c r="D8" s="169"/>
      <c r="E8" s="170" t="str">
        <f>IF(M21=3,"Heating and Cooling",IF(M21=1,"Baseload only",IF(E4="Yes","Heating Only","Cooling Only")))</f>
        <v>Heating and Cooling</v>
      </c>
      <c r="F8" s="170"/>
      <c r="G8" s="170"/>
    </row>
    <row r="9" spans="1:16" x14ac:dyDescent="0.25">
      <c r="C9" s="171" t="s">
        <v>65</v>
      </c>
      <c r="D9" s="171"/>
      <c r="E9" s="156" t="str">
        <f ca="1">INDEX($G$3:$L$7,MATCH(MAX($J$4:$J$7),$J$3:$J$7,0),1)</f>
        <v>Heating and Cooling</v>
      </c>
      <c r="F9" s="156"/>
      <c r="G9" s="156"/>
    </row>
    <row r="10" spans="1:16" x14ac:dyDescent="0.25">
      <c r="J10" s="101"/>
    </row>
    <row r="12" spans="1:16" x14ac:dyDescent="0.25">
      <c r="B12" s="7" t="s">
        <v>36</v>
      </c>
      <c r="M12" s="55"/>
    </row>
    <row r="14" spans="1:16" ht="15.75" thickBot="1" x14ac:dyDescent="0.3">
      <c r="F14" s="157" t="s">
        <v>37</v>
      </c>
      <c r="G14" s="157"/>
      <c r="H14" s="158"/>
      <c r="I14" s="32" t="s">
        <v>38</v>
      </c>
    </row>
    <row r="15" spans="1:16" ht="30.75" thickBot="1" x14ac:dyDescent="0.3">
      <c r="B15" s="100" t="s">
        <v>84</v>
      </c>
      <c r="C15" s="34" t="s">
        <v>39</v>
      </c>
      <c r="D15" s="34" t="s">
        <v>40</v>
      </c>
      <c r="E15" s="60" t="s">
        <v>70</v>
      </c>
      <c r="F15" s="119" t="s">
        <v>41</v>
      </c>
      <c r="G15" s="37" t="s">
        <v>42</v>
      </c>
      <c r="H15" s="37" t="s">
        <v>43</v>
      </c>
      <c r="I15" s="38" t="s">
        <v>70</v>
      </c>
      <c r="J15" s="39" t="s">
        <v>71</v>
      </c>
      <c r="L15" s="93" t="s">
        <v>79</v>
      </c>
      <c r="M15" s="94" t="s">
        <v>80</v>
      </c>
      <c r="N15" s="95" t="s">
        <v>81</v>
      </c>
    </row>
    <row r="16" spans="1:16" ht="18.75" thickBot="1" x14ac:dyDescent="0.3">
      <c r="B16" s="100">
        <f>IF(C16="","",1)</f>
        <v>1</v>
      </c>
      <c r="C16" s="40">
        <v>41695</v>
      </c>
      <c r="D16" s="40">
        <v>41724</v>
      </c>
      <c r="E16" s="115">
        <v>12880</v>
      </c>
      <c r="F16" s="120">
        <f>IF($B16="","",D16-C16)</f>
        <v>29</v>
      </c>
      <c r="G16" s="64">
        <f ca="1">IF($B16="","",SUMIFS(Selection!$D$27:$D$6236,Selection!$B$27:$B$6236,"&gt;"&amp;$C16,Selection!$B$27:$B$6236,"&lt;="&amp;$D16))</f>
        <v>884</v>
      </c>
      <c r="H16" s="64">
        <f ca="1">IF($B16="","",SUMIFS(Selection!$E$27:$E$6236,Selection!$B$27:$B$6236,"&gt;"&amp;$C16,Selection!$B$27:$B$6236,"&lt;="&amp;$D16))</f>
        <v>0</v>
      </c>
      <c r="I16" s="42">
        <f>IF($B16="","",E16)</f>
        <v>12880</v>
      </c>
      <c r="J16" s="43">
        <f ca="1">IF($B16="","",$M$16*$F16+$M$17*$G16+$M$18*$H16)</f>
        <v>14504.620673087727</v>
      </c>
      <c r="L16" s="90" t="s">
        <v>74</v>
      </c>
      <c r="M16" s="91">
        <f ca="1">INDEX($G$3:$O$7,MATCH($E$8,$G$3:$G$7,0),MATCH($M$3,$G$3:$O$3,0))</f>
        <v>308.51101381018299</v>
      </c>
      <c r="N16" s="92" t="s">
        <v>67</v>
      </c>
    </row>
    <row r="17" spans="2:14" ht="18.75" thickBot="1" x14ac:dyDescent="0.3">
      <c r="B17" s="100">
        <f>IF(C17="","",B16+1)</f>
        <v>2</v>
      </c>
      <c r="C17" s="45">
        <v>41663</v>
      </c>
      <c r="D17" s="45">
        <v>41695</v>
      </c>
      <c r="E17" s="116">
        <v>16880</v>
      </c>
      <c r="F17" s="121">
        <f t="shared" ref="F17:F65" si="0">IF($B17="","",D17-C17)</f>
        <v>32</v>
      </c>
      <c r="G17" s="65">
        <f ca="1">IF($B17="","",SUMIFS(Selection!$D$27:$D$6236,Selection!$B$27:$B$6236,"&gt;"&amp;$C17,Selection!$B$27:$B$6236,"&lt;="&amp;$D17))</f>
        <v>1102.0999999999999</v>
      </c>
      <c r="H17" s="65">
        <f ca="1">IF($B17="","",SUMIFS(Selection!$E$27:$E$6236,Selection!$B$27:$B$6236,"&gt;"&amp;$C17,Selection!$B$27:$B$6236,"&lt;="&amp;$D17))</f>
        <v>0</v>
      </c>
      <c r="I17" s="47">
        <f t="shared" ref="I17:I28" si="1">IF($B17="","",E17)</f>
        <v>16880</v>
      </c>
      <c r="J17" s="48">
        <f t="shared" ref="J17:J65" ca="1" si="2">IF($B17="","",$M$16*$F17+$M$17*$G17+$M$18*$H17)</f>
        <v>16801.371426681631</v>
      </c>
      <c r="L17" s="77" t="s">
        <v>75</v>
      </c>
      <c r="M17" s="73">
        <f ca="1">INDEX($G$3:$O$7,MATCH($E$8,$G$3:$G$7,0),MATCH($N$3,$G$3:$O$3,0))</f>
        <v>6.2871055119823769</v>
      </c>
      <c r="N17" s="74" t="s">
        <v>68</v>
      </c>
    </row>
    <row r="18" spans="2:14" ht="18.75" thickBot="1" x14ac:dyDescent="0.3">
      <c r="B18" s="100">
        <f t="shared" ref="B18:B65" si="3">IF(C18="","",B17+1)</f>
        <v>3</v>
      </c>
      <c r="C18" s="49">
        <v>41631</v>
      </c>
      <c r="D18" s="49">
        <v>41663</v>
      </c>
      <c r="E18" s="117">
        <v>18480</v>
      </c>
      <c r="F18" s="122">
        <f t="shared" si="0"/>
        <v>32</v>
      </c>
      <c r="G18" s="66">
        <f ca="1">IF($B18="","",SUMIFS(Selection!$D$27:$D$6236,Selection!$B$27:$B$6236,"&gt;"&amp;$C18,Selection!$B$27:$B$6236,"&lt;="&amp;$D18))</f>
        <v>1073.8999999999999</v>
      </c>
      <c r="H18" s="66">
        <f ca="1">IF($B18="","",SUMIFS(Selection!$E$27:$E$6236,Selection!$B$27:$B$6236,"&gt;"&amp;$C18,Selection!$B$27:$B$6236,"&lt;="&amp;$D18))</f>
        <v>0</v>
      </c>
      <c r="I18" s="51">
        <f t="shared" si="1"/>
        <v>18480</v>
      </c>
      <c r="J18" s="52">
        <f t="shared" ca="1" si="2"/>
        <v>16624.07505124373</v>
      </c>
      <c r="L18" s="78" t="s">
        <v>76</v>
      </c>
      <c r="M18" s="75">
        <f ca="1">INDEX($G$3:$O$7,MATCH($E$8,$G$3:$G$7,0),MATCH($O$3,$G$3:$O$3,0))</f>
        <v>24.463496356480157</v>
      </c>
      <c r="N18" s="76" t="s">
        <v>69</v>
      </c>
    </row>
    <row r="19" spans="2:14" x14ac:dyDescent="0.25">
      <c r="B19" s="100">
        <f t="shared" si="3"/>
        <v>4</v>
      </c>
      <c r="C19" s="45">
        <v>41599</v>
      </c>
      <c r="D19" s="45">
        <v>41631</v>
      </c>
      <c r="E19" s="116">
        <v>13520</v>
      </c>
      <c r="F19" s="121">
        <f t="shared" si="0"/>
        <v>32</v>
      </c>
      <c r="G19" s="65">
        <f ca="1">IF($B19="","",SUMIFS(Selection!$D$27:$D$6236,Selection!$B$27:$B$6236,"&gt;"&amp;$C19,Selection!$B$27:$B$6236,"&lt;="&amp;$D19))</f>
        <v>838.49999999999966</v>
      </c>
      <c r="H19" s="65">
        <f ca="1">IF($B19="","",SUMIFS(Selection!$E$27:$E$6236,Selection!$B$27:$B$6236,"&gt;"&amp;$C19,Selection!$B$27:$B$6236,"&lt;="&amp;$D19))</f>
        <v>0</v>
      </c>
      <c r="I19" s="47">
        <f t="shared" si="1"/>
        <v>13520</v>
      </c>
      <c r="J19" s="48">
        <f t="shared" ca="1" si="2"/>
        <v>15144.090413723075</v>
      </c>
    </row>
    <row r="20" spans="2:14" x14ac:dyDescent="0.25">
      <c r="B20" s="100">
        <f t="shared" si="3"/>
        <v>5</v>
      </c>
      <c r="C20" s="49">
        <v>41569</v>
      </c>
      <c r="D20" s="49">
        <v>41599</v>
      </c>
      <c r="E20" s="117">
        <v>13280</v>
      </c>
      <c r="F20" s="122">
        <f t="shared" si="0"/>
        <v>30</v>
      </c>
      <c r="G20" s="66">
        <f ca="1">IF($B20="","",SUMIFS(Selection!$D$27:$D$6236,Selection!$B$27:$B$6236,"&gt;"&amp;$C20,Selection!$B$27:$B$6236,"&lt;="&amp;$D20))</f>
        <v>458.29999999999995</v>
      </c>
      <c r="H20" s="66">
        <f ca="1">IF($B20="","",SUMIFS(Selection!$E$27:$E$6236,Selection!$B$27:$B$6236,"&gt;"&amp;$C20,Selection!$B$27:$B$6236,"&lt;="&amp;$D20))</f>
        <v>0.90000000000000568</v>
      </c>
      <c r="I20" s="51">
        <f t="shared" si="1"/>
        <v>13280</v>
      </c>
      <c r="J20" s="52">
        <f t="shared" ca="1" si="2"/>
        <v>12158.728017167847</v>
      </c>
      <c r="L20" s="99" t="s">
        <v>48</v>
      </c>
      <c r="M20" s="99">
        <f ca="1">COUNTA(Y)</f>
        <v>12</v>
      </c>
    </row>
    <row r="21" spans="2:14" x14ac:dyDescent="0.25">
      <c r="B21" s="100">
        <f t="shared" si="3"/>
        <v>6</v>
      </c>
      <c r="C21" s="45">
        <v>41540</v>
      </c>
      <c r="D21" s="45">
        <v>41569</v>
      </c>
      <c r="E21" s="116">
        <v>11520</v>
      </c>
      <c r="F21" s="121">
        <f t="shared" si="0"/>
        <v>29</v>
      </c>
      <c r="G21" s="65">
        <f ca="1">IF($B21="","",SUMIFS(Selection!$D$27:$D$6236,Selection!$B$27:$B$6236,"&gt;"&amp;$C21,Selection!$B$27:$B$6236,"&lt;="&amp;$D21))</f>
        <v>74.400000000000006</v>
      </c>
      <c r="H21" s="65">
        <f ca="1">IF($B21="","",SUMIFS(Selection!$E$27:$E$6236,Selection!$B$27:$B$6236,"&gt;"&amp;$C21,Selection!$B$27:$B$6236,"&lt;="&amp;$D21))</f>
        <v>40.600000000000009</v>
      </c>
      <c r="I21" s="47">
        <f t="shared" si="1"/>
        <v>11520</v>
      </c>
      <c r="J21" s="48">
        <f t="shared" ca="1" si="2"/>
        <v>10407.798002659891</v>
      </c>
      <c r="L21" s="99" t="s">
        <v>49</v>
      </c>
      <c r="M21" s="99">
        <f>IF($E$4="Yes",1,0)+IF($E$5="Yes",1,0)+IF(C93="",1,0)</f>
        <v>3</v>
      </c>
    </row>
    <row r="22" spans="2:14" x14ac:dyDescent="0.25">
      <c r="B22" s="100">
        <f t="shared" si="3"/>
        <v>7</v>
      </c>
      <c r="C22" s="49">
        <v>41508</v>
      </c>
      <c r="D22" s="49">
        <v>41540</v>
      </c>
      <c r="E22" s="117">
        <v>15040</v>
      </c>
      <c r="F22" s="122">
        <f t="shared" si="0"/>
        <v>32</v>
      </c>
      <c r="G22" s="66">
        <f ca="1">IF($B22="","",SUMIFS(Selection!$D$27:$D$6236,Selection!$B$27:$B$6236,"&gt;"&amp;$C22,Selection!$B$27:$B$6236,"&lt;="&amp;$D22))</f>
        <v>23.6</v>
      </c>
      <c r="H22" s="66">
        <f ca="1">IF($B22="","",SUMIFS(Selection!$E$27:$E$6236,Selection!$B$27:$B$6236,"&gt;"&amp;$C22,Selection!$B$27:$B$6236,"&lt;="&amp;$D22))</f>
        <v>222.90000000000009</v>
      </c>
      <c r="I22" s="51">
        <f t="shared" si="1"/>
        <v>15040</v>
      </c>
      <c r="J22" s="52">
        <f t="shared" ca="1" si="2"/>
        <v>15473.641469868069</v>
      </c>
    </row>
    <row r="23" spans="2:14" x14ac:dyDescent="0.25">
      <c r="B23" s="100">
        <f t="shared" si="3"/>
        <v>8</v>
      </c>
      <c r="C23" s="45">
        <v>41479</v>
      </c>
      <c r="D23" s="45">
        <v>41508</v>
      </c>
      <c r="E23" s="116">
        <v>14400</v>
      </c>
      <c r="F23" s="121">
        <f t="shared" si="0"/>
        <v>29</v>
      </c>
      <c r="G23" s="65">
        <f ca="1">IF($B23="","",SUMIFS(Selection!$D$27:$D$6236,Selection!$B$27:$B$6236,"&gt;"&amp;$C23,Selection!$B$27:$B$6236,"&lt;="&amp;$D23))</f>
        <v>0</v>
      </c>
      <c r="H23" s="65">
        <f ca="1">IF($B23="","",SUMIFS(Selection!$E$27:$E$6236,Selection!$B$27:$B$6236,"&gt;"&amp;$C23,Selection!$B$27:$B$6236,"&lt;="&amp;$D23))</f>
        <v>278</v>
      </c>
      <c r="I23" s="47">
        <f t="shared" si="1"/>
        <v>14400</v>
      </c>
      <c r="J23" s="48">
        <f t="shared" ca="1" si="2"/>
        <v>15747.671387596791</v>
      </c>
      <c r="L23" s="99" t="s">
        <v>50</v>
      </c>
      <c r="M23" s="53">
        <f ca="1">RSQ(Y,Y_Pred)</f>
        <v>0.88271255736616827</v>
      </c>
      <c r="N23" s="114" t="str">
        <f ca="1">L23&amp;" = "&amp;TEXT(M23,"0.00")</f>
        <v>R² = 0.88</v>
      </c>
    </row>
    <row r="24" spans="2:14" x14ac:dyDescent="0.25">
      <c r="B24" s="100">
        <f t="shared" si="3"/>
        <v>9</v>
      </c>
      <c r="C24" s="49">
        <v>41449</v>
      </c>
      <c r="D24" s="49">
        <v>41479</v>
      </c>
      <c r="E24" s="117">
        <v>22720</v>
      </c>
      <c r="F24" s="122">
        <f t="shared" si="0"/>
        <v>30</v>
      </c>
      <c r="G24" s="66">
        <f ca="1">IF($B24="","",SUMIFS(Selection!$D$27:$D$6236,Selection!$B$27:$B$6236,"&gt;"&amp;$C24,Selection!$B$27:$B$6236,"&lt;="&amp;$D24))</f>
        <v>0</v>
      </c>
      <c r="H24" s="66">
        <f ca="1">IF($B24="","",SUMIFS(Selection!$E$27:$E$6236,Selection!$B$27:$B$6236,"&gt;"&amp;$C24,Selection!$B$27:$B$6236,"&lt;="&amp;$D24))</f>
        <v>509.09999999999991</v>
      </c>
      <c r="I24" s="51">
        <f t="shared" si="1"/>
        <v>22720</v>
      </c>
      <c r="J24" s="52">
        <f t="shared" ca="1" si="2"/>
        <v>21709.696409389537</v>
      </c>
      <c r="L24" s="99" t="s">
        <v>51</v>
      </c>
      <c r="M24" s="53">
        <f ca="1">1-(1-M23)*(M20-1)/(M20-M21-1)</f>
        <v>0.8387297663784814</v>
      </c>
      <c r="N24" s="114" t="str">
        <f ca="1">L24&amp;" = "&amp;TEXT(M24,"0.00")</f>
        <v>Adj R² = 0.84</v>
      </c>
    </row>
    <row r="25" spans="2:14" x14ac:dyDescent="0.25">
      <c r="B25" s="100">
        <f t="shared" si="3"/>
        <v>10</v>
      </c>
      <c r="C25" s="45">
        <v>41417</v>
      </c>
      <c r="D25" s="45">
        <v>41449</v>
      </c>
      <c r="E25" s="116">
        <v>14720</v>
      </c>
      <c r="F25" s="121">
        <f t="shared" si="0"/>
        <v>32</v>
      </c>
      <c r="G25" s="65">
        <f ca="1">IF($B25="","",SUMIFS(Selection!$D$27:$D$6236,Selection!$B$27:$B$6236,"&gt;"&amp;$C25,Selection!$B$27:$B$6236,"&lt;="&amp;$D25))</f>
        <v>36.299999999999997</v>
      </c>
      <c r="H25" s="65">
        <f ca="1">IF($B25="","",SUMIFS(Selection!$E$27:$E$6236,Selection!$B$27:$B$6236,"&gt;"&amp;$C25,Selection!$B$27:$B$6236,"&lt;="&amp;$D25))</f>
        <v>205.7</v>
      </c>
      <c r="I25" s="47">
        <f t="shared" si="1"/>
        <v>14720</v>
      </c>
      <c r="J25" s="48">
        <f t="shared" ca="1" si="2"/>
        <v>15132.715572538786</v>
      </c>
      <c r="L25" s="99"/>
      <c r="M25" s="99"/>
      <c r="N25" s="114"/>
    </row>
    <row r="26" spans="2:14" x14ac:dyDescent="0.25">
      <c r="B26" s="100">
        <f t="shared" si="3"/>
        <v>11</v>
      </c>
      <c r="C26" s="49">
        <v>41388</v>
      </c>
      <c r="D26" s="49">
        <v>41417</v>
      </c>
      <c r="E26" s="117">
        <v>10560</v>
      </c>
      <c r="F26" s="122">
        <f t="shared" si="0"/>
        <v>29</v>
      </c>
      <c r="G26" s="66">
        <f ca="1">IF($B26="","",SUMIFS(Selection!$D$27:$D$6236,Selection!$B$27:$B$6236,"&gt;"&amp;$C26,Selection!$B$27:$B$6236,"&lt;="&amp;$D26))</f>
        <v>163.59999999999994</v>
      </c>
      <c r="H26" s="66">
        <f ca="1">IF($B26="","",SUMIFS(Selection!$E$27:$E$6236,Selection!$B$27:$B$6236,"&gt;"&amp;$C26,Selection!$B$27:$B$6236,"&lt;="&amp;$D26))</f>
        <v>29.800000000000011</v>
      </c>
      <c r="I26" s="51">
        <f t="shared" si="1"/>
        <v>10560</v>
      </c>
      <c r="J26" s="52">
        <f t="shared" ca="1" si="2"/>
        <v>10704.402053678734</v>
      </c>
      <c r="L26" s="99" t="s">
        <v>52</v>
      </c>
      <c r="M26" s="54">
        <f t="array" aca="1" ref="M26" ca="1">SQRT(SUM(((Y)-(Y_Pred))^2)/M20)/(SUMPRODUCT(Y,Days)/SUM(Days))</f>
        <v>7.4834432839807632E-2</v>
      </c>
      <c r="N26" s="114" t="str">
        <f ca="1">L26&amp;" = "&amp;TEXT(M26,"0.00%")</f>
        <v>CV(RMSE) = 7.48%</v>
      </c>
    </row>
    <row r="27" spans="2:14" x14ac:dyDescent="0.25">
      <c r="B27" s="100">
        <f t="shared" si="3"/>
        <v>12</v>
      </c>
      <c r="C27" s="45">
        <v>41359</v>
      </c>
      <c r="D27" s="45">
        <v>41388</v>
      </c>
      <c r="E27" s="116">
        <v>12080</v>
      </c>
      <c r="F27" s="121">
        <f t="shared" si="0"/>
        <v>29</v>
      </c>
      <c r="G27" s="65">
        <f ca="1">IF($B27="","",SUMIFS(Selection!$D$27:$D$6236,Selection!$B$27:$B$6236,"&gt;"&amp;$C27,Selection!$B$27:$B$6236,"&lt;="&amp;$D27))</f>
        <v>436.19999999999993</v>
      </c>
      <c r="H27" s="65">
        <f ca="1">IF($B27="","",SUMIFS(Selection!$E$27:$E$6236,Selection!$B$27:$B$6236,"&gt;"&amp;$C27,Selection!$B$27:$B$6236,"&lt;="&amp;$D27))</f>
        <v>0</v>
      </c>
      <c r="I27" s="47">
        <f t="shared" si="1"/>
        <v>12080</v>
      </c>
      <c r="J27" s="48">
        <f t="shared" ca="1" si="2"/>
        <v>11689.254824822019</v>
      </c>
      <c r="N27" s="114"/>
    </row>
    <row r="28" spans="2:14" x14ac:dyDescent="0.25">
      <c r="B28" s="100" t="str">
        <f t="shared" si="3"/>
        <v/>
      </c>
      <c r="C28" s="49"/>
      <c r="D28" s="49"/>
      <c r="E28" s="117"/>
      <c r="F28" s="122" t="str">
        <f t="shared" si="0"/>
        <v/>
      </c>
      <c r="G28" s="66" t="str">
        <f>IF($B28="","",SUMIFS(Selection!$D$27:$D$6236,Selection!$B$27:$B$6236,"&gt;"&amp;$C28,Selection!$B$27:$B$6236,"&lt;="&amp;$D28))</f>
        <v/>
      </c>
      <c r="H28" s="66" t="str">
        <f>IF($B28="","",SUMIFS(Selection!$E$27:$E$6236,Selection!$B$27:$B$6236,"&gt;"&amp;$C28,Selection!$B$27:$B$6236,"&lt;="&amp;$D28))</f>
        <v/>
      </c>
      <c r="I28" s="51" t="str">
        <f t="shared" si="1"/>
        <v/>
      </c>
      <c r="J28" s="52" t="str">
        <f t="shared" si="2"/>
        <v/>
      </c>
      <c r="N28" s="114"/>
    </row>
    <row r="29" spans="2:14" x14ac:dyDescent="0.25">
      <c r="B29" s="100" t="str">
        <f t="shared" si="3"/>
        <v/>
      </c>
      <c r="C29" s="45"/>
      <c r="D29" s="45"/>
      <c r="E29" s="116"/>
      <c r="F29" s="121" t="str">
        <f t="shared" si="0"/>
        <v/>
      </c>
      <c r="G29" s="65" t="str">
        <f>IF($B29="","",SUMIFS(Selection!$D$27:$D$6236,Selection!$B$27:$B$6236,"&gt;"&amp;$C29,Selection!$B$27:$B$6236,"&lt;="&amp;$D29))</f>
        <v/>
      </c>
      <c r="H29" s="65" t="str">
        <f>IF($B29="","",SUMIFS(Selection!$E$27:$E$6236,Selection!$B$27:$B$6236,"&gt;"&amp;$C29,Selection!$B$27:$B$6236,"&lt;="&amp;$D29))</f>
        <v/>
      </c>
      <c r="I29" s="47" t="str">
        <f t="shared" ref="I29:I65" si="4">IF($B29="","",E29)</f>
        <v/>
      </c>
      <c r="J29" s="48" t="str">
        <f t="shared" si="2"/>
        <v/>
      </c>
      <c r="L29" s="147" t="s">
        <v>89</v>
      </c>
      <c r="M29" s="55">
        <f t="array" aca="1" ref="M29" ca="1">SUM(Y_Pred-Y)</f>
        <v>18.065302457836879</v>
      </c>
      <c r="N29" s="114"/>
    </row>
    <row r="30" spans="2:14" x14ac:dyDescent="0.25">
      <c r="B30" s="100" t="str">
        <f t="shared" si="3"/>
        <v/>
      </c>
      <c r="C30" s="49"/>
      <c r="D30" s="49"/>
      <c r="E30" s="117"/>
      <c r="F30" s="122" t="str">
        <f t="shared" si="0"/>
        <v/>
      </c>
      <c r="G30" s="66" t="str">
        <f>IF($B30="","",SUMIFS(Selection!$D$27:$D$6236,Selection!$B$27:$B$6236,"&gt;"&amp;$C30,Selection!$B$27:$B$6236,"&lt;="&amp;$D30))</f>
        <v/>
      </c>
      <c r="H30" s="66" t="str">
        <f>IF($B30="","",SUMIFS(Selection!$E$27:$E$6236,Selection!$B$27:$B$6236,"&gt;"&amp;$C30,Selection!$B$27:$B$6236,"&lt;="&amp;$D30))</f>
        <v/>
      </c>
      <c r="I30" s="51" t="str">
        <f t="shared" si="4"/>
        <v/>
      </c>
      <c r="J30" s="52" t="str">
        <f t="shared" si="2"/>
        <v/>
      </c>
      <c r="L30" s="99" t="s">
        <v>77</v>
      </c>
      <c r="M30" s="54">
        <f ca="1">M29/SUM(Y)</f>
        <v>1.0259712890638845E-4</v>
      </c>
      <c r="N30" s="114" t="str">
        <f ca="1">L30&amp;" = "&amp;TEXT(M30,"0.00%")</f>
        <v>NBE = 0.01%</v>
      </c>
    </row>
    <row r="31" spans="2:14" ht="15.75" collapsed="1" thickBot="1" x14ac:dyDescent="0.3">
      <c r="B31" s="100" t="str">
        <f t="shared" si="3"/>
        <v/>
      </c>
      <c r="C31" s="45"/>
      <c r="D31" s="45"/>
      <c r="E31" s="116"/>
      <c r="F31" s="121" t="str">
        <f t="shared" si="0"/>
        <v/>
      </c>
      <c r="G31" s="65" t="str">
        <f>IF($B31="","",SUMIFS(Selection!$D$27:$D$6236,Selection!$B$27:$B$6236,"&gt;"&amp;$C31,Selection!$B$27:$B$6236,"&lt;="&amp;$D31))</f>
        <v/>
      </c>
      <c r="H31" s="65" t="str">
        <f>IF($B31="","",SUMIFS(Selection!$E$27:$E$6236,Selection!$B$27:$B$6236,"&gt;"&amp;$C31,Selection!$B$27:$B$6236,"&lt;="&amp;$D31))</f>
        <v/>
      </c>
      <c r="I31" s="47" t="str">
        <f t="shared" si="4"/>
        <v/>
      </c>
      <c r="J31" s="48" t="str">
        <f t="shared" si="2"/>
        <v/>
      </c>
      <c r="L31" s="99" t="s">
        <v>78</v>
      </c>
      <c r="M31" s="54">
        <f ca="1">M29/(AVERAGE(Y)*(M20-M21))</f>
        <v>1.3679617187518461E-4</v>
      </c>
      <c r="N31" s="114" t="str">
        <f ca="1">L31&amp;" = "&amp;TEXT(M31,"0.00%")</f>
        <v>NMBE = 0.01%</v>
      </c>
    </row>
    <row r="32" spans="2:14" hidden="1" outlineLevel="1" x14ac:dyDescent="0.25">
      <c r="B32" s="100" t="str">
        <f t="shared" si="3"/>
        <v/>
      </c>
      <c r="C32" s="49"/>
      <c r="D32" s="49"/>
      <c r="E32" s="117"/>
      <c r="F32" s="122" t="str">
        <f t="shared" si="0"/>
        <v/>
      </c>
      <c r="G32" s="66" t="str">
        <f>IF($B32="","",SUMIFS(Selection!$D$27:$D$6236,Selection!$B$27:$B$6236,"&gt;"&amp;$C32,Selection!$B$27:$B$6236,"&lt;="&amp;$D32))</f>
        <v/>
      </c>
      <c r="H32" s="66" t="str">
        <f>IF($B32="","",SUMIFS(Selection!$E$27:$E$6236,Selection!$B$27:$B$6236,"&gt;"&amp;$C32,Selection!$B$27:$B$6236,"&lt;="&amp;$D32))</f>
        <v/>
      </c>
      <c r="I32" s="51" t="str">
        <f t="shared" si="4"/>
        <v/>
      </c>
      <c r="J32" s="52" t="str">
        <f t="shared" si="2"/>
        <v/>
      </c>
    </row>
    <row r="33" spans="2:14" ht="14.45" hidden="1" customHeight="1" outlineLevel="1" x14ac:dyDescent="0.25">
      <c r="B33" s="100" t="str">
        <f t="shared" si="3"/>
        <v/>
      </c>
      <c r="C33" s="45"/>
      <c r="D33" s="45"/>
      <c r="E33" s="116"/>
      <c r="F33" s="121" t="str">
        <f t="shared" si="0"/>
        <v/>
      </c>
      <c r="G33" s="65" t="str">
        <f>IF($B33="","",SUMIFS(Selection!$D$27:$D$6236,Selection!$B$27:$B$6236,"&gt;"&amp;$C33,Selection!$B$27:$B$6236,"&lt;="&amp;$D33))</f>
        <v/>
      </c>
      <c r="H33" s="65" t="str">
        <f>IF($B33="","",SUMIFS(Selection!$E$27:$E$6236,Selection!$B$27:$B$6236,"&gt;"&amp;$C33,Selection!$B$27:$B$6236,"&lt;="&amp;$D33))</f>
        <v/>
      </c>
      <c r="I33" s="47" t="str">
        <f t="shared" si="4"/>
        <v/>
      </c>
      <c r="J33" s="48" t="str">
        <f t="shared" si="2"/>
        <v/>
      </c>
      <c r="L33" s="154" t="s">
        <v>90</v>
      </c>
      <c r="M33" s="154"/>
      <c r="N33" s="154"/>
    </row>
    <row r="34" spans="2:14" hidden="1" outlineLevel="1" x14ac:dyDescent="0.25">
      <c r="B34" s="100" t="str">
        <f t="shared" si="3"/>
        <v/>
      </c>
      <c r="C34" s="49"/>
      <c r="D34" s="49"/>
      <c r="E34" s="117"/>
      <c r="F34" s="122" t="str">
        <f t="shared" si="0"/>
        <v/>
      </c>
      <c r="G34" s="66" t="str">
        <f>IF($B34="","",SUMIFS(Selection!$D$27:$D$6236,Selection!$B$27:$B$6236,"&gt;"&amp;$C34,Selection!$B$27:$B$6236,"&lt;="&amp;$D34))</f>
        <v/>
      </c>
      <c r="H34" s="66" t="str">
        <f>IF($B34="","",SUMIFS(Selection!$E$27:$E$6236,Selection!$B$27:$B$6236,"&gt;"&amp;$C34,Selection!$B$27:$B$6236,"&lt;="&amp;$D34))</f>
        <v/>
      </c>
      <c r="I34" s="51" t="str">
        <f t="shared" si="4"/>
        <v/>
      </c>
      <c r="J34" s="52" t="str">
        <f t="shared" si="2"/>
        <v/>
      </c>
      <c r="L34" s="154"/>
      <c r="M34" s="154"/>
      <c r="N34" s="154"/>
    </row>
    <row r="35" spans="2:14" hidden="1" outlineLevel="1" x14ac:dyDescent="0.25">
      <c r="B35" s="100" t="str">
        <f t="shared" si="3"/>
        <v/>
      </c>
      <c r="C35" s="45"/>
      <c r="D35" s="45"/>
      <c r="E35" s="116"/>
      <c r="F35" s="121" t="str">
        <f t="shared" si="0"/>
        <v/>
      </c>
      <c r="G35" s="65" t="str">
        <f>IF($B35="","",SUMIFS(Selection!$D$27:$D$6236,Selection!$B$27:$B$6236,"&gt;"&amp;$C35,Selection!$B$27:$B$6236,"&lt;="&amp;$D35))</f>
        <v/>
      </c>
      <c r="H35" s="65" t="str">
        <f>IF($B35="","",SUMIFS(Selection!$E$27:$E$6236,Selection!$B$27:$B$6236,"&gt;"&amp;$C35,Selection!$B$27:$B$6236,"&lt;="&amp;$D35))</f>
        <v/>
      </c>
      <c r="I35" s="47" t="str">
        <f t="shared" si="4"/>
        <v/>
      </c>
      <c r="J35" s="48" t="str">
        <f t="shared" si="2"/>
        <v/>
      </c>
      <c r="L35" s="154"/>
      <c r="M35" s="154"/>
      <c r="N35" s="154"/>
    </row>
    <row r="36" spans="2:14" hidden="1" outlineLevel="1" x14ac:dyDescent="0.25">
      <c r="B36" s="100" t="str">
        <f t="shared" si="3"/>
        <v/>
      </c>
      <c r="C36" s="49"/>
      <c r="D36" s="49"/>
      <c r="E36" s="117"/>
      <c r="F36" s="122" t="str">
        <f t="shared" si="0"/>
        <v/>
      </c>
      <c r="G36" s="66" t="str">
        <f>IF($B36="","",SUMIFS(Selection!$D$27:$D$6236,Selection!$B$27:$B$6236,"&gt;"&amp;$C36,Selection!$B$27:$B$6236,"&lt;="&amp;$D36))</f>
        <v/>
      </c>
      <c r="H36" s="66" t="str">
        <f>IF($B36="","",SUMIFS(Selection!$E$27:$E$6236,Selection!$B$27:$B$6236,"&gt;"&amp;$C36,Selection!$B$27:$B$6236,"&lt;="&amp;$D36))</f>
        <v/>
      </c>
      <c r="I36" s="51" t="str">
        <f t="shared" si="4"/>
        <v/>
      </c>
      <c r="J36" s="52" t="str">
        <f t="shared" si="2"/>
        <v/>
      </c>
      <c r="L36" s="154"/>
      <c r="M36" s="154"/>
      <c r="N36" s="154"/>
    </row>
    <row r="37" spans="2:14" hidden="1" outlineLevel="1" x14ac:dyDescent="0.25">
      <c r="B37" s="100" t="str">
        <f t="shared" si="3"/>
        <v/>
      </c>
      <c r="C37" s="45"/>
      <c r="D37" s="45"/>
      <c r="E37" s="116"/>
      <c r="F37" s="121" t="str">
        <f t="shared" si="0"/>
        <v/>
      </c>
      <c r="G37" s="65" t="str">
        <f>IF($B37="","",SUMIFS(Selection!$D$27:$D$6236,Selection!$B$27:$B$6236,"&gt;"&amp;$C37,Selection!$B$27:$B$6236,"&lt;="&amp;$D37))</f>
        <v/>
      </c>
      <c r="H37" s="65" t="str">
        <f>IF($B37="","",SUMIFS(Selection!$E$27:$E$6236,Selection!$B$27:$B$6236,"&gt;"&amp;$C37,Selection!$B$27:$B$6236,"&lt;="&amp;$D37))</f>
        <v/>
      </c>
      <c r="I37" s="47" t="str">
        <f t="shared" si="4"/>
        <v/>
      </c>
      <c r="J37" s="48" t="str">
        <f t="shared" si="2"/>
        <v/>
      </c>
    </row>
    <row r="38" spans="2:14" hidden="1" outlineLevel="1" x14ac:dyDescent="0.25">
      <c r="B38" s="100" t="str">
        <f t="shared" si="3"/>
        <v/>
      </c>
      <c r="C38" s="49"/>
      <c r="D38" s="49"/>
      <c r="E38" s="117"/>
      <c r="F38" s="122" t="str">
        <f t="shared" si="0"/>
        <v/>
      </c>
      <c r="G38" s="66" t="str">
        <f>IF($B38="","",SUMIFS(Selection!$D$27:$D$6236,Selection!$B$27:$B$6236,"&gt;"&amp;$C38,Selection!$B$27:$B$6236,"&lt;="&amp;$D38))</f>
        <v/>
      </c>
      <c r="H38" s="66" t="str">
        <f>IF($B38="","",SUMIFS(Selection!$E$27:$E$6236,Selection!$B$27:$B$6236,"&gt;"&amp;$C38,Selection!$B$27:$B$6236,"&lt;="&amp;$D38))</f>
        <v/>
      </c>
      <c r="I38" s="51" t="str">
        <f t="shared" si="4"/>
        <v/>
      </c>
      <c r="J38" s="52" t="str">
        <f t="shared" si="2"/>
        <v/>
      </c>
    </row>
    <row r="39" spans="2:14" hidden="1" outlineLevel="1" x14ac:dyDescent="0.25">
      <c r="B39" s="100" t="str">
        <f t="shared" si="3"/>
        <v/>
      </c>
      <c r="C39" s="45"/>
      <c r="D39" s="45"/>
      <c r="E39" s="116"/>
      <c r="F39" s="121" t="str">
        <f t="shared" si="0"/>
        <v/>
      </c>
      <c r="G39" s="65" t="str">
        <f>IF($B39="","",SUMIFS(Selection!$D$27:$D$6236,Selection!$B$27:$B$6236,"&gt;"&amp;$C39,Selection!$B$27:$B$6236,"&lt;="&amp;$D39))</f>
        <v/>
      </c>
      <c r="H39" s="65" t="str">
        <f>IF($B39="","",SUMIFS(Selection!$E$27:$E$6236,Selection!$B$27:$B$6236,"&gt;"&amp;$C39,Selection!$B$27:$B$6236,"&lt;="&amp;$D39))</f>
        <v/>
      </c>
      <c r="I39" s="47" t="str">
        <f t="shared" si="4"/>
        <v/>
      </c>
      <c r="J39" s="48" t="str">
        <f t="shared" si="2"/>
        <v/>
      </c>
    </row>
    <row r="40" spans="2:14" hidden="1" outlineLevel="1" x14ac:dyDescent="0.25">
      <c r="B40" s="100" t="str">
        <f t="shared" si="3"/>
        <v/>
      </c>
      <c r="C40" s="49"/>
      <c r="D40" s="49"/>
      <c r="E40" s="117"/>
      <c r="F40" s="122" t="str">
        <f t="shared" si="0"/>
        <v/>
      </c>
      <c r="G40" s="66" t="str">
        <f>IF($B40="","",SUMIFS(Selection!$D$27:$D$6236,Selection!$B$27:$B$6236,"&gt;"&amp;$C40,Selection!$B$27:$B$6236,"&lt;="&amp;$D40))</f>
        <v/>
      </c>
      <c r="H40" s="66" t="str">
        <f>IF($B40="","",SUMIFS(Selection!$E$27:$E$6236,Selection!$B$27:$B$6236,"&gt;"&amp;$C40,Selection!$B$27:$B$6236,"&lt;="&amp;$D40))</f>
        <v/>
      </c>
      <c r="I40" s="51" t="str">
        <f t="shared" si="4"/>
        <v/>
      </c>
      <c r="J40" s="52" t="str">
        <f t="shared" si="2"/>
        <v/>
      </c>
    </row>
    <row r="41" spans="2:14" hidden="1" outlineLevel="1" x14ac:dyDescent="0.25">
      <c r="B41" s="100" t="str">
        <f t="shared" si="3"/>
        <v/>
      </c>
      <c r="C41" s="45"/>
      <c r="D41" s="45"/>
      <c r="E41" s="116"/>
      <c r="F41" s="121" t="str">
        <f t="shared" si="0"/>
        <v/>
      </c>
      <c r="G41" s="65" t="str">
        <f>IF($B41="","",SUMIFS(Selection!$D$27:$D$6236,Selection!$B$27:$B$6236,"&gt;"&amp;$C41,Selection!$B$27:$B$6236,"&lt;="&amp;$D41))</f>
        <v/>
      </c>
      <c r="H41" s="65" t="str">
        <f>IF($B41="","",SUMIFS(Selection!$E$27:$E$6236,Selection!$B$27:$B$6236,"&gt;"&amp;$C41,Selection!$B$27:$B$6236,"&lt;="&amp;$D41))</f>
        <v/>
      </c>
      <c r="I41" s="47" t="str">
        <f t="shared" si="4"/>
        <v/>
      </c>
      <c r="J41" s="48" t="str">
        <f t="shared" si="2"/>
        <v/>
      </c>
    </row>
    <row r="42" spans="2:14" hidden="1" outlineLevel="1" x14ac:dyDescent="0.25">
      <c r="B42" s="100" t="str">
        <f t="shared" si="3"/>
        <v/>
      </c>
      <c r="C42" s="49"/>
      <c r="D42" s="49"/>
      <c r="E42" s="117"/>
      <c r="F42" s="122" t="str">
        <f t="shared" si="0"/>
        <v/>
      </c>
      <c r="G42" s="66" t="str">
        <f>IF($B42="","",SUMIFS(Selection!$D$27:$D$6236,Selection!$B$27:$B$6236,"&gt;"&amp;$C42,Selection!$B$27:$B$6236,"&lt;="&amp;$D42))</f>
        <v/>
      </c>
      <c r="H42" s="66" t="str">
        <f>IF($B42="","",SUMIFS(Selection!$E$27:$E$6236,Selection!$B$27:$B$6236,"&gt;"&amp;$C42,Selection!$B$27:$B$6236,"&lt;="&amp;$D42))</f>
        <v/>
      </c>
      <c r="I42" s="51" t="str">
        <f t="shared" si="4"/>
        <v/>
      </c>
      <c r="J42" s="52" t="str">
        <f t="shared" si="2"/>
        <v/>
      </c>
    </row>
    <row r="43" spans="2:14" hidden="1" outlineLevel="1" x14ac:dyDescent="0.25">
      <c r="B43" s="100" t="str">
        <f t="shared" si="3"/>
        <v/>
      </c>
      <c r="C43" s="45"/>
      <c r="D43" s="45"/>
      <c r="E43" s="116"/>
      <c r="F43" s="121" t="str">
        <f t="shared" si="0"/>
        <v/>
      </c>
      <c r="G43" s="65" t="str">
        <f>IF($B43="","",SUMIFS(Selection!$D$27:$D$6236,Selection!$B$27:$B$6236,"&gt;"&amp;$C43,Selection!$B$27:$B$6236,"&lt;="&amp;$D43))</f>
        <v/>
      </c>
      <c r="H43" s="65" t="str">
        <f>IF($B43="","",SUMIFS(Selection!$E$27:$E$6236,Selection!$B$27:$B$6236,"&gt;"&amp;$C43,Selection!$B$27:$B$6236,"&lt;="&amp;$D43))</f>
        <v/>
      </c>
      <c r="I43" s="47" t="str">
        <f t="shared" si="4"/>
        <v/>
      </c>
      <c r="J43" s="48" t="str">
        <f t="shared" si="2"/>
        <v/>
      </c>
    </row>
    <row r="44" spans="2:14" hidden="1" outlineLevel="1" x14ac:dyDescent="0.25">
      <c r="B44" s="100" t="str">
        <f t="shared" si="3"/>
        <v/>
      </c>
      <c r="C44" s="49"/>
      <c r="D44" s="49"/>
      <c r="E44" s="117"/>
      <c r="F44" s="122" t="str">
        <f t="shared" si="0"/>
        <v/>
      </c>
      <c r="G44" s="66" t="str">
        <f>IF($B44="","",SUMIFS(Selection!$D$27:$D$6236,Selection!$B$27:$B$6236,"&gt;"&amp;$C44,Selection!$B$27:$B$6236,"&lt;="&amp;$D44))</f>
        <v/>
      </c>
      <c r="H44" s="66" t="str">
        <f>IF($B44="","",SUMIFS(Selection!$E$27:$E$6236,Selection!$B$27:$B$6236,"&gt;"&amp;$C44,Selection!$B$27:$B$6236,"&lt;="&amp;$D44))</f>
        <v/>
      </c>
      <c r="I44" s="51" t="str">
        <f t="shared" si="4"/>
        <v/>
      </c>
      <c r="J44" s="52" t="str">
        <f t="shared" si="2"/>
        <v/>
      </c>
    </row>
    <row r="45" spans="2:14" hidden="1" outlineLevel="1" x14ac:dyDescent="0.25">
      <c r="B45" s="100" t="str">
        <f t="shared" si="3"/>
        <v/>
      </c>
      <c r="C45" s="45"/>
      <c r="D45" s="45"/>
      <c r="E45" s="116"/>
      <c r="F45" s="121" t="str">
        <f t="shared" si="0"/>
        <v/>
      </c>
      <c r="G45" s="65" t="str">
        <f>IF($B45="","",SUMIFS(Selection!$D$27:$D$6236,Selection!$B$27:$B$6236,"&gt;"&amp;$C45,Selection!$B$27:$B$6236,"&lt;="&amp;$D45))</f>
        <v/>
      </c>
      <c r="H45" s="65" t="str">
        <f>IF($B45="","",SUMIFS(Selection!$E$27:$E$6236,Selection!$B$27:$B$6236,"&gt;"&amp;$C45,Selection!$B$27:$B$6236,"&lt;="&amp;$D45))</f>
        <v/>
      </c>
      <c r="I45" s="47" t="str">
        <f t="shared" si="4"/>
        <v/>
      </c>
      <c r="J45" s="48" t="str">
        <f t="shared" si="2"/>
        <v/>
      </c>
    </row>
    <row r="46" spans="2:14" hidden="1" outlineLevel="1" x14ac:dyDescent="0.25">
      <c r="B46" s="100" t="str">
        <f t="shared" si="3"/>
        <v/>
      </c>
      <c r="C46" s="49"/>
      <c r="D46" s="49"/>
      <c r="E46" s="117"/>
      <c r="F46" s="122" t="str">
        <f t="shared" si="0"/>
        <v/>
      </c>
      <c r="G46" s="66" t="str">
        <f>IF($B46="","",SUMIFS(Selection!$D$27:$D$6236,Selection!$B$27:$B$6236,"&gt;"&amp;$C46,Selection!$B$27:$B$6236,"&lt;="&amp;$D46))</f>
        <v/>
      </c>
      <c r="H46" s="66" t="str">
        <f>IF($B46="","",SUMIFS(Selection!$E$27:$E$6236,Selection!$B$27:$B$6236,"&gt;"&amp;$C46,Selection!$B$27:$B$6236,"&lt;="&amp;$D46))</f>
        <v/>
      </c>
      <c r="I46" s="51" t="str">
        <f t="shared" si="4"/>
        <v/>
      </c>
      <c r="J46" s="52" t="str">
        <f t="shared" si="2"/>
        <v/>
      </c>
    </row>
    <row r="47" spans="2:14" hidden="1" outlineLevel="1" x14ac:dyDescent="0.25">
      <c r="B47" s="100" t="str">
        <f t="shared" si="3"/>
        <v/>
      </c>
      <c r="C47" s="45"/>
      <c r="D47" s="45"/>
      <c r="E47" s="116"/>
      <c r="F47" s="121" t="str">
        <f t="shared" si="0"/>
        <v/>
      </c>
      <c r="G47" s="65" t="str">
        <f>IF($B47="","",SUMIFS(Selection!$D$27:$D$6236,Selection!$B$27:$B$6236,"&gt;"&amp;$C47,Selection!$B$27:$B$6236,"&lt;="&amp;$D47))</f>
        <v/>
      </c>
      <c r="H47" s="65" t="str">
        <f>IF($B47="","",SUMIFS(Selection!$E$27:$E$6236,Selection!$B$27:$B$6236,"&gt;"&amp;$C47,Selection!$B$27:$B$6236,"&lt;="&amp;$D47))</f>
        <v/>
      </c>
      <c r="I47" s="47" t="str">
        <f t="shared" si="4"/>
        <v/>
      </c>
      <c r="J47" s="48" t="str">
        <f t="shared" si="2"/>
        <v/>
      </c>
    </row>
    <row r="48" spans="2:14" hidden="1" outlineLevel="1" x14ac:dyDescent="0.25">
      <c r="B48" s="100" t="str">
        <f t="shared" si="3"/>
        <v/>
      </c>
      <c r="C48" s="49"/>
      <c r="D48" s="49"/>
      <c r="E48" s="117"/>
      <c r="F48" s="122" t="str">
        <f t="shared" si="0"/>
        <v/>
      </c>
      <c r="G48" s="66" t="str">
        <f>IF($B48="","",SUMIFS(Selection!$D$27:$D$6236,Selection!$B$27:$B$6236,"&gt;"&amp;$C48,Selection!$B$27:$B$6236,"&lt;="&amp;$D48))</f>
        <v/>
      </c>
      <c r="H48" s="66" t="str">
        <f>IF($B48="","",SUMIFS(Selection!$E$27:$E$6236,Selection!$B$27:$B$6236,"&gt;"&amp;$C48,Selection!$B$27:$B$6236,"&lt;="&amp;$D48))</f>
        <v/>
      </c>
      <c r="I48" s="51" t="str">
        <f t="shared" si="4"/>
        <v/>
      </c>
      <c r="J48" s="52" t="str">
        <f t="shared" si="2"/>
        <v/>
      </c>
    </row>
    <row r="49" spans="2:10" hidden="1" outlineLevel="1" x14ac:dyDescent="0.25">
      <c r="B49" s="100" t="str">
        <f t="shared" si="3"/>
        <v/>
      </c>
      <c r="C49" s="45"/>
      <c r="D49" s="45"/>
      <c r="E49" s="116"/>
      <c r="F49" s="121" t="str">
        <f t="shared" si="0"/>
        <v/>
      </c>
      <c r="G49" s="65" t="str">
        <f>IF($B49="","",SUMIFS(Selection!$D$27:$D$6236,Selection!$B$27:$B$6236,"&gt;"&amp;$C49,Selection!$B$27:$B$6236,"&lt;="&amp;$D49))</f>
        <v/>
      </c>
      <c r="H49" s="65" t="str">
        <f>IF($B49="","",SUMIFS(Selection!$E$27:$E$6236,Selection!$B$27:$B$6236,"&gt;"&amp;$C49,Selection!$B$27:$B$6236,"&lt;="&amp;$D49))</f>
        <v/>
      </c>
      <c r="I49" s="47" t="str">
        <f t="shared" si="4"/>
        <v/>
      </c>
      <c r="J49" s="48" t="str">
        <f t="shared" si="2"/>
        <v/>
      </c>
    </row>
    <row r="50" spans="2:10" hidden="1" outlineLevel="1" x14ac:dyDescent="0.25">
      <c r="B50" s="100" t="str">
        <f t="shared" si="3"/>
        <v/>
      </c>
      <c r="C50" s="49"/>
      <c r="D50" s="49"/>
      <c r="E50" s="117"/>
      <c r="F50" s="122" t="str">
        <f t="shared" si="0"/>
        <v/>
      </c>
      <c r="G50" s="66" t="str">
        <f>IF($B50="","",SUMIFS(Selection!$D$27:$D$6236,Selection!$B$27:$B$6236,"&gt;"&amp;$C50,Selection!$B$27:$B$6236,"&lt;="&amp;$D50))</f>
        <v/>
      </c>
      <c r="H50" s="66" t="str">
        <f>IF($B50="","",SUMIFS(Selection!$E$27:$E$6236,Selection!$B$27:$B$6236,"&gt;"&amp;$C50,Selection!$B$27:$B$6236,"&lt;="&amp;$D50))</f>
        <v/>
      </c>
      <c r="I50" s="51" t="str">
        <f t="shared" si="4"/>
        <v/>
      </c>
      <c r="J50" s="52" t="str">
        <f t="shared" si="2"/>
        <v/>
      </c>
    </row>
    <row r="51" spans="2:10" hidden="1" outlineLevel="1" x14ac:dyDescent="0.25">
      <c r="B51" s="100" t="str">
        <f t="shared" si="3"/>
        <v/>
      </c>
      <c r="C51" s="45"/>
      <c r="D51" s="45"/>
      <c r="E51" s="116"/>
      <c r="F51" s="121" t="str">
        <f t="shared" si="0"/>
        <v/>
      </c>
      <c r="G51" s="65" t="str">
        <f>IF($B51="","",SUMIFS(Selection!$D$27:$D$6236,Selection!$B$27:$B$6236,"&gt;"&amp;$C51,Selection!$B$27:$B$6236,"&lt;="&amp;$D51))</f>
        <v/>
      </c>
      <c r="H51" s="65" t="str">
        <f>IF($B51="","",SUMIFS(Selection!$E$27:$E$6236,Selection!$B$27:$B$6236,"&gt;"&amp;$C51,Selection!$B$27:$B$6236,"&lt;="&amp;$D51))</f>
        <v/>
      </c>
      <c r="I51" s="47" t="str">
        <f t="shared" si="4"/>
        <v/>
      </c>
      <c r="J51" s="48" t="str">
        <f t="shared" si="2"/>
        <v/>
      </c>
    </row>
    <row r="52" spans="2:10" hidden="1" outlineLevel="1" x14ac:dyDescent="0.25">
      <c r="B52" s="100" t="str">
        <f t="shared" si="3"/>
        <v/>
      </c>
      <c r="C52" s="49"/>
      <c r="D52" s="49"/>
      <c r="E52" s="117"/>
      <c r="F52" s="122" t="str">
        <f t="shared" si="0"/>
        <v/>
      </c>
      <c r="G52" s="66" t="str">
        <f>IF($B52="","",SUMIFS(Selection!$D$27:$D$6236,Selection!$B$27:$B$6236,"&gt;"&amp;$C52,Selection!$B$27:$B$6236,"&lt;="&amp;$D52))</f>
        <v/>
      </c>
      <c r="H52" s="66" t="str">
        <f>IF($B52="","",SUMIFS(Selection!$E$27:$E$6236,Selection!$B$27:$B$6236,"&gt;"&amp;$C52,Selection!$B$27:$B$6236,"&lt;="&amp;$D52))</f>
        <v/>
      </c>
      <c r="I52" s="51" t="str">
        <f t="shared" si="4"/>
        <v/>
      </c>
      <c r="J52" s="52" t="str">
        <f t="shared" si="2"/>
        <v/>
      </c>
    </row>
    <row r="53" spans="2:10" hidden="1" outlineLevel="1" x14ac:dyDescent="0.25">
      <c r="B53" s="100" t="str">
        <f t="shared" si="3"/>
        <v/>
      </c>
      <c r="C53" s="45"/>
      <c r="D53" s="45"/>
      <c r="E53" s="116"/>
      <c r="F53" s="121" t="str">
        <f t="shared" si="0"/>
        <v/>
      </c>
      <c r="G53" s="65" t="str">
        <f>IF($B53="","",SUMIFS(Selection!$D$27:$D$6236,Selection!$B$27:$B$6236,"&gt;"&amp;$C53,Selection!$B$27:$B$6236,"&lt;="&amp;$D53))</f>
        <v/>
      </c>
      <c r="H53" s="65" t="str">
        <f>IF($B53="","",SUMIFS(Selection!$E$27:$E$6236,Selection!$B$27:$B$6236,"&gt;"&amp;$C53,Selection!$B$27:$B$6236,"&lt;="&amp;$D53))</f>
        <v/>
      </c>
      <c r="I53" s="47" t="str">
        <f t="shared" si="4"/>
        <v/>
      </c>
      <c r="J53" s="48" t="str">
        <f t="shared" si="2"/>
        <v/>
      </c>
    </row>
    <row r="54" spans="2:10" hidden="1" outlineLevel="1" x14ac:dyDescent="0.25">
      <c r="B54" s="100" t="str">
        <f t="shared" si="3"/>
        <v/>
      </c>
      <c r="C54" s="49"/>
      <c r="D54" s="49"/>
      <c r="E54" s="117"/>
      <c r="F54" s="122" t="str">
        <f t="shared" si="0"/>
        <v/>
      </c>
      <c r="G54" s="66" t="str">
        <f>IF($B54="","",SUMIFS(Selection!$D$27:$D$6236,Selection!$B$27:$B$6236,"&gt;"&amp;$C54,Selection!$B$27:$B$6236,"&lt;="&amp;$D54))</f>
        <v/>
      </c>
      <c r="H54" s="66" t="str">
        <f>IF($B54="","",SUMIFS(Selection!$E$27:$E$6236,Selection!$B$27:$B$6236,"&gt;"&amp;$C54,Selection!$B$27:$B$6236,"&lt;="&amp;$D54))</f>
        <v/>
      </c>
      <c r="I54" s="51" t="str">
        <f t="shared" si="4"/>
        <v/>
      </c>
      <c r="J54" s="52" t="str">
        <f t="shared" si="2"/>
        <v/>
      </c>
    </row>
    <row r="55" spans="2:10" hidden="1" outlineLevel="1" x14ac:dyDescent="0.25">
      <c r="B55" s="100" t="str">
        <f t="shared" si="3"/>
        <v/>
      </c>
      <c r="C55" s="45"/>
      <c r="D55" s="45"/>
      <c r="E55" s="116"/>
      <c r="F55" s="121" t="str">
        <f t="shared" si="0"/>
        <v/>
      </c>
      <c r="G55" s="65" t="str">
        <f>IF($B55="","",SUMIFS(Selection!$D$27:$D$6236,Selection!$B$27:$B$6236,"&gt;"&amp;$C55,Selection!$B$27:$B$6236,"&lt;="&amp;$D55))</f>
        <v/>
      </c>
      <c r="H55" s="65" t="str">
        <f>IF($B55="","",SUMIFS(Selection!$E$27:$E$6236,Selection!$B$27:$B$6236,"&gt;"&amp;$C55,Selection!$B$27:$B$6236,"&lt;="&amp;$D55))</f>
        <v/>
      </c>
      <c r="I55" s="47" t="str">
        <f t="shared" si="4"/>
        <v/>
      </c>
      <c r="J55" s="48" t="str">
        <f t="shared" si="2"/>
        <v/>
      </c>
    </row>
    <row r="56" spans="2:10" hidden="1" outlineLevel="1" x14ac:dyDescent="0.25">
      <c r="B56" s="100" t="str">
        <f t="shared" si="3"/>
        <v/>
      </c>
      <c r="C56" s="49"/>
      <c r="D56" s="49"/>
      <c r="E56" s="117"/>
      <c r="F56" s="122" t="str">
        <f t="shared" si="0"/>
        <v/>
      </c>
      <c r="G56" s="66" t="str">
        <f>IF($B56="","",SUMIFS(Selection!$D$27:$D$6236,Selection!$B$27:$B$6236,"&gt;"&amp;$C56,Selection!$B$27:$B$6236,"&lt;="&amp;$D56))</f>
        <v/>
      </c>
      <c r="H56" s="66" t="str">
        <f>IF($B56="","",SUMIFS(Selection!$E$27:$E$6236,Selection!$B$27:$B$6236,"&gt;"&amp;$C56,Selection!$B$27:$B$6236,"&lt;="&amp;$D56))</f>
        <v/>
      </c>
      <c r="I56" s="51" t="str">
        <f t="shared" si="4"/>
        <v/>
      </c>
      <c r="J56" s="52" t="str">
        <f t="shared" si="2"/>
        <v/>
      </c>
    </row>
    <row r="57" spans="2:10" hidden="1" outlineLevel="1" x14ac:dyDescent="0.25">
      <c r="B57" s="100" t="str">
        <f t="shared" si="3"/>
        <v/>
      </c>
      <c r="C57" s="45"/>
      <c r="D57" s="45"/>
      <c r="E57" s="116"/>
      <c r="F57" s="121" t="str">
        <f t="shared" si="0"/>
        <v/>
      </c>
      <c r="G57" s="65" t="str">
        <f>IF($B57="","",SUMIFS(Selection!$D$27:$D$6236,Selection!$B$27:$B$6236,"&gt;"&amp;$C57,Selection!$B$27:$B$6236,"&lt;="&amp;$D57))</f>
        <v/>
      </c>
      <c r="H57" s="65" t="str">
        <f>IF($B57="","",SUMIFS(Selection!$E$27:$E$6236,Selection!$B$27:$B$6236,"&gt;"&amp;$C57,Selection!$B$27:$B$6236,"&lt;="&amp;$D57))</f>
        <v/>
      </c>
      <c r="I57" s="47" t="str">
        <f t="shared" si="4"/>
        <v/>
      </c>
      <c r="J57" s="48" t="str">
        <f t="shared" si="2"/>
        <v/>
      </c>
    </row>
    <row r="58" spans="2:10" hidden="1" outlineLevel="1" x14ac:dyDescent="0.25">
      <c r="B58" s="100" t="str">
        <f t="shared" si="3"/>
        <v/>
      </c>
      <c r="C58" s="49"/>
      <c r="D58" s="49"/>
      <c r="E58" s="117"/>
      <c r="F58" s="122" t="str">
        <f t="shared" si="0"/>
        <v/>
      </c>
      <c r="G58" s="66" t="str">
        <f>IF($B58="","",SUMIFS(Selection!$D$27:$D$6236,Selection!$B$27:$B$6236,"&gt;"&amp;$C58,Selection!$B$27:$B$6236,"&lt;="&amp;$D58))</f>
        <v/>
      </c>
      <c r="H58" s="66" t="str">
        <f>IF($B58="","",SUMIFS(Selection!$E$27:$E$6236,Selection!$B$27:$B$6236,"&gt;"&amp;$C58,Selection!$B$27:$B$6236,"&lt;="&amp;$D58))</f>
        <v/>
      </c>
      <c r="I58" s="51" t="str">
        <f t="shared" si="4"/>
        <v/>
      </c>
      <c r="J58" s="52" t="str">
        <f t="shared" si="2"/>
        <v/>
      </c>
    </row>
    <row r="59" spans="2:10" hidden="1" outlineLevel="1" x14ac:dyDescent="0.25">
      <c r="B59" s="100" t="str">
        <f t="shared" si="3"/>
        <v/>
      </c>
      <c r="C59" s="45"/>
      <c r="D59" s="45"/>
      <c r="E59" s="116"/>
      <c r="F59" s="121" t="str">
        <f t="shared" si="0"/>
        <v/>
      </c>
      <c r="G59" s="65" t="str">
        <f>IF($B59="","",SUMIFS(Selection!$D$27:$D$6236,Selection!$B$27:$B$6236,"&gt;"&amp;$C59,Selection!$B$27:$B$6236,"&lt;="&amp;$D59))</f>
        <v/>
      </c>
      <c r="H59" s="65" t="str">
        <f>IF($B59="","",SUMIFS(Selection!$E$27:$E$6236,Selection!$B$27:$B$6236,"&gt;"&amp;$C59,Selection!$B$27:$B$6236,"&lt;="&amp;$D59))</f>
        <v/>
      </c>
      <c r="I59" s="47" t="str">
        <f t="shared" si="4"/>
        <v/>
      </c>
      <c r="J59" s="48" t="str">
        <f t="shared" si="2"/>
        <v/>
      </c>
    </row>
    <row r="60" spans="2:10" hidden="1" outlineLevel="1" x14ac:dyDescent="0.25">
      <c r="B60" s="100" t="str">
        <f t="shared" si="3"/>
        <v/>
      </c>
      <c r="C60" s="49"/>
      <c r="D60" s="49"/>
      <c r="E60" s="117"/>
      <c r="F60" s="122" t="str">
        <f t="shared" si="0"/>
        <v/>
      </c>
      <c r="G60" s="66" t="str">
        <f>IF($B60="","",SUMIFS(Selection!$D$27:$D$6236,Selection!$B$27:$B$6236,"&gt;"&amp;$C60,Selection!$B$27:$B$6236,"&lt;="&amp;$D60))</f>
        <v/>
      </c>
      <c r="H60" s="66" t="str">
        <f>IF($B60="","",SUMIFS(Selection!$E$27:$E$6236,Selection!$B$27:$B$6236,"&gt;"&amp;$C60,Selection!$B$27:$B$6236,"&lt;="&amp;$D60))</f>
        <v/>
      </c>
      <c r="I60" s="51" t="str">
        <f t="shared" si="4"/>
        <v/>
      </c>
      <c r="J60" s="52" t="str">
        <f t="shared" si="2"/>
        <v/>
      </c>
    </row>
    <row r="61" spans="2:10" hidden="1" outlineLevel="1" x14ac:dyDescent="0.25">
      <c r="B61" s="100" t="str">
        <f t="shared" si="3"/>
        <v/>
      </c>
      <c r="C61" s="45"/>
      <c r="D61" s="45"/>
      <c r="E61" s="116"/>
      <c r="F61" s="121" t="str">
        <f t="shared" si="0"/>
        <v/>
      </c>
      <c r="G61" s="65" t="str">
        <f>IF($B61="","",SUMIFS(Selection!$D$27:$D$6236,Selection!$B$27:$B$6236,"&gt;"&amp;$C61,Selection!$B$27:$B$6236,"&lt;="&amp;$D61))</f>
        <v/>
      </c>
      <c r="H61" s="65" t="str">
        <f>IF($B61="","",SUMIFS(Selection!$E$27:$E$6236,Selection!$B$27:$B$6236,"&gt;"&amp;$C61,Selection!$B$27:$B$6236,"&lt;="&amp;$D61))</f>
        <v/>
      </c>
      <c r="I61" s="47" t="str">
        <f t="shared" si="4"/>
        <v/>
      </c>
      <c r="J61" s="48" t="str">
        <f t="shared" si="2"/>
        <v/>
      </c>
    </row>
    <row r="62" spans="2:10" hidden="1" outlineLevel="1" x14ac:dyDescent="0.25">
      <c r="B62" s="100" t="str">
        <f t="shared" si="3"/>
        <v/>
      </c>
      <c r="C62" s="49"/>
      <c r="D62" s="49"/>
      <c r="E62" s="117"/>
      <c r="F62" s="122" t="str">
        <f t="shared" si="0"/>
        <v/>
      </c>
      <c r="G62" s="66" t="str">
        <f>IF($B62="","",SUMIFS(Selection!$D$27:$D$6236,Selection!$B$27:$B$6236,"&gt;"&amp;$C62,Selection!$B$27:$B$6236,"&lt;="&amp;$D62))</f>
        <v/>
      </c>
      <c r="H62" s="66" t="str">
        <f>IF($B62="","",SUMIFS(Selection!$E$27:$E$6236,Selection!$B$27:$B$6236,"&gt;"&amp;$C62,Selection!$B$27:$B$6236,"&lt;="&amp;$D62))</f>
        <v/>
      </c>
      <c r="I62" s="51" t="str">
        <f t="shared" si="4"/>
        <v/>
      </c>
      <c r="J62" s="52" t="str">
        <f t="shared" si="2"/>
        <v/>
      </c>
    </row>
    <row r="63" spans="2:10" hidden="1" outlineLevel="1" x14ac:dyDescent="0.25">
      <c r="B63" s="100" t="str">
        <f t="shared" si="3"/>
        <v/>
      </c>
      <c r="C63" s="45"/>
      <c r="D63" s="45"/>
      <c r="E63" s="116"/>
      <c r="F63" s="121" t="str">
        <f t="shared" si="0"/>
        <v/>
      </c>
      <c r="G63" s="65" t="str">
        <f>IF($B63="","",SUMIFS(Selection!$D$27:$D$6236,Selection!$B$27:$B$6236,"&gt;"&amp;$C63,Selection!$B$27:$B$6236,"&lt;="&amp;$D63))</f>
        <v/>
      </c>
      <c r="H63" s="65" t="str">
        <f>IF($B63="","",SUMIFS(Selection!$E$27:$E$6236,Selection!$B$27:$B$6236,"&gt;"&amp;$C63,Selection!$B$27:$B$6236,"&lt;="&amp;$D63))</f>
        <v/>
      </c>
      <c r="I63" s="47" t="str">
        <f t="shared" si="4"/>
        <v/>
      </c>
      <c r="J63" s="48" t="str">
        <f t="shared" si="2"/>
        <v/>
      </c>
    </row>
    <row r="64" spans="2:10" hidden="1" outlineLevel="1" x14ac:dyDescent="0.25">
      <c r="B64" s="100" t="str">
        <f t="shared" si="3"/>
        <v/>
      </c>
      <c r="C64" s="49"/>
      <c r="D64" s="49"/>
      <c r="E64" s="117"/>
      <c r="F64" s="122" t="str">
        <f t="shared" si="0"/>
        <v/>
      </c>
      <c r="G64" s="66" t="str">
        <f>IF($B64="","",SUMIFS(Selection!$D$27:$D$6236,Selection!$B$27:$B$6236,"&gt;"&amp;$C64,Selection!$B$27:$B$6236,"&lt;="&amp;$D64))</f>
        <v/>
      </c>
      <c r="H64" s="66" t="str">
        <f>IF($B64="","",SUMIFS(Selection!$E$27:$E$6236,Selection!$B$27:$B$6236,"&gt;"&amp;$C64,Selection!$B$27:$B$6236,"&lt;="&amp;$D64))</f>
        <v/>
      </c>
      <c r="I64" s="51" t="str">
        <f t="shared" si="4"/>
        <v/>
      </c>
      <c r="J64" s="52" t="str">
        <f t="shared" si="2"/>
        <v/>
      </c>
    </row>
    <row r="65" spans="1:11" ht="15.75" hidden="1" outlineLevel="1" thickBot="1" x14ac:dyDescent="0.3">
      <c r="B65" s="100" t="str">
        <f t="shared" si="3"/>
        <v/>
      </c>
      <c r="C65" s="56"/>
      <c r="D65" s="56"/>
      <c r="E65" s="118"/>
      <c r="F65" s="123" t="str">
        <f t="shared" si="0"/>
        <v/>
      </c>
      <c r="G65" s="106" t="str">
        <f>IF($B65="","",SUMIFS(Selection!$D$27:$D$6236,Selection!$B$27:$B$6236,"&gt;"&amp;$C65,Selection!$B$27:$B$6236,"&lt;="&amp;$D65))</f>
        <v/>
      </c>
      <c r="H65" s="106" t="str">
        <f>IF($B65="","",SUMIFS(Selection!$E$27:$E$6236,Selection!$B$27:$B$6236,"&gt;"&amp;$C65,Selection!$B$27:$B$6236,"&lt;="&amp;$D65))</f>
        <v/>
      </c>
      <c r="I65" s="108" t="str">
        <f t="shared" si="4"/>
        <v/>
      </c>
      <c r="J65" s="109" t="str">
        <f t="shared" si="2"/>
        <v/>
      </c>
    </row>
    <row r="66" spans="1:11" ht="15.75" thickBot="1" x14ac:dyDescent="0.3">
      <c r="A66" s="36" t="s">
        <v>83</v>
      </c>
      <c r="B66" s="67">
        <f>MAX(B16:B65)</f>
        <v>12</v>
      </c>
      <c r="F66" s="110">
        <f>SUM(F16:F65)</f>
        <v>365</v>
      </c>
      <c r="G66" s="111">
        <f ca="1">SUM(G16:G65)</f>
        <v>5090.8999999999996</v>
      </c>
      <c r="H66" s="111">
        <f ca="1">SUM(H16:H65)</f>
        <v>1287</v>
      </c>
      <c r="I66" s="112">
        <f>SUM(I16:I65)</f>
        <v>176080</v>
      </c>
      <c r="J66" s="113">
        <f ca="1">SUM(J16:J65)</f>
        <v>176098.06530245786</v>
      </c>
    </row>
    <row r="67" spans="1:11" x14ac:dyDescent="0.25">
      <c r="I67" s="30"/>
      <c r="J67" s="30"/>
    </row>
    <row r="70" spans="1:11" x14ac:dyDescent="0.25">
      <c r="K70" s="30"/>
    </row>
    <row r="71" spans="1:11" x14ac:dyDescent="0.25">
      <c r="K71" s="30"/>
    </row>
    <row r="73" spans="1:11" outlineLevel="1" x14ac:dyDescent="0.25"/>
    <row r="74" spans="1:11" outlineLevel="1" x14ac:dyDescent="0.25"/>
    <row r="75" spans="1:11" outlineLevel="1" x14ac:dyDescent="0.25"/>
    <row r="76" spans="1:11" outlineLevel="1" x14ac:dyDescent="0.25"/>
    <row r="77" spans="1:11" outlineLevel="1" x14ac:dyDescent="0.25"/>
    <row r="78" spans="1:11" outlineLevel="1" x14ac:dyDescent="0.25"/>
    <row r="79" spans="1:11" outlineLevel="1" x14ac:dyDescent="0.25"/>
    <row r="80" spans="1:11" outlineLevel="1" x14ac:dyDescent="0.25"/>
    <row r="81" spans="3:15" outlineLevel="1" x14ac:dyDescent="0.25"/>
    <row r="82" spans="3:15" outlineLevel="1" x14ac:dyDescent="0.25"/>
    <row r="83" spans="3:15" outlineLevel="1" x14ac:dyDescent="0.25"/>
    <row r="84" spans="3:15" outlineLevel="1" x14ac:dyDescent="0.25"/>
    <row r="85" spans="3:15" outlineLevel="1" x14ac:dyDescent="0.25"/>
    <row r="86" spans="3:15" outlineLevel="1" x14ac:dyDescent="0.25"/>
    <row r="87" spans="3:15" outlineLevel="1" x14ac:dyDescent="0.25"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</row>
    <row r="88" spans="3:15" x14ac:dyDescent="0.25"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</row>
    <row r="90" spans="3:15" x14ac:dyDescent="0.25">
      <c r="C90" t="s">
        <v>58</v>
      </c>
    </row>
    <row r="92" spans="3:15" x14ac:dyDescent="0.25">
      <c r="C92" t="s">
        <v>57</v>
      </c>
    </row>
    <row r="96" spans="3:15" x14ac:dyDescent="0.25">
      <c r="C96" t="s">
        <v>59</v>
      </c>
    </row>
    <row r="97" spans="3:3" x14ac:dyDescent="0.25">
      <c r="C97" t="s">
        <v>60</v>
      </c>
    </row>
    <row r="98" spans="3:3" collapsed="1" x14ac:dyDescent="0.25">
      <c r="C98" t="s">
        <v>61</v>
      </c>
    </row>
    <row r="118" spans="2:21" ht="14.45" customHeight="1" x14ac:dyDescent="0.25"/>
    <row r="120" spans="2:21" ht="15.75" thickBot="1" x14ac:dyDescent="0.3">
      <c r="C120" t="s">
        <v>62</v>
      </c>
      <c r="J120" t="s">
        <v>63</v>
      </c>
      <c r="O120" t="s">
        <v>64</v>
      </c>
      <c r="T120" t="s">
        <v>87</v>
      </c>
    </row>
    <row r="121" spans="2:21" ht="18.75" thickBot="1" x14ac:dyDescent="0.3">
      <c r="C121" s="44" t="s">
        <v>45</v>
      </c>
      <c r="D121" s="55">
        <f t="array" aca="1" ref="D121:D123" ca="1">MMULT(MMULT(MINVERSE(MMULT(TRANSPOSE(X_HC),X_HC)),TRANSPOSE(X_HC)),Y)</f>
        <v>308.51101381018299</v>
      </c>
      <c r="J121" s="44" t="s">
        <v>45</v>
      </c>
      <c r="K121" s="55">
        <f t="array" aca="1" ref="K121:K122" ca="1">MMULT(MMULT(MINVERSE(MMULT(TRANSPOSE(X_H),X_H)),TRANSPOSE(X_H)),Y)</f>
        <v>483.79476846333063</v>
      </c>
      <c r="O121" s="44" t="s">
        <v>45</v>
      </c>
      <c r="P121" s="55">
        <f t="array" aca="1" ref="P121:P122" ca="1">MMULT(MMULT(MINVERSE(MMULT(TRANSPOSE(X_C),X_C)),TRANSPOSE(X_C)),Y)</f>
        <v>437.50595017429544</v>
      </c>
      <c r="S121" s="44" t="s">
        <v>45</v>
      </c>
      <c r="T121">
        <f>I66/F66</f>
        <v>482.41095890410958</v>
      </c>
      <c r="U121" s="55"/>
    </row>
    <row r="122" spans="2:21" ht="19.5" thickTop="1" thickBot="1" x14ac:dyDescent="0.3">
      <c r="C122" s="44" t="s">
        <v>46</v>
      </c>
      <c r="D122" s="55">
        <f ca="1"/>
        <v>6.2871055119823769</v>
      </c>
      <c r="J122" s="44" t="s">
        <v>46</v>
      </c>
      <c r="K122" s="55">
        <f ca="1"/>
        <v>-2.5278793692203927E-2</v>
      </c>
      <c r="O122" s="44" t="s">
        <v>47</v>
      </c>
      <c r="P122" s="55">
        <f ca="1"/>
        <v>13.06242278165384</v>
      </c>
      <c r="U122" s="55"/>
    </row>
    <row r="123" spans="2:21" ht="19.5" thickTop="1" thickBot="1" x14ac:dyDescent="0.3">
      <c r="C123" s="44" t="s">
        <v>47</v>
      </c>
      <c r="D123" s="55">
        <f ca="1"/>
        <v>24.463496356480157</v>
      </c>
      <c r="K123" s="55"/>
      <c r="P123" s="55"/>
      <c r="U123" s="55"/>
    </row>
    <row r="124" spans="2:21" ht="15.75" thickTop="1" x14ac:dyDescent="0.25">
      <c r="E124">
        <f ca="1">COUNTIF(E127:E176,"")</f>
        <v>38</v>
      </c>
    </row>
    <row r="125" spans="2:21" ht="15.75" thickBot="1" x14ac:dyDescent="0.3"/>
    <row r="126" spans="2:21" ht="30.75" thickBot="1" x14ac:dyDescent="0.3">
      <c r="C126" s="36" t="s">
        <v>41</v>
      </c>
      <c r="D126" s="37" t="s">
        <v>42</v>
      </c>
      <c r="E126" s="67" t="s">
        <v>43</v>
      </c>
      <c r="F126" s="68" t="s">
        <v>86</v>
      </c>
      <c r="I126" s="36" t="s">
        <v>41</v>
      </c>
      <c r="J126" s="38" t="s">
        <v>42</v>
      </c>
      <c r="K126" s="39" t="s">
        <v>44</v>
      </c>
      <c r="N126" s="36" t="s">
        <v>41</v>
      </c>
      <c r="O126" s="38" t="s">
        <v>43</v>
      </c>
      <c r="P126" s="68" t="s">
        <v>86</v>
      </c>
      <c r="S126" s="36" t="s">
        <v>41</v>
      </c>
      <c r="T126" s="68" t="s">
        <v>86</v>
      </c>
    </row>
    <row r="127" spans="2:21" x14ac:dyDescent="0.25">
      <c r="B127">
        <f>B16</f>
        <v>1</v>
      </c>
      <c r="C127" s="41">
        <f>$F16</f>
        <v>29</v>
      </c>
      <c r="D127" s="64">
        <f ca="1">$G16</f>
        <v>884</v>
      </c>
      <c r="E127" s="103">
        <f ca="1">$H16</f>
        <v>0</v>
      </c>
      <c r="F127" s="43">
        <f ca="1">IF($B127="","",$D$121*C127+$D$122*D127+E127*$D$123)</f>
        <v>14504.620673087727</v>
      </c>
      <c r="I127" s="41">
        <f>$F16</f>
        <v>29</v>
      </c>
      <c r="J127" s="42">
        <f ca="1">$G16</f>
        <v>884</v>
      </c>
      <c r="K127" s="43">
        <f ca="1">IF($B127="","",$K$121*I127+$K$122*J127)</f>
        <v>14007.701831812679</v>
      </c>
      <c r="N127" s="41">
        <f>$F16</f>
        <v>29</v>
      </c>
      <c r="O127" s="42">
        <f ca="1">$H16</f>
        <v>0</v>
      </c>
      <c r="P127" s="43">
        <f ca="1">IF($B127="","",$P$121*N127+$P$122*O127)</f>
        <v>12687.672555054567</v>
      </c>
      <c r="S127" s="41">
        <f>$F16</f>
        <v>29</v>
      </c>
      <c r="T127" s="43">
        <f>IF($B127="","",$T$121*S127)</f>
        <v>13989.917808219177</v>
      </c>
    </row>
    <row r="128" spans="2:21" x14ac:dyDescent="0.25">
      <c r="B128">
        <f t="shared" ref="B128:B176" si="5">B17</f>
        <v>2</v>
      </c>
      <c r="C128" s="46">
        <f t="shared" ref="C128:C176" si="6">$F17</f>
        <v>32</v>
      </c>
      <c r="D128" s="65">
        <f t="shared" ref="D128:D176" ca="1" si="7">$G17</f>
        <v>1102.0999999999999</v>
      </c>
      <c r="E128" s="104">
        <f t="shared" ref="E128:E176" ca="1" si="8">$H17</f>
        <v>0</v>
      </c>
      <c r="F128" s="48">
        <f t="shared" ref="F128:F176" ca="1" si="9">IF($B128="","",$D$121*C128+$D$122*D128+E128*$D$123)</f>
        <v>16801.371426681631</v>
      </c>
      <c r="I128" s="46">
        <f t="shared" ref="I128:I176" si="10">$F17</f>
        <v>32</v>
      </c>
      <c r="J128" s="47">
        <f t="shared" ref="J128:J176" ca="1" si="11">$G17</f>
        <v>1102.0999999999999</v>
      </c>
      <c r="K128" s="48">
        <f t="shared" ref="K128:K176" ca="1" si="12">IF($B128="","",$K$121*I128+$K$122*J128)</f>
        <v>15453.572832298401</v>
      </c>
      <c r="N128" s="46">
        <f t="shared" ref="N128:N176" si="13">$F17</f>
        <v>32</v>
      </c>
      <c r="O128" s="47">
        <f t="shared" ref="O128:O176" ca="1" si="14">$H17</f>
        <v>0</v>
      </c>
      <c r="P128" s="48">
        <f t="shared" ref="P128:P176" ca="1" si="15">IF($B128="","",$P$121*N128+$P$122*O128)</f>
        <v>14000.190405577454</v>
      </c>
      <c r="S128" s="46">
        <f t="shared" ref="S128:S176" si="16">$F17</f>
        <v>32</v>
      </c>
      <c r="T128" s="48">
        <f t="shared" ref="T128:T176" si="17">IF($B128="","",$T$121*S128)</f>
        <v>15437.150684931506</v>
      </c>
    </row>
    <row r="129" spans="2:20" x14ac:dyDescent="0.25">
      <c r="B129">
        <f t="shared" si="5"/>
        <v>3</v>
      </c>
      <c r="C129" s="50">
        <f t="shared" si="6"/>
        <v>32</v>
      </c>
      <c r="D129" s="66">
        <f t="shared" ca="1" si="7"/>
        <v>1073.8999999999999</v>
      </c>
      <c r="E129" s="102">
        <f t="shared" ca="1" si="8"/>
        <v>0</v>
      </c>
      <c r="F129" s="52">
        <f t="shared" ca="1" si="9"/>
        <v>16624.07505124373</v>
      </c>
      <c r="I129" s="50">
        <f t="shared" si="10"/>
        <v>32</v>
      </c>
      <c r="J129" s="51">
        <f t="shared" ca="1" si="11"/>
        <v>1073.8999999999999</v>
      </c>
      <c r="K129" s="52">
        <f t="shared" ca="1" si="12"/>
        <v>15454.285694280523</v>
      </c>
      <c r="N129" s="50">
        <f t="shared" si="13"/>
        <v>32</v>
      </c>
      <c r="O129" s="51">
        <f t="shared" ca="1" si="14"/>
        <v>0</v>
      </c>
      <c r="P129" s="52">
        <f t="shared" ca="1" si="15"/>
        <v>14000.190405577454</v>
      </c>
      <c r="S129" s="50">
        <f t="shared" si="16"/>
        <v>32</v>
      </c>
      <c r="T129" s="52">
        <f t="shared" si="17"/>
        <v>15437.150684931506</v>
      </c>
    </row>
    <row r="130" spans="2:20" x14ac:dyDescent="0.25">
      <c r="B130">
        <f t="shared" si="5"/>
        <v>4</v>
      </c>
      <c r="C130" s="46">
        <f t="shared" si="6"/>
        <v>32</v>
      </c>
      <c r="D130" s="65">
        <f t="shared" ca="1" si="7"/>
        <v>838.49999999999966</v>
      </c>
      <c r="E130" s="104">
        <f t="shared" ca="1" si="8"/>
        <v>0</v>
      </c>
      <c r="F130" s="48">
        <f t="shared" ca="1" si="9"/>
        <v>15144.090413723075</v>
      </c>
      <c r="I130" s="46">
        <f t="shared" si="10"/>
        <v>32</v>
      </c>
      <c r="J130" s="47">
        <f t="shared" ca="1" si="11"/>
        <v>838.49999999999966</v>
      </c>
      <c r="K130" s="48">
        <f t="shared" ca="1" si="12"/>
        <v>15460.236322315666</v>
      </c>
      <c r="N130" s="46">
        <f t="shared" si="13"/>
        <v>32</v>
      </c>
      <c r="O130" s="47">
        <f t="shared" ca="1" si="14"/>
        <v>0</v>
      </c>
      <c r="P130" s="48">
        <f t="shared" ca="1" si="15"/>
        <v>14000.190405577454</v>
      </c>
      <c r="S130" s="46">
        <f t="shared" si="16"/>
        <v>32</v>
      </c>
      <c r="T130" s="48">
        <f t="shared" si="17"/>
        <v>15437.150684931506</v>
      </c>
    </row>
    <row r="131" spans="2:20" x14ac:dyDescent="0.25">
      <c r="B131">
        <f t="shared" si="5"/>
        <v>5</v>
      </c>
      <c r="C131" s="50">
        <f t="shared" si="6"/>
        <v>30</v>
      </c>
      <c r="D131" s="66">
        <f t="shared" ca="1" si="7"/>
        <v>458.29999999999995</v>
      </c>
      <c r="E131" s="102">
        <f t="shared" ca="1" si="8"/>
        <v>0.90000000000000568</v>
      </c>
      <c r="F131" s="52">
        <f t="shared" ca="1" si="9"/>
        <v>12158.728017167847</v>
      </c>
      <c r="I131" s="50">
        <f t="shared" si="10"/>
        <v>30</v>
      </c>
      <c r="J131" s="51">
        <f t="shared" ca="1" si="11"/>
        <v>458.29999999999995</v>
      </c>
      <c r="K131" s="52">
        <f t="shared" ca="1" si="12"/>
        <v>14502.257782750781</v>
      </c>
      <c r="N131" s="50">
        <f t="shared" si="13"/>
        <v>30</v>
      </c>
      <c r="O131" s="51">
        <f t="shared" ca="1" si="14"/>
        <v>0.90000000000000568</v>
      </c>
      <c r="P131" s="52">
        <f t="shared" ca="1" si="15"/>
        <v>13136.934685732353</v>
      </c>
      <c r="S131" s="50">
        <f t="shared" si="16"/>
        <v>30</v>
      </c>
      <c r="T131" s="52">
        <f t="shared" si="17"/>
        <v>14472.328767123287</v>
      </c>
    </row>
    <row r="132" spans="2:20" x14ac:dyDescent="0.25">
      <c r="B132">
        <f t="shared" si="5"/>
        <v>6</v>
      </c>
      <c r="C132" s="46">
        <f t="shared" si="6"/>
        <v>29</v>
      </c>
      <c r="D132" s="65">
        <f t="shared" ca="1" si="7"/>
        <v>74.400000000000006</v>
      </c>
      <c r="E132" s="104">
        <f t="shared" ca="1" si="8"/>
        <v>40.600000000000009</v>
      </c>
      <c r="F132" s="48">
        <f t="shared" ca="1" si="9"/>
        <v>10407.798002659891</v>
      </c>
      <c r="I132" s="46">
        <f t="shared" si="10"/>
        <v>29</v>
      </c>
      <c r="J132" s="47">
        <f t="shared" ca="1" si="11"/>
        <v>74.400000000000006</v>
      </c>
      <c r="K132" s="48">
        <f t="shared" ca="1" si="12"/>
        <v>14028.167543185888</v>
      </c>
      <c r="N132" s="46">
        <f t="shared" si="13"/>
        <v>29</v>
      </c>
      <c r="O132" s="47">
        <f t="shared" ca="1" si="14"/>
        <v>40.600000000000009</v>
      </c>
      <c r="P132" s="48">
        <f t="shared" ca="1" si="15"/>
        <v>13218.006919989713</v>
      </c>
      <c r="S132" s="46">
        <f t="shared" si="16"/>
        <v>29</v>
      </c>
      <c r="T132" s="48">
        <f t="shared" si="17"/>
        <v>13989.917808219177</v>
      </c>
    </row>
    <row r="133" spans="2:20" x14ac:dyDescent="0.25">
      <c r="B133">
        <f t="shared" si="5"/>
        <v>7</v>
      </c>
      <c r="C133" s="50">
        <f t="shared" si="6"/>
        <v>32</v>
      </c>
      <c r="D133" s="66">
        <f t="shared" ca="1" si="7"/>
        <v>23.6</v>
      </c>
      <c r="E133" s="102">
        <f t="shared" ca="1" si="8"/>
        <v>222.90000000000009</v>
      </c>
      <c r="F133" s="52">
        <f t="shared" ca="1" si="9"/>
        <v>15473.641469868069</v>
      </c>
      <c r="I133" s="50">
        <f t="shared" si="10"/>
        <v>32</v>
      </c>
      <c r="J133" s="51">
        <f t="shared" ca="1" si="11"/>
        <v>23.6</v>
      </c>
      <c r="K133" s="52">
        <f t="shared" ca="1" si="12"/>
        <v>15480.836011295443</v>
      </c>
      <c r="N133" s="50">
        <f t="shared" si="13"/>
        <v>32</v>
      </c>
      <c r="O133" s="51">
        <f t="shared" ca="1" si="14"/>
        <v>222.90000000000009</v>
      </c>
      <c r="P133" s="52">
        <f t="shared" ca="1" si="15"/>
        <v>16911.804443608096</v>
      </c>
      <c r="S133" s="50">
        <f t="shared" si="16"/>
        <v>32</v>
      </c>
      <c r="T133" s="52">
        <f t="shared" si="17"/>
        <v>15437.150684931506</v>
      </c>
    </row>
    <row r="134" spans="2:20" x14ac:dyDescent="0.25">
      <c r="B134">
        <f t="shared" si="5"/>
        <v>8</v>
      </c>
      <c r="C134" s="46">
        <f t="shared" si="6"/>
        <v>29</v>
      </c>
      <c r="D134" s="65">
        <f t="shared" ca="1" si="7"/>
        <v>0</v>
      </c>
      <c r="E134" s="104">
        <f t="shared" ca="1" si="8"/>
        <v>278</v>
      </c>
      <c r="F134" s="48">
        <f t="shared" ca="1" si="9"/>
        <v>15747.671387596791</v>
      </c>
      <c r="I134" s="46">
        <f t="shared" si="10"/>
        <v>29</v>
      </c>
      <c r="J134" s="47">
        <f t="shared" ca="1" si="11"/>
        <v>0</v>
      </c>
      <c r="K134" s="48">
        <f t="shared" ca="1" si="12"/>
        <v>14030.048285436587</v>
      </c>
      <c r="N134" s="46">
        <f t="shared" si="13"/>
        <v>29</v>
      </c>
      <c r="O134" s="47">
        <f t="shared" ca="1" si="14"/>
        <v>278</v>
      </c>
      <c r="P134" s="48">
        <f t="shared" ca="1" si="15"/>
        <v>16319.026088354334</v>
      </c>
      <c r="S134" s="46">
        <f t="shared" si="16"/>
        <v>29</v>
      </c>
      <c r="T134" s="48">
        <f t="shared" si="17"/>
        <v>13989.917808219177</v>
      </c>
    </row>
    <row r="135" spans="2:20" x14ac:dyDescent="0.25">
      <c r="B135">
        <f t="shared" si="5"/>
        <v>9</v>
      </c>
      <c r="C135" s="50">
        <f t="shared" si="6"/>
        <v>30</v>
      </c>
      <c r="D135" s="66">
        <f t="shared" ca="1" si="7"/>
        <v>0</v>
      </c>
      <c r="E135" s="102">
        <f t="shared" ca="1" si="8"/>
        <v>509.09999999999991</v>
      </c>
      <c r="F135" s="52">
        <f t="shared" ca="1" si="9"/>
        <v>21709.696409389537</v>
      </c>
      <c r="I135" s="50">
        <f t="shared" si="10"/>
        <v>30</v>
      </c>
      <c r="J135" s="51">
        <f t="shared" ca="1" si="11"/>
        <v>0</v>
      </c>
      <c r="K135" s="52">
        <f t="shared" ca="1" si="12"/>
        <v>14513.843053899918</v>
      </c>
      <c r="N135" s="50">
        <f t="shared" si="13"/>
        <v>30</v>
      </c>
      <c r="O135" s="51">
        <f t="shared" ca="1" si="14"/>
        <v>509.09999999999991</v>
      </c>
      <c r="P135" s="52">
        <f t="shared" ca="1" si="15"/>
        <v>19775.257943368833</v>
      </c>
      <c r="S135" s="50">
        <f t="shared" si="16"/>
        <v>30</v>
      </c>
      <c r="T135" s="52">
        <f t="shared" si="17"/>
        <v>14472.328767123287</v>
      </c>
    </row>
    <row r="136" spans="2:20" x14ac:dyDescent="0.25">
      <c r="B136">
        <f t="shared" si="5"/>
        <v>10</v>
      </c>
      <c r="C136" s="46">
        <f t="shared" si="6"/>
        <v>32</v>
      </c>
      <c r="D136" s="65">
        <f t="shared" ca="1" si="7"/>
        <v>36.299999999999997</v>
      </c>
      <c r="E136" s="104">
        <f t="shared" ca="1" si="8"/>
        <v>205.7</v>
      </c>
      <c r="F136" s="48">
        <f t="shared" ca="1" si="9"/>
        <v>15132.715572538786</v>
      </c>
      <c r="I136" s="46">
        <f t="shared" si="10"/>
        <v>32</v>
      </c>
      <c r="J136" s="47">
        <f t="shared" ca="1" si="11"/>
        <v>36.299999999999997</v>
      </c>
      <c r="K136" s="48">
        <f t="shared" ca="1" si="12"/>
        <v>15480.514970615553</v>
      </c>
      <c r="N136" s="46">
        <f t="shared" si="13"/>
        <v>32</v>
      </c>
      <c r="O136" s="47">
        <f t="shared" ca="1" si="14"/>
        <v>205.7</v>
      </c>
      <c r="P136" s="48">
        <f t="shared" ca="1" si="15"/>
        <v>16687.130771763648</v>
      </c>
      <c r="S136" s="46">
        <f t="shared" si="16"/>
        <v>32</v>
      </c>
      <c r="T136" s="48">
        <f t="shared" si="17"/>
        <v>15437.150684931506</v>
      </c>
    </row>
    <row r="137" spans="2:20" x14ac:dyDescent="0.25">
      <c r="B137">
        <f t="shared" si="5"/>
        <v>11</v>
      </c>
      <c r="C137" s="50">
        <f t="shared" si="6"/>
        <v>29</v>
      </c>
      <c r="D137" s="66">
        <f t="shared" ca="1" si="7"/>
        <v>163.59999999999994</v>
      </c>
      <c r="E137" s="102">
        <f t="shared" ca="1" si="8"/>
        <v>29.800000000000011</v>
      </c>
      <c r="F137" s="52">
        <f t="shared" ca="1" si="9"/>
        <v>10704.402053678734</v>
      </c>
      <c r="I137" s="50">
        <f t="shared" si="10"/>
        <v>29</v>
      </c>
      <c r="J137" s="51">
        <f t="shared" ca="1" si="11"/>
        <v>163.59999999999994</v>
      </c>
      <c r="K137" s="52">
        <f t="shared" ca="1" si="12"/>
        <v>14025.912674788542</v>
      </c>
      <c r="N137" s="50">
        <f t="shared" si="13"/>
        <v>29</v>
      </c>
      <c r="O137" s="51">
        <f t="shared" ca="1" si="14"/>
        <v>29.800000000000011</v>
      </c>
      <c r="P137" s="52">
        <f t="shared" ca="1" si="15"/>
        <v>13076.932753947851</v>
      </c>
      <c r="S137" s="50">
        <f t="shared" si="16"/>
        <v>29</v>
      </c>
      <c r="T137" s="52">
        <f t="shared" si="17"/>
        <v>13989.917808219177</v>
      </c>
    </row>
    <row r="138" spans="2:20" x14ac:dyDescent="0.25">
      <c r="B138">
        <f t="shared" si="5"/>
        <v>12</v>
      </c>
      <c r="C138" s="46">
        <f t="shared" si="6"/>
        <v>29</v>
      </c>
      <c r="D138" s="65">
        <f t="shared" ca="1" si="7"/>
        <v>436.19999999999993</v>
      </c>
      <c r="E138" s="104">
        <f t="shared" ca="1" si="8"/>
        <v>0</v>
      </c>
      <c r="F138" s="48">
        <f t="shared" ca="1" si="9"/>
        <v>11689.254824822019</v>
      </c>
      <c r="I138" s="46">
        <f t="shared" si="10"/>
        <v>29</v>
      </c>
      <c r="J138" s="47">
        <f t="shared" ca="1" si="11"/>
        <v>436.19999999999993</v>
      </c>
      <c r="K138" s="48">
        <f t="shared" ca="1" si="12"/>
        <v>14019.021675628048</v>
      </c>
      <c r="N138" s="46">
        <f t="shared" si="13"/>
        <v>29</v>
      </c>
      <c r="O138" s="47">
        <f t="shared" ca="1" si="14"/>
        <v>0</v>
      </c>
      <c r="P138" s="48">
        <f t="shared" ca="1" si="15"/>
        <v>12687.672555054567</v>
      </c>
      <c r="S138" s="46">
        <f t="shared" si="16"/>
        <v>29</v>
      </c>
      <c r="T138" s="48">
        <f t="shared" si="17"/>
        <v>13989.917808219177</v>
      </c>
    </row>
    <row r="139" spans="2:20" x14ac:dyDescent="0.25">
      <c r="B139" t="str">
        <f t="shared" si="5"/>
        <v/>
      </c>
      <c r="C139" s="50" t="str">
        <f t="shared" si="6"/>
        <v/>
      </c>
      <c r="D139" s="66" t="str">
        <f t="shared" si="7"/>
        <v/>
      </c>
      <c r="E139" s="102" t="str">
        <f t="shared" si="8"/>
        <v/>
      </c>
      <c r="F139" s="52" t="str">
        <f t="shared" si="9"/>
        <v/>
      </c>
      <c r="I139" s="50" t="str">
        <f t="shared" si="10"/>
        <v/>
      </c>
      <c r="J139" s="51" t="str">
        <f t="shared" si="11"/>
        <v/>
      </c>
      <c r="K139" s="52" t="str">
        <f t="shared" si="12"/>
        <v/>
      </c>
      <c r="N139" s="50" t="str">
        <f t="shared" si="13"/>
        <v/>
      </c>
      <c r="O139" s="51" t="str">
        <f t="shared" si="14"/>
        <v/>
      </c>
      <c r="P139" s="52" t="str">
        <f t="shared" si="15"/>
        <v/>
      </c>
      <c r="S139" s="50" t="str">
        <f t="shared" si="16"/>
        <v/>
      </c>
      <c r="T139" s="52" t="str">
        <f t="shared" si="17"/>
        <v/>
      </c>
    </row>
    <row r="140" spans="2:20" x14ac:dyDescent="0.25">
      <c r="B140" t="str">
        <f t="shared" si="5"/>
        <v/>
      </c>
      <c r="C140" s="46" t="str">
        <f t="shared" si="6"/>
        <v/>
      </c>
      <c r="D140" s="65" t="str">
        <f t="shared" si="7"/>
        <v/>
      </c>
      <c r="E140" s="104" t="str">
        <f t="shared" si="8"/>
        <v/>
      </c>
      <c r="F140" s="48" t="str">
        <f t="shared" si="9"/>
        <v/>
      </c>
      <c r="I140" s="46" t="str">
        <f t="shared" si="10"/>
        <v/>
      </c>
      <c r="J140" s="47" t="str">
        <f t="shared" si="11"/>
        <v/>
      </c>
      <c r="K140" s="48" t="str">
        <f t="shared" si="12"/>
        <v/>
      </c>
      <c r="N140" s="46" t="str">
        <f t="shared" si="13"/>
        <v/>
      </c>
      <c r="O140" s="47" t="str">
        <f t="shared" si="14"/>
        <v/>
      </c>
      <c r="P140" s="48" t="str">
        <f t="shared" si="15"/>
        <v/>
      </c>
      <c r="S140" s="46" t="str">
        <f t="shared" si="16"/>
        <v/>
      </c>
      <c r="T140" s="48" t="str">
        <f t="shared" si="17"/>
        <v/>
      </c>
    </row>
    <row r="141" spans="2:20" x14ac:dyDescent="0.25">
      <c r="B141" t="str">
        <f t="shared" si="5"/>
        <v/>
      </c>
      <c r="C141" s="50" t="str">
        <f t="shared" si="6"/>
        <v/>
      </c>
      <c r="D141" s="66" t="str">
        <f t="shared" si="7"/>
        <v/>
      </c>
      <c r="E141" s="102" t="str">
        <f t="shared" si="8"/>
        <v/>
      </c>
      <c r="F141" s="52" t="str">
        <f t="shared" si="9"/>
        <v/>
      </c>
      <c r="I141" s="50" t="str">
        <f t="shared" si="10"/>
        <v/>
      </c>
      <c r="J141" s="51" t="str">
        <f t="shared" si="11"/>
        <v/>
      </c>
      <c r="K141" s="52" t="str">
        <f t="shared" si="12"/>
        <v/>
      </c>
      <c r="N141" s="50" t="str">
        <f t="shared" si="13"/>
        <v/>
      </c>
      <c r="O141" s="51" t="str">
        <f t="shared" si="14"/>
        <v/>
      </c>
      <c r="P141" s="52" t="str">
        <f t="shared" si="15"/>
        <v/>
      </c>
      <c r="S141" s="50" t="str">
        <f t="shared" si="16"/>
        <v/>
      </c>
      <c r="T141" s="52" t="str">
        <f t="shared" si="17"/>
        <v/>
      </c>
    </row>
    <row r="142" spans="2:20" x14ac:dyDescent="0.25">
      <c r="B142" t="str">
        <f t="shared" si="5"/>
        <v/>
      </c>
      <c r="C142" s="46" t="str">
        <f t="shared" si="6"/>
        <v/>
      </c>
      <c r="D142" s="65" t="str">
        <f t="shared" si="7"/>
        <v/>
      </c>
      <c r="E142" s="104" t="str">
        <f t="shared" si="8"/>
        <v/>
      </c>
      <c r="F142" s="48" t="str">
        <f t="shared" si="9"/>
        <v/>
      </c>
      <c r="I142" s="46" t="str">
        <f t="shared" si="10"/>
        <v/>
      </c>
      <c r="J142" s="47" t="str">
        <f t="shared" si="11"/>
        <v/>
      </c>
      <c r="K142" s="48" t="str">
        <f t="shared" si="12"/>
        <v/>
      </c>
      <c r="N142" s="46" t="str">
        <f t="shared" si="13"/>
        <v/>
      </c>
      <c r="O142" s="47" t="str">
        <f t="shared" si="14"/>
        <v/>
      </c>
      <c r="P142" s="48" t="str">
        <f t="shared" si="15"/>
        <v/>
      </c>
      <c r="S142" s="46" t="str">
        <f t="shared" si="16"/>
        <v/>
      </c>
      <c r="T142" s="48" t="str">
        <f t="shared" si="17"/>
        <v/>
      </c>
    </row>
    <row r="143" spans="2:20" x14ac:dyDescent="0.25">
      <c r="B143" t="str">
        <f t="shared" si="5"/>
        <v/>
      </c>
      <c r="C143" s="50" t="str">
        <f t="shared" si="6"/>
        <v/>
      </c>
      <c r="D143" s="66" t="str">
        <f t="shared" si="7"/>
        <v/>
      </c>
      <c r="E143" s="102" t="str">
        <f t="shared" si="8"/>
        <v/>
      </c>
      <c r="F143" s="52" t="str">
        <f t="shared" si="9"/>
        <v/>
      </c>
      <c r="I143" s="50" t="str">
        <f t="shared" si="10"/>
        <v/>
      </c>
      <c r="J143" s="51" t="str">
        <f t="shared" si="11"/>
        <v/>
      </c>
      <c r="K143" s="52" t="str">
        <f t="shared" si="12"/>
        <v/>
      </c>
      <c r="N143" s="50" t="str">
        <f t="shared" si="13"/>
        <v/>
      </c>
      <c r="O143" s="51" t="str">
        <f t="shared" si="14"/>
        <v/>
      </c>
      <c r="P143" s="52" t="str">
        <f t="shared" si="15"/>
        <v/>
      </c>
      <c r="S143" s="50" t="str">
        <f t="shared" si="16"/>
        <v/>
      </c>
      <c r="T143" s="52" t="str">
        <f t="shared" si="17"/>
        <v/>
      </c>
    </row>
    <row r="144" spans="2:20" x14ac:dyDescent="0.25">
      <c r="B144" t="str">
        <f t="shared" si="5"/>
        <v/>
      </c>
      <c r="C144" s="46" t="str">
        <f t="shared" si="6"/>
        <v/>
      </c>
      <c r="D144" s="65" t="str">
        <f t="shared" si="7"/>
        <v/>
      </c>
      <c r="E144" s="104" t="str">
        <f t="shared" si="8"/>
        <v/>
      </c>
      <c r="F144" s="48" t="str">
        <f t="shared" si="9"/>
        <v/>
      </c>
      <c r="I144" s="46" t="str">
        <f t="shared" si="10"/>
        <v/>
      </c>
      <c r="J144" s="47" t="str">
        <f t="shared" si="11"/>
        <v/>
      </c>
      <c r="K144" s="48" t="str">
        <f t="shared" si="12"/>
        <v/>
      </c>
      <c r="N144" s="46" t="str">
        <f t="shared" si="13"/>
        <v/>
      </c>
      <c r="O144" s="47" t="str">
        <f t="shared" si="14"/>
        <v/>
      </c>
      <c r="P144" s="48" t="str">
        <f t="shared" si="15"/>
        <v/>
      </c>
      <c r="S144" s="46" t="str">
        <f t="shared" si="16"/>
        <v/>
      </c>
      <c r="T144" s="48" t="str">
        <f t="shared" si="17"/>
        <v/>
      </c>
    </row>
    <row r="145" spans="2:20" x14ac:dyDescent="0.25">
      <c r="B145" t="str">
        <f t="shared" si="5"/>
        <v/>
      </c>
      <c r="C145" s="50" t="str">
        <f t="shared" si="6"/>
        <v/>
      </c>
      <c r="D145" s="66" t="str">
        <f t="shared" si="7"/>
        <v/>
      </c>
      <c r="E145" s="102" t="str">
        <f t="shared" si="8"/>
        <v/>
      </c>
      <c r="F145" s="52" t="str">
        <f t="shared" si="9"/>
        <v/>
      </c>
      <c r="I145" s="50" t="str">
        <f t="shared" si="10"/>
        <v/>
      </c>
      <c r="J145" s="51" t="str">
        <f t="shared" si="11"/>
        <v/>
      </c>
      <c r="K145" s="52" t="str">
        <f t="shared" si="12"/>
        <v/>
      </c>
      <c r="N145" s="50" t="str">
        <f t="shared" si="13"/>
        <v/>
      </c>
      <c r="O145" s="51" t="str">
        <f t="shared" si="14"/>
        <v/>
      </c>
      <c r="P145" s="52" t="str">
        <f t="shared" si="15"/>
        <v/>
      </c>
      <c r="S145" s="50" t="str">
        <f t="shared" si="16"/>
        <v/>
      </c>
      <c r="T145" s="52" t="str">
        <f t="shared" si="17"/>
        <v/>
      </c>
    </row>
    <row r="146" spans="2:20" x14ac:dyDescent="0.25">
      <c r="B146" t="str">
        <f t="shared" si="5"/>
        <v/>
      </c>
      <c r="C146" s="46" t="str">
        <f t="shared" si="6"/>
        <v/>
      </c>
      <c r="D146" s="65" t="str">
        <f t="shared" si="7"/>
        <v/>
      </c>
      <c r="E146" s="104" t="str">
        <f t="shared" si="8"/>
        <v/>
      </c>
      <c r="F146" s="48" t="str">
        <f t="shared" si="9"/>
        <v/>
      </c>
      <c r="I146" s="46" t="str">
        <f t="shared" si="10"/>
        <v/>
      </c>
      <c r="J146" s="47" t="str">
        <f t="shared" si="11"/>
        <v/>
      </c>
      <c r="K146" s="48" t="str">
        <f t="shared" si="12"/>
        <v/>
      </c>
      <c r="N146" s="46" t="str">
        <f t="shared" si="13"/>
        <v/>
      </c>
      <c r="O146" s="47" t="str">
        <f t="shared" si="14"/>
        <v/>
      </c>
      <c r="P146" s="48" t="str">
        <f t="shared" si="15"/>
        <v/>
      </c>
      <c r="S146" s="46" t="str">
        <f t="shared" si="16"/>
        <v/>
      </c>
      <c r="T146" s="48" t="str">
        <f t="shared" si="17"/>
        <v/>
      </c>
    </row>
    <row r="147" spans="2:20" x14ac:dyDescent="0.25">
      <c r="B147" t="str">
        <f t="shared" si="5"/>
        <v/>
      </c>
      <c r="C147" s="50" t="str">
        <f t="shared" si="6"/>
        <v/>
      </c>
      <c r="D147" s="66" t="str">
        <f t="shared" si="7"/>
        <v/>
      </c>
      <c r="E147" s="102" t="str">
        <f t="shared" si="8"/>
        <v/>
      </c>
      <c r="F147" s="52" t="str">
        <f t="shared" si="9"/>
        <v/>
      </c>
      <c r="I147" s="50" t="str">
        <f t="shared" si="10"/>
        <v/>
      </c>
      <c r="J147" s="51" t="str">
        <f t="shared" si="11"/>
        <v/>
      </c>
      <c r="K147" s="52" t="str">
        <f t="shared" si="12"/>
        <v/>
      </c>
      <c r="N147" s="50" t="str">
        <f t="shared" si="13"/>
        <v/>
      </c>
      <c r="O147" s="51" t="str">
        <f t="shared" si="14"/>
        <v/>
      </c>
      <c r="P147" s="52" t="str">
        <f t="shared" si="15"/>
        <v/>
      </c>
      <c r="S147" s="50" t="str">
        <f t="shared" si="16"/>
        <v/>
      </c>
      <c r="T147" s="52" t="str">
        <f t="shared" si="17"/>
        <v/>
      </c>
    </row>
    <row r="148" spans="2:20" x14ac:dyDescent="0.25">
      <c r="B148" t="str">
        <f t="shared" si="5"/>
        <v/>
      </c>
      <c r="C148" s="46" t="str">
        <f t="shared" si="6"/>
        <v/>
      </c>
      <c r="D148" s="65" t="str">
        <f t="shared" si="7"/>
        <v/>
      </c>
      <c r="E148" s="104" t="str">
        <f t="shared" si="8"/>
        <v/>
      </c>
      <c r="F148" s="48" t="str">
        <f t="shared" si="9"/>
        <v/>
      </c>
      <c r="I148" s="46" t="str">
        <f t="shared" si="10"/>
        <v/>
      </c>
      <c r="J148" s="47" t="str">
        <f t="shared" si="11"/>
        <v/>
      </c>
      <c r="K148" s="48" t="str">
        <f t="shared" si="12"/>
        <v/>
      </c>
      <c r="N148" s="46" t="str">
        <f t="shared" si="13"/>
        <v/>
      </c>
      <c r="O148" s="47" t="str">
        <f t="shared" si="14"/>
        <v/>
      </c>
      <c r="P148" s="48" t="str">
        <f t="shared" si="15"/>
        <v/>
      </c>
      <c r="S148" s="46" t="str">
        <f t="shared" si="16"/>
        <v/>
      </c>
      <c r="T148" s="48" t="str">
        <f t="shared" si="17"/>
        <v/>
      </c>
    </row>
    <row r="149" spans="2:20" x14ac:dyDescent="0.25">
      <c r="B149" t="str">
        <f t="shared" si="5"/>
        <v/>
      </c>
      <c r="C149" s="50" t="str">
        <f t="shared" si="6"/>
        <v/>
      </c>
      <c r="D149" s="66" t="str">
        <f t="shared" si="7"/>
        <v/>
      </c>
      <c r="E149" s="102" t="str">
        <f t="shared" si="8"/>
        <v/>
      </c>
      <c r="F149" s="52" t="str">
        <f t="shared" si="9"/>
        <v/>
      </c>
      <c r="I149" s="50" t="str">
        <f t="shared" si="10"/>
        <v/>
      </c>
      <c r="J149" s="51" t="str">
        <f t="shared" si="11"/>
        <v/>
      </c>
      <c r="K149" s="52" t="str">
        <f t="shared" si="12"/>
        <v/>
      </c>
      <c r="N149" s="50" t="str">
        <f t="shared" si="13"/>
        <v/>
      </c>
      <c r="O149" s="51" t="str">
        <f t="shared" si="14"/>
        <v/>
      </c>
      <c r="P149" s="52" t="str">
        <f t="shared" si="15"/>
        <v/>
      </c>
      <c r="S149" s="50" t="str">
        <f t="shared" si="16"/>
        <v/>
      </c>
      <c r="T149" s="52" t="str">
        <f t="shared" si="17"/>
        <v/>
      </c>
    </row>
    <row r="150" spans="2:20" x14ac:dyDescent="0.25">
      <c r="B150" t="str">
        <f t="shared" si="5"/>
        <v/>
      </c>
      <c r="C150" s="46" t="str">
        <f t="shared" si="6"/>
        <v/>
      </c>
      <c r="D150" s="65" t="str">
        <f t="shared" si="7"/>
        <v/>
      </c>
      <c r="E150" s="104" t="str">
        <f t="shared" si="8"/>
        <v/>
      </c>
      <c r="F150" s="48" t="str">
        <f t="shared" si="9"/>
        <v/>
      </c>
      <c r="I150" s="46" t="str">
        <f t="shared" si="10"/>
        <v/>
      </c>
      <c r="J150" s="47" t="str">
        <f t="shared" si="11"/>
        <v/>
      </c>
      <c r="K150" s="48" t="str">
        <f t="shared" si="12"/>
        <v/>
      </c>
      <c r="N150" s="46" t="str">
        <f t="shared" si="13"/>
        <v/>
      </c>
      <c r="O150" s="47" t="str">
        <f t="shared" si="14"/>
        <v/>
      </c>
      <c r="P150" s="48" t="str">
        <f t="shared" si="15"/>
        <v/>
      </c>
      <c r="S150" s="46" t="str">
        <f t="shared" si="16"/>
        <v/>
      </c>
      <c r="T150" s="48" t="str">
        <f t="shared" si="17"/>
        <v/>
      </c>
    </row>
    <row r="151" spans="2:20" x14ac:dyDescent="0.25">
      <c r="B151" t="str">
        <f t="shared" si="5"/>
        <v/>
      </c>
      <c r="C151" s="50" t="str">
        <f t="shared" si="6"/>
        <v/>
      </c>
      <c r="D151" s="66" t="str">
        <f t="shared" si="7"/>
        <v/>
      </c>
      <c r="E151" s="102" t="str">
        <f t="shared" si="8"/>
        <v/>
      </c>
      <c r="F151" s="52" t="str">
        <f t="shared" si="9"/>
        <v/>
      </c>
      <c r="I151" s="50" t="str">
        <f t="shared" si="10"/>
        <v/>
      </c>
      <c r="J151" s="51" t="str">
        <f t="shared" si="11"/>
        <v/>
      </c>
      <c r="K151" s="52" t="str">
        <f t="shared" si="12"/>
        <v/>
      </c>
      <c r="N151" s="50" t="str">
        <f t="shared" si="13"/>
        <v/>
      </c>
      <c r="O151" s="51" t="str">
        <f t="shared" si="14"/>
        <v/>
      </c>
      <c r="P151" s="52" t="str">
        <f t="shared" si="15"/>
        <v/>
      </c>
      <c r="S151" s="50" t="str">
        <f t="shared" si="16"/>
        <v/>
      </c>
      <c r="T151" s="52" t="str">
        <f t="shared" si="17"/>
        <v/>
      </c>
    </row>
    <row r="152" spans="2:20" x14ac:dyDescent="0.25">
      <c r="B152" t="str">
        <f t="shared" si="5"/>
        <v/>
      </c>
      <c r="C152" s="46" t="str">
        <f t="shared" si="6"/>
        <v/>
      </c>
      <c r="D152" s="65" t="str">
        <f t="shared" si="7"/>
        <v/>
      </c>
      <c r="E152" s="104" t="str">
        <f t="shared" si="8"/>
        <v/>
      </c>
      <c r="F152" s="48" t="str">
        <f t="shared" si="9"/>
        <v/>
      </c>
      <c r="I152" s="46" t="str">
        <f t="shared" si="10"/>
        <v/>
      </c>
      <c r="J152" s="47" t="str">
        <f t="shared" si="11"/>
        <v/>
      </c>
      <c r="K152" s="48" t="str">
        <f t="shared" si="12"/>
        <v/>
      </c>
      <c r="N152" s="46" t="str">
        <f t="shared" si="13"/>
        <v/>
      </c>
      <c r="O152" s="47" t="str">
        <f t="shared" si="14"/>
        <v/>
      </c>
      <c r="P152" s="48" t="str">
        <f t="shared" si="15"/>
        <v/>
      </c>
      <c r="S152" s="46" t="str">
        <f t="shared" si="16"/>
        <v/>
      </c>
      <c r="T152" s="48" t="str">
        <f t="shared" si="17"/>
        <v/>
      </c>
    </row>
    <row r="153" spans="2:20" x14ac:dyDescent="0.25">
      <c r="B153" t="str">
        <f t="shared" si="5"/>
        <v/>
      </c>
      <c r="C153" s="50" t="str">
        <f t="shared" si="6"/>
        <v/>
      </c>
      <c r="D153" s="66" t="str">
        <f t="shared" si="7"/>
        <v/>
      </c>
      <c r="E153" s="102" t="str">
        <f t="shared" si="8"/>
        <v/>
      </c>
      <c r="F153" s="52" t="str">
        <f t="shared" si="9"/>
        <v/>
      </c>
      <c r="I153" s="50" t="str">
        <f t="shared" si="10"/>
        <v/>
      </c>
      <c r="J153" s="51" t="str">
        <f t="shared" si="11"/>
        <v/>
      </c>
      <c r="K153" s="52" t="str">
        <f t="shared" si="12"/>
        <v/>
      </c>
      <c r="N153" s="50" t="str">
        <f t="shared" si="13"/>
        <v/>
      </c>
      <c r="O153" s="51" t="str">
        <f t="shared" si="14"/>
        <v/>
      </c>
      <c r="P153" s="52" t="str">
        <f t="shared" si="15"/>
        <v/>
      </c>
      <c r="S153" s="50" t="str">
        <f t="shared" si="16"/>
        <v/>
      </c>
      <c r="T153" s="52" t="str">
        <f t="shared" si="17"/>
        <v/>
      </c>
    </row>
    <row r="154" spans="2:20" x14ac:dyDescent="0.25">
      <c r="B154" t="str">
        <f t="shared" si="5"/>
        <v/>
      </c>
      <c r="C154" s="46" t="str">
        <f t="shared" si="6"/>
        <v/>
      </c>
      <c r="D154" s="65" t="str">
        <f t="shared" si="7"/>
        <v/>
      </c>
      <c r="E154" s="104" t="str">
        <f t="shared" si="8"/>
        <v/>
      </c>
      <c r="F154" s="48" t="str">
        <f t="shared" si="9"/>
        <v/>
      </c>
      <c r="I154" s="46" t="str">
        <f t="shared" si="10"/>
        <v/>
      </c>
      <c r="J154" s="47" t="str">
        <f t="shared" si="11"/>
        <v/>
      </c>
      <c r="K154" s="48" t="str">
        <f t="shared" si="12"/>
        <v/>
      </c>
      <c r="N154" s="46" t="str">
        <f t="shared" si="13"/>
        <v/>
      </c>
      <c r="O154" s="47" t="str">
        <f t="shared" si="14"/>
        <v/>
      </c>
      <c r="P154" s="48" t="str">
        <f t="shared" si="15"/>
        <v/>
      </c>
      <c r="S154" s="46" t="str">
        <f t="shared" si="16"/>
        <v/>
      </c>
      <c r="T154" s="48" t="str">
        <f t="shared" si="17"/>
        <v/>
      </c>
    </row>
    <row r="155" spans="2:20" x14ac:dyDescent="0.25">
      <c r="B155" t="str">
        <f t="shared" si="5"/>
        <v/>
      </c>
      <c r="C155" s="50" t="str">
        <f t="shared" si="6"/>
        <v/>
      </c>
      <c r="D155" s="66" t="str">
        <f t="shared" si="7"/>
        <v/>
      </c>
      <c r="E155" s="102" t="str">
        <f t="shared" si="8"/>
        <v/>
      </c>
      <c r="F155" s="52" t="str">
        <f t="shared" si="9"/>
        <v/>
      </c>
      <c r="I155" s="50" t="str">
        <f t="shared" si="10"/>
        <v/>
      </c>
      <c r="J155" s="51" t="str">
        <f t="shared" si="11"/>
        <v/>
      </c>
      <c r="K155" s="52" t="str">
        <f t="shared" si="12"/>
        <v/>
      </c>
      <c r="N155" s="50" t="str">
        <f t="shared" si="13"/>
        <v/>
      </c>
      <c r="O155" s="51" t="str">
        <f t="shared" si="14"/>
        <v/>
      </c>
      <c r="P155" s="52" t="str">
        <f t="shared" si="15"/>
        <v/>
      </c>
      <c r="S155" s="50" t="str">
        <f t="shared" si="16"/>
        <v/>
      </c>
      <c r="T155" s="52" t="str">
        <f t="shared" si="17"/>
        <v/>
      </c>
    </row>
    <row r="156" spans="2:20" x14ac:dyDescent="0.25">
      <c r="B156" t="str">
        <f t="shared" si="5"/>
        <v/>
      </c>
      <c r="C156" s="46" t="str">
        <f t="shared" si="6"/>
        <v/>
      </c>
      <c r="D156" s="65" t="str">
        <f t="shared" si="7"/>
        <v/>
      </c>
      <c r="E156" s="104" t="str">
        <f t="shared" si="8"/>
        <v/>
      </c>
      <c r="F156" s="48" t="str">
        <f t="shared" si="9"/>
        <v/>
      </c>
      <c r="I156" s="46" t="str">
        <f t="shared" si="10"/>
        <v/>
      </c>
      <c r="J156" s="47" t="str">
        <f t="shared" si="11"/>
        <v/>
      </c>
      <c r="K156" s="48" t="str">
        <f t="shared" si="12"/>
        <v/>
      </c>
      <c r="N156" s="46" t="str">
        <f t="shared" si="13"/>
        <v/>
      </c>
      <c r="O156" s="47" t="str">
        <f t="shared" si="14"/>
        <v/>
      </c>
      <c r="P156" s="48" t="str">
        <f t="shared" si="15"/>
        <v/>
      </c>
      <c r="S156" s="46" t="str">
        <f t="shared" si="16"/>
        <v/>
      </c>
      <c r="T156" s="48" t="str">
        <f t="shared" si="17"/>
        <v/>
      </c>
    </row>
    <row r="157" spans="2:20" x14ac:dyDescent="0.25">
      <c r="B157" t="str">
        <f t="shared" si="5"/>
        <v/>
      </c>
      <c r="C157" s="50" t="str">
        <f t="shared" si="6"/>
        <v/>
      </c>
      <c r="D157" s="66" t="str">
        <f t="shared" si="7"/>
        <v/>
      </c>
      <c r="E157" s="102" t="str">
        <f t="shared" si="8"/>
        <v/>
      </c>
      <c r="F157" s="52" t="str">
        <f t="shared" si="9"/>
        <v/>
      </c>
      <c r="I157" s="50" t="str">
        <f t="shared" si="10"/>
        <v/>
      </c>
      <c r="J157" s="51" t="str">
        <f t="shared" si="11"/>
        <v/>
      </c>
      <c r="K157" s="52" t="str">
        <f t="shared" si="12"/>
        <v/>
      </c>
      <c r="N157" s="50" t="str">
        <f t="shared" si="13"/>
        <v/>
      </c>
      <c r="O157" s="51" t="str">
        <f t="shared" si="14"/>
        <v/>
      </c>
      <c r="P157" s="52" t="str">
        <f t="shared" si="15"/>
        <v/>
      </c>
      <c r="S157" s="50" t="str">
        <f t="shared" si="16"/>
        <v/>
      </c>
      <c r="T157" s="52" t="str">
        <f t="shared" si="17"/>
        <v/>
      </c>
    </row>
    <row r="158" spans="2:20" x14ac:dyDescent="0.25">
      <c r="B158" t="str">
        <f t="shared" si="5"/>
        <v/>
      </c>
      <c r="C158" s="46" t="str">
        <f t="shared" si="6"/>
        <v/>
      </c>
      <c r="D158" s="65" t="str">
        <f t="shared" si="7"/>
        <v/>
      </c>
      <c r="E158" s="104" t="str">
        <f t="shared" si="8"/>
        <v/>
      </c>
      <c r="F158" s="48" t="str">
        <f t="shared" si="9"/>
        <v/>
      </c>
      <c r="I158" s="46" t="str">
        <f t="shared" si="10"/>
        <v/>
      </c>
      <c r="J158" s="47" t="str">
        <f t="shared" si="11"/>
        <v/>
      </c>
      <c r="K158" s="48" t="str">
        <f t="shared" si="12"/>
        <v/>
      </c>
      <c r="N158" s="46" t="str">
        <f t="shared" si="13"/>
        <v/>
      </c>
      <c r="O158" s="47" t="str">
        <f t="shared" si="14"/>
        <v/>
      </c>
      <c r="P158" s="48" t="str">
        <f t="shared" si="15"/>
        <v/>
      </c>
      <c r="S158" s="46" t="str">
        <f t="shared" si="16"/>
        <v/>
      </c>
      <c r="T158" s="48" t="str">
        <f t="shared" si="17"/>
        <v/>
      </c>
    </row>
    <row r="159" spans="2:20" x14ac:dyDescent="0.25">
      <c r="B159" t="str">
        <f t="shared" si="5"/>
        <v/>
      </c>
      <c r="C159" s="50" t="str">
        <f t="shared" si="6"/>
        <v/>
      </c>
      <c r="D159" s="66" t="str">
        <f t="shared" si="7"/>
        <v/>
      </c>
      <c r="E159" s="102" t="str">
        <f t="shared" si="8"/>
        <v/>
      </c>
      <c r="F159" s="52" t="str">
        <f t="shared" si="9"/>
        <v/>
      </c>
      <c r="I159" s="50" t="str">
        <f t="shared" si="10"/>
        <v/>
      </c>
      <c r="J159" s="51" t="str">
        <f t="shared" si="11"/>
        <v/>
      </c>
      <c r="K159" s="52" t="str">
        <f t="shared" si="12"/>
        <v/>
      </c>
      <c r="N159" s="50" t="str">
        <f t="shared" si="13"/>
        <v/>
      </c>
      <c r="O159" s="51" t="str">
        <f t="shared" si="14"/>
        <v/>
      </c>
      <c r="P159" s="52" t="str">
        <f t="shared" si="15"/>
        <v/>
      </c>
      <c r="S159" s="50" t="str">
        <f t="shared" si="16"/>
        <v/>
      </c>
      <c r="T159" s="52" t="str">
        <f t="shared" si="17"/>
        <v/>
      </c>
    </row>
    <row r="160" spans="2:20" x14ac:dyDescent="0.25">
      <c r="B160" t="str">
        <f t="shared" si="5"/>
        <v/>
      </c>
      <c r="C160" s="46" t="str">
        <f t="shared" si="6"/>
        <v/>
      </c>
      <c r="D160" s="65" t="str">
        <f t="shared" si="7"/>
        <v/>
      </c>
      <c r="E160" s="104" t="str">
        <f t="shared" si="8"/>
        <v/>
      </c>
      <c r="F160" s="48" t="str">
        <f t="shared" si="9"/>
        <v/>
      </c>
      <c r="I160" s="46" t="str">
        <f t="shared" si="10"/>
        <v/>
      </c>
      <c r="J160" s="47" t="str">
        <f t="shared" si="11"/>
        <v/>
      </c>
      <c r="K160" s="48" t="str">
        <f t="shared" si="12"/>
        <v/>
      </c>
      <c r="N160" s="46" t="str">
        <f t="shared" si="13"/>
        <v/>
      </c>
      <c r="O160" s="47" t="str">
        <f t="shared" si="14"/>
        <v/>
      </c>
      <c r="P160" s="48" t="str">
        <f t="shared" si="15"/>
        <v/>
      </c>
      <c r="S160" s="46" t="str">
        <f t="shared" si="16"/>
        <v/>
      </c>
      <c r="T160" s="48" t="str">
        <f t="shared" si="17"/>
        <v/>
      </c>
    </row>
    <row r="161" spans="2:20" x14ac:dyDescent="0.25">
      <c r="B161" t="str">
        <f t="shared" si="5"/>
        <v/>
      </c>
      <c r="C161" s="50" t="str">
        <f t="shared" si="6"/>
        <v/>
      </c>
      <c r="D161" s="66" t="str">
        <f t="shared" si="7"/>
        <v/>
      </c>
      <c r="E161" s="102" t="str">
        <f t="shared" si="8"/>
        <v/>
      </c>
      <c r="F161" s="52" t="str">
        <f t="shared" si="9"/>
        <v/>
      </c>
      <c r="I161" s="50" t="str">
        <f t="shared" si="10"/>
        <v/>
      </c>
      <c r="J161" s="51" t="str">
        <f t="shared" si="11"/>
        <v/>
      </c>
      <c r="K161" s="52" t="str">
        <f t="shared" si="12"/>
        <v/>
      </c>
      <c r="N161" s="50" t="str">
        <f t="shared" si="13"/>
        <v/>
      </c>
      <c r="O161" s="51" t="str">
        <f t="shared" si="14"/>
        <v/>
      </c>
      <c r="P161" s="52" t="str">
        <f t="shared" si="15"/>
        <v/>
      </c>
      <c r="S161" s="50" t="str">
        <f t="shared" si="16"/>
        <v/>
      </c>
      <c r="T161" s="52" t="str">
        <f t="shared" si="17"/>
        <v/>
      </c>
    </row>
    <row r="162" spans="2:20" x14ac:dyDescent="0.25">
      <c r="B162" t="str">
        <f t="shared" si="5"/>
        <v/>
      </c>
      <c r="C162" s="46" t="str">
        <f t="shared" si="6"/>
        <v/>
      </c>
      <c r="D162" s="65" t="str">
        <f t="shared" si="7"/>
        <v/>
      </c>
      <c r="E162" s="104" t="str">
        <f t="shared" si="8"/>
        <v/>
      </c>
      <c r="F162" s="48" t="str">
        <f t="shared" si="9"/>
        <v/>
      </c>
      <c r="I162" s="46" t="str">
        <f t="shared" si="10"/>
        <v/>
      </c>
      <c r="J162" s="47" t="str">
        <f t="shared" si="11"/>
        <v/>
      </c>
      <c r="K162" s="48" t="str">
        <f t="shared" si="12"/>
        <v/>
      </c>
      <c r="N162" s="46" t="str">
        <f t="shared" si="13"/>
        <v/>
      </c>
      <c r="O162" s="47" t="str">
        <f t="shared" si="14"/>
        <v/>
      </c>
      <c r="P162" s="48" t="str">
        <f t="shared" si="15"/>
        <v/>
      </c>
      <c r="S162" s="46" t="str">
        <f t="shared" si="16"/>
        <v/>
      </c>
      <c r="T162" s="48" t="str">
        <f t="shared" si="17"/>
        <v/>
      </c>
    </row>
    <row r="163" spans="2:20" x14ac:dyDescent="0.25">
      <c r="B163" t="str">
        <f t="shared" si="5"/>
        <v/>
      </c>
      <c r="C163" s="50" t="str">
        <f t="shared" si="6"/>
        <v/>
      </c>
      <c r="D163" s="66" t="str">
        <f t="shared" si="7"/>
        <v/>
      </c>
      <c r="E163" s="102" t="str">
        <f t="shared" si="8"/>
        <v/>
      </c>
      <c r="F163" s="52" t="str">
        <f t="shared" si="9"/>
        <v/>
      </c>
      <c r="I163" s="50" t="str">
        <f t="shared" si="10"/>
        <v/>
      </c>
      <c r="J163" s="51" t="str">
        <f t="shared" si="11"/>
        <v/>
      </c>
      <c r="K163" s="52" t="str">
        <f t="shared" si="12"/>
        <v/>
      </c>
      <c r="N163" s="50" t="str">
        <f t="shared" si="13"/>
        <v/>
      </c>
      <c r="O163" s="51" t="str">
        <f t="shared" si="14"/>
        <v/>
      </c>
      <c r="P163" s="52" t="str">
        <f t="shared" si="15"/>
        <v/>
      </c>
      <c r="S163" s="50" t="str">
        <f t="shared" si="16"/>
        <v/>
      </c>
      <c r="T163" s="52" t="str">
        <f t="shared" si="17"/>
        <v/>
      </c>
    </row>
    <row r="164" spans="2:20" x14ac:dyDescent="0.25">
      <c r="B164" t="str">
        <f t="shared" si="5"/>
        <v/>
      </c>
      <c r="C164" s="46" t="str">
        <f t="shared" si="6"/>
        <v/>
      </c>
      <c r="D164" s="65" t="str">
        <f t="shared" si="7"/>
        <v/>
      </c>
      <c r="E164" s="104" t="str">
        <f t="shared" si="8"/>
        <v/>
      </c>
      <c r="F164" s="48" t="str">
        <f t="shared" si="9"/>
        <v/>
      </c>
      <c r="I164" s="46" t="str">
        <f t="shared" si="10"/>
        <v/>
      </c>
      <c r="J164" s="47" t="str">
        <f t="shared" si="11"/>
        <v/>
      </c>
      <c r="K164" s="48" t="str">
        <f t="shared" si="12"/>
        <v/>
      </c>
      <c r="N164" s="46" t="str">
        <f t="shared" si="13"/>
        <v/>
      </c>
      <c r="O164" s="47" t="str">
        <f t="shared" si="14"/>
        <v/>
      </c>
      <c r="P164" s="48" t="str">
        <f t="shared" si="15"/>
        <v/>
      </c>
      <c r="S164" s="46" t="str">
        <f t="shared" si="16"/>
        <v/>
      </c>
      <c r="T164" s="48" t="str">
        <f t="shared" si="17"/>
        <v/>
      </c>
    </row>
    <row r="165" spans="2:20" x14ac:dyDescent="0.25">
      <c r="B165" t="str">
        <f t="shared" si="5"/>
        <v/>
      </c>
      <c r="C165" s="50" t="str">
        <f t="shared" si="6"/>
        <v/>
      </c>
      <c r="D165" s="66" t="str">
        <f t="shared" si="7"/>
        <v/>
      </c>
      <c r="E165" s="102" t="str">
        <f t="shared" si="8"/>
        <v/>
      </c>
      <c r="F165" s="52" t="str">
        <f t="shared" si="9"/>
        <v/>
      </c>
      <c r="I165" s="50" t="str">
        <f t="shared" si="10"/>
        <v/>
      </c>
      <c r="J165" s="51" t="str">
        <f t="shared" si="11"/>
        <v/>
      </c>
      <c r="K165" s="52" t="str">
        <f t="shared" si="12"/>
        <v/>
      </c>
      <c r="N165" s="50" t="str">
        <f t="shared" si="13"/>
        <v/>
      </c>
      <c r="O165" s="51" t="str">
        <f t="shared" si="14"/>
        <v/>
      </c>
      <c r="P165" s="52" t="str">
        <f t="shared" si="15"/>
        <v/>
      </c>
      <c r="S165" s="50" t="str">
        <f t="shared" si="16"/>
        <v/>
      </c>
      <c r="T165" s="52" t="str">
        <f t="shared" si="17"/>
        <v/>
      </c>
    </row>
    <row r="166" spans="2:20" x14ac:dyDescent="0.25">
      <c r="B166" t="str">
        <f t="shared" si="5"/>
        <v/>
      </c>
      <c r="C166" s="46" t="str">
        <f t="shared" si="6"/>
        <v/>
      </c>
      <c r="D166" s="65" t="str">
        <f t="shared" si="7"/>
        <v/>
      </c>
      <c r="E166" s="104" t="str">
        <f t="shared" si="8"/>
        <v/>
      </c>
      <c r="F166" s="48" t="str">
        <f t="shared" si="9"/>
        <v/>
      </c>
      <c r="I166" s="46" t="str">
        <f t="shared" si="10"/>
        <v/>
      </c>
      <c r="J166" s="47" t="str">
        <f t="shared" si="11"/>
        <v/>
      </c>
      <c r="K166" s="48" t="str">
        <f t="shared" si="12"/>
        <v/>
      </c>
      <c r="N166" s="46" t="str">
        <f t="shared" si="13"/>
        <v/>
      </c>
      <c r="O166" s="47" t="str">
        <f t="shared" si="14"/>
        <v/>
      </c>
      <c r="P166" s="48" t="str">
        <f t="shared" si="15"/>
        <v/>
      </c>
      <c r="S166" s="46" t="str">
        <f t="shared" si="16"/>
        <v/>
      </c>
      <c r="T166" s="48" t="str">
        <f t="shared" si="17"/>
        <v/>
      </c>
    </row>
    <row r="167" spans="2:20" x14ac:dyDescent="0.25">
      <c r="B167" t="str">
        <f t="shared" si="5"/>
        <v/>
      </c>
      <c r="C167" s="50" t="str">
        <f t="shared" si="6"/>
        <v/>
      </c>
      <c r="D167" s="66" t="str">
        <f t="shared" si="7"/>
        <v/>
      </c>
      <c r="E167" s="102" t="str">
        <f t="shared" si="8"/>
        <v/>
      </c>
      <c r="F167" s="52" t="str">
        <f t="shared" si="9"/>
        <v/>
      </c>
      <c r="I167" s="50" t="str">
        <f t="shared" si="10"/>
        <v/>
      </c>
      <c r="J167" s="51" t="str">
        <f t="shared" si="11"/>
        <v/>
      </c>
      <c r="K167" s="52" t="str">
        <f t="shared" si="12"/>
        <v/>
      </c>
      <c r="N167" s="50" t="str">
        <f t="shared" si="13"/>
        <v/>
      </c>
      <c r="O167" s="51" t="str">
        <f t="shared" si="14"/>
        <v/>
      </c>
      <c r="P167" s="52" t="str">
        <f t="shared" si="15"/>
        <v/>
      </c>
      <c r="S167" s="50" t="str">
        <f t="shared" si="16"/>
        <v/>
      </c>
      <c r="T167" s="52" t="str">
        <f t="shared" si="17"/>
        <v/>
      </c>
    </row>
    <row r="168" spans="2:20" x14ac:dyDescent="0.25">
      <c r="B168" t="str">
        <f t="shared" si="5"/>
        <v/>
      </c>
      <c r="C168" s="46" t="str">
        <f t="shared" si="6"/>
        <v/>
      </c>
      <c r="D168" s="65" t="str">
        <f t="shared" si="7"/>
        <v/>
      </c>
      <c r="E168" s="104" t="str">
        <f t="shared" si="8"/>
        <v/>
      </c>
      <c r="F168" s="48" t="str">
        <f t="shared" si="9"/>
        <v/>
      </c>
      <c r="I168" s="46" t="str">
        <f t="shared" si="10"/>
        <v/>
      </c>
      <c r="J168" s="47" t="str">
        <f t="shared" si="11"/>
        <v/>
      </c>
      <c r="K168" s="48" t="str">
        <f t="shared" si="12"/>
        <v/>
      </c>
      <c r="N168" s="46" t="str">
        <f t="shared" si="13"/>
        <v/>
      </c>
      <c r="O168" s="47" t="str">
        <f t="shared" si="14"/>
        <v/>
      </c>
      <c r="P168" s="48" t="str">
        <f t="shared" si="15"/>
        <v/>
      </c>
      <c r="S168" s="46" t="str">
        <f t="shared" si="16"/>
        <v/>
      </c>
      <c r="T168" s="48" t="str">
        <f t="shared" si="17"/>
        <v/>
      </c>
    </row>
    <row r="169" spans="2:20" x14ac:dyDescent="0.25">
      <c r="B169" t="str">
        <f t="shared" si="5"/>
        <v/>
      </c>
      <c r="C169" s="50" t="str">
        <f t="shared" si="6"/>
        <v/>
      </c>
      <c r="D169" s="66" t="str">
        <f t="shared" si="7"/>
        <v/>
      </c>
      <c r="E169" s="102" t="str">
        <f t="shared" si="8"/>
        <v/>
      </c>
      <c r="F169" s="52" t="str">
        <f t="shared" si="9"/>
        <v/>
      </c>
      <c r="I169" s="50" t="str">
        <f t="shared" si="10"/>
        <v/>
      </c>
      <c r="J169" s="51" t="str">
        <f t="shared" si="11"/>
        <v/>
      </c>
      <c r="K169" s="52" t="str">
        <f t="shared" si="12"/>
        <v/>
      </c>
      <c r="N169" s="50" t="str">
        <f t="shared" si="13"/>
        <v/>
      </c>
      <c r="O169" s="51" t="str">
        <f t="shared" si="14"/>
        <v/>
      </c>
      <c r="P169" s="52" t="str">
        <f t="shared" si="15"/>
        <v/>
      </c>
      <c r="S169" s="50" t="str">
        <f t="shared" si="16"/>
        <v/>
      </c>
      <c r="T169" s="52" t="str">
        <f t="shared" si="17"/>
        <v/>
      </c>
    </row>
    <row r="170" spans="2:20" x14ac:dyDescent="0.25">
      <c r="B170" t="str">
        <f t="shared" si="5"/>
        <v/>
      </c>
      <c r="C170" s="46" t="str">
        <f t="shared" si="6"/>
        <v/>
      </c>
      <c r="D170" s="65" t="str">
        <f t="shared" si="7"/>
        <v/>
      </c>
      <c r="E170" s="104" t="str">
        <f t="shared" si="8"/>
        <v/>
      </c>
      <c r="F170" s="48" t="str">
        <f t="shared" si="9"/>
        <v/>
      </c>
      <c r="I170" s="46" t="str">
        <f t="shared" si="10"/>
        <v/>
      </c>
      <c r="J170" s="47" t="str">
        <f t="shared" si="11"/>
        <v/>
      </c>
      <c r="K170" s="48" t="str">
        <f t="shared" si="12"/>
        <v/>
      </c>
      <c r="N170" s="46" t="str">
        <f t="shared" si="13"/>
        <v/>
      </c>
      <c r="O170" s="47" t="str">
        <f t="shared" si="14"/>
        <v/>
      </c>
      <c r="P170" s="48" t="str">
        <f t="shared" si="15"/>
        <v/>
      </c>
      <c r="S170" s="46" t="str">
        <f t="shared" si="16"/>
        <v/>
      </c>
      <c r="T170" s="48" t="str">
        <f t="shared" si="17"/>
        <v/>
      </c>
    </row>
    <row r="171" spans="2:20" x14ac:dyDescent="0.25">
      <c r="B171" t="str">
        <f t="shared" si="5"/>
        <v/>
      </c>
      <c r="C171" s="50" t="str">
        <f t="shared" si="6"/>
        <v/>
      </c>
      <c r="D171" s="66" t="str">
        <f t="shared" si="7"/>
        <v/>
      </c>
      <c r="E171" s="102" t="str">
        <f t="shared" si="8"/>
        <v/>
      </c>
      <c r="F171" s="52" t="str">
        <f t="shared" si="9"/>
        <v/>
      </c>
      <c r="I171" s="50" t="str">
        <f t="shared" si="10"/>
        <v/>
      </c>
      <c r="J171" s="51" t="str">
        <f t="shared" si="11"/>
        <v/>
      </c>
      <c r="K171" s="52" t="str">
        <f t="shared" si="12"/>
        <v/>
      </c>
      <c r="N171" s="50" t="str">
        <f t="shared" si="13"/>
        <v/>
      </c>
      <c r="O171" s="51" t="str">
        <f t="shared" si="14"/>
        <v/>
      </c>
      <c r="P171" s="52" t="str">
        <f t="shared" si="15"/>
        <v/>
      </c>
      <c r="S171" s="50" t="str">
        <f t="shared" si="16"/>
        <v/>
      </c>
      <c r="T171" s="52" t="str">
        <f t="shared" si="17"/>
        <v/>
      </c>
    </row>
    <row r="172" spans="2:20" x14ac:dyDescent="0.25">
      <c r="B172" t="str">
        <f t="shared" si="5"/>
        <v/>
      </c>
      <c r="C172" s="46" t="str">
        <f t="shared" si="6"/>
        <v/>
      </c>
      <c r="D172" s="65" t="str">
        <f t="shared" si="7"/>
        <v/>
      </c>
      <c r="E172" s="104" t="str">
        <f t="shared" si="8"/>
        <v/>
      </c>
      <c r="F172" s="48" t="str">
        <f t="shared" si="9"/>
        <v/>
      </c>
      <c r="I172" s="46" t="str">
        <f t="shared" si="10"/>
        <v/>
      </c>
      <c r="J172" s="47" t="str">
        <f t="shared" si="11"/>
        <v/>
      </c>
      <c r="K172" s="48" t="str">
        <f t="shared" si="12"/>
        <v/>
      </c>
      <c r="N172" s="46" t="str">
        <f t="shared" si="13"/>
        <v/>
      </c>
      <c r="O172" s="47" t="str">
        <f t="shared" si="14"/>
        <v/>
      </c>
      <c r="P172" s="48" t="str">
        <f t="shared" si="15"/>
        <v/>
      </c>
      <c r="S172" s="46" t="str">
        <f t="shared" si="16"/>
        <v/>
      </c>
      <c r="T172" s="48" t="str">
        <f t="shared" si="17"/>
        <v/>
      </c>
    </row>
    <row r="173" spans="2:20" x14ac:dyDescent="0.25">
      <c r="B173" t="str">
        <f t="shared" si="5"/>
        <v/>
      </c>
      <c r="C173" s="50" t="str">
        <f t="shared" si="6"/>
        <v/>
      </c>
      <c r="D173" s="66" t="str">
        <f t="shared" si="7"/>
        <v/>
      </c>
      <c r="E173" s="102" t="str">
        <f t="shared" si="8"/>
        <v/>
      </c>
      <c r="F173" s="52" t="str">
        <f t="shared" si="9"/>
        <v/>
      </c>
      <c r="I173" s="50" t="str">
        <f t="shared" si="10"/>
        <v/>
      </c>
      <c r="J173" s="51" t="str">
        <f t="shared" si="11"/>
        <v/>
      </c>
      <c r="K173" s="52" t="str">
        <f t="shared" si="12"/>
        <v/>
      </c>
      <c r="N173" s="50" t="str">
        <f t="shared" si="13"/>
        <v/>
      </c>
      <c r="O173" s="51" t="str">
        <f t="shared" si="14"/>
        <v/>
      </c>
      <c r="P173" s="52" t="str">
        <f t="shared" si="15"/>
        <v/>
      </c>
      <c r="S173" s="50" t="str">
        <f t="shared" si="16"/>
        <v/>
      </c>
      <c r="T173" s="52" t="str">
        <f t="shared" si="17"/>
        <v/>
      </c>
    </row>
    <row r="174" spans="2:20" x14ac:dyDescent="0.25">
      <c r="B174" t="str">
        <f t="shared" si="5"/>
        <v/>
      </c>
      <c r="C174" s="46" t="str">
        <f t="shared" si="6"/>
        <v/>
      </c>
      <c r="D174" s="65" t="str">
        <f t="shared" si="7"/>
        <v/>
      </c>
      <c r="E174" s="104" t="str">
        <f t="shared" si="8"/>
        <v/>
      </c>
      <c r="F174" s="48" t="str">
        <f t="shared" si="9"/>
        <v/>
      </c>
      <c r="I174" s="46" t="str">
        <f t="shared" si="10"/>
        <v/>
      </c>
      <c r="J174" s="47" t="str">
        <f t="shared" si="11"/>
        <v/>
      </c>
      <c r="K174" s="48" t="str">
        <f t="shared" si="12"/>
        <v/>
      </c>
      <c r="N174" s="46" t="str">
        <f t="shared" si="13"/>
        <v/>
      </c>
      <c r="O174" s="47" t="str">
        <f t="shared" si="14"/>
        <v/>
      </c>
      <c r="P174" s="48" t="str">
        <f t="shared" si="15"/>
        <v/>
      </c>
      <c r="S174" s="46" t="str">
        <f t="shared" si="16"/>
        <v/>
      </c>
      <c r="T174" s="48" t="str">
        <f t="shared" si="17"/>
        <v/>
      </c>
    </row>
    <row r="175" spans="2:20" x14ac:dyDescent="0.25">
      <c r="B175" t="str">
        <f t="shared" si="5"/>
        <v/>
      </c>
      <c r="C175" s="50" t="str">
        <f t="shared" si="6"/>
        <v/>
      </c>
      <c r="D175" s="66" t="str">
        <f t="shared" si="7"/>
        <v/>
      </c>
      <c r="E175" s="102" t="str">
        <f t="shared" si="8"/>
        <v/>
      </c>
      <c r="F175" s="52" t="str">
        <f t="shared" si="9"/>
        <v/>
      </c>
      <c r="I175" s="50" t="str">
        <f t="shared" si="10"/>
        <v/>
      </c>
      <c r="J175" s="51" t="str">
        <f t="shared" si="11"/>
        <v/>
      </c>
      <c r="K175" s="52" t="str">
        <f t="shared" si="12"/>
        <v/>
      </c>
      <c r="N175" s="50" t="str">
        <f t="shared" si="13"/>
        <v/>
      </c>
      <c r="O175" s="51" t="str">
        <f t="shared" si="14"/>
        <v/>
      </c>
      <c r="P175" s="52" t="str">
        <f t="shared" si="15"/>
        <v/>
      </c>
      <c r="S175" s="50" t="str">
        <f t="shared" si="16"/>
        <v/>
      </c>
      <c r="T175" s="52" t="str">
        <f t="shared" si="17"/>
        <v/>
      </c>
    </row>
    <row r="176" spans="2:20" ht="15.75" thickBot="1" x14ac:dyDescent="0.3">
      <c r="B176" t="str">
        <f t="shared" si="5"/>
        <v/>
      </c>
      <c r="C176" s="105" t="str">
        <f t="shared" si="6"/>
        <v/>
      </c>
      <c r="D176" s="106" t="str">
        <f t="shared" si="7"/>
        <v/>
      </c>
      <c r="E176" s="107" t="str">
        <f t="shared" si="8"/>
        <v/>
      </c>
      <c r="F176" s="109" t="str">
        <f t="shared" si="9"/>
        <v/>
      </c>
      <c r="I176" s="105" t="str">
        <f t="shared" si="10"/>
        <v/>
      </c>
      <c r="J176" s="108" t="str">
        <f t="shared" si="11"/>
        <v/>
      </c>
      <c r="K176" s="109" t="str">
        <f t="shared" si="12"/>
        <v/>
      </c>
      <c r="N176" s="105" t="str">
        <f t="shared" si="13"/>
        <v/>
      </c>
      <c r="O176" s="108" t="str">
        <f t="shared" si="14"/>
        <v/>
      </c>
      <c r="P176" s="109" t="str">
        <f t="shared" si="15"/>
        <v/>
      </c>
      <c r="S176" s="105" t="str">
        <f t="shared" si="16"/>
        <v/>
      </c>
      <c r="T176" s="109" t="str">
        <f t="shared" si="17"/>
        <v/>
      </c>
    </row>
    <row r="177" spans="3:20" x14ac:dyDescent="0.25">
      <c r="F177" s="59"/>
    </row>
    <row r="178" spans="3:20" x14ac:dyDescent="0.25">
      <c r="F178" s="59"/>
    </row>
    <row r="179" spans="3:20" x14ac:dyDescent="0.25">
      <c r="F179" s="59"/>
    </row>
    <row r="180" spans="3:20" x14ac:dyDescent="0.25">
      <c r="C180" s="99" t="s">
        <v>48</v>
      </c>
      <c r="D180" s="99">
        <f>NB_Bills</f>
        <v>12</v>
      </c>
      <c r="F180" s="59"/>
      <c r="I180" s="99" t="s">
        <v>48</v>
      </c>
      <c r="J180" s="100">
        <f>NB_Bills</f>
        <v>12</v>
      </c>
      <c r="N180" s="99" t="s">
        <v>48</v>
      </c>
      <c r="O180" s="100">
        <f>NB_Bills</f>
        <v>12</v>
      </c>
      <c r="S180" s="100" t="s">
        <v>48</v>
      </c>
      <c r="T180" s="100">
        <f>NB_Bills</f>
        <v>12</v>
      </c>
    </row>
    <row r="181" spans="3:20" x14ac:dyDescent="0.25">
      <c r="C181" s="99" t="s">
        <v>49</v>
      </c>
      <c r="D181" s="99">
        <v>3</v>
      </c>
      <c r="F181" s="59"/>
      <c r="I181" s="99" t="s">
        <v>49</v>
      </c>
      <c r="J181" s="99">
        <v>2</v>
      </c>
      <c r="N181" s="99" t="s">
        <v>49</v>
      </c>
      <c r="O181" s="99">
        <v>2</v>
      </c>
      <c r="S181" s="100" t="s">
        <v>49</v>
      </c>
      <c r="T181" s="100">
        <v>1</v>
      </c>
    </row>
    <row r="183" spans="3:20" x14ac:dyDescent="0.25">
      <c r="C183" s="99" t="s">
        <v>50</v>
      </c>
      <c r="D183" s="53">
        <f ca="1">RSQ(Y,Y_Pred_HC)</f>
        <v>0.88271255736616827</v>
      </c>
      <c r="I183" s="99" t="s">
        <v>50</v>
      </c>
      <c r="J183" s="53">
        <f t="array" aca="1" ref="J183" ca="1">RSQ(Y,Y_Pred_H)</f>
        <v>0.17805434173499632</v>
      </c>
      <c r="N183" s="99" t="s">
        <v>50</v>
      </c>
      <c r="O183" s="53">
        <f t="array" aca="1" ref="O183" ca="1">RSQ(Y,Y_Pred_C)</f>
        <v>0.5398508727752892</v>
      </c>
      <c r="S183" s="100" t="s">
        <v>50</v>
      </c>
      <c r="T183" s="53">
        <f t="array" aca="1" ref="T183" ca="1">RSQ(Y,Y_Pred_Baseload)</f>
        <v>0.17716429178620952</v>
      </c>
    </row>
    <row r="184" spans="3:20" x14ac:dyDescent="0.25">
      <c r="C184" s="99" t="s">
        <v>51</v>
      </c>
      <c r="D184" s="53">
        <f ca="1">1-(1-D183)*(D180-1)/(D180-D181-1)</f>
        <v>0.8387297663784814</v>
      </c>
      <c r="I184" s="99" t="s">
        <v>51</v>
      </c>
      <c r="J184" s="53">
        <f ca="1">1-(1-J183)*(J180-1)/(J180-J181-1)</f>
        <v>-4.6002489905601074E-3</v>
      </c>
      <c r="N184" s="99" t="s">
        <v>51</v>
      </c>
      <c r="O184" s="53">
        <f ca="1">1-(1-O183)*(O180-1)/(O180-O181-1)</f>
        <v>0.43759551116979789</v>
      </c>
      <c r="S184" s="100" t="s">
        <v>51</v>
      </c>
      <c r="T184" s="53">
        <f ca="1">1-(1-T183)*(T180-1)/(T180-T181-1)</f>
        <v>9.4880720964830467E-2</v>
      </c>
    </row>
    <row r="185" spans="3:20" x14ac:dyDescent="0.25">
      <c r="C185" s="99"/>
      <c r="D185" s="99"/>
      <c r="I185" s="99"/>
      <c r="J185" s="99"/>
      <c r="N185" s="99"/>
      <c r="O185" s="100"/>
      <c r="S185" s="100"/>
      <c r="T185" s="100"/>
    </row>
    <row r="186" spans="3:20" x14ac:dyDescent="0.25">
      <c r="C186" s="99" t="s">
        <v>52</v>
      </c>
      <c r="D186" s="54">
        <f t="array" aca="1" ref="D186" ca="1">SQRT(SUM(((Y)-(Y_Pred_HC))^2)/D180)/(SUMPRODUCT(Y,Days)/SUM(Days))</f>
        <v>7.4834432839807632E-2</v>
      </c>
      <c r="I186" s="99" t="s">
        <v>52</v>
      </c>
      <c r="J186" s="54">
        <f t="array" aca="1" ref="J186" ca="1">SQRT(SUM(((Y)-(Y_Pred_H))^2)/J180)/(SUMPRODUCT(Y,Days)/SUM(Days))</f>
        <v>0.20362990889145877</v>
      </c>
      <c r="N186" s="99" t="s">
        <v>52</v>
      </c>
      <c r="O186" s="54">
        <f t="array" aca="1" ref="O186" ca="1">SQRT(SUM(((Y)-(Y_Pred_C))^2)/O180)/(SUMPRODUCT(Y,Days)/SUM(Days))</f>
        <v>0.14915733764291034</v>
      </c>
      <c r="S186" s="100" t="s">
        <v>52</v>
      </c>
      <c r="T186" s="54">
        <f t="array" aca="1" ref="T186" ca="1">SQRT(SUM(((Y)-(Y_Pred_Baseload))^2)/T180)/(SUMPRODUCT(Y,Days)/SUM(Days))</f>
        <v>0.20364219482189222</v>
      </c>
    </row>
    <row r="187" spans="3:20" x14ac:dyDescent="0.25">
      <c r="C187" s="147" t="s">
        <v>89</v>
      </c>
      <c r="D187" s="55">
        <f t="array" aca="1" ref="D187" ca="1">SUM(Y_Pred_HC-Y)/D180</f>
        <v>1.5054418714864066</v>
      </c>
      <c r="I187" s="147" t="s">
        <v>89</v>
      </c>
      <c r="J187" s="55">
        <f t="array" aca="1" ref="J187" ca="1">SUM(Y_Pred_H-Y)/J180</f>
        <v>31.366556525669239</v>
      </c>
      <c r="N187" s="147" t="s">
        <v>89</v>
      </c>
      <c r="O187" s="55">
        <f t="array" aca="1" ref="O187" ca="1">SUM(Y_Pred_C-Y)/O180</f>
        <v>35.084161133860412</v>
      </c>
      <c r="S187" s="100" t="s">
        <v>88</v>
      </c>
      <c r="T187" s="55">
        <f t="array" aca="1" ref="T187" ca="1">SUM(Y_Pred_Baseload-Y)/T180</f>
        <v>-6.0632980118195212E-13</v>
      </c>
    </row>
    <row r="188" spans="3:20" x14ac:dyDescent="0.25">
      <c r="C188" s="99" t="s">
        <v>53</v>
      </c>
      <c r="D188" s="54">
        <f ca="1">D187/SUM(Y)</f>
        <v>8.5497607421990383E-6</v>
      </c>
      <c r="I188" s="99" t="s">
        <v>53</v>
      </c>
      <c r="J188" s="54">
        <f ca="1">J187/SUM(Y)</f>
        <v>1.7813809930525466E-4</v>
      </c>
      <c r="N188" s="99" t="s">
        <v>53</v>
      </c>
      <c r="O188" s="54">
        <f ca="1">O187/SUM(Y)</f>
        <v>1.9925125587153802E-4</v>
      </c>
      <c r="S188" s="100" t="s">
        <v>53</v>
      </c>
      <c r="T188" s="54">
        <f ca="1">T187/SUM(Y)</f>
        <v>-3.4434904655949123E-18</v>
      </c>
    </row>
    <row r="189" spans="3:20" x14ac:dyDescent="0.25">
      <c r="C189" s="147"/>
    </row>
  </sheetData>
  <mergeCells count="12">
    <mergeCell ref="L33:N36"/>
    <mergeCell ref="C6:D6"/>
    <mergeCell ref="E9:G9"/>
    <mergeCell ref="F14:H14"/>
    <mergeCell ref="G3:H3"/>
    <mergeCell ref="G4:H4"/>
    <mergeCell ref="G5:H5"/>
    <mergeCell ref="G6:H6"/>
    <mergeCell ref="G7:H7"/>
    <mergeCell ref="C8:D8"/>
    <mergeCell ref="E8:G8"/>
    <mergeCell ref="C9:D9"/>
  </mergeCells>
  <dataValidations count="1">
    <dataValidation type="list" allowBlank="1" showInputMessage="1" showErrorMessage="1" sqref="E4:E6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ric">
    <tabColor theme="9" tint="0.39997558519241921"/>
  </sheetPr>
  <dimension ref="C4:N340"/>
  <sheetViews>
    <sheetView zoomScaleNormal="100" workbookViewId="0">
      <selection activeCell="H13" sqref="H13"/>
    </sheetView>
  </sheetViews>
  <sheetFormatPr defaultRowHeight="15" x14ac:dyDescent="0.25"/>
  <sheetData>
    <row r="4" spans="3:14" x14ac:dyDescent="0.25">
      <c r="C4" s="97" t="s">
        <v>82</v>
      </c>
      <c r="D4" s="97">
        <v>50</v>
      </c>
      <c r="E4" s="97">
        <f t="shared" ref="E4:N4" si="0">D4+2.5</f>
        <v>52.5</v>
      </c>
      <c r="F4" s="97">
        <f t="shared" si="0"/>
        <v>55</v>
      </c>
      <c r="G4" s="97">
        <f t="shared" si="0"/>
        <v>57.5</v>
      </c>
      <c r="H4" s="97">
        <f t="shared" si="0"/>
        <v>60</v>
      </c>
      <c r="I4" s="97">
        <f t="shared" si="0"/>
        <v>62.5</v>
      </c>
      <c r="J4" s="97">
        <f t="shared" si="0"/>
        <v>65</v>
      </c>
      <c r="K4" s="97">
        <f t="shared" si="0"/>
        <v>67.5</v>
      </c>
      <c r="L4" s="97">
        <f t="shared" si="0"/>
        <v>70</v>
      </c>
      <c r="M4" s="97">
        <f t="shared" si="0"/>
        <v>72.5</v>
      </c>
      <c r="N4" s="97">
        <f t="shared" si="0"/>
        <v>75</v>
      </c>
    </row>
    <row r="5" spans="3:14" x14ac:dyDescent="0.25">
      <c r="C5" s="97">
        <v>50</v>
      </c>
      <c r="D5" s="98">
        <v>0.76411949262389489</v>
      </c>
      <c r="E5" s="98">
        <v>0.74657898079945229</v>
      </c>
      <c r="F5" s="98">
        <v>0.72406484721422981</v>
      </c>
      <c r="G5" s="98">
        <v>0.70665578620707736</v>
      </c>
      <c r="H5" s="98">
        <v>0.69428635297402275</v>
      </c>
      <c r="I5" s="98">
        <v>0.68945185642270257</v>
      </c>
      <c r="J5" s="98">
        <v>0.69198689569381111</v>
      </c>
      <c r="K5" s="98">
        <v>0.70253167413220396</v>
      </c>
      <c r="L5" s="98">
        <v>0.71859943840768659</v>
      </c>
      <c r="M5" s="98">
        <v>0.73646603271334687</v>
      </c>
      <c r="N5" s="98">
        <v>0.74961287837285506</v>
      </c>
    </row>
    <row r="6" spans="3:14" x14ac:dyDescent="0.25">
      <c r="C6" s="97">
        <f t="shared" ref="C6:C15" si="1">C5+2.5</f>
        <v>52.5</v>
      </c>
      <c r="D6" s="98">
        <v>0.75598678089375215</v>
      </c>
      <c r="E6" s="98">
        <v>0.73738532307717153</v>
      </c>
      <c r="F6" s="98">
        <v>0.71405208932786068</v>
      </c>
      <c r="G6" s="98">
        <v>0.69595676338823453</v>
      </c>
      <c r="H6" s="98">
        <v>0.68278115492151992</v>
      </c>
      <c r="I6" s="98">
        <v>0.67666552183931628</v>
      </c>
      <c r="J6" s="98">
        <v>0.67743751554106058</v>
      </c>
      <c r="K6" s="98">
        <v>0.68558382968512788</v>
      </c>
      <c r="L6" s="98">
        <v>0.69874501693973534</v>
      </c>
      <c r="M6" s="98">
        <v>0.71373698392378859</v>
      </c>
      <c r="N6" s="98">
        <v>0.72492327009069601</v>
      </c>
    </row>
    <row r="7" spans="3:14" x14ac:dyDescent="0.25">
      <c r="C7" s="97">
        <f t="shared" si="1"/>
        <v>55</v>
      </c>
      <c r="D7" s="98">
        <v>0.74364580783171486</v>
      </c>
      <c r="E7" s="98">
        <v>0.72342198199353669</v>
      </c>
      <c r="F7" s="98">
        <v>0.69861475701188125</v>
      </c>
      <c r="G7" s="98">
        <v>0.67919586476863902</v>
      </c>
      <c r="H7" s="98">
        <v>0.66453649879221988</v>
      </c>
      <c r="I7" s="98">
        <v>0.6563402197496474</v>
      </c>
      <c r="J7" s="98">
        <v>0.6545345498669356</v>
      </c>
      <c r="K7" s="98">
        <v>0.65946338057046305</v>
      </c>
      <c r="L7" s="98">
        <v>0.66891898821564055</v>
      </c>
      <c r="M7" s="98">
        <v>0.68031818172480796</v>
      </c>
      <c r="N7" s="98">
        <v>0.6888953447188132</v>
      </c>
    </row>
    <row r="8" spans="3:14" x14ac:dyDescent="0.25">
      <c r="C8" s="97">
        <f t="shared" si="1"/>
        <v>57.5</v>
      </c>
      <c r="D8" s="98">
        <v>0.73134528296221402</v>
      </c>
      <c r="E8" s="98">
        <v>0.70976500172579959</v>
      </c>
      <c r="F8" s="98">
        <v>0.6838020601808612</v>
      </c>
      <c r="G8" s="98">
        <v>0.663329302255382</v>
      </c>
      <c r="H8" s="98">
        <v>0.64746227293427527</v>
      </c>
      <c r="I8" s="98">
        <v>0.63750575182795111</v>
      </c>
      <c r="J8" s="98">
        <v>0.63349970067788963</v>
      </c>
      <c r="K8" s="98">
        <v>0.63563554795018162</v>
      </c>
      <c r="L8" s="98">
        <v>0.64184744440618358</v>
      </c>
      <c r="M8" s="98">
        <v>0.65004210909006832</v>
      </c>
      <c r="N8" s="98">
        <v>0.65620629059697178</v>
      </c>
    </row>
    <row r="9" spans="3:14" x14ac:dyDescent="0.25">
      <c r="C9" s="97">
        <f t="shared" si="1"/>
        <v>60</v>
      </c>
      <c r="D9" s="98">
        <v>0.71910989595244235</v>
      </c>
      <c r="E9" s="98">
        <v>0.69632406136091285</v>
      </c>
      <c r="F9" s="98">
        <v>0.66937746024637823</v>
      </c>
      <c r="G9" s="98">
        <v>0.64799515038350219</v>
      </c>
      <c r="H9" s="98">
        <v>0.63107033187815842</v>
      </c>
      <c r="I9" s="98">
        <v>0.61954473464755933</v>
      </c>
      <c r="J9" s="98">
        <v>0.61359414296710457</v>
      </c>
      <c r="K9" s="98">
        <v>0.61327759404600257</v>
      </c>
      <c r="L9" s="98">
        <v>0.61668150969071545</v>
      </c>
      <c r="M9" s="98">
        <v>0.62211467208381421</v>
      </c>
      <c r="N9" s="98">
        <v>0.62619837626652586</v>
      </c>
    </row>
    <row r="10" spans="3:14" x14ac:dyDescent="0.25">
      <c r="C10" s="97">
        <f t="shared" si="1"/>
        <v>62.5</v>
      </c>
      <c r="D10" s="98">
        <v>0.70829246903345033</v>
      </c>
      <c r="E10" s="98">
        <v>0.68448538489106447</v>
      </c>
      <c r="F10" s="98">
        <v>0.65669584514496893</v>
      </c>
      <c r="G10" s="98">
        <v>0.63450684890694031</v>
      </c>
      <c r="H10" s="98">
        <v>0.61663629191497504</v>
      </c>
      <c r="I10" s="98">
        <v>0.60371062380059115</v>
      </c>
      <c r="J10" s="98">
        <v>0.59606910922414014</v>
      </c>
      <c r="K10" s="98">
        <v>0.59368474845573682</v>
      </c>
      <c r="L10" s="98">
        <v>0.59481905603170515</v>
      </c>
      <c r="M10" s="98">
        <v>0.59807868503167716</v>
      </c>
      <c r="N10" s="98">
        <v>0.60056521533007767</v>
      </c>
    </row>
    <row r="11" spans="3:14" x14ac:dyDescent="0.25">
      <c r="C11" s="97">
        <f t="shared" si="1"/>
        <v>65</v>
      </c>
      <c r="D11" s="98">
        <v>0.69912530424909236</v>
      </c>
      <c r="E11" s="98">
        <v>0.67455056423729887</v>
      </c>
      <c r="F11" s="98">
        <v>0.64617168081120313</v>
      </c>
      <c r="G11" s="98">
        <v>0.62340343456167679</v>
      </c>
      <c r="H11" s="98">
        <v>0.60483449350173946</v>
      </c>
      <c r="I11" s="98">
        <v>0.59082664226273995</v>
      </c>
      <c r="J11" s="98">
        <v>0.58184902517634507</v>
      </c>
      <c r="K11" s="98">
        <v>0.577810807729215</v>
      </c>
      <c r="L11" s="98">
        <v>0.57715618502216637</v>
      </c>
      <c r="M11" s="98">
        <v>0.57871162937459686</v>
      </c>
      <c r="N11" s="98">
        <v>0.57993685660500949</v>
      </c>
    </row>
    <row r="12" spans="3:14" x14ac:dyDescent="0.25">
      <c r="C12" s="97">
        <f t="shared" si="1"/>
        <v>67.5</v>
      </c>
      <c r="D12" s="98">
        <v>0.6926462271193895</v>
      </c>
      <c r="E12" s="98">
        <v>0.66759907369911198</v>
      </c>
      <c r="F12" s="98">
        <v>0.63888538556370766</v>
      </c>
      <c r="G12" s="98">
        <v>0.61575814057946843</v>
      </c>
      <c r="H12" s="98">
        <v>0.59673209752392531</v>
      </c>
      <c r="I12" s="98">
        <v>0.58197477638238149</v>
      </c>
      <c r="J12" s="98">
        <v>0.57204177178484183</v>
      </c>
      <c r="K12" s="98">
        <v>0.56680162218252805</v>
      </c>
      <c r="L12" s="98">
        <v>0.56486740608566988</v>
      </c>
      <c r="M12" s="98">
        <v>0.56523320269240596</v>
      </c>
      <c r="N12" s="98">
        <v>0.56558311337964318</v>
      </c>
    </row>
    <row r="13" spans="3:14" x14ac:dyDescent="0.25">
      <c r="C13" s="97">
        <f t="shared" si="1"/>
        <v>70</v>
      </c>
      <c r="D13" s="98">
        <v>0.68824094163767535</v>
      </c>
      <c r="E13" s="98">
        <v>0.66288622745128833</v>
      </c>
      <c r="F13" s="98">
        <v>0.63395875370246102</v>
      </c>
      <c r="G13" s="98">
        <v>0.61058809714747497</v>
      </c>
      <c r="H13" s="98">
        <v>0.59124915481467666</v>
      </c>
      <c r="I13" s="98">
        <v>0.57597706731411746</v>
      </c>
      <c r="J13" s="98">
        <v>0.56536863726244346</v>
      </c>
      <c r="K13" s="98">
        <v>0.55924107721943006</v>
      </c>
      <c r="L13" s="98">
        <v>0.55630714269655057</v>
      </c>
      <c r="M13" s="98">
        <v>0.55576778079301337</v>
      </c>
      <c r="N13" s="98">
        <v>0.55546137993098255</v>
      </c>
    </row>
    <row r="14" spans="3:14" x14ac:dyDescent="0.25">
      <c r="C14" s="97">
        <f t="shared" si="1"/>
        <v>72.5</v>
      </c>
      <c r="D14" s="98">
        <v>0.6865317087477435</v>
      </c>
      <c r="E14" s="98">
        <v>0.66104249258952696</v>
      </c>
      <c r="F14" s="98">
        <v>0.6320339504529201</v>
      </c>
      <c r="G14" s="98">
        <v>0.60855649576211124</v>
      </c>
      <c r="H14" s="98">
        <v>0.58906633898456595</v>
      </c>
      <c r="I14" s="98">
        <v>0.5735159604929535</v>
      </c>
      <c r="J14" s="98">
        <v>0.56248359154439098</v>
      </c>
      <c r="K14" s="98">
        <v>0.5557503610413882</v>
      </c>
      <c r="L14" s="98">
        <v>0.55211480847236494</v>
      </c>
      <c r="M14" s="98">
        <v>0.55094912524304607</v>
      </c>
      <c r="N14" s="98">
        <v>0.55016809362508678</v>
      </c>
    </row>
    <row r="15" spans="3:14" x14ac:dyDescent="0.25">
      <c r="C15" s="97">
        <f t="shared" si="1"/>
        <v>75</v>
      </c>
      <c r="D15" s="98">
        <v>0.68005033743403909</v>
      </c>
      <c r="E15" s="98">
        <v>0.6542996002709387</v>
      </c>
      <c r="F15" s="98">
        <v>0.6251301102239355</v>
      </c>
      <c r="G15" s="98">
        <v>0.60139633264445669</v>
      </c>
      <c r="H15" s="98">
        <v>0.58154576311964623</v>
      </c>
      <c r="I15" s="98">
        <v>0.56533958604243539</v>
      </c>
      <c r="J15" s="98">
        <v>0.55321529266738967</v>
      </c>
      <c r="K15" s="98">
        <v>0.54484938178400111</v>
      </c>
      <c r="L15" s="98">
        <v>0.53925936575068212</v>
      </c>
      <c r="M15" s="98">
        <v>0.5361504363873526</v>
      </c>
      <c r="N15" s="98">
        <v>0.53362106159301903</v>
      </c>
    </row>
    <row r="16" spans="3:14" x14ac:dyDescent="0.25">
      <c r="C16" s="96"/>
    </row>
    <row r="17" spans="3:3" x14ac:dyDescent="0.25">
      <c r="C17" s="96"/>
    </row>
    <row r="18" spans="3:3" x14ac:dyDescent="0.25">
      <c r="C18" s="96"/>
    </row>
    <row r="19" spans="3:3" x14ac:dyDescent="0.25">
      <c r="C19" s="96"/>
    </row>
    <row r="20" spans="3:3" x14ac:dyDescent="0.25">
      <c r="C20" s="96"/>
    </row>
    <row r="21" spans="3:3" x14ac:dyDescent="0.25">
      <c r="C21" s="96"/>
    </row>
    <row r="22" spans="3:3" x14ac:dyDescent="0.25">
      <c r="C22" s="96"/>
    </row>
    <row r="23" spans="3:3" x14ac:dyDescent="0.25">
      <c r="C23" s="96"/>
    </row>
    <row r="24" spans="3:3" x14ac:dyDescent="0.25">
      <c r="C24" s="96"/>
    </row>
    <row r="25" spans="3:3" x14ac:dyDescent="0.25">
      <c r="C25" s="96"/>
    </row>
    <row r="26" spans="3:3" x14ac:dyDescent="0.25">
      <c r="C26" s="96"/>
    </row>
    <row r="27" spans="3:3" x14ac:dyDescent="0.25">
      <c r="C27" s="96"/>
    </row>
    <row r="28" spans="3:3" x14ac:dyDescent="0.25">
      <c r="C28" s="96"/>
    </row>
    <row r="29" spans="3:3" x14ac:dyDescent="0.25">
      <c r="C29" s="96"/>
    </row>
    <row r="30" spans="3:3" x14ac:dyDescent="0.25">
      <c r="C30" s="96"/>
    </row>
    <row r="31" spans="3:3" x14ac:dyDescent="0.25">
      <c r="C31" s="96"/>
    </row>
    <row r="32" spans="3:3" x14ac:dyDescent="0.25">
      <c r="C32" s="96"/>
    </row>
    <row r="33" spans="3:3" x14ac:dyDescent="0.25">
      <c r="C33" s="96"/>
    </row>
    <row r="34" spans="3:3" x14ac:dyDescent="0.25">
      <c r="C34" s="96"/>
    </row>
    <row r="35" spans="3:3" x14ac:dyDescent="0.25">
      <c r="C35" s="96"/>
    </row>
    <row r="36" spans="3:3" x14ac:dyDescent="0.25">
      <c r="C36" s="96"/>
    </row>
    <row r="37" spans="3:3" x14ac:dyDescent="0.25">
      <c r="C37" s="96"/>
    </row>
    <row r="38" spans="3:3" x14ac:dyDescent="0.25">
      <c r="C38" s="96"/>
    </row>
    <row r="39" spans="3:3" x14ac:dyDescent="0.25">
      <c r="C39" s="96"/>
    </row>
    <row r="40" spans="3:3" x14ac:dyDescent="0.25">
      <c r="C40" s="96"/>
    </row>
    <row r="41" spans="3:3" x14ac:dyDescent="0.25">
      <c r="C41" s="96"/>
    </row>
    <row r="42" spans="3:3" x14ac:dyDescent="0.25">
      <c r="C42" s="96"/>
    </row>
    <row r="43" spans="3:3" x14ac:dyDescent="0.25">
      <c r="C43" s="96"/>
    </row>
    <row r="44" spans="3:3" x14ac:dyDescent="0.25">
      <c r="C44" s="96"/>
    </row>
    <row r="45" spans="3:3" x14ac:dyDescent="0.25">
      <c r="C45" s="96"/>
    </row>
    <row r="46" spans="3:3" x14ac:dyDescent="0.25">
      <c r="C46" s="96"/>
    </row>
    <row r="47" spans="3:3" x14ac:dyDescent="0.25">
      <c r="C47" s="96"/>
    </row>
    <row r="48" spans="3:3" x14ac:dyDescent="0.25">
      <c r="C48" s="96"/>
    </row>
    <row r="49" spans="3:3" x14ac:dyDescent="0.25">
      <c r="C49" s="96"/>
    </row>
    <row r="50" spans="3:3" x14ac:dyDescent="0.25">
      <c r="C50" s="96"/>
    </row>
    <row r="51" spans="3:3" x14ac:dyDescent="0.25">
      <c r="C51" s="96"/>
    </row>
    <row r="52" spans="3:3" x14ac:dyDescent="0.25">
      <c r="C52" s="96"/>
    </row>
    <row r="53" spans="3:3" x14ac:dyDescent="0.25">
      <c r="C53" s="96"/>
    </row>
    <row r="54" spans="3:3" x14ac:dyDescent="0.25">
      <c r="C54" s="96"/>
    </row>
    <row r="55" spans="3:3" x14ac:dyDescent="0.25">
      <c r="C55" s="96"/>
    </row>
    <row r="56" spans="3:3" x14ac:dyDescent="0.25">
      <c r="C56" s="96"/>
    </row>
    <row r="57" spans="3:3" x14ac:dyDescent="0.25">
      <c r="C57" s="96"/>
    </row>
    <row r="58" spans="3:3" x14ac:dyDescent="0.25">
      <c r="C58" s="96"/>
    </row>
    <row r="59" spans="3:3" x14ac:dyDescent="0.25">
      <c r="C59" s="96"/>
    </row>
    <row r="60" spans="3:3" x14ac:dyDescent="0.25">
      <c r="C60" s="96"/>
    </row>
    <row r="61" spans="3:3" x14ac:dyDescent="0.25">
      <c r="C61" s="96"/>
    </row>
    <row r="62" spans="3:3" x14ac:dyDescent="0.25">
      <c r="C62" s="96"/>
    </row>
    <row r="63" spans="3:3" x14ac:dyDescent="0.25">
      <c r="C63" s="96"/>
    </row>
    <row r="64" spans="3:3" x14ac:dyDescent="0.25">
      <c r="C64" s="96"/>
    </row>
    <row r="65" spans="3:3" x14ac:dyDescent="0.25">
      <c r="C65" s="96"/>
    </row>
    <row r="66" spans="3:3" x14ac:dyDescent="0.25">
      <c r="C66" s="96"/>
    </row>
    <row r="67" spans="3:3" x14ac:dyDescent="0.25">
      <c r="C67" s="96"/>
    </row>
    <row r="68" spans="3:3" x14ac:dyDescent="0.25">
      <c r="C68" s="96"/>
    </row>
    <row r="69" spans="3:3" x14ac:dyDescent="0.25">
      <c r="C69" s="96"/>
    </row>
    <row r="70" spans="3:3" x14ac:dyDescent="0.25">
      <c r="C70" s="96"/>
    </row>
    <row r="71" spans="3:3" x14ac:dyDescent="0.25">
      <c r="C71" s="96"/>
    </row>
    <row r="72" spans="3:3" x14ac:dyDescent="0.25">
      <c r="C72" s="96"/>
    </row>
    <row r="73" spans="3:3" x14ac:dyDescent="0.25">
      <c r="C73" s="96"/>
    </row>
    <row r="74" spans="3:3" x14ac:dyDescent="0.25">
      <c r="C74" s="96"/>
    </row>
    <row r="75" spans="3:3" x14ac:dyDescent="0.25">
      <c r="C75" s="96"/>
    </row>
    <row r="76" spans="3:3" x14ac:dyDescent="0.25">
      <c r="C76" s="96"/>
    </row>
    <row r="77" spans="3:3" x14ac:dyDescent="0.25">
      <c r="C77" s="96"/>
    </row>
    <row r="78" spans="3:3" x14ac:dyDescent="0.25">
      <c r="C78" s="96"/>
    </row>
    <row r="79" spans="3:3" x14ac:dyDescent="0.25">
      <c r="C79" s="96"/>
    </row>
    <row r="80" spans="3:3" x14ac:dyDescent="0.25">
      <c r="C80" s="96"/>
    </row>
    <row r="81" spans="3:3" x14ac:dyDescent="0.25">
      <c r="C81" s="96"/>
    </row>
    <row r="82" spans="3:3" x14ac:dyDescent="0.25">
      <c r="C82" s="96"/>
    </row>
    <row r="83" spans="3:3" x14ac:dyDescent="0.25">
      <c r="C83" s="96"/>
    </row>
    <row r="84" spans="3:3" x14ac:dyDescent="0.25">
      <c r="C84" s="96"/>
    </row>
    <row r="85" spans="3:3" x14ac:dyDescent="0.25">
      <c r="C85" s="96"/>
    </row>
    <row r="86" spans="3:3" x14ac:dyDescent="0.25">
      <c r="C86" s="96"/>
    </row>
    <row r="87" spans="3:3" x14ac:dyDescent="0.25">
      <c r="C87" s="96"/>
    </row>
    <row r="88" spans="3:3" x14ac:dyDescent="0.25">
      <c r="C88" s="96"/>
    </row>
    <row r="89" spans="3:3" x14ac:dyDescent="0.25">
      <c r="C89" s="96"/>
    </row>
    <row r="90" spans="3:3" x14ac:dyDescent="0.25">
      <c r="C90" s="96"/>
    </row>
    <row r="91" spans="3:3" x14ac:dyDescent="0.25">
      <c r="C91" s="96"/>
    </row>
    <row r="92" spans="3:3" x14ac:dyDescent="0.25">
      <c r="C92" s="96"/>
    </row>
    <row r="93" spans="3:3" x14ac:dyDescent="0.25">
      <c r="C93" s="96"/>
    </row>
    <row r="94" spans="3:3" x14ac:dyDescent="0.25">
      <c r="C94" s="96"/>
    </row>
    <row r="95" spans="3:3" x14ac:dyDescent="0.25">
      <c r="C95" s="96"/>
    </row>
    <row r="96" spans="3:3" x14ac:dyDescent="0.25">
      <c r="C96" s="96"/>
    </row>
    <row r="97" spans="3:3" x14ac:dyDescent="0.25">
      <c r="C97" s="96"/>
    </row>
    <row r="98" spans="3:3" x14ac:dyDescent="0.25">
      <c r="C98" s="96"/>
    </row>
    <row r="99" spans="3:3" x14ac:dyDescent="0.25">
      <c r="C99" s="96"/>
    </row>
    <row r="100" spans="3:3" x14ac:dyDescent="0.25">
      <c r="C100" s="96"/>
    </row>
    <row r="101" spans="3:3" x14ac:dyDescent="0.25">
      <c r="C101" s="96"/>
    </row>
    <row r="102" spans="3:3" x14ac:dyDescent="0.25">
      <c r="C102" s="96"/>
    </row>
    <row r="103" spans="3:3" x14ac:dyDescent="0.25">
      <c r="C103" s="96"/>
    </row>
    <row r="104" spans="3:3" x14ac:dyDescent="0.25">
      <c r="C104" s="96"/>
    </row>
    <row r="105" spans="3:3" x14ac:dyDescent="0.25">
      <c r="C105" s="96"/>
    </row>
    <row r="106" spans="3:3" x14ac:dyDescent="0.25">
      <c r="C106" s="96"/>
    </row>
    <row r="107" spans="3:3" x14ac:dyDescent="0.25">
      <c r="C107" s="96"/>
    </row>
    <row r="108" spans="3:3" x14ac:dyDescent="0.25">
      <c r="C108" s="96"/>
    </row>
    <row r="109" spans="3:3" x14ac:dyDescent="0.25">
      <c r="C109" s="96"/>
    </row>
    <row r="110" spans="3:3" x14ac:dyDescent="0.25">
      <c r="C110" s="96"/>
    </row>
    <row r="111" spans="3:3" x14ac:dyDescent="0.25">
      <c r="C111" s="96"/>
    </row>
    <row r="112" spans="3:3" x14ac:dyDescent="0.25">
      <c r="C112" s="96"/>
    </row>
    <row r="113" spans="3:3" x14ac:dyDescent="0.25">
      <c r="C113" s="96"/>
    </row>
    <row r="114" spans="3:3" x14ac:dyDescent="0.25">
      <c r="C114" s="96"/>
    </row>
    <row r="115" spans="3:3" x14ac:dyDescent="0.25">
      <c r="C115" s="96"/>
    </row>
    <row r="116" spans="3:3" x14ac:dyDescent="0.25">
      <c r="C116" s="96"/>
    </row>
    <row r="117" spans="3:3" x14ac:dyDescent="0.25">
      <c r="C117" s="96"/>
    </row>
    <row r="118" spans="3:3" x14ac:dyDescent="0.25">
      <c r="C118" s="96"/>
    </row>
    <row r="119" spans="3:3" x14ac:dyDescent="0.25">
      <c r="C119" s="96"/>
    </row>
    <row r="120" spans="3:3" x14ac:dyDescent="0.25">
      <c r="C120" s="96"/>
    </row>
    <row r="121" spans="3:3" x14ac:dyDescent="0.25">
      <c r="C121" s="96"/>
    </row>
    <row r="122" spans="3:3" x14ac:dyDescent="0.25">
      <c r="C122" s="96"/>
    </row>
    <row r="123" spans="3:3" x14ac:dyDescent="0.25">
      <c r="C123" s="96"/>
    </row>
    <row r="124" spans="3:3" x14ac:dyDescent="0.25">
      <c r="C124" s="96"/>
    </row>
    <row r="125" spans="3:3" x14ac:dyDescent="0.25">
      <c r="C125" s="96"/>
    </row>
    <row r="126" spans="3:3" x14ac:dyDescent="0.25">
      <c r="C126" s="96"/>
    </row>
    <row r="127" spans="3:3" x14ac:dyDescent="0.25">
      <c r="C127" s="96"/>
    </row>
    <row r="128" spans="3:3" x14ac:dyDescent="0.25">
      <c r="C128" s="96"/>
    </row>
    <row r="129" spans="3:3" x14ac:dyDescent="0.25">
      <c r="C129" s="96"/>
    </row>
    <row r="130" spans="3:3" x14ac:dyDescent="0.25">
      <c r="C130" s="96"/>
    </row>
    <row r="131" spans="3:3" x14ac:dyDescent="0.25">
      <c r="C131" s="96"/>
    </row>
    <row r="132" spans="3:3" x14ac:dyDescent="0.25">
      <c r="C132" s="96"/>
    </row>
    <row r="133" spans="3:3" x14ac:dyDescent="0.25">
      <c r="C133" s="96"/>
    </row>
    <row r="134" spans="3:3" x14ac:dyDescent="0.25">
      <c r="C134" s="96"/>
    </row>
    <row r="135" spans="3:3" x14ac:dyDescent="0.25">
      <c r="C135" s="96"/>
    </row>
    <row r="136" spans="3:3" x14ac:dyDescent="0.25">
      <c r="C136" s="96"/>
    </row>
    <row r="137" spans="3:3" x14ac:dyDescent="0.25">
      <c r="C137" s="96"/>
    </row>
    <row r="138" spans="3:3" x14ac:dyDescent="0.25">
      <c r="C138" s="96"/>
    </row>
    <row r="139" spans="3:3" x14ac:dyDescent="0.25">
      <c r="C139" s="96"/>
    </row>
    <row r="140" spans="3:3" x14ac:dyDescent="0.25">
      <c r="C140" s="96"/>
    </row>
    <row r="141" spans="3:3" x14ac:dyDescent="0.25">
      <c r="C141" s="96"/>
    </row>
    <row r="142" spans="3:3" x14ac:dyDescent="0.25">
      <c r="C142" s="96"/>
    </row>
    <row r="143" spans="3:3" x14ac:dyDescent="0.25">
      <c r="C143" s="96"/>
    </row>
    <row r="144" spans="3:3" x14ac:dyDescent="0.25">
      <c r="C144" s="96"/>
    </row>
    <row r="145" spans="3:3" x14ac:dyDescent="0.25">
      <c r="C145" s="96"/>
    </row>
    <row r="146" spans="3:3" x14ac:dyDescent="0.25">
      <c r="C146" s="96"/>
    </row>
    <row r="147" spans="3:3" x14ac:dyDescent="0.25">
      <c r="C147" s="96"/>
    </row>
    <row r="148" spans="3:3" x14ac:dyDescent="0.25">
      <c r="C148" s="96"/>
    </row>
    <row r="149" spans="3:3" x14ac:dyDescent="0.25">
      <c r="C149" s="96"/>
    </row>
    <row r="150" spans="3:3" x14ac:dyDescent="0.25">
      <c r="C150" s="96"/>
    </row>
    <row r="151" spans="3:3" x14ac:dyDescent="0.25">
      <c r="C151" s="96"/>
    </row>
    <row r="152" spans="3:3" x14ac:dyDescent="0.25">
      <c r="C152" s="96"/>
    </row>
    <row r="153" spans="3:3" x14ac:dyDescent="0.25">
      <c r="C153" s="96"/>
    </row>
    <row r="154" spans="3:3" x14ac:dyDescent="0.25">
      <c r="C154" s="96"/>
    </row>
    <row r="155" spans="3:3" x14ac:dyDescent="0.25">
      <c r="C155" s="96"/>
    </row>
    <row r="156" spans="3:3" x14ac:dyDescent="0.25">
      <c r="C156" s="96"/>
    </row>
    <row r="157" spans="3:3" x14ac:dyDescent="0.25">
      <c r="C157" s="96"/>
    </row>
    <row r="158" spans="3:3" x14ac:dyDescent="0.25">
      <c r="C158" s="96"/>
    </row>
    <row r="159" spans="3:3" x14ac:dyDescent="0.25">
      <c r="C159" s="96"/>
    </row>
    <row r="160" spans="3:3" x14ac:dyDescent="0.25">
      <c r="C160" s="96"/>
    </row>
    <row r="161" spans="3:3" x14ac:dyDescent="0.25">
      <c r="C161" s="96"/>
    </row>
    <row r="162" spans="3:3" x14ac:dyDescent="0.25">
      <c r="C162" s="96"/>
    </row>
    <row r="163" spans="3:3" x14ac:dyDescent="0.25">
      <c r="C163" s="96"/>
    </row>
    <row r="164" spans="3:3" x14ac:dyDescent="0.25">
      <c r="C164" s="96"/>
    </row>
    <row r="165" spans="3:3" x14ac:dyDescent="0.25">
      <c r="C165" s="96"/>
    </row>
    <row r="166" spans="3:3" x14ac:dyDescent="0.25">
      <c r="C166" s="96"/>
    </row>
    <row r="167" spans="3:3" x14ac:dyDescent="0.25">
      <c r="C167" s="96"/>
    </row>
    <row r="168" spans="3:3" x14ac:dyDescent="0.25">
      <c r="C168" s="96"/>
    </row>
    <row r="169" spans="3:3" x14ac:dyDescent="0.25">
      <c r="C169" s="96"/>
    </row>
    <row r="170" spans="3:3" x14ac:dyDescent="0.25">
      <c r="C170" s="96"/>
    </row>
    <row r="171" spans="3:3" x14ac:dyDescent="0.25">
      <c r="C171" s="96"/>
    </row>
    <row r="172" spans="3:3" x14ac:dyDescent="0.25">
      <c r="C172" s="96"/>
    </row>
    <row r="173" spans="3:3" x14ac:dyDescent="0.25">
      <c r="C173" s="96"/>
    </row>
    <row r="174" spans="3:3" x14ac:dyDescent="0.25">
      <c r="C174" s="96"/>
    </row>
    <row r="175" spans="3:3" x14ac:dyDescent="0.25">
      <c r="C175" s="96"/>
    </row>
    <row r="176" spans="3:3" x14ac:dyDescent="0.25">
      <c r="C176" s="96"/>
    </row>
    <row r="177" spans="3:3" x14ac:dyDescent="0.25">
      <c r="C177" s="96"/>
    </row>
    <row r="178" spans="3:3" x14ac:dyDescent="0.25">
      <c r="C178" s="96"/>
    </row>
    <row r="179" spans="3:3" x14ac:dyDescent="0.25">
      <c r="C179" s="96"/>
    </row>
    <row r="180" spans="3:3" x14ac:dyDescent="0.25">
      <c r="C180" s="96"/>
    </row>
    <row r="181" spans="3:3" x14ac:dyDescent="0.25">
      <c r="C181" s="96"/>
    </row>
    <row r="182" spans="3:3" x14ac:dyDescent="0.25">
      <c r="C182" s="96"/>
    </row>
    <row r="183" spans="3:3" x14ac:dyDescent="0.25">
      <c r="C183" s="96"/>
    </row>
    <row r="184" spans="3:3" x14ac:dyDescent="0.25">
      <c r="C184" s="96"/>
    </row>
    <row r="185" spans="3:3" x14ac:dyDescent="0.25">
      <c r="C185" s="96"/>
    </row>
    <row r="186" spans="3:3" x14ac:dyDescent="0.25">
      <c r="C186" s="96"/>
    </row>
    <row r="187" spans="3:3" x14ac:dyDescent="0.25">
      <c r="C187" s="96"/>
    </row>
    <row r="188" spans="3:3" x14ac:dyDescent="0.25">
      <c r="C188" s="96"/>
    </row>
    <row r="189" spans="3:3" x14ac:dyDescent="0.25">
      <c r="C189" s="96"/>
    </row>
    <row r="190" spans="3:3" x14ac:dyDescent="0.25">
      <c r="C190" s="96"/>
    </row>
    <row r="191" spans="3:3" x14ac:dyDescent="0.25">
      <c r="C191" s="96"/>
    </row>
    <row r="192" spans="3:3" x14ac:dyDescent="0.25">
      <c r="C192" s="96"/>
    </row>
    <row r="193" spans="3:3" x14ac:dyDescent="0.25">
      <c r="C193" s="96"/>
    </row>
    <row r="194" spans="3:3" x14ac:dyDescent="0.25">
      <c r="C194" s="96"/>
    </row>
    <row r="195" spans="3:3" x14ac:dyDescent="0.25">
      <c r="C195" s="96"/>
    </row>
    <row r="196" spans="3:3" x14ac:dyDescent="0.25">
      <c r="C196" s="96"/>
    </row>
    <row r="197" spans="3:3" x14ac:dyDescent="0.25">
      <c r="C197" s="96"/>
    </row>
    <row r="198" spans="3:3" x14ac:dyDescent="0.25">
      <c r="C198" s="96"/>
    </row>
    <row r="199" spans="3:3" x14ac:dyDescent="0.25">
      <c r="C199" s="96"/>
    </row>
    <row r="200" spans="3:3" x14ac:dyDescent="0.25">
      <c r="C200" s="96"/>
    </row>
    <row r="201" spans="3:3" x14ac:dyDescent="0.25">
      <c r="C201" s="96"/>
    </row>
    <row r="202" spans="3:3" x14ac:dyDescent="0.25">
      <c r="C202" s="96"/>
    </row>
    <row r="203" spans="3:3" x14ac:dyDescent="0.25">
      <c r="C203" s="96"/>
    </row>
    <row r="204" spans="3:3" x14ac:dyDescent="0.25">
      <c r="C204" s="96"/>
    </row>
    <row r="205" spans="3:3" x14ac:dyDescent="0.25">
      <c r="C205" s="96"/>
    </row>
    <row r="206" spans="3:3" x14ac:dyDescent="0.25">
      <c r="C206" s="96"/>
    </row>
    <row r="207" spans="3:3" x14ac:dyDescent="0.25">
      <c r="C207" s="96"/>
    </row>
    <row r="208" spans="3:3" x14ac:dyDescent="0.25">
      <c r="C208" s="96"/>
    </row>
    <row r="209" spans="3:3" x14ac:dyDescent="0.25">
      <c r="C209" s="96"/>
    </row>
    <row r="210" spans="3:3" x14ac:dyDescent="0.25">
      <c r="C210" s="96"/>
    </row>
    <row r="211" spans="3:3" x14ac:dyDescent="0.25">
      <c r="C211" s="96"/>
    </row>
    <row r="212" spans="3:3" x14ac:dyDescent="0.25">
      <c r="C212" s="96"/>
    </row>
    <row r="213" spans="3:3" x14ac:dyDescent="0.25">
      <c r="C213" s="96"/>
    </row>
    <row r="214" spans="3:3" x14ac:dyDescent="0.25">
      <c r="C214" s="96"/>
    </row>
    <row r="215" spans="3:3" x14ac:dyDescent="0.25">
      <c r="C215" s="96"/>
    </row>
    <row r="216" spans="3:3" x14ac:dyDescent="0.25">
      <c r="C216" s="96"/>
    </row>
    <row r="217" spans="3:3" x14ac:dyDescent="0.25">
      <c r="C217" s="96"/>
    </row>
    <row r="218" spans="3:3" x14ac:dyDescent="0.25">
      <c r="C218" s="96"/>
    </row>
    <row r="219" spans="3:3" x14ac:dyDescent="0.25">
      <c r="C219" s="96"/>
    </row>
    <row r="220" spans="3:3" x14ac:dyDescent="0.25">
      <c r="C220" s="96"/>
    </row>
    <row r="221" spans="3:3" x14ac:dyDescent="0.25">
      <c r="C221" s="96"/>
    </row>
    <row r="222" spans="3:3" x14ac:dyDescent="0.25">
      <c r="C222" s="96"/>
    </row>
    <row r="223" spans="3:3" x14ac:dyDescent="0.25">
      <c r="C223" s="96"/>
    </row>
    <row r="224" spans="3:3" x14ac:dyDescent="0.25">
      <c r="C224" s="96"/>
    </row>
    <row r="225" spans="3:3" x14ac:dyDescent="0.25">
      <c r="C225" s="96"/>
    </row>
    <row r="226" spans="3:3" x14ac:dyDescent="0.25">
      <c r="C226" s="96"/>
    </row>
    <row r="227" spans="3:3" x14ac:dyDescent="0.25">
      <c r="C227" s="96"/>
    </row>
    <row r="228" spans="3:3" x14ac:dyDescent="0.25">
      <c r="C228" s="96"/>
    </row>
    <row r="229" spans="3:3" x14ac:dyDescent="0.25">
      <c r="C229" s="96"/>
    </row>
    <row r="230" spans="3:3" x14ac:dyDescent="0.25">
      <c r="C230" s="96"/>
    </row>
    <row r="231" spans="3:3" x14ac:dyDescent="0.25">
      <c r="C231" s="96"/>
    </row>
    <row r="232" spans="3:3" x14ac:dyDescent="0.25">
      <c r="C232" s="96"/>
    </row>
    <row r="233" spans="3:3" x14ac:dyDescent="0.25">
      <c r="C233" s="96"/>
    </row>
    <row r="234" spans="3:3" x14ac:dyDescent="0.25">
      <c r="C234" s="96"/>
    </row>
    <row r="235" spans="3:3" x14ac:dyDescent="0.25">
      <c r="C235" s="96"/>
    </row>
    <row r="236" spans="3:3" x14ac:dyDescent="0.25">
      <c r="C236" s="96"/>
    </row>
    <row r="237" spans="3:3" x14ac:dyDescent="0.25">
      <c r="C237" s="96"/>
    </row>
    <row r="238" spans="3:3" x14ac:dyDescent="0.25">
      <c r="C238" s="96"/>
    </row>
    <row r="239" spans="3:3" x14ac:dyDescent="0.25">
      <c r="C239" s="96"/>
    </row>
    <row r="240" spans="3:3" x14ac:dyDescent="0.25">
      <c r="C240" s="96"/>
    </row>
    <row r="241" spans="3:3" x14ac:dyDescent="0.25">
      <c r="C241" s="96"/>
    </row>
    <row r="242" spans="3:3" x14ac:dyDescent="0.25">
      <c r="C242" s="96"/>
    </row>
    <row r="243" spans="3:3" x14ac:dyDescent="0.25">
      <c r="C243" s="96"/>
    </row>
    <row r="244" spans="3:3" x14ac:dyDescent="0.25">
      <c r="C244" s="96"/>
    </row>
    <row r="245" spans="3:3" x14ac:dyDescent="0.25">
      <c r="C245" s="96"/>
    </row>
    <row r="246" spans="3:3" x14ac:dyDescent="0.25">
      <c r="C246" s="96"/>
    </row>
    <row r="247" spans="3:3" x14ac:dyDescent="0.25">
      <c r="C247" s="96"/>
    </row>
    <row r="248" spans="3:3" x14ac:dyDescent="0.25">
      <c r="C248" s="96"/>
    </row>
    <row r="249" spans="3:3" x14ac:dyDescent="0.25">
      <c r="C249" s="96"/>
    </row>
    <row r="250" spans="3:3" x14ac:dyDescent="0.25">
      <c r="C250" s="96"/>
    </row>
    <row r="251" spans="3:3" x14ac:dyDescent="0.25">
      <c r="C251" s="96"/>
    </row>
    <row r="252" spans="3:3" x14ac:dyDescent="0.25">
      <c r="C252" s="96"/>
    </row>
    <row r="253" spans="3:3" x14ac:dyDescent="0.25">
      <c r="C253" s="96"/>
    </row>
    <row r="254" spans="3:3" x14ac:dyDescent="0.25">
      <c r="C254" s="96"/>
    </row>
    <row r="255" spans="3:3" x14ac:dyDescent="0.25">
      <c r="C255" s="96"/>
    </row>
    <row r="256" spans="3:3" x14ac:dyDescent="0.25">
      <c r="C256" s="96"/>
    </row>
    <row r="257" spans="3:3" x14ac:dyDescent="0.25">
      <c r="C257" s="96"/>
    </row>
    <row r="258" spans="3:3" x14ac:dyDescent="0.25">
      <c r="C258" s="96"/>
    </row>
    <row r="259" spans="3:3" x14ac:dyDescent="0.25">
      <c r="C259" s="96"/>
    </row>
    <row r="260" spans="3:3" x14ac:dyDescent="0.25">
      <c r="C260" s="96"/>
    </row>
    <row r="261" spans="3:3" x14ac:dyDescent="0.25">
      <c r="C261" s="96"/>
    </row>
    <row r="262" spans="3:3" x14ac:dyDescent="0.25">
      <c r="C262" s="96"/>
    </row>
    <row r="263" spans="3:3" x14ac:dyDescent="0.25">
      <c r="C263" s="96"/>
    </row>
    <row r="264" spans="3:3" x14ac:dyDescent="0.25">
      <c r="C264" s="96"/>
    </row>
    <row r="265" spans="3:3" x14ac:dyDescent="0.25">
      <c r="C265" s="96"/>
    </row>
    <row r="266" spans="3:3" x14ac:dyDescent="0.25">
      <c r="C266" s="96"/>
    </row>
    <row r="267" spans="3:3" x14ac:dyDescent="0.25">
      <c r="C267" s="96"/>
    </row>
    <row r="268" spans="3:3" x14ac:dyDescent="0.25">
      <c r="C268" s="96"/>
    </row>
    <row r="269" spans="3:3" x14ac:dyDescent="0.25">
      <c r="C269" s="96"/>
    </row>
    <row r="270" spans="3:3" x14ac:dyDescent="0.25">
      <c r="C270" s="96"/>
    </row>
    <row r="271" spans="3:3" x14ac:dyDescent="0.25">
      <c r="C271" s="96"/>
    </row>
    <row r="272" spans="3:3" x14ac:dyDescent="0.25">
      <c r="C272" s="96"/>
    </row>
    <row r="273" spans="3:3" x14ac:dyDescent="0.25">
      <c r="C273" s="96"/>
    </row>
    <row r="274" spans="3:3" x14ac:dyDescent="0.25">
      <c r="C274" s="96"/>
    </row>
    <row r="275" spans="3:3" x14ac:dyDescent="0.25">
      <c r="C275" s="96"/>
    </row>
    <row r="276" spans="3:3" x14ac:dyDescent="0.25">
      <c r="C276" s="96"/>
    </row>
    <row r="277" spans="3:3" x14ac:dyDescent="0.25">
      <c r="C277" s="96"/>
    </row>
    <row r="278" spans="3:3" x14ac:dyDescent="0.25">
      <c r="C278" s="96"/>
    </row>
    <row r="279" spans="3:3" x14ac:dyDescent="0.25">
      <c r="C279" s="96"/>
    </row>
    <row r="280" spans="3:3" x14ac:dyDescent="0.25">
      <c r="C280" s="96"/>
    </row>
    <row r="281" spans="3:3" x14ac:dyDescent="0.25">
      <c r="C281" s="96"/>
    </row>
    <row r="282" spans="3:3" x14ac:dyDescent="0.25">
      <c r="C282" s="96"/>
    </row>
    <row r="283" spans="3:3" x14ac:dyDescent="0.25">
      <c r="C283" s="96"/>
    </row>
    <row r="284" spans="3:3" x14ac:dyDescent="0.25">
      <c r="C284" s="96"/>
    </row>
    <row r="285" spans="3:3" x14ac:dyDescent="0.25">
      <c r="C285" s="96"/>
    </row>
    <row r="286" spans="3:3" x14ac:dyDescent="0.25">
      <c r="C286" s="96"/>
    </row>
    <row r="287" spans="3:3" x14ac:dyDescent="0.25">
      <c r="C287" s="96"/>
    </row>
    <row r="288" spans="3:3" x14ac:dyDescent="0.25">
      <c r="C288" s="96"/>
    </row>
    <row r="289" spans="3:3" x14ac:dyDescent="0.25">
      <c r="C289" s="96"/>
    </row>
    <row r="290" spans="3:3" x14ac:dyDescent="0.25">
      <c r="C290" s="96"/>
    </row>
    <row r="291" spans="3:3" x14ac:dyDescent="0.25">
      <c r="C291" s="96"/>
    </row>
    <row r="292" spans="3:3" x14ac:dyDescent="0.25">
      <c r="C292" s="96"/>
    </row>
    <row r="293" spans="3:3" x14ac:dyDescent="0.25">
      <c r="C293" s="96"/>
    </row>
    <row r="294" spans="3:3" x14ac:dyDescent="0.25">
      <c r="C294" s="96"/>
    </row>
    <row r="295" spans="3:3" x14ac:dyDescent="0.25">
      <c r="C295" s="96"/>
    </row>
    <row r="296" spans="3:3" x14ac:dyDescent="0.25">
      <c r="C296" s="96"/>
    </row>
    <row r="297" spans="3:3" x14ac:dyDescent="0.25">
      <c r="C297" s="96"/>
    </row>
    <row r="298" spans="3:3" x14ac:dyDescent="0.25">
      <c r="C298" s="96"/>
    </row>
    <row r="299" spans="3:3" x14ac:dyDescent="0.25">
      <c r="C299" s="96"/>
    </row>
    <row r="300" spans="3:3" x14ac:dyDescent="0.25">
      <c r="C300" s="96"/>
    </row>
    <row r="301" spans="3:3" x14ac:dyDescent="0.25">
      <c r="C301" s="96"/>
    </row>
    <row r="302" spans="3:3" x14ac:dyDescent="0.25">
      <c r="C302" s="96"/>
    </row>
    <row r="303" spans="3:3" x14ac:dyDescent="0.25">
      <c r="C303" s="96"/>
    </row>
    <row r="304" spans="3:3" x14ac:dyDescent="0.25">
      <c r="C304" s="96"/>
    </row>
    <row r="305" spans="3:3" x14ac:dyDescent="0.25">
      <c r="C305" s="96"/>
    </row>
    <row r="306" spans="3:3" x14ac:dyDescent="0.25">
      <c r="C306" s="96"/>
    </row>
    <row r="307" spans="3:3" x14ac:dyDescent="0.25">
      <c r="C307" s="96"/>
    </row>
    <row r="308" spans="3:3" x14ac:dyDescent="0.25">
      <c r="C308" s="96"/>
    </row>
    <row r="309" spans="3:3" x14ac:dyDescent="0.25">
      <c r="C309" s="96"/>
    </row>
    <row r="310" spans="3:3" x14ac:dyDescent="0.25">
      <c r="C310" s="96"/>
    </row>
    <row r="311" spans="3:3" x14ac:dyDescent="0.25">
      <c r="C311" s="96"/>
    </row>
    <row r="312" spans="3:3" x14ac:dyDescent="0.25">
      <c r="C312" s="96"/>
    </row>
    <row r="313" spans="3:3" x14ac:dyDescent="0.25">
      <c r="C313" s="96"/>
    </row>
    <row r="314" spans="3:3" x14ac:dyDescent="0.25">
      <c r="C314" s="96"/>
    </row>
    <row r="315" spans="3:3" x14ac:dyDescent="0.25">
      <c r="C315" s="96"/>
    </row>
    <row r="316" spans="3:3" x14ac:dyDescent="0.25">
      <c r="C316" s="96"/>
    </row>
    <row r="317" spans="3:3" x14ac:dyDescent="0.25">
      <c r="C317" s="96"/>
    </row>
    <row r="318" spans="3:3" x14ac:dyDescent="0.25">
      <c r="C318" s="96"/>
    </row>
    <row r="319" spans="3:3" x14ac:dyDescent="0.25">
      <c r="C319" s="96"/>
    </row>
    <row r="320" spans="3:3" x14ac:dyDescent="0.25">
      <c r="C320" s="96"/>
    </row>
    <row r="321" spans="3:3" x14ac:dyDescent="0.25">
      <c r="C321" s="96"/>
    </row>
    <row r="322" spans="3:3" x14ac:dyDescent="0.25">
      <c r="C322" s="96"/>
    </row>
    <row r="323" spans="3:3" x14ac:dyDescent="0.25">
      <c r="C323" s="96"/>
    </row>
    <row r="324" spans="3:3" x14ac:dyDescent="0.25">
      <c r="C324" s="96"/>
    </row>
    <row r="325" spans="3:3" x14ac:dyDescent="0.25">
      <c r="C325" s="96"/>
    </row>
    <row r="326" spans="3:3" x14ac:dyDescent="0.25">
      <c r="C326" s="96"/>
    </row>
    <row r="327" spans="3:3" x14ac:dyDescent="0.25">
      <c r="C327" s="96"/>
    </row>
    <row r="328" spans="3:3" x14ac:dyDescent="0.25">
      <c r="C328" s="96"/>
    </row>
    <row r="329" spans="3:3" x14ac:dyDescent="0.25">
      <c r="C329" s="96"/>
    </row>
    <row r="330" spans="3:3" x14ac:dyDescent="0.25">
      <c r="C330" s="96"/>
    </row>
    <row r="331" spans="3:3" x14ac:dyDescent="0.25">
      <c r="C331" s="96"/>
    </row>
    <row r="332" spans="3:3" x14ac:dyDescent="0.25">
      <c r="C332" s="96"/>
    </row>
    <row r="333" spans="3:3" x14ac:dyDescent="0.25">
      <c r="C333" s="96"/>
    </row>
    <row r="334" spans="3:3" x14ac:dyDescent="0.25">
      <c r="C334" s="96"/>
    </row>
    <row r="335" spans="3:3" x14ac:dyDescent="0.25">
      <c r="C335" s="96"/>
    </row>
    <row r="336" spans="3:3" x14ac:dyDescent="0.25">
      <c r="C336" s="96"/>
    </row>
    <row r="337" spans="3:3" x14ac:dyDescent="0.25">
      <c r="C337" s="96"/>
    </row>
    <row r="338" spans="3:3" x14ac:dyDescent="0.25">
      <c r="C338" s="96"/>
    </row>
    <row r="339" spans="3:3" x14ac:dyDescent="0.25">
      <c r="C339" s="96"/>
    </row>
    <row r="340" spans="3:3" x14ac:dyDescent="0.25">
      <c r="C340" s="96"/>
    </row>
  </sheetData>
  <conditionalFormatting sqref="D5:N15">
    <cfRule type="top10" dxfId="0" priority="6" rank="10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Data</vt:lpstr>
      <vt:lpstr>Selection</vt:lpstr>
      <vt:lpstr>Regression</vt:lpstr>
      <vt:lpstr>Parametric</vt:lpstr>
      <vt:lpstr>Regression!Base_CDD</vt:lpstr>
      <vt:lpstr>Regression!Base_HDD</vt:lpstr>
      <vt:lpstr>Regression!NB_Bills</vt:lpstr>
      <vt:lpstr>Start</vt:lpstr>
      <vt:lpstr>Regression!X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MARREC</dc:creator>
  <cp:lastModifiedBy>Julien Marrec</cp:lastModifiedBy>
  <dcterms:created xsi:type="dcterms:W3CDTF">2013-11-19T13:32:20Z</dcterms:created>
  <dcterms:modified xsi:type="dcterms:W3CDTF">2016-07-12T07:19:41Z</dcterms:modified>
</cp:coreProperties>
</file>